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hidePivotFieldList="1"/>
  <mc:AlternateContent xmlns:mc="http://schemas.openxmlformats.org/markup-compatibility/2006">
    <mc:Choice Requires="x15">
      <x15ac:absPath xmlns:x15ac="http://schemas.microsoft.com/office/spreadsheetml/2010/11/ac" url="C:\Users\22829\xwechat_files\wxid_k9w3pribabwp21_0a8d\msg\file\2026-09\"/>
    </mc:Choice>
  </mc:AlternateContent>
  <bookViews>
    <workbookView windowWidth="28800" windowHeight="12450" firstSheet="1" activeTab="2"/>
  </bookViews>
  <sheets>
    <sheet name=" 2026年科桥餐饮公司各项指标明细" sheetId="1" state="hidden" r:id="rId1"/>
    <sheet name=" 2026年科桥餐饮公司各项指标明细 (7月)汇总表" sheetId="8" r:id="rId2"/>
    <sheet name=" 2026年科桥餐饮公司各项指标明细 (8月)" sheetId="2" r:id="rId3"/>
    <sheet name=" 2026年科桥餐饮公司各项指标明细 (完整版)" sheetId="4" state="hidden" r:id="rId4"/>
    <sheet name=" 2026年科桥餐饮公司各项指标明细 (删减版）" sheetId="5" state="hidden" r:id="rId5"/>
    <sheet name="Sheet1" sheetId="6" state="hidden" r:id="rId6"/>
  </sheets>
  <externalReferences>
    <externalReference r:id="rId12"/>
  </externalReferences>
  <definedNames>
    <definedName name="_xlnm._FilterDatabase" localSheetId="0" hidden="1">' 2026年科桥餐饮公司各项指标明细'!$A$2:$AF$420</definedName>
    <definedName name="_xlnm._FilterDatabase" localSheetId="2" hidden="1">' 2026年科桥餐饮公司各项指标明细 (8月)'!$A$2:$BX$489</definedName>
    <definedName name="_xlnm._FilterDatabase" localSheetId="3" hidden="1">' 2026年科桥餐饮公司各项指标明细 (完整版)'!$A$2:$AE$436</definedName>
    <definedName name="_xlnm._FilterDatabase" localSheetId="4" hidden="1">' 2026年科桥餐饮公司各项指标明细 (删减版）'!$A$2:$AE$429</definedName>
  </definedNam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<sst xmlns="http://schemas.openxmlformats.org/spreadsheetml/2006/main" count="35610" uniqueCount="1732">
  <si>
    <t xml:space="preserve"> 2026年科桥餐饮公司各项指标明细</t>
  </si>
  <si>
    <t>序号</t>
  </si>
  <si>
    <t>档口唯一标志</t>
  </si>
  <si>
    <t>分部名称</t>
  </si>
  <si>
    <t>项目代码</t>
  </si>
  <si>
    <t>项目名称</t>
  </si>
  <si>
    <t>项目类型</t>
  </si>
  <si>
    <t>核算会计</t>
  </si>
  <si>
    <t>分组作业名称</t>
  </si>
  <si>
    <t>分组作业窗口名称</t>
  </si>
  <si>
    <t>签订人
（会议纪要）</t>
  </si>
  <si>
    <t>人员工资</t>
  </si>
  <si>
    <t>营业额指标
【部分金额折算成一年】</t>
  </si>
  <si>
    <t>服务费</t>
  </si>
  <si>
    <t>虫害消杀
(按实）</t>
  </si>
  <si>
    <t>采购费
（按实）</t>
  </si>
  <si>
    <t>装修折旧费
(按实）</t>
  </si>
  <si>
    <t>管理人员费
（按实）</t>
  </si>
  <si>
    <t>共建活动费
（按实）</t>
  </si>
  <si>
    <t>资产费
（按实）</t>
  </si>
  <si>
    <t>卫生费
（按实）</t>
  </si>
  <si>
    <t>能源费
（按实）</t>
  </si>
  <si>
    <t>其他
（按实）</t>
  </si>
  <si>
    <t>原材料
（按实）</t>
  </si>
  <si>
    <t>甲方管理费
（按实）</t>
  </si>
  <si>
    <t>甲方房租</t>
  </si>
  <si>
    <t>甲方人员工资</t>
  </si>
  <si>
    <t>甲方捐赠</t>
  </si>
  <si>
    <t>分部管理费
（按实+固定值）</t>
  </si>
  <si>
    <t>业务费</t>
  </si>
  <si>
    <t>备注1</t>
  </si>
  <si>
    <t>备注2</t>
  </si>
  <si>
    <t>难以落地条款</t>
  </si>
  <si>
    <t>KQCY0001</t>
  </si>
  <si>
    <t>餐饮一分部</t>
  </si>
  <si>
    <t>CF139</t>
  </si>
  <si>
    <t>苏州中科新药篮餐厅</t>
  </si>
  <si>
    <t>自营</t>
  </si>
  <si>
    <t>卫屹</t>
  </si>
  <si>
    <t>/</t>
  </si>
  <si>
    <t>KQCY0002</t>
  </si>
  <si>
    <t>CF481</t>
  </si>
  <si>
    <t>常熟世华高级中学食堂</t>
  </si>
  <si>
    <t>1、原材料：若政府部门要求执行“阳光平台”的原材料比例，乙方实际经营中原材料比例与阳光平台规定比例的差额的处理和费用都由甲方承担。（阳光平台原材料占餐食营业额比例≥75%，项目按实际领用）</t>
  </si>
  <si>
    <t>KQCY0003</t>
  </si>
  <si>
    <t>CF478</t>
  </si>
  <si>
    <t>苏州华杨电子餐厅</t>
  </si>
  <si>
    <t>强责</t>
  </si>
  <si>
    <t>陆琪</t>
  </si>
  <si>
    <t>武良军</t>
  </si>
  <si>
    <t>KQCY0004</t>
  </si>
  <si>
    <t>CF751</t>
  </si>
  <si>
    <t>国防科大（长沙）食堂</t>
  </si>
  <si>
    <t>人员服务外包</t>
  </si>
  <si>
    <t>KQCY0005</t>
  </si>
  <si>
    <t>CF474</t>
  </si>
  <si>
    <t>安工大七食堂</t>
  </si>
  <si>
    <t>李俊彦</t>
  </si>
  <si>
    <t>1、原材料：安徽工业大学食堂食品原材料定点采购办法约定食品原材料≥55%营业额（不含一次性打包用品）</t>
  </si>
  <si>
    <t>KQCY0006</t>
  </si>
  <si>
    <t>第一班组</t>
  </si>
  <si>
    <t>手工馄饨（大陷水饺、刀削面/汆肉米线）</t>
  </si>
  <si>
    <t>潘海英</t>
  </si>
  <si>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</si>
  <si>
    <t>1、会议纪要中约定了各项费用比例，但实际账务处理中未按照各费用比例分别收取；
建议：项目收支明细表按会议纪要签订的要求进行统计；</t>
  </si>
  <si>
    <t>KQCY0007</t>
  </si>
  <si>
    <t>第二班组</t>
  </si>
  <si>
    <t>黄焖系列（酸菜肉煲系列、椒麻鸡系列、酸菜鱼系列）</t>
  </si>
  <si>
    <t>胡科才</t>
  </si>
  <si>
    <t>KQCY0008</t>
  </si>
  <si>
    <t>第三班组</t>
  </si>
  <si>
    <t>猪脚饭系列（套饭系列、菜饭骨头汤系列）</t>
  </si>
  <si>
    <t>杨克顺</t>
  </si>
  <si>
    <t>KQCY0009</t>
  </si>
  <si>
    <t>第四班组</t>
  </si>
  <si>
    <t>拌饭系列（肉夹馍、紫菜包饭）</t>
  </si>
  <si>
    <t>魏祖华</t>
  </si>
  <si>
    <t>KQCY0010</t>
  </si>
  <si>
    <t>CF477</t>
  </si>
  <si>
    <t>上海民航第一食堂</t>
  </si>
  <si>
    <t>KQCY0011</t>
  </si>
  <si>
    <t>分组作业</t>
  </si>
  <si>
    <t>山东煎饼</t>
  </si>
  <si>
    <t>姚群</t>
  </si>
  <si>
    <t>1、服务费：包含卫生费，不单独分摊</t>
  </si>
  <si>
    <t>KQCY0012</t>
  </si>
  <si>
    <t>第六班组</t>
  </si>
  <si>
    <t>蜜雪冰城</t>
  </si>
  <si>
    <t>任黎明</t>
  </si>
  <si>
    <t>1、其他：固定资金16万元/年</t>
  </si>
  <si>
    <t>KQCY0013</t>
  </si>
  <si>
    <t>糖水粥铺</t>
  </si>
  <si>
    <t>孙青青</t>
  </si>
  <si>
    <t>KQCY0014</t>
  </si>
  <si>
    <t>大碗面</t>
  </si>
  <si>
    <t>景帅帅</t>
  </si>
  <si>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</si>
  <si>
    <t>KQCY0015</t>
  </si>
  <si>
    <t>早餐</t>
  </si>
  <si>
    <t>芦磊</t>
  </si>
  <si>
    <t>1、服务费：包含卫生费、能源费，不单独分摊</t>
  </si>
  <si>
    <t>CF272</t>
  </si>
  <si>
    <t>苏州工学院南一食堂</t>
  </si>
  <si>
    <t>位军浩</t>
  </si>
  <si>
    <t>1、自营未实际经营；</t>
  </si>
  <si>
    <t>KQCY0016</t>
  </si>
  <si>
    <t>饼铺</t>
  </si>
  <si>
    <t>纪洪强</t>
  </si>
  <si>
    <t>1、甲方捐赠：35万/年，分组作业未分摊，服务费已包含；
2、采购费：1.35万/年，分组作业未分摊，服务费已包含；</t>
  </si>
  <si>
    <t xml:space="preserve">
1、签订期间：2026.2.25-2026.7.19；
2、指标按照全年换算；
</t>
  </si>
  <si>
    <t>KQCY0017</t>
  </si>
  <si>
    <t>粥铺</t>
  </si>
  <si>
    <t>贺明</t>
  </si>
  <si>
    <t>KQCY0018</t>
  </si>
  <si>
    <t>老乡邨</t>
  </si>
  <si>
    <t>刘少军</t>
  </si>
  <si>
    <t>KQCY0019</t>
  </si>
  <si>
    <t>科桥小厨</t>
  </si>
  <si>
    <t>吴浩</t>
  </si>
  <si>
    <t>KQCY0020</t>
  </si>
  <si>
    <t>清汤米线</t>
  </si>
  <si>
    <t>张郁磊</t>
  </si>
  <si>
    <t>KQCY0021</t>
  </si>
  <si>
    <t>黑鸭堡</t>
  </si>
  <si>
    <t>KQCY0022</t>
  </si>
  <si>
    <t>7分甜</t>
  </si>
  <si>
    <t>KQCY0023</t>
  </si>
  <si>
    <t>药膳鸡</t>
  </si>
  <si>
    <t>匡正娟</t>
  </si>
  <si>
    <t>KQCY0024</t>
  </si>
  <si>
    <t>麻辣香锅</t>
  </si>
  <si>
    <t>KQCY0025</t>
  </si>
  <si>
    <t>生煎牛肉汤</t>
  </si>
  <si>
    <t>徐雪晗</t>
  </si>
  <si>
    <t>KQCY0026</t>
  </si>
  <si>
    <t>西式简餐</t>
  </si>
  <si>
    <t>李明发</t>
  </si>
  <si>
    <t>KQCY0027</t>
  </si>
  <si>
    <t>苏式面</t>
  </si>
  <si>
    <t>许正芳</t>
  </si>
  <si>
    <t>KQCY0028</t>
  </si>
  <si>
    <t>王记炒饭</t>
  </si>
  <si>
    <t>王梓骏</t>
  </si>
  <si>
    <t>KQCY0029</t>
  </si>
  <si>
    <t>烤鸭</t>
  </si>
  <si>
    <t>王鑫</t>
  </si>
  <si>
    <t>KQCY0030</t>
  </si>
  <si>
    <t>小街胡同牛杂面</t>
  </si>
  <si>
    <t>黄雨</t>
  </si>
  <si>
    <t>KQCY0031</t>
  </si>
  <si>
    <t>汉堡炸鸡</t>
  </si>
  <si>
    <t>陆林峰</t>
  </si>
  <si>
    <t>KQCY0032</t>
  </si>
  <si>
    <t>旋转小火锅</t>
  </si>
  <si>
    <t>潘祥</t>
  </si>
  <si>
    <t>1、签订期间：2026.2.25-2026.7.19；
2、指标按照全年换算；
3、已撤场（2026年3月）；</t>
  </si>
  <si>
    <t>KQCY0033</t>
  </si>
  <si>
    <t>CF127-1</t>
  </si>
  <si>
    <t>泰科老厂餐厅</t>
  </si>
  <si>
    <t>KQCY0034</t>
  </si>
  <si>
    <t>CF127-3</t>
  </si>
  <si>
    <t>泰科新厂餐厅</t>
  </si>
  <si>
    <t>KQCY0035</t>
  </si>
  <si>
    <t>CF141</t>
  </si>
  <si>
    <t>泰科阳澄湖工厂</t>
  </si>
  <si>
    <t>KQCY0036</t>
  </si>
  <si>
    <t>CF129-1</t>
  </si>
  <si>
    <t>中央厨房（加工服务部）</t>
  </si>
  <si>
    <t>KQCY0037</t>
  </si>
  <si>
    <t>CF142</t>
  </si>
  <si>
    <t>卡特彼勒（吴江）餐厅</t>
  </si>
  <si>
    <t>KQCY0038</t>
  </si>
  <si>
    <t>CF138</t>
  </si>
  <si>
    <t>苏州生物产业园三期餐厅</t>
  </si>
  <si>
    <t>KQCY0039</t>
  </si>
  <si>
    <t>餐饮二分部</t>
  </si>
  <si>
    <t>CF181</t>
  </si>
  <si>
    <t>中科大苏州研究院食堂</t>
  </si>
  <si>
    <t>吉沐牛</t>
  </si>
  <si>
    <t>KQCY0040</t>
  </si>
  <si>
    <t>CF124</t>
  </si>
  <si>
    <t>苏州评弹学院食堂</t>
  </si>
  <si>
    <t>KQCY0041</t>
  </si>
  <si>
    <t>CF125</t>
  </si>
  <si>
    <t>西浦大学宏愿食堂（南）</t>
  </si>
  <si>
    <t>KQCY0042</t>
  </si>
  <si>
    <t>麻辣烫</t>
  </si>
  <si>
    <t>何军军</t>
  </si>
  <si>
    <t>1、装修折旧费：项目反馈不收取，包含在服务费中；</t>
  </si>
  <si>
    <t>1、签订期间：2025.9-2026.8；
2、指标按照全年换算；</t>
  </si>
  <si>
    <t>1、会议纪要中未提及收取甲方管理费，实际是收取的，待明确；
建议：会议纪要中明确该条款；</t>
  </si>
  <si>
    <t>KQCY0043</t>
  </si>
  <si>
    <t>小炒</t>
  </si>
  <si>
    <t>王成龙</t>
  </si>
  <si>
    <t>KQCY0044</t>
  </si>
  <si>
    <t>枣糕</t>
  </si>
  <si>
    <t>杜松松</t>
  </si>
  <si>
    <t>KQCY0045</t>
  </si>
  <si>
    <t>面条</t>
  </si>
  <si>
    <t>葛文静</t>
  </si>
  <si>
    <t>KQCY0046</t>
  </si>
  <si>
    <t>烤肉</t>
  </si>
  <si>
    <t>KQCY0047</t>
  </si>
  <si>
    <t>粉丝汤</t>
  </si>
  <si>
    <t>李鑫</t>
  </si>
  <si>
    <t>KQCY0048</t>
  </si>
  <si>
    <t>CF137</t>
  </si>
  <si>
    <t>西浦大学宏愿食堂（北）</t>
  </si>
  <si>
    <t>KQCY0049</t>
  </si>
  <si>
    <t>滑蛋饭</t>
  </si>
  <si>
    <t>赵广伟</t>
  </si>
  <si>
    <t>1、装修折旧费：项目反馈不收取，包含在服务费中；
2、甲方房租：项目反馈不收取，包含在服务费中；</t>
  </si>
  <si>
    <t>1、签订期间：2025.10-2026.9；
2、指标按照全年换算；</t>
  </si>
  <si>
    <t>KQCY0050</t>
  </si>
  <si>
    <t>手工水饺</t>
  </si>
  <si>
    <t>赵玉才</t>
  </si>
  <si>
    <t>KQCY0051</t>
  </si>
  <si>
    <t>烤盘饭</t>
  </si>
  <si>
    <t>付昌杰</t>
  </si>
  <si>
    <t>KQCY0052</t>
  </si>
  <si>
    <t>大花米线</t>
  </si>
  <si>
    <t>钱卫军</t>
  </si>
  <si>
    <t>KQCY0053</t>
  </si>
  <si>
    <t>石锅饭</t>
  </si>
  <si>
    <t>葛颖</t>
  </si>
  <si>
    <t>KQCY0054</t>
  </si>
  <si>
    <t>一鸣鲜奶吧</t>
  </si>
  <si>
    <t>黎欢</t>
  </si>
  <si>
    <t>1、服务费：12万/年；
2、采购费：项目反馈不收取，包含在服务费中；
3、装修折旧费：项目反馈不收取，包含在服务费中；
4、甲方房租：项目反馈不收取，包含在服务费中；</t>
  </si>
  <si>
    <t>KQCY0055</t>
  </si>
  <si>
    <t>CF140</t>
  </si>
  <si>
    <t>西浦大学太仓校区食堂</t>
  </si>
  <si>
    <t>KQCY0056</t>
  </si>
  <si>
    <t>蛋包饭(肥牛米线、水饺、烤盘饭)</t>
  </si>
  <si>
    <t>1、虫害消杀：项目反馈不收取，包含在服务费中；
2、卫生费：项目反馈不收取，包含在服务费中；</t>
  </si>
  <si>
    <t>KQCY0057</t>
  </si>
  <si>
    <t>枣糕&amp;热饮(韩式拌饭)</t>
  </si>
  <si>
    <t>CF182</t>
  </si>
  <si>
    <t>无锡工艺第二食堂</t>
  </si>
  <si>
    <t>KQCY0058</t>
  </si>
  <si>
    <t>快餐</t>
  </si>
  <si>
    <t>林建峰</t>
  </si>
  <si>
    <t>47-53%</t>
  </si>
  <si>
    <t>1、装修折旧费：按165万，分三年期限分摊，多退少补</t>
  </si>
  <si>
    <t>1、签订期间：2026.1-2026.12；
2、指标按照全年换算；</t>
  </si>
  <si>
    <t>KQCY0059</t>
  </si>
  <si>
    <t>CF360</t>
  </si>
  <si>
    <t>南通师专新校区食堂</t>
  </si>
  <si>
    <t>KQCY0060</t>
  </si>
  <si>
    <t>琳榆炸鸡腿</t>
  </si>
  <si>
    <t>王友强</t>
  </si>
  <si>
    <t>50%±3%</t>
  </si>
  <si>
    <t>1、装修折旧费：25万/年，分组作业未分摊，服务费已包含</t>
  </si>
  <si>
    <t xml:space="preserve">1、签订期间：2026.3.1-2026.7.31；
2、指标按照全年换算；
</t>
  </si>
  <si>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</si>
  <si>
    <t>KQCY0061</t>
  </si>
  <si>
    <t>中式早点</t>
  </si>
  <si>
    <t>何小杏</t>
  </si>
  <si>
    <t>KQCY0062</t>
  </si>
  <si>
    <t>土耳其烤肉饭</t>
  </si>
  <si>
    <t>薛小勇</t>
  </si>
  <si>
    <t>KQCY0063</t>
  </si>
  <si>
    <t>营养粥小笼包</t>
  </si>
  <si>
    <t>沈玲</t>
  </si>
  <si>
    <t>KQCY0064</t>
  </si>
  <si>
    <t>第五班组</t>
  </si>
  <si>
    <t>生烫牛肉米线</t>
  </si>
  <si>
    <t>刘海霞</t>
  </si>
  <si>
    <t>KQCY0065</t>
  </si>
  <si>
    <t>咖喱蛋包饭</t>
  </si>
  <si>
    <t>余娇</t>
  </si>
  <si>
    <t>KQCY0066</t>
  </si>
  <si>
    <t>第七班组</t>
  </si>
  <si>
    <t>麻辣烫麻辣拌</t>
  </si>
  <si>
    <t>虞冬梅</t>
  </si>
  <si>
    <t>KQCY0067</t>
  </si>
  <si>
    <t>第八班组</t>
  </si>
  <si>
    <t>真老大手工云吞</t>
  </si>
  <si>
    <t>彭晴</t>
  </si>
  <si>
    <t>KQCY0068</t>
  </si>
  <si>
    <t>第九班组</t>
  </si>
  <si>
    <t>朱家小馆羊杂面</t>
  </si>
  <si>
    <t>薛桂中</t>
  </si>
  <si>
    <t>KQCY0069</t>
  </si>
  <si>
    <t>第十班组</t>
  </si>
  <si>
    <t>奶茶</t>
  </si>
  <si>
    <t>王艳</t>
  </si>
  <si>
    <t>1、装修折旧费：25万/年，分组作业未分摊，服务费已包含；
2、卫生费：分组作业不在食堂内，未分摊，服务费已包含；</t>
  </si>
  <si>
    <t>1、签订期间：2026.3.1-2026.7.31；
2、指标按照全年换算；</t>
  </si>
  <si>
    <t>KQCY0070</t>
  </si>
  <si>
    <t>CF364</t>
  </si>
  <si>
    <t>江苏航运思本轩食堂</t>
  </si>
  <si>
    <t>KQCY0071</t>
  </si>
  <si>
    <t>王瑞连</t>
  </si>
  <si>
    <t>1、甲方管理费：甲方每月按上月营业额的2%暂扣考核返还金、按营业额的1%暂扣公共维修金，分组作业应分摊未分摊，已补分摊，服务费比例应做相应调整；
2、甲方捐赠：乙方承诺资助30000元/年，分组作业未分摊，服务费已包含；</t>
  </si>
  <si>
    <t>1、签订期间：2025.9.1-2026.8.31；
2、指标按照全年换算；
3、已撤场（2025年10月）；</t>
  </si>
  <si>
    <t>KQCY0072</t>
  </si>
  <si>
    <t>粉丝汤（牛肉、老母鸡、牛杂、拆骨）</t>
  </si>
  <si>
    <t>满超</t>
  </si>
  <si>
    <t>1、签订期间：2025.9.1-2026.8.31；
2、指标按照全年换算；</t>
  </si>
  <si>
    <t>KQCY0073</t>
  </si>
  <si>
    <t>拌饭（鸡腿饭、酸梅鸭饭）</t>
  </si>
  <si>
    <t>唐德生</t>
  </si>
  <si>
    <t>KQCY0074</t>
  </si>
  <si>
    <t>潘捷</t>
  </si>
  <si>
    <t>KQCY0075</t>
  </si>
  <si>
    <t>咖喱饭</t>
  </si>
  <si>
    <t>1、签订期间：2025.9.1-2026.8.31；
2、指标按照全年换算；
3、已撤场（2025年12月）；</t>
  </si>
  <si>
    <t>KQCY0076</t>
  </si>
  <si>
    <t>锡纸饭</t>
  </si>
  <si>
    <t>陈芳</t>
  </si>
  <si>
    <t>KQCY0077</t>
  </si>
  <si>
    <t>生烫米线</t>
  </si>
  <si>
    <t>吴建军</t>
  </si>
  <si>
    <t>1、签订期间：2025.9.1-2026.8.31；
2、指标按照全年换算；
3、已撤场（2025年11月）；</t>
  </si>
  <si>
    <t>KQCY0078</t>
  </si>
  <si>
    <t>水饺</t>
  </si>
  <si>
    <t>肖阿色</t>
  </si>
  <si>
    <t>KQCY0079</t>
  </si>
  <si>
    <t>烤鸭饭</t>
  </si>
  <si>
    <t>蒋继承</t>
  </si>
  <si>
    <t>KQCY0080</t>
  </si>
  <si>
    <t>第十一班组</t>
  </si>
  <si>
    <t>朱家小馆</t>
  </si>
  <si>
    <t>张慧南</t>
  </si>
  <si>
    <t>KQCY0081</t>
  </si>
  <si>
    <t>张义丛</t>
  </si>
  <si>
    <t>1、签订期间：2025.9.1-2026.8.31；
2、指标按照全年换算；
3、已撤场（2026年1月）；</t>
  </si>
  <si>
    <t>KQCY0082</t>
  </si>
  <si>
    <t>第十二班组</t>
  </si>
  <si>
    <t>闽韩咸饭</t>
  </si>
  <si>
    <t>王冬</t>
  </si>
  <si>
    <t>KQCY0083</t>
  </si>
  <si>
    <t>第十三班组</t>
  </si>
  <si>
    <t>张亮麻辣烫</t>
  </si>
  <si>
    <t>杨爱兵</t>
  </si>
  <si>
    <t>CF363</t>
  </si>
  <si>
    <t>南通大学启东校区</t>
  </si>
  <si>
    <t>KQCY0084</t>
  </si>
  <si>
    <t>基本大伙</t>
  </si>
  <si>
    <t>朱寿凤</t>
  </si>
  <si>
    <t>1、甲方管理费：校方按营业额比例13%收取，分组作业应分摊未分摊，已补分摊，服务费比例应做相应调整；</t>
  </si>
  <si>
    <t>1、条款：班组严格按照所报备的原料比例执行，具体如下:50%营业额，月度结算时若未达到所报比例，按以上比例结算。
问题：目前未按约定执行，待明确；</t>
  </si>
  <si>
    <t>KQCY0085</t>
  </si>
  <si>
    <t>自选称重</t>
  </si>
  <si>
    <t>KQCY0086</t>
  </si>
  <si>
    <t>王正明</t>
  </si>
  <si>
    <t>KQCY0087</t>
  </si>
  <si>
    <t>黄焖鸡酸菜鱼</t>
  </si>
  <si>
    <t>金健华</t>
  </si>
  <si>
    <t>KQCY0088</t>
  </si>
  <si>
    <t>卤肉饭套餐</t>
  </si>
  <si>
    <t>KQCY0089</t>
  </si>
  <si>
    <t>营养粥杂粮煎饼</t>
  </si>
  <si>
    <t>邵国才</t>
  </si>
  <si>
    <t>KQCY0090</t>
  </si>
  <si>
    <t>面条馄饨</t>
  </si>
  <si>
    <t>KQCY0091</t>
  </si>
  <si>
    <t>米线汤包</t>
  </si>
  <si>
    <t>KQCY0092</t>
  </si>
  <si>
    <t>香锅焖面</t>
  </si>
  <si>
    <t>KQCY0093</t>
  </si>
  <si>
    <t>猪肚鸡瓦罐汤套餐</t>
  </si>
  <si>
    <t>翟林璐</t>
  </si>
  <si>
    <t xml:space="preserve">1、签订期间：2025.9.1-2026.8.31；
2、指标按照全年换算；
</t>
  </si>
  <si>
    <t>KQCY0094</t>
  </si>
  <si>
    <t>汉堡小锅现炒</t>
  </si>
  <si>
    <t>韩荣荣</t>
  </si>
  <si>
    <t>KQCY0095</t>
  </si>
  <si>
    <t>铁板炒饭</t>
  </si>
  <si>
    <t>王志河</t>
  </si>
  <si>
    <t>KQCY0096</t>
  </si>
  <si>
    <t>CF160</t>
  </si>
  <si>
    <t>高新区实验高中食堂(金山路校区)</t>
  </si>
  <si>
    <t>徐敏捷</t>
  </si>
  <si>
    <t>1、分部管理费：卡机营业额的3%，最高限额20万元</t>
  </si>
  <si>
    <t>KQCY0097</t>
  </si>
  <si>
    <t>CF174</t>
  </si>
  <si>
    <t>高新区实验高中食堂(科技城校区)</t>
  </si>
  <si>
    <t>KQCY0098</t>
  </si>
  <si>
    <t>CF175</t>
  </si>
  <si>
    <t>高新区实验初中食堂(金山路校区)</t>
  </si>
  <si>
    <t>KQCY0099</t>
  </si>
  <si>
    <t>CF177</t>
  </si>
  <si>
    <t>高新区实验初中食堂(锦峰路校区)</t>
  </si>
  <si>
    <t>KQCY0100</t>
  </si>
  <si>
    <t>CF173</t>
  </si>
  <si>
    <t>高新区一中食堂（汾湖路校区）</t>
  </si>
  <si>
    <t>KQCY0101</t>
  </si>
  <si>
    <t>CF179</t>
  </si>
  <si>
    <t>高新区一中食堂（科技城校区）</t>
  </si>
  <si>
    <t>KQCY0102</t>
  </si>
  <si>
    <t>CF180</t>
  </si>
  <si>
    <t>高新区一初中食堂（珠江路校区）</t>
  </si>
  <si>
    <t>KQCY0103</t>
  </si>
  <si>
    <t>CF183</t>
  </si>
  <si>
    <t>中医科苏州新校区食堂</t>
  </si>
  <si>
    <t>KQCY0104</t>
  </si>
  <si>
    <t>KQCY0105</t>
  </si>
  <si>
    <t>CF450</t>
  </si>
  <si>
    <t>天津大学学二食堂</t>
  </si>
  <si>
    <t>张宪</t>
  </si>
  <si>
    <t>KQCY0106</t>
  </si>
  <si>
    <t>馄饨（轻食）</t>
  </si>
  <si>
    <t>李佳玉</t>
  </si>
  <si>
    <t xml:space="preserve">
1、签订期间：2026.1.1-2026.8.1；
2、指标按照全年换算；</t>
  </si>
  <si>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</si>
  <si>
    <t>KQCY0107</t>
  </si>
  <si>
    <t>面夫子</t>
  </si>
  <si>
    <t>李平归</t>
  </si>
  <si>
    <t>KQCY0108</t>
  </si>
  <si>
    <t>李保</t>
  </si>
  <si>
    <t>KQCY0109</t>
  </si>
  <si>
    <t>基本伙窗口</t>
  </si>
  <si>
    <t>孟祥东</t>
  </si>
  <si>
    <t>KQCY0110</t>
  </si>
  <si>
    <t>小卖部</t>
  </si>
  <si>
    <t>张玉珠</t>
  </si>
  <si>
    <t>KQCY0111</t>
  </si>
  <si>
    <t>黄焖鸡</t>
  </si>
  <si>
    <t>蒋彩云</t>
  </si>
  <si>
    <t>KQCY0112</t>
  </si>
  <si>
    <t>南方面条</t>
  </si>
  <si>
    <t>KQCY0113</t>
  </si>
  <si>
    <t>饸饹面</t>
  </si>
  <si>
    <t>要志远</t>
  </si>
  <si>
    <t>KQCY0114</t>
  </si>
  <si>
    <t>孟迪</t>
  </si>
  <si>
    <t>KQCY0115</t>
  </si>
  <si>
    <t>董子帅</t>
  </si>
  <si>
    <t>KQCY0116</t>
  </si>
  <si>
    <t>真有面</t>
  </si>
  <si>
    <t>张星华</t>
  </si>
  <si>
    <t>KQCY0117</t>
  </si>
  <si>
    <t>云南生烫米线</t>
  </si>
  <si>
    <t>由俊楠</t>
  </si>
  <si>
    <t>KQCY0118</t>
  </si>
  <si>
    <t>CF513</t>
  </si>
  <si>
    <t>天津大学学三食堂</t>
  </si>
  <si>
    <t>1、分部管理费：10万元</t>
  </si>
  <si>
    <t>KQCY0119</t>
  </si>
  <si>
    <t>CF453</t>
  </si>
  <si>
    <t>天津大学学四食堂</t>
  </si>
  <si>
    <t>餐饮三分部</t>
  </si>
  <si>
    <t>CF190</t>
  </si>
  <si>
    <t>苏旅财食堂</t>
  </si>
  <si>
    <t>1、自营未实际经营；
2、分部管理费：100000/年+1%营业额</t>
  </si>
  <si>
    <t>KQCY0120</t>
  </si>
  <si>
    <t>苏式汤面</t>
  </si>
  <si>
    <t>闵晓均</t>
  </si>
  <si>
    <t>1、其他：外卖人员服务费按照实际外卖营业额4%收取</t>
  </si>
  <si>
    <t>1、签订期间：2026.3.1-2026.8.30；
2、指标按照全年换算；</t>
  </si>
  <si>
    <t>KQCY0121</t>
  </si>
  <si>
    <t>铁板砂锅</t>
  </si>
  <si>
    <t>付鹏亮</t>
  </si>
  <si>
    <t>KQCY0122</t>
  </si>
  <si>
    <t>石锅拌饭</t>
  </si>
  <si>
    <t>于红艳</t>
  </si>
  <si>
    <t>KQCY0123</t>
  </si>
  <si>
    <t>杂粮煎饼</t>
  </si>
  <si>
    <t>李右华</t>
  </si>
  <si>
    <t>KQCY0124</t>
  </si>
  <si>
    <t>汪于超</t>
  </si>
  <si>
    <t>KQCY0125</t>
  </si>
  <si>
    <t>奶茶汉堡</t>
  </si>
  <si>
    <t>吕鹏飞</t>
  </si>
  <si>
    <t>KQCY0126</t>
  </si>
  <si>
    <t>袁吉</t>
  </si>
  <si>
    <t>KQCY0127</t>
  </si>
  <si>
    <t>CF276</t>
  </si>
  <si>
    <t>苏州经贸二食堂</t>
  </si>
  <si>
    <t>1、采购费：采购额的5%</t>
  </si>
  <si>
    <t>KQCY0128</t>
  </si>
  <si>
    <t>卤烤套餐饭</t>
  </si>
  <si>
    <t>康小伟</t>
  </si>
  <si>
    <t>1、其他：固定资金2万元/学期，作为折旧费
2、采购费：采购额的5%，分组作业未分摊，服务费已包含；</t>
  </si>
  <si>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</si>
  <si>
    <t>KQCY0129</t>
  </si>
  <si>
    <t>阿满烤鸭</t>
  </si>
  <si>
    <t>李嘉康</t>
  </si>
  <si>
    <t>KQCY0130</t>
  </si>
  <si>
    <t>鸡公煲</t>
  </si>
  <si>
    <t>陈洋</t>
  </si>
  <si>
    <t>1、其他：固定资金1、5万元/学期，作为折旧费
2、采购费：采购额的5%，分组作业未分摊，服务费已包含；</t>
  </si>
  <si>
    <t>KQCY0131</t>
  </si>
  <si>
    <t>羊杂面</t>
  </si>
  <si>
    <t>赵连财</t>
  </si>
  <si>
    <t>KQCY0132</t>
  </si>
  <si>
    <t>汉堡</t>
  </si>
  <si>
    <t>邵宁</t>
  </si>
  <si>
    <t>1、其他：固定资金2万元/学期，作为折旧费
2、采购费：档口营业所用全部物品由加盟商指定供应商提供，无采购费。</t>
  </si>
  <si>
    <t>KQCY0133</t>
  </si>
  <si>
    <t>精品菜</t>
  </si>
  <si>
    <t>查祈恩</t>
  </si>
  <si>
    <t>1、其他：固定资金2.25万元/学期，作为折旧费
2、采购费：采购额的5%，分组作业未分摊，服务费已包含；</t>
  </si>
  <si>
    <t>KQCY0134</t>
  </si>
  <si>
    <t>黄化里</t>
  </si>
  <si>
    <t>1、已撤场，窗口现为自营</t>
  </si>
  <si>
    <t>KQCY0135</t>
  </si>
  <si>
    <t>教工餐厅</t>
  </si>
  <si>
    <t>KQCY0136</t>
  </si>
  <si>
    <t>CF126</t>
  </si>
  <si>
    <t>西浦附校食堂</t>
  </si>
  <si>
    <t>KQCY0137</t>
  </si>
  <si>
    <t>CF782</t>
  </si>
  <si>
    <t>宿迁安园中央厨房</t>
  </si>
  <si>
    <t>CF699</t>
  </si>
  <si>
    <t>徐医大第一食堂</t>
  </si>
  <si>
    <t>KQCY0138</t>
  </si>
  <si>
    <t>董浩</t>
  </si>
  <si>
    <t>1、卫生费：每月固定1500元，寒暑假根据实际运营天数结算</t>
  </si>
  <si>
    <t xml:space="preserve">1、签订期间：2026.2.25-2026.7.31；
2、指标按照全年换算；
</t>
  </si>
  <si>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</si>
  <si>
    <t>KQCY0139</t>
  </si>
  <si>
    <t>脆香鸡</t>
  </si>
  <si>
    <t>闫玉净</t>
  </si>
  <si>
    <t>1、签订期间：2026.2.25-2026.7.31；
2、指标按照全年换算；</t>
  </si>
  <si>
    <t>KQCY0140</t>
  </si>
  <si>
    <t>鸡柳窜巷</t>
  </si>
  <si>
    <t>王晨</t>
  </si>
  <si>
    <t>1、卫生费：每月固定1000元，寒暑假根据实际运营天数结算</t>
  </si>
  <si>
    <t>KQCY0141</t>
  </si>
  <si>
    <t>螺蛳粉</t>
  </si>
  <si>
    <t>王梅</t>
  </si>
  <si>
    <t>KQCY0142</t>
  </si>
  <si>
    <t>刘行行</t>
  </si>
  <si>
    <t>KQCY0143</t>
  </si>
  <si>
    <t>营养粥</t>
  </si>
  <si>
    <t>周冰</t>
  </si>
  <si>
    <t>KQCY0144</t>
  </si>
  <si>
    <t>辣椒炒肉</t>
  </si>
  <si>
    <t>王桐</t>
  </si>
  <si>
    <t>KQCY0145</t>
  </si>
  <si>
    <t>板煮演义</t>
  </si>
  <si>
    <t>郑亚兰</t>
  </si>
  <si>
    <t>KQCY0146</t>
  </si>
  <si>
    <t>老翟板面</t>
  </si>
  <si>
    <t>经蕊蕊</t>
  </si>
  <si>
    <t>1、卫生费：每月固定1000元，寒暑假根据实际运
营天数结算</t>
  </si>
  <si>
    <t>KQCY0147</t>
  </si>
  <si>
    <t>陈希广</t>
  </si>
  <si>
    <t>1、卫生费：每月固定600元，
寒暑假根据实际运
营天数结算</t>
  </si>
  <si>
    <t>KQCY0148</t>
  </si>
  <si>
    <t>张召兵</t>
  </si>
  <si>
    <t>KQCY0149</t>
  </si>
  <si>
    <t>任现军</t>
  </si>
  <si>
    <t>1、卫生费：每月固定2500元，寒暑假根据实际运
营天数结算</t>
  </si>
  <si>
    <t>KQCY0150</t>
  </si>
  <si>
    <t>精品套餐</t>
  </si>
  <si>
    <t>1、卫生费：每月固定1500元，寒暑假根据实际运
营天数结算</t>
  </si>
  <si>
    <t>KQCY0151</t>
  </si>
  <si>
    <t>家家乐烘焙</t>
  </si>
  <si>
    <t>朱江平</t>
  </si>
  <si>
    <t>1、卫生费：每月固定600元，寒暑假根据实际运营天数结算</t>
  </si>
  <si>
    <t>KQCY0152</t>
  </si>
  <si>
    <t>马老头江南小吃（炒饭）</t>
  </si>
  <si>
    <t>曾莉</t>
  </si>
  <si>
    <t>1、卫生费：每月固定800元，寒暑假根据实际运营天数结算</t>
  </si>
  <si>
    <t>KQCY0153</t>
  </si>
  <si>
    <t>鸡架拌面</t>
  </si>
  <si>
    <t>冀振杰</t>
  </si>
  <si>
    <t>KQCY0154</t>
  </si>
  <si>
    <t>自选称菜</t>
  </si>
  <si>
    <t>韦志得</t>
  </si>
  <si>
    <t>1、卫生费：每月固定2000元，寒暑假根据实际运营天数结算</t>
  </si>
  <si>
    <t>KQCY0155</t>
  </si>
  <si>
    <t>肥牛火锅粉</t>
  </si>
  <si>
    <t>李跃跃</t>
  </si>
  <si>
    <t>KQCY0156</t>
  </si>
  <si>
    <t>千里香馄饨</t>
  </si>
  <si>
    <t>王才早</t>
  </si>
  <si>
    <t>KQCY0157</t>
  </si>
  <si>
    <t>农家小炒盖浇饭</t>
  </si>
  <si>
    <t>崔小平</t>
  </si>
  <si>
    <t>KQCY0158</t>
  </si>
  <si>
    <t>周雨</t>
  </si>
  <si>
    <t>CF251</t>
  </si>
  <si>
    <t>苏州职大二食堂</t>
  </si>
  <si>
    <t>张镁镁</t>
  </si>
  <si>
    <t>KQCY0159</t>
  </si>
  <si>
    <t>烘焙</t>
  </si>
  <si>
    <t>邵晓丽/余军</t>
  </si>
  <si>
    <t xml:space="preserve">1、其他：3万不收取学期作为装修折旧摊销；
2、卫生费不收取；
3、采购费不收取；
</t>
  </si>
  <si>
    <t>1、条款：技术合作方所有人员与公司签订劳动合同，签订劳动合同的技术合作方负责人必须参加公司社保，否则不予录用；
问题：非所有分组作业人员都入职到公司，非所有负责人缴纳社保；</t>
  </si>
  <si>
    <t>KQCY0160</t>
  </si>
  <si>
    <t>奶茶饮品</t>
  </si>
  <si>
    <t>严振宇</t>
  </si>
  <si>
    <t xml:space="preserve">1、装修折旧费：营业额的5%，分组作业未分摊，服务费已包含；
2、卫生费不收取；
3、采购费不收取；
</t>
  </si>
  <si>
    <t>KQCY0161</t>
  </si>
  <si>
    <t>早点</t>
  </si>
  <si>
    <t>缪文</t>
  </si>
  <si>
    <t>1、装修折旧费：营业额的5%，分组作业未分摊，服务费已包含；
2、采购费不收取；</t>
  </si>
  <si>
    <t>KQCY0162</t>
  </si>
  <si>
    <t>耿传垒</t>
  </si>
  <si>
    <t>1、装修折旧费：营业额的5%，分组作业未分摊，服务费已包含；
2、快餐房租4000/学期；
3、采购费不收取；</t>
  </si>
  <si>
    <t>KQCY0163</t>
  </si>
  <si>
    <t>盖浇饭</t>
  </si>
  <si>
    <t>龙明涛</t>
  </si>
  <si>
    <t>1、装修折旧费：营业额的5%，分组作业未分摊，服务费已包含；
2、盖浇饭房租4000/学期；
3、采购费不收取；</t>
  </si>
  <si>
    <t>KQCY0164</t>
  </si>
  <si>
    <t>余国凤/钱利利</t>
  </si>
  <si>
    <t>KQCY0165</t>
  </si>
  <si>
    <t>王朝风</t>
  </si>
  <si>
    <t>KQCY0166</t>
  </si>
  <si>
    <t>苏式热干面</t>
  </si>
  <si>
    <t>田振/韩宁</t>
  </si>
  <si>
    <t>KQCY0167</t>
  </si>
  <si>
    <t>馄饨炒饭</t>
  </si>
  <si>
    <t>戴国强</t>
  </si>
  <si>
    <t>KQCY0168</t>
  </si>
  <si>
    <t>朱燕/朱建中</t>
  </si>
  <si>
    <t>1、装修折旧费：营业额的5%，分组作业未分摊，服务费已包含；
2、卫生费不收取；
3、采购费不收取；</t>
  </si>
  <si>
    <t>KQCY0169</t>
  </si>
  <si>
    <t>孙华玲</t>
  </si>
  <si>
    <t>KQCY0170</t>
  </si>
  <si>
    <t>香扒饭</t>
  </si>
  <si>
    <t>魏加健</t>
  </si>
  <si>
    <t>KQCY0171</t>
  </si>
  <si>
    <t>瓦香鸡</t>
  </si>
  <si>
    <t>张明明</t>
  </si>
  <si>
    <t>KQCY0172</t>
  </si>
  <si>
    <t>第十四班组</t>
  </si>
  <si>
    <t>王俊鹏</t>
  </si>
  <si>
    <t>KQCY0173</t>
  </si>
  <si>
    <t>第十五班组</t>
  </si>
  <si>
    <t>苏式红汤面</t>
  </si>
  <si>
    <t>程周如</t>
  </si>
  <si>
    <t>KQCY0174</t>
  </si>
  <si>
    <t>第十六班组</t>
  </si>
  <si>
    <t>李嘉康/高发国</t>
  </si>
  <si>
    <t>1、装修折旧费：营业额的5%，分组作业未分摊，服务费已包含；
2、烤鸭房租2000/学期
3、采购费不收取；</t>
  </si>
  <si>
    <t>KQCY0175</t>
  </si>
  <si>
    <t>第十七班组</t>
  </si>
  <si>
    <t>汪玉凤/从健</t>
  </si>
  <si>
    <t>KQCY0176</t>
  </si>
  <si>
    <t>第十八班组</t>
  </si>
  <si>
    <t>把子肉</t>
  </si>
  <si>
    <t>杜故乡/杜获</t>
  </si>
  <si>
    <t>KQCY0177</t>
  </si>
  <si>
    <t>CF780</t>
  </si>
  <si>
    <t>吉建大二食堂</t>
  </si>
  <si>
    <t>KQCY0178</t>
  </si>
  <si>
    <t>李帮</t>
  </si>
  <si>
    <t>1、甲方捐赠：项目反馈不收取，包含在服务费中；</t>
  </si>
  <si>
    <t>1、签订期间：2026.3-7月；
2、指标按照全年换算；</t>
  </si>
  <si>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</si>
  <si>
    <t>KQCY0179</t>
  </si>
  <si>
    <t>0090汉堡</t>
  </si>
  <si>
    <t>戴杰</t>
  </si>
  <si>
    <t>17%/16%</t>
  </si>
  <si>
    <t>1、服务费：超过20万按16%收取，未超过按17%收取管理费；
2、甲方捐赠：项目反馈不收取，包含在服务费中；</t>
  </si>
  <si>
    <t>1、签订期间：2026.3-7月；
2、指标按照全年换算；
3、超过20万按16%收取，未超过按17%收取管理费；</t>
  </si>
  <si>
    <t>KQCY0180</t>
  </si>
  <si>
    <t>果檬鲜果</t>
  </si>
  <si>
    <t>曹雪</t>
  </si>
  <si>
    <t>KQCY0181</t>
  </si>
  <si>
    <t>自选水饺</t>
  </si>
  <si>
    <t>李英</t>
  </si>
  <si>
    <t>KQCY0182</t>
  </si>
  <si>
    <t>渔之谷渔粉</t>
  </si>
  <si>
    <t>李荣</t>
  </si>
  <si>
    <t>KQCY0183</t>
  </si>
  <si>
    <t>昆吉双拼饭</t>
  </si>
  <si>
    <t>郑金娟</t>
  </si>
  <si>
    <t>KQCY0184</t>
  </si>
  <si>
    <t>杭州小笼包</t>
  </si>
  <si>
    <t>李红岷</t>
  </si>
  <si>
    <t>KQCY0185</t>
  </si>
  <si>
    <t>马永波</t>
  </si>
  <si>
    <t>KQCY0186</t>
  </si>
  <si>
    <t>土豆粉</t>
  </si>
  <si>
    <t>郑丹丹</t>
  </si>
  <si>
    <t>KQCY0187</t>
  </si>
  <si>
    <t>一纸鸡</t>
  </si>
  <si>
    <t>徐玉珍</t>
  </si>
  <si>
    <t>KQCY0188</t>
  </si>
  <si>
    <t>现炒浇头面</t>
  </si>
  <si>
    <t>尹士元</t>
  </si>
  <si>
    <t>KQCY0189</t>
  </si>
  <si>
    <t>炒饭专家</t>
  </si>
  <si>
    <t>贡海涛</t>
  </si>
  <si>
    <t>KQCY0190</t>
  </si>
  <si>
    <t>KQCY0191</t>
  </si>
  <si>
    <t>热干面</t>
  </si>
  <si>
    <t>徐成龙</t>
  </si>
  <si>
    <t>KQCY0192</t>
  </si>
  <si>
    <t>喜翻拌麻辣拌</t>
  </si>
  <si>
    <t>兰国强</t>
  </si>
  <si>
    <t>KQCY0193</t>
  </si>
  <si>
    <t>檬大咖</t>
  </si>
  <si>
    <t>于广东</t>
  </si>
  <si>
    <t>KQCY0194</t>
  </si>
  <si>
    <t>蜀道吉水煮肉</t>
  </si>
  <si>
    <t>刘旭东</t>
  </si>
  <si>
    <t>KQCY0195</t>
  </si>
  <si>
    <t>拼好饭</t>
  </si>
  <si>
    <t>陈国利</t>
  </si>
  <si>
    <t>KQCY0196</t>
  </si>
  <si>
    <t>付冬玲</t>
  </si>
  <si>
    <t>KQCY0197</t>
  </si>
  <si>
    <t>海南鸡饭</t>
  </si>
  <si>
    <t>曲丽平</t>
  </si>
  <si>
    <t>KQCY0198</t>
  </si>
  <si>
    <t>小街牛杂面</t>
  </si>
  <si>
    <t>郭铁军</t>
  </si>
  <si>
    <t>KQCY0199</t>
  </si>
  <si>
    <t>炙烤五花肉</t>
  </si>
  <si>
    <t>付炜</t>
  </si>
  <si>
    <t>KQCY0200</t>
  </si>
  <si>
    <t>猪脚饭</t>
  </si>
  <si>
    <t>陈超</t>
  </si>
  <si>
    <t>KQCY0201</t>
  </si>
  <si>
    <t>扬中理</t>
  </si>
  <si>
    <t>KQCY0202</t>
  </si>
  <si>
    <t>原粉公煮</t>
  </si>
  <si>
    <t>田卓</t>
  </si>
  <si>
    <t>KQCY0203</t>
  </si>
  <si>
    <t>大块牛肉饭</t>
  </si>
  <si>
    <t>王亮</t>
  </si>
  <si>
    <t>KQCY0204</t>
  </si>
  <si>
    <t>嘻哈密语</t>
  </si>
  <si>
    <t>陶志鹏</t>
  </si>
  <si>
    <t>KQCY0205</t>
  </si>
  <si>
    <t>炸鸡汉堡</t>
  </si>
  <si>
    <t>隗伟</t>
  </si>
  <si>
    <t>KQCY0206</t>
  </si>
  <si>
    <t>九阳豆浆</t>
  </si>
  <si>
    <t>李宝友</t>
  </si>
  <si>
    <t>KQCY0207</t>
  </si>
  <si>
    <t>仲伟兴</t>
  </si>
  <si>
    <t>KQCY0208</t>
  </si>
  <si>
    <t>特色餐厅</t>
  </si>
  <si>
    <t>王友峰</t>
  </si>
  <si>
    <t>CF641</t>
  </si>
  <si>
    <t>中山大学北学二食堂</t>
  </si>
  <si>
    <t>KQCY0209</t>
  </si>
  <si>
    <t>早点（大众餐、粉面）</t>
  </si>
  <si>
    <t>蒲久龙</t>
  </si>
  <si>
    <t>1、甲方管理费：项目反馈不收取，包含在服务费中；</t>
  </si>
  <si>
    <t>1、签订期间：2026.2-2027.2；
2、指标按照全年换算；</t>
  </si>
  <si>
    <t>1、会议纪要中卫生费、能源费公摊；
问题：未确定公摊依据，待明确；</t>
  </si>
  <si>
    <t>KQCY0210</t>
  </si>
  <si>
    <t>喜多多扒饭</t>
  </si>
  <si>
    <t>郝晓敏</t>
  </si>
  <si>
    <t>KQCY0211</t>
  </si>
  <si>
    <t>香锅（麻辣烫）</t>
  </si>
  <si>
    <t>魏国义</t>
  </si>
  <si>
    <t>KQCY0212</t>
  </si>
  <si>
    <t>面条（螺蛳粉）</t>
  </si>
  <si>
    <t>张玉雷</t>
  </si>
  <si>
    <t>KQCY0213</t>
  </si>
  <si>
    <t>牛肉饭（烤肉拌饭）</t>
  </si>
  <si>
    <t>张磊</t>
  </si>
  <si>
    <t>1、签订期间：2026.2-2026.7；
2、指标按照全年换算；</t>
  </si>
  <si>
    <t>CF640</t>
  </si>
  <si>
    <t>广东财大雅食园食堂</t>
  </si>
  <si>
    <t>KQCY0214</t>
  </si>
  <si>
    <t>早点(大众餐)</t>
  </si>
  <si>
    <t>黄国青</t>
  </si>
  <si>
    <t>1、服务费：1、3-7；9-12月收取服务费，每月10000；
2、装修折旧费：项目反馈不收取，包含在服务费中；
3、管理人员费：项目反馈不收取，包含在服务费中；
4、资产费：项目反馈不收取，包含在服务费中；
5、甲方服务费：项目反馈不收取，包含在服务费中；</t>
  </si>
  <si>
    <t>1、签订期间：2026.2-2026.7；
2、指标按照全年换算；
3、管理费10000元/月</t>
  </si>
  <si>
    <t>1、会议纪要中管理费按10000元/月收取；
问题：是否是每个自然月均收取，待明确；</t>
  </si>
  <si>
    <t>CF781</t>
  </si>
  <si>
    <t>苏食院第一学生食堂</t>
  </si>
  <si>
    <t>KQCY0215</t>
  </si>
  <si>
    <t>兰州拉面</t>
  </si>
  <si>
    <t>马金明</t>
  </si>
  <si>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</si>
  <si>
    <t>已撤场（2026年3月）；</t>
  </si>
  <si>
    <t>1、条款：技术合作方所有人员与公司签订劳动合同，签订劳动合同的技术合作方负责人必须参加公司社保，否则不予录用；
问题：非所有分组作业人员都入职到公司，非所有负责人缴纳社保；
2、会议纪要中未填写目标营业额；
问题：待明确或约定；</t>
  </si>
  <si>
    <t>KQCY0216</t>
  </si>
  <si>
    <t>米线</t>
  </si>
  <si>
    <t>许慧强</t>
  </si>
  <si>
    <t>1、签订期间：2026.2-8月；
2、指标按照全年换算；</t>
  </si>
  <si>
    <t>KQCY0217</t>
  </si>
  <si>
    <t>KQCY0218</t>
  </si>
  <si>
    <t>吴荣花</t>
  </si>
  <si>
    <t>KQCY0219</t>
  </si>
  <si>
    <t>KQCY0220</t>
  </si>
  <si>
    <t>牛肉粉丝汤</t>
  </si>
  <si>
    <t>张宗芳</t>
  </si>
  <si>
    <t>KQCY0221</t>
  </si>
  <si>
    <t>汤包蒸饺</t>
  </si>
  <si>
    <t>嵇炜</t>
  </si>
  <si>
    <t>KQCY0222</t>
  </si>
  <si>
    <t>套餐饭</t>
  </si>
  <si>
    <t>白亚雪</t>
  </si>
  <si>
    <t>KQCY0223</t>
  </si>
  <si>
    <t>拉面</t>
  </si>
  <si>
    <t>李小东</t>
  </si>
  <si>
    <t>KQCY0224</t>
  </si>
  <si>
    <t>水吧</t>
  </si>
  <si>
    <t>王树松</t>
  </si>
  <si>
    <t>KQCY0225</t>
  </si>
  <si>
    <t>面包</t>
  </si>
  <si>
    <t>汪雨凤</t>
  </si>
  <si>
    <t>KQCY0226</t>
  </si>
  <si>
    <t>蹦蹦鸡</t>
  </si>
  <si>
    <t>朱海涛</t>
  </si>
  <si>
    <t>KQCY0227</t>
  </si>
  <si>
    <t>刘淑平</t>
  </si>
  <si>
    <t>KQCY0228</t>
  </si>
  <si>
    <t>0900汉堡</t>
  </si>
  <si>
    <t>张文浩</t>
  </si>
  <si>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</si>
  <si>
    <t>1、签订期间：2026.2-8月；
2、指标按照全年换算；
3、管理费3.2万/半年</t>
  </si>
  <si>
    <t>KQCY0229</t>
  </si>
  <si>
    <t>煎饼果子</t>
  </si>
  <si>
    <t>朱小林</t>
  </si>
  <si>
    <t>1、签订期间：2026.2-8月；
2、指标按照全年换算；
3、管理费4.5万/半年</t>
  </si>
  <si>
    <t>CF320</t>
  </si>
  <si>
    <t>江苏财经梅园食堂</t>
  </si>
  <si>
    <t>KQCY0230</t>
  </si>
  <si>
    <t>喜翻拌</t>
  </si>
  <si>
    <t>赵建芳</t>
  </si>
  <si>
    <t>1、签订期间：2026.2-7月；
2、指标按照全年换算；</t>
  </si>
  <si>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</si>
  <si>
    <t>KQCY0231</t>
  </si>
  <si>
    <t>石锅菜</t>
  </si>
  <si>
    <t>马成霞</t>
  </si>
  <si>
    <t>KQCY0232</t>
  </si>
  <si>
    <t>盖码面/饭</t>
  </si>
  <si>
    <t>辛保帆</t>
  </si>
  <si>
    <t>29%/28%</t>
  </si>
  <si>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</si>
  <si>
    <t>1、签订期间：2026.3-7月；
2、指标按照全年换算；
3、管理费6万以上28%，以下29%；</t>
  </si>
  <si>
    <t>KQCY0233</t>
  </si>
  <si>
    <t>黄信生</t>
  </si>
  <si>
    <t>KQCY0234</t>
  </si>
  <si>
    <t>KQCY0235</t>
  </si>
  <si>
    <t>双拼饭</t>
  </si>
  <si>
    <t>相加生</t>
  </si>
  <si>
    <t>KQCY0236</t>
  </si>
  <si>
    <t>王森</t>
  </si>
  <si>
    <t>KQCY0237</t>
  </si>
  <si>
    <t>胡跃跃</t>
  </si>
  <si>
    <t>KQCY0238</t>
  </si>
  <si>
    <t>五谷渔粉</t>
  </si>
  <si>
    <t>赵青青</t>
  </si>
  <si>
    <t>KQCY0239</t>
  </si>
  <si>
    <t>吉祥馄饨</t>
  </si>
  <si>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t>
  </si>
  <si>
    <t>KQCY0240</t>
  </si>
  <si>
    <t>煎饼</t>
  </si>
  <si>
    <t>相丽</t>
  </si>
  <si>
    <t>KQCY0241</t>
  </si>
  <si>
    <t>香锅</t>
  </si>
  <si>
    <t>王凯</t>
  </si>
  <si>
    <t>KQCY0242</t>
  </si>
  <si>
    <t>柚见鲜茶</t>
  </si>
  <si>
    <t>王春梅</t>
  </si>
  <si>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</si>
  <si>
    <t>1、签订期间：2025.9-2026.7月；
2、指标按照全年换算；
3、管理费9万/年，8个月扣除，每月11250；</t>
  </si>
  <si>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60%营业额，月度结算时若未达到所报比例，按以上比例结算。
问题：目前未按约定执行，待明确；</t>
  </si>
  <si>
    <t>KQCY0243</t>
  </si>
  <si>
    <t>酷堡王</t>
  </si>
  <si>
    <t>籍明明</t>
  </si>
  <si>
    <t>1、卫生费：项目反馈不收取，包含在服务费中；
2、其他:项目反馈不收取，包含在服务费中；</t>
  </si>
  <si>
    <t>1、签订期间：2025.9-2026.7月；
2、指标按照全年换算；</t>
  </si>
  <si>
    <t>KQCY0244</t>
  </si>
  <si>
    <t>水果</t>
  </si>
  <si>
    <t>陈龙</t>
  </si>
  <si>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</si>
  <si>
    <t>1、签订期间：2026.3-7月；
2、指标按照全年换算；
3、管理费4万/半年，分四个月收取，每月10000；</t>
  </si>
  <si>
    <t>KQCY0245</t>
  </si>
  <si>
    <t>一鸣鲜奶</t>
  </si>
  <si>
    <t>吴斯忠</t>
  </si>
  <si>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</si>
  <si>
    <t>1、签订期间：2026.3-7月；
2、指标按照全年换算；
3、管理费6万一年，按8个月收取，每月7500；</t>
  </si>
  <si>
    <t>KQCY0246</t>
  </si>
  <si>
    <t>库迪咖啡</t>
  </si>
  <si>
    <t>张凌子</t>
  </si>
  <si>
    <t>1、签订期间：2026.3-7月；
2、指标按照全年换算；
3、管理费7万一年，按8个月收取，每月8750；</t>
  </si>
  <si>
    <t>KQCY0247</t>
  </si>
  <si>
    <t>餐饮五分部</t>
  </si>
  <si>
    <t>CF694</t>
  </si>
  <si>
    <t>兰理工彭家坪北村食堂</t>
  </si>
  <si>
    <t>KQCY0248</t>
  </si>
  <si>
    <t>穆小芳</t>
  </si>
  <si>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</si>
  <si>
    <t>1、签订期间：2026.3.1-2026.7.20；
2、指标按照全年换算；</t>
  </si>
  <si>
    <t>KQCY0249</t>
  </si>
  <si>
    <t>牛肉面</t>
  </si>
  <si>
    <t>石磊</t>
  </si>
  <si>
    <t>KQCY0250</t>
  </si>
  <si>
    <t>韩式煎饼</t>
  </si>
  <si>
    <t>赵平花</t>
  </si>
  <si>
    <t>KQCY0251</t>
  </si>
  <si>
    <t>米粉</t>
  </si>
  <si>
    <t>尚伟云</t>
  </si>
  <si>
    <t>KQCY0252</t>
  </si>
  <si>
    <t>肉肉堡</t>
  </si>
  <si>
    <t>任洪彦</t>
  </si>
  <si>
    <t>KQCY0253</t>
  </si>
  <si>
    <t>肉酱面</t>
  </si>
  <si>
    <t>杨小含</t>
  </si>
  <si>
    <t>KQCY0254</t>
  </si>
  <si>
    <t>脆皮鸡</t>
  </si>
  <si>
    <t>汤瑞珍</t>
  </si>
  <si>
    <t>KQCY0255</t>
  </si>
  <si>
    <t>小笼包（渔粉）</t>
  </si>
  <si>
    <t>庞大江</t>
  </si>
  <si>
    <t>KQCY0256</t>
  </si>
  <si>
    <t>陶红喜</t>
  </si>
  <si>
    <t>KQCY0257</t>
  </si>
  <si>
    <t>湘式小炒</t>
  </si>
  <si>
    <t>李雪婷</t>
  </si>
  <si>
    <t>KQCY0258</t>
  </si>
  <si>
    <t>高维秦</t>
  </si>
  <si>
    <t>KQCY0259</t>
  </si>
  <si>
    <t>杨方红</t>
  </si>
  <si>
    <t>KQCY0260</t>
  </si>
  <si>
    <t>陈发全</t>
  </si>
  <si>
    <t>KQCY0261</t>
  </si>
  <si>
    <t>KQCY0262</t>
  </si>
  <si>
    <t>小火锅</t>
  </si>
  <si>
    <t>韩玉红</t>
  </si>
  <si>
    <t>KQCY0263</t>
  </si>
  <si>
    <t>CF696</t>
  </si>
  <si>
    <t>甘肃省气象局</t>
  </si>
  <si>
    <t>KQCY0264</t>
  </si>
  <si>
    <t>CF620</t>
  </si>
  <si>
    <t>山西大学B6食堂三层</t>
  </si>
  <si>
    <t>冒菜</t>
  </si>
  <si>
    <t>陈祥</t>
  </si>
  <si>
    <t>KQCY0265</t>
  </si>
  <si>
    <t>烤盘菜</t>
  </si>
  <si>
    <t>KQCY0266</t>
  </si>
  <si>
    <t>大盘鸡</t>
  </si>
  <si>
    <t>KQCY0267</t>
  </si>
  <si>
    <t>小碗菜</t>
  </si>
  <si>
    <t>KQCY0268</t>
  </si>
  <si>
    <t>辣椒炒肉汉堡</t>
  </si>
  <si>
    <t>胡星丽</t>
  </si>
  <si>
    <t xml:space="preserve">
40%</t>
  </si>
  <si>
    <t xml:space="preserve">
1、签订期间：2026.2.1-2026.7.15；
2、指标按照全年换算；</t>
  </si>
  <si>
    <t>KQCY0269</t>
  </si>
  <si>
    <t>穆瑞霞</t>
  </si>
  <si>
    <t>KQCY0270</t>
  </si>
  <si>
    <t>方圆便利</t>
  </si>
  <si>
    <t>张志洁</t>
  </si>
  <si>
    <t>KQCY0271</t>
  </si>
  <si>
    <t>私抹制茶</t>
  </si>
  <si>
    <t>韩美珍</t>
  </si>
  <si>
    <t>KQCY0272</t>
  </si>
  <si>
    <t>CF697</t>
  </si>
  <si>
    <t>兰交大百苑二楼食堂</t>
  </si>
  <si>
    <t>KQCY0273</t>
  </si>
  <si>
    <t>胡小娟</t>
  </si>
  <si>
    <t>1、签订期间：2026.2.1-2026.7.31；
2、指标按照全年换算；</t>
  </si>
  <si>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</si>
  <si>
    <t>KQCY0274</t>
  </si>
  <si>
    <t>热卤饭</t>
  </si>
  <si>
    <t>郭建琴</t>
  </si>
  <si>
    <t>KQCY0275</t>
  </si>
  <si>
    <t>铁锅炖</t>
  </si>
  <si>
    <t>白小霞</t>
  </si>
  <si>
    <t>KQCY0276</t>
  </si>
  <si>
    <t>绝世皇鸭</t>
  </si>
  <si>
    <t>魏路虎</t>
  </si>
  <si>
    <t>KQCY0277</t>
  </si>
  <si>
    <t>孟庆玲</t>
  </si>
  <si>
    <t>KQCY0278</t>
  </si>
  <si>
    <t>姚春</t>
  </si>
  <si>
    <t>KQCY0279</t>
  </si>
  <si>
    <t>脆皮鸡米饭</t>
  </si>
  <si>
    <t>王燕</t>
  </si>
  <si>
    <t>KQCY0280</t>
  </si>
  <si>
    <t>裴晓文</t>
  </si>
  <si>
    <t>KQCY0281</t>
  </si>
  <si>
    <t>闫焕平</t>
  </si>
  <si>
    <t>KQCY0282</t>
  </si>
  <si>
    <t>李雄飞</t>
  </si>
  <si>
    <t>KQCY0283</t>
  </si>
  <si>
    <t>安平</t>
  </si>
  <si>
    <t>KQCY0284</t>
  </si>
  <si>
    <t>张文权</t>
  </si>
  <si>
    <t>KQCY0285</t>
  </si>
  <si>
    <t>宋曼烤串</t>
  </si>
  <si>
    <t>于金梅</t>
  </si>
  <si>
    <t>KQCY0286</t>
  </si>
  <si>
    <t>陈发权</t>
  </si>
  <si>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t>
  </si>
  <si>
    <t>KQCY0287</t>
  </si>
  <si>
    <t>CF698</t>
  </si>
  <si>
    <t>兰理工兰工坪校区一食堂</t>
  </si>
  <si>
    <t>KQCY0288</t>
  </si>
  <si>
    <t>早餐（包子、粥、馅饼、饺子）</t>
  </si>
  <si>
    <t>杨文宏</t>
  </si>
  <si>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</si>
  <si>
    <t>KQCY0289</t>
  </si>
  <si>
    <t>快餐（盖浇饭、锅仔）</t>
  </si>
  <si>
    <t>宋玉琴</t>
  </si>
  <si>
    <t>KQCY0290</t>
  </si>
  <si>
    <t>尚伟伟</t>
  </si>
  <si>
    <t>KQCY0291</t>
  </si>
  <si>
    <t>何启发</t>
  </si>
  <si>
    <t>KQCY0292</t>
  </si>
  <si>
    <t>香肉拌饭</t>
  </si>
  <si>
    <t>尚晓强</t>
  </si>
  <si>
    <t>KQCY0293</t>
  </si>
  <si>
    <t>面夫子包子（煎饺）</t>
  </si>
  <si>
    <t>景波波</t>
  </si>
  <si>
    <t>KQCY0294</t>
  </si>
  <si>
    <t>面小福菜拌面</t>
  </si>
  <si>
    <t>蔡晓娟</t>
  </si>
  <si>
    <t>KQCY0295</t>
  </si>
  <si>
    <t>饶城湘辣椒炒肉</t>
  </si>
  <si>
    <t>KQCY0296</t>
  </si>
  <si>
    <t>一纸鸡牛肉饭</t>
  </si>
  <si>
    <t>KQCY0297</t>
  </si>
  <si>
    <t>波乐宝炸鸡汉堡</t>
  </si>
  <si>
    <t>周小鹏</t>
  </si>
  <si>
    <t>1、服务费：12万/年
2、项目确认不收卫生费</t>
  </si>
  <si>
    <t>KQCY0298</t>
  </si>
  <si>
    <t>冒菜（小火锅）</t>
  </si>
  <si>
    <t>马娟娟</t>
  </si>
  <si>
    <t>KQCY0299</t>
  </si>
  <si>
    <t>牛肉面（炒面）</t>
  </si>
  <si>
    <t>KQCY0300</t>
  </si>
  <si>
    <t>李超</t>
  </si>
  <si>
    <t>KQCY0301</t>
  </si>
  <si>
    <t>1、服务费：20万/年
2、项目确认不收卫生费和原材料</t>
  </si>
  <si>
    <t>1、签订期间：2025.8.1-2026.7.30；
2、指标按照会议纪要全年列示金额；</t>
  </si>
  <si>
    <t>KQCY0302</t>
  </si>
  <si>
    <t>CF102</t>
  </si>
  <si>
    <t>苏大东区四食堂</t>
  </si>
  <si>
    <t>1、原材料：根据与甲方合同约定执行；</t>
  </si>
  <si>
    <t>KQCY0303</t>
  </si>
  <si>
    <t>苏秦味馆</t>
  </si>
  <si>
    <t>胡朝阳</t>
  </si>
  <si>
    <t xml:space="preserve">
1、管理人员费：项目反馈不收取，包含在服务费中；
</t>
  </si>
  <si>
    <t>1、签订期间：2026.2.26-2026.8.25；
2、指标按照全年换算；</t>
  </si>
  <si>
    <t>KQCY0304</t>
  </si>
  <si>
    <t>祁从忙</t>
  </si>
  <si>
    <t>KQCY0305</t>
  </si>
  <si>
    <t>奉天朱家小馆</t>
  </si>
  <si>
    <t>闫闪闪</t>
  </si>
  <si>
    <t>KQCY0306</t>
  </si>
  <si>
    <t>李左奚香港肥汁米线</t>
  </si>
  <si>
    <t>杨伟明</t>
  </si>
  <si>
    <t>KQCY0307</t>
  </si>
  <si>
    <t>好粥道(卤味套餐饭)</t>
  </si>
  <si>
    <t>朱德国</t>
  </si>
  <si>
    <t>KQCY0308</t>
  </si>
  <si>
    <t>炒饭.炖罐</t>
  </si>
  <si>
    <t>朱少谦</t>
  </si>
  <si>
    <t>KQCY0309</t>
  </si>
  <si>
    <t>七里糖</t>
  </si>
  <si>
    <t>任浩龙</t>
  </si>
  <si>
    <t>1、条款：技术合作方严格按照所报备的原料比例执行，具体如下:30%营业额，月度结算时若未达到所报比例，按以上比例结算。
问题：目前未按约定执行；</t>
  </si>
  <si>
    <t>KQCY0310</t>
  </si>
  <si>
    <t>港式云吞</t>
  </si>
  <si>
    <t>杨华建</t>
  </si>
  <si>
    <t>KQCY0311</t>
  </si>
  <si>
    <t>烤肉拌饭</t>
  </si>
  <si>
    <t>李红利</t>
  </si>
  <si>
    <t>KQCY0312</t>
  </si>
  <si>
    <t>CF108</t>
  </si>
  <si>
    <t>苏大北区六食堂</t>
  </si>
  <si>
    <t>KQCY0313</t>
  </si>
  <si>
    <t>刘立强</t>
  </si>
  <si>
    <t xml:space="preserve">1、服务费：包含甲方人员工资、甲方捐赠，不单独分摊
</t>
  </si>
  <si>
    <t>1、签订期间：2026.1.26-2026.7.25；
2、指标按照全年换算；</t>
  </si>
  <si>
    <t>KQCY0314</t>
  </si>
  <si>
    <t>吕金春</t>
  </si>
  <si>
    <t>KQCY0315</t>
  </si>
  <si>
    <t>许可</t>
  </si>
  <si>
    <t>KQCY0316</t>
  </si>
  <si>
    <t>千里香</t>
  </si>
  <si>
    <t>KQCY0317</t>
  </si>
  <si>
    <t>拌面</t>
  </si>
  <si>
    <t>龚文涛</t>
  </si>
  <si>
    <t>KQCY0318</t>
  </si>
  <si>
    <t>李秀德</t>
  </si>
  <si>
    <t>KQCY0319</t>
  </si>
  <si>
    <t>吴梦醒</t>
  </si>
  <si>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</si>
  <si>
    <t>KQCY0320</t>
  </si>
  <si>
    <t>CF101</t>
  </si>
  <si>
    <t>苏大本部方塔食堂</t>
  </si>
  <si>
    <t>蒋德生</t>
  </si>
  <si>
    <t>KQCY0321</t>
  </si>
  <si>
    <t>CF107</t>
  </si>
  <si>
    <t>苏大东区教工食堂</t>
  </si>
  <si>
    <t>KQCY0322</t>
  </si>
  <si>
    <t>CF120</t>
  </si>
  <si>
    <t>苏大独墅湖一食堂</t>
  </si>
  <si>
    <t>杨登钟</t>
  </si>
  <si>
    <t>KQCY0323</t>
  </si>
  <si>
    <t>周文影</t>
  </si>
  <si>
    <t>KQCY0324</t>
  </si>
  <si>
    <t>板煮</t>
  </si>
  <si>
    <t>郁亚勇</t>
  </si>
  <si>
    <t>KQCY0325</t>
  </si>
  <si>
    <t>CF121</t>
  </si>
  <si>
    <t>苏大独墅湖六食堂</t>
  </si>
  <si>
    <t>1、原材料：根据与甲方合同约定执行；
2、分部管理费：不含青海拉面营业额；
3、业务费：不含青海拉面营业额；</t>
  </si>
  <si>
    <t>KQCY0326</t>
  </si>
  <si>
    <t>青海拉面</t>
  </si>
  <si>
    <t>韩应努四</t>
  </si>
  <si>
    <t>KQCY0327</t>
  </si>
  <si>
    <t>苏大独墅湖二食堂</t>
  </si>
  <si>
    <t>徐小林</t>
  </si>
  <si>
    <t>KQCY0328</t>
  </si>
  <si>
    <t>手工水饺(山东煎饼)</t>
  </si>
  <si>
    <t>李俊</t>
  </si>
  <si>
    <t>KQCY0329</t>
  </si>
  <si>
    <t>孙建平</t>
  </si>
  <si>
    <t>KQCY0330</t>
  </si>
  <si>
    <t>梁宇</t>
  </si>
  <si>
    <t>CF134</t>
  </si>
  <si>
    <t>苏大独墅湖五食堂</t>
  </si>
  <si>
    <t>KQCY0331</t>
  </si>
  <si>
    <t>1、虫害消杀：项目反馈不收取，包含在服务费中；
2、装修折旧费：项目反馈不收取，包含在服务费中；
3、甲方人员工资：项目反馈不收取，包含在服务费中；
4、甲方捐赠：项目反馈不收取，包含在服务费中；</t>
  </si>
  <si>
    <t>1、签订期间：2026.1-7月；
2、指标按照全年换算；</t>
  </si>
  <si>
    <t>1、条款：技术合作方严格按照所报备的原料比例执行，具体如下:52%营业额，月度结算时若未达到所报比例，按以上比例结算。
问题：目前未按约定执行，待明确；
2、会议纪要中的卫生费：分摊保洁工资；
问题：分摊方式待明确；</t>
  </si>
  <si>
    <t>KQCY0332</t>
  </si>
  <si>
    <t>胡振强</t>
  </si>
  <si>
    <t>KQCY0333</t>
  </si>
  <si>
    <t xml:space="preserve">旋转小火锅 </t>
  </si>
  <si>
    <t>段姗姗</t>
  </si>
  <si>
    <t>KQCY0334</t>
  </si>
  <si>
    <t>北京烤鸭</t>
  </si>
  <si>
    <t>韩少卫</t>
  </si>
  <si>
    <t>KQCY0335</t>
  </si>
  <si>
    <t>山东炒鸡</t>
  </si>
  <si>
    <t>马明华</t>
  </si>
  <si>
    <t>KQCY0336</t>
  </si>
  <si>
    <t>拌饭(套餐饭)</t>
  </si>
  <si>
    <t>刘兆安</t>
  </si>
  <si>
    <t>KQCY0337</t>
  </si>
  <si>
    <t>李美蓉</t>
  </si>
  <si>
    <t>KQCY0338</t>
  </si>
  <si>
    <t>王光芬</t>
  </si>
  <si>
    <t>KQCY0339</t>
  </si>
  <si>
    <t>刀削面</t>
  </si>
  <si>
    <t>刘红东</t>
  </si>
  <si>
    <t>KQCY0340</t>
  </si>
  <si>
    <t>奶茶、炸鸡</t>
  </si>
  <si>
    <t>张斌</t>
  </si>
  <si>
    <t>KQCY0341</t>
  </si>
  <si>
    <t>餐饮六分部</t>
  </si>
  <si>
    <t>CF293</t>
  </si>
  <si>
    <t>江苏二师石湫校区食堂</t>
  </si>
  <si>
    <t>KQCY0342</t>
  </si>
  <si>
    <t>水饺面条</t>
  </si>
  <si>
    <t>申亮</t>
  </si>
  <si>
    <t>1、装修折旧费：项目反馈不收取，包含在服务费中；
2、甲方管理费：项目反馈不收取，包含在服务费中；
3、甲方人员工资：项目反馈不收取，包含在服务费中；
4、甲方捐赠：项目反馈不收取，包含在服务费中；</t>
  </si>
  <si>
    <t>1、签订期间：2026.3-2027.2月；
2、指标按照全年换算；</t>
  </si>
  <si>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20%营业额，月度结算时若未达到所报比例，按以上比例结算。
问题：目前未按约定执行，待明确；</t>
  </si>
  <si>
    <t>KQCY0343</t>
  </si>
  <si>
    <t>湘西小炒</t>
  </si>
  <si>
    <t>KQCY0344</t>
  </si>
  <si>
    <t>1、装修折旧费：项目反馈不收取，包含在服务费中；
2、甲方管理费：项目反馈不收取，包含在服务费中；
3、甲方人员工资：甲方人员工资：7500/月，寒暑假/；
4、甲方捐赠：项目反馈不收取，包含在服务费中；</t>
  </si>
  <si>
    <t>KQCY0345</t>
  </si>
  <si>
    <t>营养粥(肠粉)</t>
  </si>
  <si>
    <t>1、签订期间：2025.8-2026.8月；
2、指标按照全年换算；</t>
  </si>
  <si>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</si>
  <si>
    <t>KQCY0346</t>
  </si>
  <si>
    <t>汪芳</t>
  </si>
  <si>
    <t>KQCY0347</t>
  </si>
  <si>
    <t>麻辣烫(麻辣拌)</t>
  </si>
  <si>
    <t>KQCY0348</t>
  </si>
  <si>
    <t>炸鸡(汉堡)</t>
  </si>
  <si>
    <t>熊跳</t>
  </si>
  <si>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</si>
  <si>
    <t>KQCY0349</t>
  </si>
  <si>
    <t>七分甜</t>
  </si>
  <si>
    <t>KQCY0350</t>
  </si>
  <si>
    <t>土豆泥拌饭</t>
  </si>
  <si>
    <t>端和伟</t>
  </si>
  <si>
    <t>1、签订期间：2026.4-2027.4月；
2、指标按照全年换算；</t>
  </si>
  <si>
    <t>CF480</t>
  </si>
  <si>
    <t>江苏旅游学生食堂二楼</t>
  </si>
  <si>
    <t>KQCY0351</t>
  </si>
  <si>
    <t>全福记热卤拌饭(牛肉汤)</t>
  </si>
  <si>
    <t>张文泉</t>
  </si>
  <si>
    <t>1、虫害消杀：项目反馈不收取，包含在服务费中；
2、装修折旧费：项目反馈不收取，包含在服务费中；
3、卫生费：项目反馈不收取，包含在服务费中；
4、能源费：项目反馈不收取，包含在服务费中；</t>
  </si>
  <si>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</si>
  <si>
    <t>KQCY0352</t>
  </si>
  <si>
    <t>盖浇饭(套餐饭)</t>
  </si>
  <si>
    <t>刘宝峰</t>
  </si>
  <si>
    <t>KQCY0353</t>
  </si>
  <si>
    <t>煎饼(鸡蛋灌饼)</t>
  </si>
  <si>
    <t>李中怀</t>
  </si>
  <si>
    <t>KQCY0354</t>
  </si>
  <si>
    <t>柒公主焖饭</t>
  </si>
  <si>
    <t>张月红</t>
  </si>
  <si>
    <t>KQCY0355</t>
  </si>
  <si>
    <t>掉渣饼</t>
  </si>
  <si>
    <t>郭保君</t>
  </si>
  <si>
    <t>KQCY0356</t>
  </si>
  <si>
    <t>擂椒拌饭(烤鸭饭)</t>
  </si>
  <si>
    <t>崔建美</t>
  </si>
  <si>
    <t>KQCY0357</t>
  </si>
  <si>
    <t>老成都面(猪脚饭)</t>
  </si>
  <si>
    <t>顾卫君</t>
  </si>
  <si>
    <t>KQCY0358</t>
  </si>
  <si>
    <t>熊朝秀</t>
  </si>
  <si>
    <t>KQCY0359</t>
  </si>
  <si>
    <t>炸鸡</t>
  </si>
  <si>
    <t>单良</t>
  </si>
  <si>
    <t>KQCY0360</t>
  </si>
  <si>
    <t>快餐自选</t>
  </si>
  <si>
    <t>王明辉</t>
  </si>
  <si>
    <t>KQCY0361</t>
  </si>
  <si>
    <t>CF341</t>
  </si>
  <si>
    <t>扬大荷花池校区二楼食堂</t>
  </si>
  <si>
    <t>KQCY0362</t>
  </si>
  <si>
    <t>麻辣烫(麻辣拌、麻酱拌、小碗菜、盖浇饭、猪脚饭)</t>
  </si>
  <si>
    <t>于士位</t>
  </si>
  <si>
    <t>1、卫生费：项目反馈不收取，包含在服务费中；</t>
  </si>
  <si>
    <t xml:space="preserve">1、签订期间：2026.3-7月；
2、指标按照全年换算；
</t>
  </si>
  <si>
    <t>1、会议纪要中未填写分组作业需收取的费用内容；
问题：待明确；</t>
  </si>
  <si>
    <t>KQCY0363</t>
  </si>
  <si>
    <t>吴异</t>
  </si>
  <si>
    <t>KQCY0364</t>
  </si>
  <si>
    <t>酸菜鱼(砂锅)</t>
  </si>
  <si>
    <t>邱康兴</t>
  </si>
  <si>
    <t>KQCY0365</t>
  </si>
  <si>
    <t>董伟</t>
  </si>
  <si>
    <t>KQCY0366</t>
  </si>
  <si>
    <t>水饺(馄饨)</t>
  </si>
  <si>
    <t>周凯</t>
  </si>
  <si>
    <t>KQCY0367</t>
  </si>
  <si>
    <t>川湘菜</t>
  </si>
  <si>
    <t>刘诚诚</t>
  </si>
  <si>
    <t>KQCY0368</t>
  </si>
  <si>
    <t>曹清红</t>
  </si>
  <si>
    <t>KQCY0369</t>
  </si>
  <si>
    <t>黄焖鸡(黑鸭煲、拌面拌粉)</t>
  </si>
  <si>
    <t>刘发治</t>
  </si>
  <si>
    <t>KQCY0370</t>
  </si>
  <si>
    <t>CF213</t>
  </si>
  <si>
    <t>苏州大脑营行餐厅</t>
  </si>
  <si>
    <t>KQCY0371</t>
  </si>
  <si>
    <t>湘菜</t>
  </si>
  <si>
    <t>李勇</t>
  </si>
  <si>
    <t>1、采购费：收取2%，分组作业未分摊，服务费已包含；
2、甲方管理费：收取5%，分组作业未分摊，服务费已包含</t>
  </si>
  <si>
    <t xml:space="preserve">
1、签订期间：2026.1.1-2026.12.31；</t>
  </si>
  <si>
    <t>1、条款：技术合作方所有人员与公司签订劳动合同，签订劳动合同的技术合作方负责人必须参加公司社保，否则不予录用；
问题：非所有分组作业人员都入职到公司，非所有负责人缴纳社保；
2、会议纪要中未约定收取垃圾清运费500元，实际收取；
建议：会议纪要中明确是否收取；</t>
  </si>
  <si>
    <t>KQCY0372</t>
  </si>
  <si>
    <t>猪脚饭（酸菜鱼、米线、鸭血粉丝）</t>
  </si>
  <si>
    <t>黄永利</t>
  </si>
  <si>
    <t>1、采购费：收取2%，分组作业未分摊，服务费已包含；
2、甲方管理费：收取5%，分组作业未分摊，服务费已包含；</t>
  </si>
  <si>
    <t>KQCY0373</t>
  </si>
  <si>
    <t>CF275</t>
  </si>
  <si>
    <t>南大苏州校区西区二食堂</t>
  </si>
  <si>
    <t>KQCY0374</t>
  </si>
  <si>
    <t>自选</t>
  </si>
  <si>
    <t>刘岩艳</t>
  </si>
  <si>
    <t xml:space="preserve">1、采购费：按采购额比例5%收取，分组作业应分摊未分摊，已补分摊，采购费比例应做相应调整；                             2、服务费，分组作业应分摊未分摊，已补分摊，服务费比例应做相应调整；            </t>
  </si>
  <si>
    <t xml:space="preserve">
1、签订期间：2026.1.1-2026.7.31；
2、指标按照全年换算；</t>
  </si>
  <si>
    <t>1、条款：班组严格按照所报备的原料比例执行，具体如下:10%营业额，月度结算时若未达到所报比例，按以上比例结算。
问题：目前未按约定执行，待明确；</t>
  </si>
  <si>
    <t>KQCY0375</t>
  </si>
  <si>
    <t>特色</t>
  </si>
  <si>
    <t>朱传兴</t>
  </si>
  <si>
    <t>1、采购费：按采购额比例5%收取，分组作业应分摊未分摊，已补分摊，采购费比例应做相应调整；                             2、服务费，分组作业应分摊未分摊，已补分摊，服务费比例应做相应调整；</t>
  </si>
  <si>
    <t>KQCY0376</t>
  </si>
  <si>
    <t>李嵩</t>
  </si>
  <si>
    <t xml:space="preserve">1、条款：技术合作方所有人员与公司签订劳动合同，签订劳动合同的技术合作方负责人必须参加公司社保，否则不予录用；
问题：非所有分组作业人员都入职到公司，非所有负责人缴纳社保；
</t>
  </si>
  <si>
    <t>KQCY0377</t>
  </si>
  <si>
    <t>民族风味</t>
  </si>
  <si>
    <t>马奴海</t>
  </si>
  <si>
    <t>1、采购费：按采购额比例5%收取，分组作业应分摊未分摊，已补分摊，采购费比例应做相应调整；                             2、服务费，分组作业应分摊未分摊，已补分摊，服务费比例应做相应调整；            3、原材料：据实收取</t>
  </si>
  <si>
    <t>KQCY0378</t>
  </si>
  <si>
    <t>卤肉饭</t>
  </si>
  <si>
    <t>周文琳</t>
  </si>
  <si>
    <t>KQCY0379</t>
  </si>
  <si>
    <t>余红莹</t>
  </si>
  <si>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2、条款：班组严格按照所报备的原料比例执行，具体如下:10%营业额，月度结算时若未达到所报比例，按以上比例结算。
问题：目前未按约定执行，待明确；</t>
  </si>
  <si>
    <t>KQCY0380</t>
  </si>
  <si>
    <t>许铭鼎</t>
  </si>
  <si>
    <t>1、采购费：按采购额比例5%收取，分组作业应分摊未分摊，已补分摊，采购费比例应做相应调整；管理费：                     2、服务费，分组作业应分摊未分摊，已补分摊，服务费比例应做相应调整；</t>
  </si>
  <si>
    <t>KQCY0381</t>
  </si>
  <si>
    <t>吴海龙</t>
  </si>
  <si>
    <t>KQCY0382</t>
  </si>
  <si>
    <t>仲海洋</t>
  </si>
  <si>
    <t xml:space="preserve">1采购费：按采购额比例5%收取，分组作业应分摊未分摊，已补分摊，采购费比例应做相应调整；                             2服务费，分组作业应分摊未分摊，已补分摊，服务费比例应做相应调整；            </t>
  </si>
  <si>
    <t>KQCY0383</t>
  </si>
  <si>
    <t>张栗铭</t>
  </si>
  <si>
    <t>KQCY0384</t>
  </si>
  <si>
    <t>淮南牛肉汤</t>
  </si>
  <si>
    <t>钱年英</t>
  </si>
  <si>
    <t>KQCY0385</t>
  </si>
  <si>
    <t>面点</t>
  </si>
  <si>
    <t>陈天燕</t>
  </si>
  <si>
    <t>1、采购费：按采购额比例5%收取，分组作业应分摊未分摊，已补分摊，采购费比例应做相应调整；                             2、服务费，分组作业应分摊未分摊，已补分摊，服务费比例应做相应调整；                            3、装修折旧：80000元/年，分组作业未分摊，服务费已包含；</t>
  </si>
  <si>
    <t>KQCY0386</t>
  </si>
  <si>
    <t>CF212</t>
  </si>
  <si>
    <t>苏中附校苏州湾食堂</t>
  </si>
  <si>
    <t>KQCY0387</t>
  </si>
  <si>
    <t>CF273</t>
  </si>
  <si>
    <t>南大苏州校区科创大厦食堂</t>
  </si>
  <si>
    <t>KQCY0388</t>
  </si>
  <si>
    <t>CF191</t>
  </si>
  <si>
    <t>苏州旭辉彩园餐厅</t>
  </si>
  <si>
    <t>KQCY0389</t>
  </si>
  <si>
    <t>CF479</t>
  </si>
  <si>
    <t>江苏省交通技师学院第一食堂</t>
  </si>
  <si>
    <t>1、自营未实际经营</t>
  </si>
  <si>
    <t>KQCY0390</t>
  </si>
  <si>
    <t>八大碗</t>
  </si>
  <si>
    <t>丁秀梅</t>
  </si>
  <si>
    <t>1、共建活动费：校园美食节费用，未分摊共建活动费，服务费包含未拆分
2、装修折旧费：服务费包含未拆分
3、卫生费：服务费包含未拆分
4、能源费：服务费包含未拆分</t>
  </si>
  <si>
    <t>1、签订期间：2026.3.6-2026.7.30；
2、指标按照全年换算；</t>
  </si>
  <si>
    <t>1、条款：技术合作方严格按照所报备的原料比例执行，具体如下:25%营业额，月度结算时若未达到所报比例，按以上比例结算。
问题：原材料占比难以落实，项目据实结算</t>
  </si>
  <si>
    <t>KQCY0391</t>
  </si>
  <si>
    <t>牛肉汤</t>
  </si>
  <si>
    <t>范义龙</t>
  </si>
  <si>
    <t>1、条款：技术合作方严格按照所报备的原料比例执行，具体如下:20%营业额，月度结算时若未达到所报比例，按以上比例结算。
问题：原材料占比难以落实，项目据实结算</t>
  </si>
  <si>
    <t>KQCY0392</t>
  </si>
  <si>
    <t>查启清</t>
  </si>
  <si>
    <t>1、条款：技术合作方严格按照所报备的原料比例执行，具体如下:43%营业额，月度结算时若未达到所报比例，按以上比例结算。
问题：原材料占比难以落实，项目据实结算</t>
  </si>
  <si>
    <t>KQCY0393</t>
  </si>
  <si>
    <t>苏广前</t>
  </si>
  <si>
    <t>KQCY0394</t>
  </si>
  <si>
    <t>李炳志</t>
  </si>
  <si>
    <t>KQCY0395</t>
  </si>
  <si>
    <t>王金华</t>
  </si>
  <si>
    <t>KQCY0396</t>
  </si>
  <si>
    <t>油泼鸡</t>
  </si>
  <si>
    <t>陈永龙</t>
  </si>
  <si>
    <t>KQCY0397</t>
  </si>
  <si>
    <t>麦多馅饼</t>
  </si>
  <si>
    <t>董超</t>
  </si>
  <si>
    <t>KQCY0398</t>
  </si>
  <si>
    <t>炒饭炒面</t>
  </si>
  <si>
    <t>于继文</t>
  </si>
  <si>
    <t>KQCY0399</t>
  </si>
  <si>
    <t xml:space="preserve">于立鑫 </t>
  </si>
  <si>
    <t>1、签订期间：2026.3.6-2026.7.30；
2、指标按照全年换算；
3、已撤场（2026年3月）；</t>
  </si>
  <si>
    <t>KQCY0400</t>
  </si>
  <si>
    <t>刘立志</t>
  </si>
  <si>
    <t>KQCY0401</t>
  </si>
  <si>
    <t>武情</t>
  </si>
  <si>
    <t>KQCY0402</t>
  </si>
  <si>
    <t>鸭血粉丝</t>
  </si>
  <si>
    <t>巫杨银</t>
  </si>
  <si>
    <t>KQCY0403</t>
  </si>
  <si>
    <t>CF475</t>
  </si>
  <si>
    <t>国科大南京学院食堂</t>
  </si>
  <si>
    <t>KQCY0404</t>
  </si>
  <si>
    <t>茶香鸡、麻辣烫、水吧</t>
  </si>
  <si>
    <t>浦卫东</t>
  </si>
  <si>
    <t>1、能源费：能源费补贴30万，超补贴后按比例付
2、卫生费：按营业额公摊</t>
  </si>
  <si>
    <t>1、签订期间：2025.8.1-2026.8.31；
2、指标按照全年换算；</t>
  </si>
  <si>
    <t>1、会议纪要中未约定收取能源费，实际收取；
建议：会议纪要中明确是否收取；</t>
  </si>
  <si>
    <t>KQCY0405</t>
  </si>
  <si>
    <t>西北风味</t>
  </si>
  <si>
    <t>马山杏尼</t>
  </si>
  <si>
    <t>1、能源费：能源费补贴30万，超补贴后按比例付
2、卫生费：2026年2月之后不在收取</t>
  </si>
  <si>
    <t>1、会议纪要约定卫生费3000元/月，在实际经营过程中未按规定收取
建议：会议纪要中明确收费收取；</t>
  </si>
  <si>
    <t>求和项:人员工资</t>
  </si>
  <si>
    <t>求和项:服务费金额</t>
  </si>
  <si>
    <t>求和项:服务费项目填写当月实际金额</t>
  </si>
  <si>
    <t>求和项:服务费差异</t>
  </si>
  <si>
    <t>求和项:虫害消杀金额</t>
  </si>
  <si>
    <t>求和项:虫害消杀项目填写当月实际金额</t>
  </si>
  <si>
    <t>求和项:虫害消杀差异</t>
  </si>
  <si>
    <t>求和项:采购费金额</t>
  </si>
  <si>
    <t>求和项:采购费项目填写当月实际金额</t>
  </si>
  <si>
    <t>求和项:采购费差异</t>
  </si>
  <si>
    <t>求和项:装修折旧金额</t>
  </si>
  <si>
    <t>求和项:装修折旧项目填写当月实际金额</t>
  </si>
  <si>
    <t>求和项:装修折旧差异</t>
  </si>
  <si>
    <t>求和项:管理人员金额</t>
  </si>
  <si>
    <t>求和项:管理人员项目填写当月实际金额</t>
  </si>
  <si>
    <t>求和项:管理人员差异</t>
  </si>
  <si>
    <t>求和项:共建活动金额</t>
  </si>
  <si>
    <t>求和项:共建活动项目填写当月实际金额</t>
  </si>
  <si>
    <t>求和项:共建活动差异</t>
  </si>
  <si>
    <t>求和项:资产金额</t>
  </si>
  <si>
    <t>求和项:资产项目填写当月实际金额</t>
  </si>
  <si>
    <t>求和项:资产差异</t>
  </si>
  <si>
    <t>求和项:卫生费金额</t>
  </si>
  <si>
    <t>求和项:卫生费项目填写当月实际金额</t>
  </si>
  <si>
    <t>求和项:卫生费差异</t>
  </si>
  <si>
    <t>求和项:能源费金额</t>
  </si>
  <si>
    <t>求和项:能源费项目填写当月实际金额</t>
  </si>
  <si>
    <t>求和项:能源费差异</t>
  </si>
  <si>
    <t>求和项:其他金额</t>
  </si>
  <si>
    <t>求和项:其他项目填写当月实际金额米饭差价</t>
  </si>
  <si>
    <t>求和项:其他差异</t>
  </si>
  <si>
    <t>求和项:其他费用1金额</t>
  </si>
  <si>
    <t>求和项:其他费用1项目填写当月实际金额</t>
  </si>
  <si>
    <t>求和项:其他费用1差异</t>
  </si>
  <si>
    <t xml:space="preserve">求和项:其他费用2金额 </t>
  </si>
  <si>
    <t>求和项:其他费用2项目填写当月实际金额</t>
  </si>
  <si>
    <t>求和项:其他费用2差异</t>
  </si>
  <si>
    <t>求和项:原材料金额</t>
  </si>
  <si>
    <t>求和项:原材料项目填写当月实际金额</t>
  </si>
  <si>
    <t>求和项:原材料差异</t>
  </si>
  <si>
    <t>求和项:成本费用合计金额</t>
  </si>
  <si>
    <t>求和项:项目填写成本费用合计</t>
  </si>
  <si>
    <t>求和项:差异合计</t>
  </si>
  <si>
    <t>总计</t>
  </si>
  <si>
    <t>集团财务部（成本核算科）</t>
  </si>
  <si>
    <t>备注：汇总表中的差异，负数则表示需要退还给分组作业；正数则表示应当向分组作业补充收回。</t>
  </si>
  <si>
    <t>8月营业额</t>
  </si>
  <si>
    <t>目标值</t>
  </si>
  <si>
    <t>备注</t>
  </si>
  <si>
    <t>服务费金额</t>
  </si>
  <si>
    <t>服务费项目填写当月实际金额</t>
  </si>
  <si>
    <t>服务费差异</t>
  </si>
  <si>
    <t>虫害消杀</t>
  </si>
  <si>
    <t>虫害消杀金额</t>
  </si>
  <si>
    <t>虫害消杀项目填写当月实际金额</t>
  </si>
  <si>
    <t>虫害消杀差异</t>
  </si>
  <si>
    <t>采购费</t>
  </si>
  <si>
    <t>采购费金额</t>
  </si>
  <si>
    <t>采购费项目填写当月实际金额</t>
  </si>
  <si>
    <t>采购费差异</t>
  </si>
  <si>
    <t>装修折旧</t>
  </si>
  <si>
    <t>装修折旧金额</t>
  </si>
  <si>
    <t>装修折旧项目填写当月实际金额</t>
  </si>
  <si>
    <t>装修折旧差异</t>
  </si>
  <si>
    <t>管理人员</t>
  </si>
  <si>
    <t>管理人员金额</t>
  </si>
  <si>
    <t>管理人员项目填写当月实际金额</t>
  </si>
  <si>
    <t>管理人员差异</t>
  </si>
  <si>
    <t>共建活动</t>
  </si>
  <si>
    <t>共建活动金额</t>
  </si>
  <si>
    <t>共建活动项目填写当月实际金额</t>
  </si>
  <si>
    <t>共建活动差异</t>
  </si>
  <si>
    <t>资产</t>
  </si>
  <si>
    <t>资产金额</t>
  </si>
  <si>
    <t>资产项目填写当月实际金额</t>
  </si>
  <si>
    <t>资产差异</t>
  </si>
  <si>
    <t>卫生费</t>
  </si>
  <si>
    <t>卫生费金额</t>
  </si>
  <si>
    <t>卫生费项目填写当月实际金额</t>
  </si>
  <si>
    <t>卫生费差异</t>
  </si>
  <si>
    <t>能源费</t>
  </si>
  <si>
    <t>能源费金额</t>
  </si>
  <si>
    <t>能源费项目填写当月实际金额</t>
  </si>
  <si>
    <t>能源费差异</t>
  </si>
  <si>
    <t>其他</t>
  </si>
  <si>
    <t>其他金额</t>
  </si>
  <si>
    <t>其他项目填写当月实际金额米饭差价</t>
  </si>
  <si>
    <t>其他差异</t>
  </si>
  <si>
    <t>其他费用1</t>
  </si>
  <si>
    <t>其他费用1金额</t>
  </si>
  <si>
    <t>其他费用1项目填写当月实际金额</t>
  </si>
  <si>
    <t>其他费用1差异</t>
  </si>
  <si>
    <t>其他费用2</t>
  </si>
  <si>
    <t xml:space="preserve">其他费用2金额 </t>
  </si>
  <si>
    <t>其他费用2项目填写当月实际金额</t>
  </si>
  <si>
    <t>其他费用2差异</t>
  </si>
  <si>
    <t>原材料比例</t>
  </si>
  <si>
    <t>原材料金额</t>
  </si>
  <si>
    <t>原材料项目填写当月实际金额</t>
  </si>
  <si>
    <t>原材料差异</t>
  </si>
  <si>
    <t>成本费用合计金额</t>
  </si>
  <si>
    <t>项目填写成本费用合计</t>
  </si>
  <si>
    <t>差异合计</t>
  </si>
  <si>
    <t>按实</t>
  </si>
  <si>
    <t>16万元/年，3月-9月、9月-12月分8个月收取，每月收取20000元</t>
  </si>
  <si>
    <t>1、其他：固定资金16万元/年，3月-9月、9月-12月分8个月收取，每月收取20000元</t>
  </si>
  <si>
    <t>郑虎</t>
  </si>
  <si>
    <t>房租4万元/学期，3月一次性付款</t>
  </si>
  <si>
    <t>徐敏娟</t>
  </si>
  <si>
    <t>按照实际收取</t>
  </si>
  <si>
    <t>1、服务费：12万/年；固定租金12万元/年，除1、2、7、8月外每月1.5万元
2、采购费：项目反馈不收取，包含在服务费中；
3、装修折旧费：项目反馈不收取，包含在服务费中；
4、甲方房租：项目反馈不收取，包含在服务费中；</t>
  </si>
  <si>
    <t>林见锋</t>
  </si>
  <si>
    <t>165万元分3年分摊，多退少补</t>
  </si>
  <si>
    <t>一名管理人员费用，按实际产生费用列入项目处成本</t>
  </si>
  <si>
    <t>排烟机清洗费：按实</t>
  </si>
  <si>
    <t>徐其国</t>
  </si>
  <si>
    <t>排烟机清洗费：0</t>
  </si>
  <si>
    <t>营养粥、小笼包</t>
  </si>
  <si>
    <t>朱德保</t>
  </si>
  <si>
    <t>武汉热干面、隆江猪脚饭</t>
  </si>
  <si>
    <t>田振</t>
  </si>
  <si>
    <t>称重水饺、馄饨</t>
  </si>
  <si>
    <t>张宜轩</t>
  </si>
  <si>
    <t>掉渣饼、徐州米线、鸡汤饭</t>
  </si>
  <si>
    <t>武玉柳</t>
  </si>
  <si>
    <t>爆炒盖浇饭、套餐饭</t>
  </si>
  <si>
    <t>赵裕旭</t>
  </si>
  <si>
    <t>休闲水吧、水果</t>
  </si>
  <si>
    <t>党玉真</t>
  </si>
  <si>
    <t>（二楼特色小吃）汉堡、炸鸡、自主称重快餐、千里香馄饨、手擀面</t>
  </si>
  <si>
    <t>常霞</t>
  </si>
  <si>
    <t>水费、电费、燃气费、保洁费自行承担</t>
  </si>
  <si>
    <t xml:space="preserve"> 按实</t>
  </si>
  <si>
    <t>按比例分摊</t>
  </si>
  <si>
    <t>500/月，1、2、7、8月不收</t>
  </si>
  <si>
    <t>陈晨</t>
  </si>
  <si>
    <t>刘魁</t>
  </si>
  <si>
    <t>尹细老</t>
  </si>
  <si>
    <t>137.45 元/月，3、4、5、6月收取</t>
  </si>
  <si>
    <t>外卖营业额的4％</t>
  </si>
  <si>
    <t>308.9元/月，3、4、5、6月收取</t>
  </si>
  <si>
    <t>217.9元/月，3、4、5、6月收取</t>
  </si>
  <si>
    <t>175.4元/月，3、4、5、6月收取</t>
  </si>
  <si>
    <t>268.7元/月，3、4、5、6月收取</t>
  </si>
  <si>
    <t>139.2元/月，3、4、5、6月收取</t>
  </si>
  <si>
    <t>137.45元/月，3、4、5、6月收取</t>
  </si>
  <si>
    <t>固定租金2万元/学期，3月打款至公司</t>
  </si>
  <si>
    <t>固定租金2万元/学期，3、4、5、6每月扣5000元</t>
  </si>
  <si>
    <t>固定租金1.5万元/学期，3、4、5、6每月扣3750元</t>
  </si>
  <si>
    <t>固定租金2.25万元/学期，3、4、5、6每月扣5625元</t>
  </si>
  <si>
    <t>按表收取</t>
  </si>
  <si>
    <t>固定租金0.5万元/学期，3、4、5、6、7每月扣1000元</t>
  </si>
  <si>
    <t>邵晓丽</t>
  </si>
  <si>
    <t>余国凤</t>
  </si>
  <si>
    <t>朱燕</t>
  </si>
  <si>
    <t>汪玉凤</t>
  </si>
  <si>
    <t>杜故乡</t>
  </si>
  <si>
    <t>17%&amp;16%</t>
  </si>
  <si>
    <t>曹晓东</t>
  </si>
  <si>
    <t>朴大叔拌饭</t>
  </si>
  <si>
    <t>沈延斌</t>
  </si>
  <si>
    <t>按实结算</t>
  </si>
  <si>
    <t>10万/年，2月不收取，其他月份收取1万</t>
  </si>
  <si>
    <t>20%-23％
20万元以下收23%
20-23万元收22%
23-25万元收21%
25万元以上收20%</t>
  </si>
  <si>
    <t>房租8000元/月，半年4.0万元，2月、8月不收取</t>
  </si>
  <si>
    <t>房租9000元/月，半年4.5万元，2月、8月不收取</t>
  </si>
  <si>
    <t>餐损50元/月，7月按实际经营天数结算</t>
  </si>
  <si>
    <t>6万（含）以下29%，6万以上28%</t>
  </si>
  <si>
    <t>铁板烧</t>
  </si>
  <si>
    <t>姜红霞</t>
  </si>
  <si>
    <t>狄国军</t>
  </si>
  <si>
    <t>计表</t>
  </si>
  <si>
    <t>9万/年，8个月扣除，每个月扣除11250元，1、2、7月不收</t>
  </si>
  <si>
    <t>4万/半年，4个月收取，每月10000元（7月除外）</t>
  </si>
  <si>
    <t>6万/年，8个月扣除，每月7500元，1、7、8月不收</t>
  </si>
  <si>
    <t>7万/年，8个月收取，每月8750元，1、7、8月不收</t>
  </si>
  <si>
    <t>李袁园</t>
  </si>
  <si>
    <t>李俊兵</t>
  </si>
  <si>
    <t>1000元/月，每年1、2、7月份按实际经营天数结算</t>
  </si>
  <si>
    <t>500元，每年1、2、7月份按实际经营天数结算</t>
  </si>
  <si>
    <t>巴比馒头</t>
  </si>
  <si>
    <t>赵玉磊</t>
  </si>
  <si>
    <t>营业额数据不在我们卡机数据中</t>
  </si>
  <si>
    <t>垃圾清运500元/月</t>
  </si>
  <si>
    <t>代垫税费6％</t>
  </si>
  <si>
    <t>黄焖鸡、沙县小吃</t>
  </si>
  <si>
    <t>苏嫩仔</t>
  </si>
  <si>
    <t>餐具折旧费500元/月，1、2、7、8月份按实际运营天数结算</t>
  </si>
  <si>
    <t>马素女</t>
  </si>
  <si>
    <t>餐具折旧费1000元/月，1、2、7、8月份按实际运营天数结算</t>
  </si>
  <si>
    <t>KQCY0406</t>
  </si>
  <si>
    <t>KQCY0407</t>
  </si>
  <si>
    <t>KQCY0408</t>
  </si>
  <si>
    <t>KQCY0409</t>
  </si>
  <si>
    <t>KQCY0410</t>
  </si>
  <si>
    <t>餐具折旧费1000元/月，1、2、7、8月份按实际运营天水谷结算</t>
  </si>
  <si>
    <t>KQCY0411</t>
  </si>
  <si>
    <t>KQCY0412</t>
  </si>
  <si>
    <t>KQCY0413</t>
  </si>
  <si>
    <t>KQCY0416</t>
  </si>
  <si>
    <t>KQCY0418</t>
  </si>
  <si>
    <t>KQCY0419</t>
  </si>
  <si>
    <t>KQCY0420</t>
  </si>
  <si>
    <t>22-23.5%
（18万元 23.5%
20万元 23%
22万元 22.5%
24万元及以上22%）</t>
  </si>
  <si>
    <t>KQCY0421</t>
  </si>
  <si>
    <t>KQCY0422</t>
  </si>
  <si>
    <t>KQCY0423</t>
  </si>
  <si>
    <t>KQCY0424</t>
  </si>
  <si>
    <t>KQCY0425</t>
  </si>
  <si>
    <t>1500元/月，7月按实际营业天数结算</t>
  </si>
  <si>
    <t>KQCY0426</t>
  </si>
  <si>
    <t>KQCY0427</t>
  </si>
  <si>
    <t>KQCY0428</t>
  </si>
  <si>
    <t>1200元/月，7月按实际营业天数结算</t>
  </si>
  <si>
    <t>KQCY0429</t>
  </si>
  <si>
    <t>KQCY0430</t>
  </si>
  <si>
    <t>KQCY0432</t>
  </si>
  <si>
    <t>年能源费超30万元后，超出部分按班组营业额比例分摊</t>
  </si>
  <si>
    <t>KQCY0433</t>
  </si>
  <si>
    <t>3000元/月，2026年2月开始取消</t>
  </si>
  <si>
    <t>KQCY0434</t>
  </si>
  <si>
    <t>七里塘</t>
  </si>
  <si>
    <t>沈汉平</t>
  </si>
  <si>
    <t>1、签订期间：2026.3.1-2026.8.31；
2、指标按照全年换算；</t>
  </si>
  <si>
    <t>补充</t>
  </si>
  <si>
    <t>宋寿荣</t>
  </si>
  <si>
    <t>已撤场，已支付</t>
  </si>
  <si>
    <t>朱浩浩</t>
  </si>
  <si>
    <t>吊龙米线</t>
  </si>
  <si>
    <t>吴发松</t>
  </si>
  <si>
    <t>姚杨</t>
  </si>
  <si>
    <t>临榆炸鸡腿</t>
  </si>
  <si>
    <t>俞磊</t>
  </si>
  <si>
    <t>茶香鸡</t>
  </si>
  <si>
    <t>王兆飞</t>
  </si>
  <si>
    <t>撤场，已结算</t>
  </si>
  <si>
    <t>酥肉小锅</t>
  </si>
  <si>
    <t>周功源</t>
  </si>
  <si>
    <t>大哈恰饭</t>
  </si>
  <si>
    <t>陈海</t>
  </si>
  <si>
    <t>李龙</t>
  </si>
  <si>
    <t>庆雪美食</t>
  </si>
  <si>
    <t>冀爱菊</t>
  </si>
  <si>
    <t>彭家谋</t>
  </si>
  <si>
    <t>郭四喜</t>
  </si>
  <si>
    <t>烧腊</t>
  </si>
  <si>
    <t>黄海龙</t>
  </si>
  <si>
    <t>小馄饨</t>
  </si>
  <si>
    <t>林金新</t>
  </si>
  <si>
    <t>自选称重餐</t>
  </si>
  <si>
    <t>撤场，未结算</t>
  </si>
  <si>
    <t>夏燕红</t>
  </si>
  <si>
    <t>三楼风味</t>
  </si>
  <si>
    <t>卢翠连</t>
  </si>
  <si>
    <t>未签会议纪要</t>
  </si>
  <si>
    <t>馄饨</t>
  </si>
  <si>
    <t>陈强</t>
  </si>
  <si>
    <t>幸运面</t>
  </si>
  <si>
    <t>陈定奎</t>
  </si>
  <si>
    <t>昆明小吃</t>
  </si>
  <si>
    <t>蒸菜</t>
  </si>
  <si>
    <t>岳磊</t>
  </si>
  <si>
    <t>吴康</t>
  </si>
  <si>
    <t xml:space="preserve"> 一楼第四班组</t>
  </si>
  <si>
    <t>郭宝义</t>
  </si>
  <si>
    <t>已撤场，1-2月绩效未结算</t>
  </si>
  <si>
    <t>侯国安</t>
  </si>
  <si>
    <t>马鲍林</t>
  </si>
  <si>
    <t>郭璐</t>
  </si>
  <si>
    <t>杨萍</t>
  </si>
  <si>
    <t>孙云伟</t>
  </si>
  <si>
    <t>李玉娇</t>
  </si>
  <si>
    <t>虾仁捞饭</t>
  </si>
  <si>
    <t>周玉娟</t>
  </si>
  <si>
    <t>2026年4月新加</t>
  </si>
  <si>
    <t>大大大碗面</t>
  </si>
  <si>
    <t>夏发军</t>
  </si>
  <si>
    <t>兔哥热卤饭</t>
  </si>
  <si>
    <t>王国莹</t>
  </si>
  <si>
    <t>何星星</t>
  </si>
  <si>
    <t>炒鸡饭</t>
  </si>
  <si>
    <t>褚子豪</t>
  </si>
  <si>
    <t>叉烧饭</t>
  </si>
  <si>
    <t>梁沈阳</t>
  </si>
  <si>
    <t>甘春野</t>
  </si>
  <si>
    <t>匠心卤</t>
  </si>
  <si>
    <t>李小龙</t>
  </si>
  <si>
    <t>海贵云</t>
  </si>
  <si>
    <t>CF783</t>
  </si>
  <si>
    <t>葛莹</t>
  </si>
  <si>
    <t>CF784</t>
  </si>
  <si>
    <t>酸菜鱼</t>
  </si>
  <si>
    <t>赵良保</t>
  </si>
  <si>
    <t>CF785</t>
  </si>
  <si>
    <t>陈军</t>
  </si>
  <si>
    <t>已撤场</t>
  </si>
  <si>
    <t>五谷鱼粉</t>
  </si>
  <si>
    <t>徐亮</t>
  </si>
  <si>
    <t>脆皮鸭</t>
  </si>
  <si>
    <t>已撤场，2025.11月-2026.1月绩效未结算</t>
  </si>
  <si>
    <t>吕亚臣</t>
  </si>
  <si>
    <t>深夜大食堂</t>
  </si>
  <si>
    <t>新增</t>
  </si>
  <si>
    <t>炸串</t>
  </si>
  <si>
    <t>陆水花</t>
  </si>
  <si>
    <t>马玉涛麻辣烫</t>
  </si>
  <si>
    <t>陆爱军</t>
  </si>
  <si>
    <t>孙仲弘</t>
  </si>
  <si>
    <t>周俊帅</t>
  </si>
  <si>
    <t>6月新增</t>
  </si>
  <si>
    <t>民族餐厅</t>
  </si>
  <si>
    <t>左伟</t>
  </si>
  <si>
    <t>悦轻荷</t>
  </si>
  <si>
    <t>王于于</t>
  </si>
  <si>
    <t>板烧厨房</t>
  </si>
  <si>
    <t>徐红月</t>
  </si>
  <si>
    <t>夏金涛</t>
  </si>
  <si>
    <t>强责责任人</t>
  </si>
  <si>
    <t>6月补充至该表</t>
  </si>
  <si>
    <t>CF700</t>
  </si>
  <si>
    <t>北理工长三角研究院(嘉兴）食堂</t>
  </si>
  <si>
    <t>自选快餐面条</t>
  </si>
  <si>
    <t>张振</t>
  </si>
  <si>
    <t>Q021</t>
  </si>
  <si>
    <t>苏州星塘医院餐厅</t>
  </si>
  <si>
    <t>CF516</t>
  </si>
  <si>
    <t>苏州北美国际高级中学餐厅</t>
  </si>
  <si>
    <t>个体</t>
  </si>
  <si>
    <t>何元双</t>
  </si>
  <si>
    <t xml:space="preserve"> 手工鲜水饺 </t>
  </si>
  <si>
    <t>王洪伟</t>
  </si>
  <si>
    <t xml:space="preserve"> 荔枝鸡饭 </t>
  </si>
  <si>
    <t>陈志国</t>
  </si>
  <si>
    <t>徐启航</t>
  </si>
  <si>
    <t>刘太华</t>
  </si>
  <si>
    <t>现炒浇头</t>
  </si>
  <si>
    <t>匡雷</t>
  </si>
  <si>
    <t>水果捞</t>
  </si>
  <si>
    <t>徐星</t>
  </si>
  <si>
    <t>自选菜</t>
  </si>
  <si>
    <t>王功成</t>
  </si>
  <si>
    <t>胡长江</t>
  </si>
  <si>
    <t>刘飞</t>
  </si>
  <si>
    <t>西点</t>
  </si>
  <si>
    <t>吴贵华</t>
  </si>
  <si>
    <t>烤鸡饭</t>
  </si>
  <si>
    <t>张然</t>
  </si>
  <si>
    <t>港式烤鸭饭</t>
  </si>
  <si>
    <t>曹学云</t>
  </si>
  <si>
    <t>有味拉面</t>
  </si>
  <si>
    <t>刘万众</t>
  </si>
  <si>
    <t>朱潮</t>
  </si>
  <si>
    <t>吴桂华</t>
  </si>
  <si>
    <t>江晓笼</t>
  </si>
  <si>
    <t>廖文</t>
  </si>
  <si>
    <t>西餐</t>
  </si>
  <si>
    <t>本月新增</t>
  </si>
  <si>
    <t>炸串卷饼拌饭</t>
  </si>
  <si>
    <t>王倩</t>
  </si>
  <si>
    <t>姜艳芳</t>
  </si>
  <si>
    <t>王得志</t>
  </si>
  <si>
    <t>杨凤祥</t>
  </si>
  <si>
    <t>曾德彬</t>
  </si>
  <si>
    <t>尚晓刚</t>
  </si>
  <si>
    <t>周颖</t>
  </si>
  <si>
    <t>药膳卤肉套餐饭</t>
  </si>
  <si>
    <t>备注（是否删除）</t>
  </si>
  <si>
    <t>甲方管理费3.5%营业额</t>
  </si>
  <si>
    <t>固定租金12万元/年，除1、2、7、8月外每月1.5万元</t>
  </si>
  <si>
    <t>低耗1%</t>
  </si>
  <si>
    <t>删除</t>
  </si>
  <si>
    <t>卡机管理费0.2％</t>
  </si>
  <si>
    <t>超市、咖啡吧、饮料机不收取采购费</t>
  </si>
  <si>
    <t>低值易耗费1%营业额</t>
  </si>
  <si>
    <t>KQCY0414</t>
  </si>
  <si>
    <t>KQCY0415</t>
  </si>
  <si>
    <t>KQCY0417</t>
  </si>
  <si>
    <t>KQCY0431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</si>
</sst>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
    <numFmt numFmtId="178" formatCode="0.00_ "/>
    <numFmt numFmtId="179" formatCode="0.00_);[Red]\(0.00\)"/>
    <numFmt numFmtId="180" formatCode="0.00;[Red]0.00"/>
    <numFmt numFmtId="181" formatCode="0.00_ ;[Red]\-0.00\ "/>
  </numFmts>
  <fonts count="48">
    <font>
      <sz val="11"/>
      <color theme="1"/>
      <name val="宋体"/>
      <charset val="134"/>
      <scheme val="minor"/>
    </font>
    <font>
      <b/>
      <sz val="10"/>
      <name val="宋体"/>
      <charset val="134"/>
      <scheme val="minor"/>
    </font>
    <font>
      <sz val="10"/>
      <name val="宋体"/>
      <charset val="134"/>
      <scheme val="minor"/>
    </font>
    <font>
      <b/>
      <sz val="10"/>
      <color rgb="FF000000"/>
      <name val="宋体"/>
      <charset val="134"/>
    </font>
    <font>
      <b/>
      <sz val="10"/>
      <name val="宋体"/>
      <charset val="134"/>
    </font>
    <font>
      <sz val="10"/>
      <name val="宋体"/>
      <charset val="134"/>
    </font>
    <font>
      <sz val="10"/>
      <color rgb="FF000000"/>
      <name val="宋体"/>
      <charset val="134"/>
    </font>
    <font>
      <sz val="11"/>
      <name val="宋体"/>
      <charset val="134"/>
      <scheme val="minor"/>
    </font>
    <font>
      <b/>
      <sz val="14"/>
      <name val="宋体"/>
      <charset val="134"/>
      <scheme val="minor"/>
    </font>
    <font>
      <b/>
      <sz val="11"/>
      <name val="宋体"/>
      <charset val="134"/>
      <scheme val="minor"/>
    </font>
    <font>
      <sz val="10"/>
      <color rgb="FF000000"/>
      <name val="宋体"/>
      <charset val="134"/>
      <scheme val="minor"/>
    </font>
    <font>
      <sz val="14"/>
      <color rgb="FF000000"/>
      <name val="仿宋"/>
      <charset val="134"/>
    </font>
    <font>
      <b/>
      <sz val="16"/>
      <color rgb="FF000000"/>
      <name val="仿宋"/>
      <charset val="134"/>
    </font>
    <font>
      <sz val="14"/>
      <name val="仿宋"/>
      <charset val="134"/>
    </font>
    <font>
      <sz val="8"/>
      <color rgb="FF000000"/>
      <name val="仿宋"/>
      <charset val="134"/>
    </font>
    <font>
      <b/>
      <sz val="9"/>
      <color rgb="FF000000"/>
      <name val="Malgun Gothic"/>
      <charset val="129"/>
    </font>
    <font>
      <sz val="10"/>
      <color rgb="FFFF0000"/>
      <name val="宋体"/>
      <charset val="134"/>
    </font>
    <font>
      <sz val="10"/>
      <color theme="1"/>
      <name val="宋体"/>
      <charset val="134"/>
    </font>
    <font>
      <b/>
      <sz val="11"/>
      <color rgb="FF000000"/>
      <name val="宋体"/>
      <charset val="134"/>
      <scheme val="minor"/>
    </font>
    <font>
      <b/>
      <sz val="11"/>
      <color rgb="FF000000"/>
      <name val="仿宋"/>
      <charset val="134"/>
    </font>
    <font>
      <sz val="14"/>
      <color rgb="FF000000"/>
      <name val="宋体"/>
      <charset val="134"/>
      <scheme val="minor"/>
    </font>
    <font>
      <b/>
      <sz val="11"/>
      <color rgb="FF000000"/>
      <name val="宋体"/>
      <charset val="0"/>
      <scheme val="minor"/>
    </font>
    <font>
      <sz val="12"/>
      <color rgb="FF000000"/>
      <name val="宋体"/>
      <charset val="134"/>
      <scheme val="minor"/>
    </font>
    <font>
      <sz val="10"/>
      <color rgb="FF000000"/>
      <name val="等线"/>
      <charset val="134"/>
    </font>
    <font>
      <b/>
      <sz val="11"/>
      <color rgb="FF000000"/>
      <name val="等线"/>
      <charset val="134"/>
    </font>
    <font>
      <sz val="11"/>
      <color rgb="FF000000"/>
      <name val="等线"/>
      <charset val="134"/>
    </font>
    <font>
      <sz val="11"/>
      <color rgb="FF000000"/>
      <name val="宋体"/>
      <charset val="134"/>
      <scheme val="minor"/>
    </font>
    <font>
      <sz val="11"/>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6">
    <fill>
      <patternFill patternType="none"/>
    </fill>
    <fill>
      <patternFill patternType="gray125"/>
    </fill>
    <fill>
      <patternFill patternType="solid">
        <fgColor theme="6" tint="0.599993896298105"/>
        <bgColor indexed="64"/>
      </patternFill>
    </fill>
    <fill>
      <patternFill patternType="solid">
        <fgColor theme="7"/>
        <bgColor indexed="64"/>
      </patternFill>
    </fill>
    <fill>
      <patternFill patternType="solid">
        <fgColor theme="8" tint="0.599993896298105"/>
        <bgColor indexed="64"/>
      </patternFill>
    </fill>
    <fill>
      <patternFill patternType="solid">
        <fgColor theme="6" tint="0.799798577837458"/>
        <bgColor indexed="64"/>
      </patternFill>
    </fill>
    <fill>
      <patternFill patternType="solid">
        <fgColor rgb="FFA8EAE4"/>
        <bgColor indexed="64"/>
      </patternFill>
    </fill>
    <fill>
      <patternFill patternType="solid">
        <fgColor rgb="FFC5E0B4"/>
        <bgColor indexed="64"/>
      </patternFill>
    </fill>
    <fill>
      <patternFill patternType="solid">
        <fgColor rgb="FFFFFF00"/>
        <bgColor indexed="64"/>
      </patternFill>
    </fill>
    <fill>
      <patternFill patternType="solid">
        <fgColor theme="4" tint="0.399914548173467"/>
        <bgColor indexed="64"/>
      </patternFill>
    </fill>
    <fill>
      <patternFill patternType="solid">
        <fgColor theme="9" tint="0.599993896298105"/>
        <bgColor indexed="64"/>
      </patternFill>
    </fill>
    <fill>
      <patternFill patternType="solid">
        <fgColor rgb="FFD9E1F4"/>
        <bgColor indexed="64"/>
      </patternFill>
    </fill>
    <fill>
      <patternFill patternType="solid">
        <fgColor rgb="FFD9E1F2"/>
        <bgColor indexed="64"/>
      </patternFill>
    </fill>
    <fill>
      <patternFill patternType="solid">
        <fgColor rgb="FFFFFFFF"/>
        <bgColor indexed="64"/>
      </patternFill>
    </fill>
    <fill>
      <patternFill patternType="solid">
        <fgColor rgb="FFB4C6E7"/>
        <bgColor indexed="64"/>
      </patternFill>
    </fill>
    <fill>
      <patternFill patternType="solid">
        <fgColor rgb="FFDEEAF6"/>
        <bgColor indexed="64"/>
      </patternFill>
    </fill>
    <fill>
      <patternFill patternType="solid">
        <fgColor rgb="FFEF949F"/>
        <bgColor indexed="64"/>
      </patternFill>
    </fill>
    <fill>
      <patternFill patternType="solid">
        <fgColor rgb="FFCCFFFF"/>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medium">
        <color rgb="FF000000"/>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pplyFont="0" applyFill="0" applyBorder="0" applyAlignment="0" applyProtection="0">
      <alignment vertical="center"/>
    </xf>
    <xf numFmtId="9" fontId="0" fillId="0" borderId="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19" borderId="17"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8" applyNumberFormat="0" applyFill="0" applyAlignment="0" applyProtection="0">
      <alignment vertical="center"/>
    </xf>
    <xf numFmtId="0" fontId="35" fillId="0" borderId="18" applyNumberFormat="0" applyFill="0" applyAlignment="0" applyProtection="0">
      <alignment vertical="center"/>
    </xf>
    <xf numFmtId="0" fontId="36" fillId="0" borderId="19" applyNumberFormat="0" applyFill="0" applyAlignment="0" applyProtection="0">
      <alignment vertical="center"/>
    </xf>
    <xf numFmtId="0" fontId="36" fillId="0" borderId="0" applyNumberFormat="0" applyFill="0" applyBorder="0" applyAlignment="0" applyProtection="0">
      <alignment vertical="center"/>
    </xf>
    <xf numFmtId="0" fontId="37" fillId="20" borderId="20" applyNumberFormat="0" applyAlignment="0" applyProtection="0">
      <alignment vertical="center"/>
    </xf>
    <xf numFmtId="0" fontId="38" fillId="21" borderId="21" applyNumberFormat="0" applyAlignment="0" applyProtection="0">
      <alignment vertical="center"/>
    </xf>
    <xf numFmtId="0" fontId="39" fillId="21" borderId="20" applyNumberFormat="0" applyAlignment="0" applyProtection="0">
      <alignment vertical="center"/>
    </xf>
    <xf numFmtId="0" fontId="40" fillId="22" borderId="22" applyNumberFormat="0" applyAlignment="0" applyProtection="0">
      <alignment vertical="center"/>
    </xf>
    <xf numFmtId="0" fontId="41" fillId="0" borderId="23" applyNumberFormat="0" applyFill="0" applyAlignment="0" applyProtection="0">
      <alignment vertical="center"/>
    </xf>
    <xf numFmtId="0" fontId="42" fillId="0" borderId="24" applyNumberFormat="0" applyFill="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7" fillId="35" borderId="0" applyNumberFormat="0" applyBorder="0" applyAlignment="0" applyProtection="0">
      <alignment vertical="center"/>
    </xf>
    <xf numFmtId="0" fontId="47" fillId="2" borderId="0" applyNumberFormat="0" applyBorder="0" applyAlignment="0" applyProtection="0">
      <alignment vertical="center"/>
    </xf>
    <xf numFmtId="0" fontId="46" fillId="36" borderId="0" applyNumberFormat="0" applyBorder="0" applyAlignment="0" applyProtection="0">
      <alignment vertical="center"/>
    </xf>
    <xf numFmtId="0" fontId="46" fillId="3" borderId="0" applyNumberFormat="0" applyBorder="0" applyAlignment="0" applyProtection="0">
      <alignment vertical="center"/>
    </xf>
    <xf numFmtId="0" fontId="47" fillId="37" borderId="0" applyNumberFormat="0" applyBorder="0" applyAlignment="0" applyProtection="0">
      <alignment vertical="center"/>
    </xf>
    <xf numFmtId="0" fontId="47" fillId="38" borderId="0" applyNumberFormat="0" applyBorder="0" applyAlignment="0" applyProtection="0">
      <alignment vertical="center"/>
    </xf>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7" fillId="41" borderId="0" applyNumberFormat="0" applyBorder="0" applyAlignment="0" applyProtection="0">
      <alignment vertical="center"/>
    </xf>
    <xf numFmtId="0" fontId="47" fillId="4"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7" fillId="44" borderId="0" applyNumberFormat="0" applyBorder="0" applyAlignment="0" applyProtection="0">
      <alignment vertical="center"/>
    </xf>
    <xf numFmtId="0" fontId="47" fillId="10" borderId="0" applyNumberFormat="0" applyBorder="0" applyAlignment="0" applyProtection="0">
      <alignment vertical="center"/>
    </xf>
    <xf numFmtId="0" fontId="46" fillId="45" borderId="0" applyNumberFormat="0" applyBorder="0" applyAlignment="0" applyProtection="0">
      <alignment vertical="center"/>
    </xf>
  </cellStyleXfs>
  <cellXfs count="523">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43" fontId="1" fillId="2" borderId="1" xfId="1" applyFont="1" applyFill="1" applyBorder="1" applyAlignment="1">
      <alignment horizontal="center" vertical="center" wrapText="1"/>
    </xf>
    <xf numFmtId="10" fontId="4" fillId="2" borderId="1" xfId="0" applyNumberFormat="1" applyFont="1" applyFill="1" applyBorder="1" applyAlignment="1">
      <alignment horizontal="center" vertical="center" wrapText="1"/>
    </xf>
    <xf numFmtId="10" fontId="1" fillId="2"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10" fontId="1" fillId="4"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5" fillId="5" borderId="2" xfId="0" applyFont="1" applyFill="1" applyBorder="1" applyAlignment="1" applyProtection="1">
      <alignment horizontal="center" vertical="center"/>
      <protection locked="0"/>
    </xf>
    <xf numFmtId="0" fontId="2" fillId="0" borderId="1" xfId="0" applyFont="1" applyBorder="1" applyProtection="1">
      <alignment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9" fontId="6" fillId="0" borderId="1" xfId="0" applyNumberFormat="1" applyFont="1" applyBorder="1" applyAlignment="1">
      <alignment horizontal="center" vertical="center" wrapText="1"/>
    </xf>
    <xf numFmtId="9" fontId="2" fillId="0" borderId="1" xfId="0" applyNumberFormat="1" applyFont="1" applyBorder="1" applyAlignment="1">
      <alignment horizontal="center" vertical="center" wrapText="1"/>
    </xf>
    <xf numFmtId="43" fontId="2" fillId="0" borderId="1" xfId="1" applyFont="1" applyBorder="1" applyAlignment="1">
      <alignment horizontal="right" vertical="center" wrapText="1"/>
    </xf>
    <xf numFmtId="10" fontId="2" fillId="0" borderId="1" xfId="0" applyNumberFormat="1" applyFont="1" applyBorder="1" applyAlignment="1">
      <alignment horizontal="center" vertical="center" wrapText="1"/>
    </xf>
    <xf numFmtId="9" fontId="2" fillId="6" borderId="1"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2" fillId="0" borderId="3" xfId="0" applyFont="1" applyBorder="1" applyAlignment="1">
      <alignment horizontal="left" vertical="center" wrapText="1"/>
    </xf>
    <xf numFmtId="176" fontId="2" fillId="0" borderId="1" xfId="0" applyNumberFormat="1" applyFont="1" applyBorder="1" applyAlignment="1">
      <alignment horizontal="center" vertical="center" wrapText="1"/>
    </xf>
    <xf numFmtId="0" fontId="7" fillId="0" borderId="0" xfId="0" applyFont="1" applyAlignment="1">
      <alignment horizontal="center" vertical="center"/>
    </xf>
    <xf numFmtId="0" fontId="7" fillId="0" borderId="0" xfId="0" applyFont="1">
      <alignment vertical="center"/>
    </xf>
    <xf numFmtId="0" fontId="7" fillId="0" borderId="0" xfId="0" applyFont="1" applyAlignment="1">
      <alignment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43" fontId="7" fillId="0" borderId="0" xfId="1" applyFont="1" applyAlignment="1">
      <alignment horizontal="right" vertical="center"/>
    </xf>
    <xf numFmtId="10" fontId="7" fillId="0" borderId="0" xfId="0" applyNumberFormat="1" applyFont="1" applyAlignment="1">
      <alignment horizontal="center" vertical="center"/>
    </xf>
    <xf numFmtId="10" fontId="7" fillId="0" borderId="0" xfId="0" applyNumberFormat="1" applyFont="1" applyAlignment="1">
      <alignment horizontal="center" vertical="center" wrapText="1"/>
    </xf>
    <xf numFmtId="10" fontId="7" fillId="0" borderId="0" xfId="0" applyNumberFormat="1" applyFont="1">
      <alignment vertical="center"/>
    </xf>
    <xf numFmtId="0" fontId="8" fillId="0" borderId="4" xfId="0" applyFont="1" applyBorder="1" applyAlignment="1">
      <alignment horizontal="center" vertical="center"/>
    </xf>
    <xf numFmtId="0" fontId="0" fillId="0" borderId="4" xfId="0" applyBorder="1" applyAlignment="1"/>
    <xf numFmtId="0" fontId="9" fillId="0" borderId="4" xfId="0" applyFont="1" applyBorder="1">
      <alignment vertical="center"/>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10" fontId="9" fillId="0" borderId="4" xfId="0" applyNumberFormat="1" applyFont="1" applyBorder="1">
      <alignment vertical="center"/>
    </xf>
    <xf numFmtId="0" fontId="9" fillId="0" borderId="4" xfId="0" applyFont="1" applyBorder="1" applyAlignment="1">
      <alignment vertical="center" wrapText="1"/>
    </xf>
    <xf numFmtId="0" fontId="2" fillId="0" borderId="1" xfId="0" applyFont="1" applyBorder="1" applyAlignment="1" applyProtection="1">
      <alignment horizontal="left" vertical="center" wrapText="1"/>
      <protection locked="0"/>
    </xf>
    <xf numFmtId="0" fontId="6" fillId="6" borderId="1" xfId="0" applyFont="1" applyFill="1" applyBorder="1" applyAlignment="1">
      <alignment horizontal="center" vertical="center" wrapText="1"/>
    </xf>
    <xf numFmtId="0" fontId="5" fillId="0" borderId="1" xfId="0" applyFont="1" applyBorder="1" applyAlignment="1">
      <alignment horizontal="center" vertical="center" wrapText="1"/>
    </xf>
    <xf numFmtId="10" fontId="2" fillId="0" borderId="1" xfId="0" applyNumberFormat="1" applyFont="1" applyBorder="1" applyAlignment="1" applyProtection="1">
      <alignment horizontal="center" vertical="center"/>
      <protection locked="0"/>
    </xf>
    <xf numFmtId="9" fontId="6" fillId="6" borderId="1" xfId="0" applyNumberFormat="1" applyFont="1" applyFill="1" applyBorder="1" applyAlignment="1">
      <alignment horizontal="center" vertical="center" wrapText="1"/>
    </xf>
    <xf numFmtId="0" fontId="6" fillId="0" borderId="1" xfId="0" applyFont="1" applyBorder="1" applyAlignment="1">
      <alignment horizontal="left" vertical="center" wrapText="1"/>
    </xf>
    <xf numFmtId="9" fontId="2" fillId="6" borderId="1" xfId="0" applyNumberFormat="1" applyFont="1" applyFill="1" applyBorder="1" applyAlignment="1">
      <alignment horizontal="center" vertical="center"/>
    </xf>
    <xf numFmtId="0" fontId="2" fillId="6" borderId="1" xfId="0" applyFont="1" applyFill="1" applyBorder="1" applyAlignment="1">
      <alignment horizontal="center" vertical="center" wrapText="1"/>
    </xf>
    <xf numFmtId="9" fontId="2" fillId="0" borderId="1" xfId="0" applyNumberFormat="1" applyFont="1" applyBorder="1" applyAlignment="1" applyProtection="1">
      <alignment horizontal="center" vertical="center"/>
      <protection locked="0"/>
    </xf>
    <xf numFmtId="43" fontId="2" fillId="0" borderId="1" xfId="1" applyFont="1" applyBorder="1" applyAlignment="1" applyProtection="1">
      <alignment horizontal="center" vertical="center"/>
      <protection locked="0"/>
    </xf>
    <xf numFmtId="0" fontId="6" fillId="0" borderId="3" xfId="0" applyFont="1" applyBorder="1" applyAlignment="1">
      <alignment horizontal="left" vertical="center" wrapText="1"/>
    </xf>
    <xf numFmtId="10" fontId="2" fillId="0" borderId="1" xfId="1" applyNumberFormat="1" applyFont="1" applyBorder="1" applyAlignment="1" applyProtection="1">
      <alignment horizontal="center" vertical="center"/>
      <protection locked="0"/>
    </xf>
    <xf numFmtId="0" fontId="6" fillId="0" borderId="1" xfId="0" applyFont="1" applyBorder="1" applyAlignment="1">
      <alignment horizontal="center" vertical="center" wrapText="1"/>
    </xf>
    <xf numFmtId="43" fontId="6" fillId="0" borderId="1" xfId="1" applyFont="1" applyBorder="1" applyAlignment="1" applyProtection="1">
      <alignment horizontal="center" vertical="center"/>
      <protection locked="0"/>
    </xf>
    <xf numFmtId="9" fontId="6" fillId="0" borderId="1" xfId="0" applyNumberFormat="1" applyFont="1" applyBorder="1" applyAlignment="1">
      <alignment horizontal="left" vertical="center" wrapText="1"/>
    </xf>
    <xf numFmtId="177" fontId="2" fillId="0" borderId="1" xfId="0" applyNumberFormat="1" applyFont="1" applyBorder="1" applyAlignment="1">
      <alignment horizontal="center" vertical="center" wrapText="1"/>
    </xf>
    <xf numFmtId="10" fontId="6" fillId="0" borderId="1" xfId="0" applyNumberFormat="1" applyFont="1" applyBorder="1" applyAlignment="1">
      <alignment horizontal="center" vertical="center" wrapText="1"/>
    </xf>
    <xf numFmtId="9" fontId="2" fillId="0" borderId="1" xfId="0" applyNumberFormat="1" applyFont="1" applyBorder="1" applyAlignment="1">
      <alignment horizontal="left" vertical="center" wrapText="1"/>
    </xf>
    <xf numFmtId="0" fontId="2" fillId="7" borderId="1" xfId="0" applyFont="1" applyFill="1" applyBorder="1" applyProtection="1">
      <alignment vertical="center"/>
      <protection locked="0"/>
    </xf>
    <xf numFmtId="10" fontId="5" fillId="6" borderId="1" xfId="0" applyNumberFormat="1" applyFont="1" applyFill="1" applyBorder="1" applyAlignment="1">
      <alignment horizontal="center" vertical="center" wrapText="1"/>
    </xf>
    <xf numFmtId="10"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176" fontId="10" fillId="0" borderId="1" xfId="0" applyNumberFormat="1" applyFont="1" applyBorder="1" applyAlignment="1">
      <alignment horizontal="center" vertical="center" wrapText="1"/>
    </xf>
    <xf numFmtId="9" fontId="10" fillId="0" borderId="1" xfId="0" applyNumberFormat="1" applyFont="1" applyBorder="1" applyAlignment="1">
      <alignment horizontal="center" vertical="center" wrapText="1"/>
    </xf>
    <xf numFmtId="10" fontId="10" fillId="6" borderId="1" xfId="0" applyNumberFormat="1" applyFont="1" applyFill="1" applyBorder="1" applyAlignment="1">
      <alignment horizontal="center" vertical="center" wrapText="1"/>
    </xf>
    <xf numFmtId="0" fontId="10" fillId="0" borderId="1" xfId="0" applyFont="1" applyBorder="1" applyAlignment="1">
      <alignment horizontal="left" vertical="center" wrapText="1"/>
    </xf>
    <xf numFmtId="10" fontId="10" fillId="0" borderId="5" xfId="0" applyNumberFormat="1" applyFont="1" applyBorder="1" applyAlignment="1">
      <alignment horizontal="center" vertical="center"/>
    </xf>
    <xf numFmtId="0" fontId="10" fillId="0" borderId="5" xfId="0" applyFont="1" applyBorder="1" applyAlignment="1">
      <alignment horizontal="center" vertical="center"/>
    </xf>
    <xf numFmtId="0" fontId="10" fillId="0" borderId="5" xfId="0" applyFont="1" applyBorder="1" applyAlignment="1">
      <alignment horizontal="center" vertical="center" wrapText="1"/>
    </xf>
    <xf numFmtId="176" fontId="10" fillId="0" borderId="5" xfId="0" applyNumberFormat="1" applyFont="1" applyBorder="1" applyAlignment="1">
      <alignment horizontal="center" vertical="center" wrapText="1"/>
    </xf>
    <xf numFmtId="0" fontId="10" fillId="6" borderId="5" xfId="0" applyFont="1" applyFill="1" applyBorder="1" applyAlignment="1">
      <alignment horizontal="center" vertical="center" wrapText="1"/>
    </xf>
    <xf numFmtId="10" fontId="10" fillId="6" borderId="5" xfId="0" applyNumberFormat="1" applyFont="1" applyFill="1" applyBorder="1" applyAlignment="1">
      <alignment horizontal="center" vertical="center" wrapText="1"/>
    </xf>
    <xf numFmtId="0" fontId="10" fillId="0" borderId="6" xfId="0" applyFont="1" applyBorder="1" applyAlignment="1">
      <alignment horizontal="left" vertical="center" wrapText="1"/>
    </xf>
    <xf numFmtId="9" fontId="10" fillId="0" borderId="5" xfId="0" applyNumberFormat="1" applyFont="1" applyBorder="1" applyAlignment="1">
      <alignment horizontal="center" vertical="center" wrapText="1"/>
    </xf>
    <xf numFmtId="9" fontId="6" fillId="6" borderId="5" xfId="0" applyNumberFormat="1" applyFont="1" applyFill="1" applyBorder="1" applyAlignment="1">
      <alignment horizontal="center" vertical="center" wrapText="1"/>
    </xf>
    <xf numFmtId="9" fontId="10" fillId="6" borderId="5" xfId="0" applyNumberFormat="1" applyFont="1" applyFill="1" applyBorder="1" applyAlignment="1">
      <alignment horizontal="center" vertical="center" wrapText="1"/>
    </xf>
    <xf numFmtId="0" fontId="6" fillId="6" borderId="5" xfId="0" applyFont="1" applyFill="1" applyBorder="1" applyAlignment="1">
      <alignment horizontal="center" vertical="center" wrapText="1"/>
    </xf>
    <xf numFmtId="10" fontId="10" fillId="0" borderId="5" xfId="0" applyNumberFormat="1" applyFont="1" applyBorder="1" applyAlignment="1">
      <alignment horizontal="center" vertical="center" wrapText="1"/>
    </xf>
    <xf numFmtId="0" fontId="10" fillId="0" borderId="5" xfId="0" applyFont="1" applyBorder="1" applyAlignment="1">
      <alignment horizontal="left" vertical="center" wrapText="1"/>
    </xf>
    <xf numFmtId="9" fontId="2" fillId="6" borderId="5" xfId="0" applyNumberFormat="1" applyFont="1" applyFill="1" applyBorder="1" applyAlignment="1">
      <alignment horizontal="center" vertical="center" wrapText="1"/>
    </xf>
    <xf numFmtId="9" fontId="10" fillId="0" borderId="5" xfId="0" applyNumberFormat="1" applyFont="1" applyBorder="1" applyAlignment="1">
      <alignment horizontal="center" vertical="center"/>
    </xf>
    <xf numFmtId="0" fontId="2" fillId="0" borderId="5" xfId="0" applyFont="1" applyBorder="1" applyAlignment="1">
      <alignment horizontal="center" vertical="center"/>
    </xf>
    <xf numFmtId="0" fontId="6" fillId="0" borderId="1" xfId="0" applyFont="1" applyBorder="1" applyProtection="1">
      <alignment vertical="center"/>
      <protection locked="0"/>
    </xf>
    <xf numFmtId="0" fontId="6" fillId="7" borderId="1" xfId="0" applyFont="1" applyFill="1" applyBorder="1" applyProtection="1">
      <alignment vertical="center"/>
      <protection locked="0"/>
    </xf>
    <xf numFmtId="0" fontId="6" fillId="0" borderId="1"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6" fillId="0" borderId="1" xfId="0" applyFont="1" applyBorder="1" applyAlignment="1">
      <alignment horizontal="center" vertical="center"/>
    </xf>
    <xf numFmtId="10" fontId="6" fillId="0" borderId="1" xfId="0" applyNumberFormat="1" applyFont="1" applyBorder="1" applyAlignment="1">
      <alignment horizontal="center" vertical="center"/>
    </xf>
    <xf numFmtId="9" fontId="6" fillId="0" borderId="1" xfId="0" applyNumberFormat="1" applyFont="1" applyBorder="1" applyAlignment="1">
      <alignment horizontal="center" vertical="center"/>
    </xf>
    <xf numFmtId="0" fontId="2" fillId="0" borderId="5" xfId="0" applyFont="1" applyBorder="1" applyAlignment="1">
      <alignment horizontal="center" vertical="center" wrapText="1"/>
    </xf>
    <xf numFmtId="0" fontId="10" fillId="6" borderId="5" xfId="0" applyFont="1" applyFill="1" applyBorder="1" applyAlignment="1">
      <alignment horizontal="center" vertical="center"/>
    </xf>
    <xf numFmtId="10" fontId="10" fillId="6" borderId="5" xfId="0" applyNumberFormat="1" applyFont="1" applyFill="1" applyBorder="1" applyAlignment="1">
      <alignment horizontal="center" vertical="center"/>
    </xf>
    <xf numFmtId="0" fontId="11" fillId="0" borderId="7" xfId="0" applyFont="1" applyBorder="1" applyAlignment="1">
      <alignment horizontal="center" vertical="center" wrapText="1"/>
    </xf>
    <xf numFmtId="9" fontId="2" fillId="0" borderId="5" xfId="0" applyNumberFormat="1" applyFont="1" applyBorder="1" applyAlignment="1">
      <alignment horizontal="center" vertical="center" wrapText="1"/>
    </xf>
    <xf numFmtId="0" fontId="2" fillId="0" borderId="5" xfId="0" applyFont="1" applyBorder="1" applyAlignment="1">
      <alignment horizontal="left"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8" xfId="0" applyFont="1" applyBorder="1" applyAlignment="1">
      <alignment horizontal="center" vertical="center" wrapText="1"/>
    </xf>
    <xf numFmtId="10" fontId="2" fillId="0" borderId="5" xfId="0" applyNumberFormat="1" applyFont="1" applyBorder="1" applyAlignment="1">
      <alignment horizontal="center" vertical="center" wrapText="1"/>
    </xf>
    <xf numFmtId="10" fontId="6" fillId="0" borderId="5" xfId="0" applyNumberFormat="1" applyFont="1" applyBorder="1" applyAlignment="1">
      <alignment horizontal="center" vertical="center" wrapText="1"/>
    </xf>
    <xf numFmtId="9" fontId="6" fillId="0" borderId="5" xfId="0" applyNumberFormat="1" applyFont="1" applyBorder="1" applyAlignment="1">
      <alignment horizontal="left" vertical="center" wrapText="1"/>
    </xf>
    <xf numFmtId="43" fontId="6" fillId="0" borderId="1" xfId="1" applyFont="1" applyBorder="1" applyAlignment="1">
      <alignment horizontal="center" vertical="center" wrapText="1"/>
    </xf>
    <xf numFmtId="0" fontId="6" fillId="6" borderId="1" xfId="0" applyFont="1" applyFill="1" applyBorder="1" applyAlignment="1">
      <alignment horizontal="center" vertical="center"/>
    </xf>
    <xf numFmtId="10" fontId="10" fillId="0" borderId="1" xfId="0" applyNumberFormat="1" applyFont="1" applyBorder="1" applyAlignment="1">
      <alignment horizontal="center" vertical="center" wrapText="1"/>
    </xf>
    <xf numFmtId="178" fontId="2" fillId="0" borderId="1" xfId="0" applyNumberFormat="1" applyFont="1" applyBorder="1" applyAlignment="1">
      <alignment horizontal="center" vertical="center" wrapText="1"/>
    </xf>
    <xf numFmtId="10" fontId="2" fillId="0" borderId="9" xfId="0" applyNumberFormat="1" applyFont="1" applyBorder="1" applyAlignment="1">
      <alignment horizontal="center" vertical="center" wrapText="1"/>
    </xf>
    <xf numFmtId="0" fontId="2" fillId="0" borderId="2" xfId="0" applyFont="1" applyBorder="1" applyAlignment="1">
      <alignment horizontal="center" vertical="center"/>
    </xf>
    <xf numFmtId="9" fontId="2" fillId="0" borderId="10" xfId="0" applyNumberFormat="1" applyFont="1" applyBorder="1" applyAlignment="1">
      <alignment horizontal="center" vertical="center" wrapText="1"/>
    </xf>
    <xf numFmtId="10" fontId="2" fillId="0" borderId="3" xfId="0" applyNumberFormat="1" applyFont="1" applyBorder="1" applyAlignment="1">
      <alignment horizontal="center" vertical="center" wrapText="1"/>
    </xf>
    <xf numFmtId="9" fontId="2" fillId="0" borderId="1" xfId="0" applyNumberFormat="1" applyFont="1" applyBorder="1" applyAlignment="1">
      <alignment horizontal="center" vertical="center"/>
    </xf>
    <xf numFmtId="9" fontId="2" fillId="0" borderId="1" xfId="3" applyFont="1" applyBorder="1" applyAlignment="1">
      <alignment horizontal="center" vertical="center" wrapText="1"/>
    </xf>
    <xf numFmtId="9" fontId="6" fillId="0" borderId="1" xfId="0" applyNumberFormat="1" applyFont="1" applyBorder="1" applyAlignment="1" applyProtection="1">
      <alignment horizontal="center" vertical="center"/>
      <protection locked="0"/>
    </xf>
    <xf numFmtId="10" fontId="2" fillId="0" borderId="1" xfId="0" applyNumberFormat="1" applyFont="1" applyBorder="1" applyAlignment="1">
      <alignment horizontal="center" vertical="center"/>
    </xf>
    <xf numFmtId="10" fontId="2" fillId="6" borderId="1" xfId="0" applyNumberFormat="1" applyFont="1" applyFill="1" applyBorder="1" applyAlignment="1">
      <alignment horizontal="center" vertical="center" wrapText="1"/>
    </xf>
    <xf numFmtId="10" fontId="6" fillId="0" borderId="1" xfId="0" applyNumberFormat="1" applyFont="1" applyBorder="1" applyAlignment="1" applyProtection="1">
      <alignment horizontal="center" vertical="center"/>
      <protection locked="0"/>
    </xf>
    <xf numFmtId="176" fontId="6" fillId="6" borderId="1" xfId="0" applyNumberFormat="1" applyFont="1" applyFill="1"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9" fontId="6" fillId="6" borderId="1" xfId="0" applyNumberFormat="1" applyFont="1" applyFill="1" applyBorder="1" applyAlignment="1" applyProtection="1">
      <alignment horizontal="center" vertical="center"/>
      <protection locked="0"/>
    </xf>
    <xf numFmtId="0" fontId="6" fillId="0" borderId="5" xfId="0" applyFont="1" applyBorder="1" applyAlignment="1">
      <alignment horizontal="center" vertical="center" wrapText="1"/>
    </xf>
    <xf numFmtId="176" fontId="2" fillId="6" borderId="1" xfId="0" applyNumberFormat="1" applyFont="1" applyFill="1" applyBorder="1" applyAlignment="1" applyProtection="1">
      <alignment horizontal="center" vertical="center"/>
      <protection locked="0"/>
    </xf>
    <xf numFmtId="0" fontId="5" fillId="0" borderId="3" xfId="0" applyFont="1" applyBorder="1" applyAlignment="1">
      <alignment horizontal="left" vertical="center" wrapText="1"/>
    </xf>
    <xf numFmtId="176" fontId="6" fillId="6" borderId="1" xfId="0" applyNumberFormat="1" applyFont="1" applyFill="1" applyBorder="1" applyAlignment="1" applyProtection="1">
      <alignment horizontal="center" vertical="center"/>
      <protection locked="0"/>
    </xf>
    <xf numFmtId="0" fontId="2" fillId="0" borderId="5" xfId="0" applyFont="1" applyBorder="1" applyProtection="1">
      <alignment vertical="center"/>
      <protection locked="0"/>
    </xf>
    <xf numFmtId="9" fontId="10" fillId="0" borderId="1" xfId="3" applyFont="1" applyBorder="1" applyAlignment="1">
      <alignment horizontal="center" vertical="center" wrapText="1"/>
    </xf>
    <xf numFmtId="0" fontId="2" fillId="0" borderId="9"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protection locked="0"/>
    </xf>
    <xf numFmtId="9" fontId="10" fillId="0" borderId="5" xfId="3" applyFont="1" applyBorder="1" applyAlignment="1">
      <alignment horizontal="center" vertical="center" wrapText="1"/>
    </xf>
    <xf numFmtId="0" fontId="2" fillId="7" borderId="2" xfId="0" applyFont="1" applyFill="1" applyBorder="1" applyProtection="1">
      <alignment vertical="center"/>
      <protection locked="0"/>
    </xf>
    <xf numFmtId="0" fontId="2" fillId="0" borderId="5" xfId="0" applyFont="1" applyBorder="1" applyAlignment="1" applyProtection="1">
      <alignment horizontal="center" vertical="center" wrapText="1"/>
      <protection locked="0"/>
    </xf>
    <xf numFmtId="0" fontId="2" fillId="0" borderId="5" xfId="0" applyFont="1" applyBorder="1" applyAlignment="1" applyProtection="1">
      <alignment horizontal="center" vertical="center"/>
      <protection locked="0"/>
    </xf>
    <xf numFmtId="0" fontId="2" fillId="0" borderId="5" xfId="0" applyFont="1" applyBorder="1" applyAlignment="1" applyProtection="1">
      <alignment horizontal="left" vertical="center" wrapText="1"/>
      <protection locked="0"/>
    </xf>
    <xf numFmtId="0" fontId="2" fillId="0" borderId="10" xfId="0" applyFont="1" applyBorder="1" applyAlignment="1" applyProtection="1">
      <alignment horizontal="center" vertical="center"/>
      <protection locked="0"/>
    </xf>
    <xf numFmtId="0" fontId="0" fillId="0" borderId="0" xfId="0" applyAlignment="1">
      <alignment vertical="center" wrapText="1"/>
    </xf>
    <xf numFmtId="176" fontId="6" fillId="0" borderId="1" xfId="0" applyNumberFormat="1" applyFont="1" applyBorder="1" applyAlignment="1">
      <alignment horizontal="center" vertical="center" wrapText="1"/>
    </xf>
    <xf numFmtId="0" fontId="2" fillId="0" borderId="10" xfId="0" applyFont="1" applyBorder="1" applyAlignment="1">
      <alignment horizontal="center" vertical="center" wrapText="1"/>
    </xf>
    <xf numFmtId="10" fontId="6" fillId="6" borderId="1" xfId="0" applyNumberFormat="1" applyFont="1" applyFill="1" applyBorder="1" applyAlignment="1">
      <alignment horizontal="center" vertical="center" wrapText="1"/>
    </xf>
    <xf numFmtId="0" fontId="10" fillId="0" borderId="6" xfId="0" applyFont="1" applyBorder="1" applyAlignment="1">
      <alignment horizontal="left" vertical="center"/>
    </xf>
    <xf numFmtId="0" fontId="10" fillId="0" borderId="5" xfId="0" applyFont="1" applyBorder="1" applyAlignment="1">
      <alignment horizontal="left" vertical="center"/>
    </xf>
    <xf numFmtId="0" fontId="2" fillId="7" borderId="1" xfId="0"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wrapText="1"/>
      <protection locked="0"/>
    </xf>
    <xf numFmtId="0" fontId="10" fillId="0" borderId="5" xfId="0" applyFont="1" applyBorder="1" applyAlignment="1">
      <alignment vertical="center" wrapText="1"/>
    </xf>
    <xf numFmtId="9" fontId="2" fillId="0" borderId="5" xfId="0" applyNumberFormat="1" applyFont="1" applyBorder="1" applyAlignment="1" applyProtection="1">
      <alignment horizontal="center" vertical="center"/>
      <protection locked="0"/>
    </xf>
    <xf numFmtId="9" fontId="2" fillId="0" borderId="5" xfId="0" applyNumberFormat="1" applyFont="1" applyBorder="1" applyAlignment="1">
      <alignment horizontal="center" vertical="center"/>
    </xf>
    <xf numFmtId="0" fontId="6" fillId="0" borderId="5" xfId="0" applyFont="1" applyBorder="1" applyAlignment="1">
      <alignment horizontal="left" vertical="center" wrapText="1"/>
    </xf>
    <xf numFmtId="10" fontId="2" fillId="0" borderId="5" xfId="0" applyNumberFormat="1" applyFont="1" applyBorder="1" applyAlignment="1">
      <alignment horizontal="center" vertical="center"/>
    </xf>
    <xf numFmtId="0" fontId="6" fillId="0" borderId="6" xfId="0" applyFont="1" applyBorder="1" applyAlignment="1">
      <alignment horizontal="left" vertical="center" wrapText="1"/>
    </xf>
    <xf numFmtId="9" fontId="2" fillId="4" borderId="1" xfId="0" applyNumberFormat="1" applyFont="1" applyFill="1" applyBorder="1" applyAlignment="1">
      <alignment horizontal="center" vertical="center" wrapText="1"/>
    </xf>
    <xf numFmtId="0" fontId="2" fillId="0" borderId="6" xfId="0" applyFont="1" applyBorder="1" applyAlignment="1">
      <alignment horizontal="left" vertical="center" wrapText="1"/>
    </xf>
    <xf numFmtId="9" fontId="10" fillId="0" borderId="1" xfId="0" applyNumberFormat="1" applyFont="1" applyBorder="1" applyAlignment="1">
      <alignment horizontal="center" vertical="center"/>
    </xf>
    <xf numFmtId="9" fontId="10" fillId="6" borderId="1" xfId="0" applyNumberFormat="1" applyFont="1" applyFill="1" applyBorder="1" applyAlignment="1">
      <alignment horizontal="center" vertical="center" wrapText="1"/>
    </xf>
    <xf numFmtId="9" fontId="10" fillId="0" borderId="1" xfId="0" applyNumberFormat="1" applyFont="1" applyBorder="1" applyAlignment="1">
      <alignment horizontal="left" vertical="center" wrapText="1"/>
    </xf>
    <xf numFmtId="0" fontId="10" fillId="6" borderId="1" xfId="0" applyFont="1" applyFill="1" applyBorder="1" applyAlignment="1">
      <alignment horizontal="center" vertical="center" wrapText="1"/>
    </xf>
    <xf numFmtId="9" fontId="10" fillId="0" borderId="11" xfId="0" applyNumberFormat="1" applyFont="1" applyBorder="1" applyAlignment="1">
      <alignment horizontal="center" vertical="center" wrapText="1"/>
    </xf>
    <xf numFmtId="0" fontId="10" fillId="0" borderId="12" xfId="0" applyFont="1" applyBorder="1" applyAlignment="1">
      <alignment horizontal="center" vertical="center"/>
    </xf>
    <xf numFmtId="0" fontId="10" fillId="0" borderId="7" xfId="0" applyFont="1" applyBorder="1" applyAlignment="1">
      <alignment horizontal="center" vertical="center" wrapText="1"/>
    </xf>
    <xf numFmtId="9" fontId="10" fillId="0" borderId="12" xfId="0" applyNumberFormat="1" applyFont="1" applyBorder="1" applyAlignment="1">
      <alignment horizontal="center" vertical="center" wrapText="1"/>
    </xf>
    <xf numFmtId="0" fontId="6" fillId="6" borderId="6" xfId="0" applyFont="1" applyFill="1" applyBorder="1" applyAlignment="1">
      <alignment horizontal="center" vertical="center" wrapText="1"/>
    </xf>
    <xf numFmtId="9" fontId="10" fillId="6" borderId="7" xfId="0" applyNumberFormat="1" applyFont="1" applyFill="1" applyBorder="1" applyAlignment="1">
      <alignment horizontal="center" vertical="center" wrapText="1"/>
    </xf>
    <xf numFmtId="9" fontId="10" fillId="0" borderId="6" xfId="0" applyNumberFormat="1" applyFont="1" applyBorder="1" applyAlignment="1">
      <alignment horizontal="center" vertical="center" wrapText="1"/>
    </xf>
    <xf numFmtId="9" fontId="6" fillId="0" borderId="5" xfId="0" applyNumberFormat="1" applyFont="1" applyBorder="1" applyAlignment="1">
      <alignment horizontal="center" vertical="center" wrapText="1"/>
    </xf>
    <xf numFmtId="9" fontId="2" fillId="0" borderId="5" xfId="3" applyFont="1" applyBorder="1" applyAlignment="1">
      <alignment horizontal="center" vertical="center" wrapText="1"/>
    </xf>
    <xf numFmtId="9" fontId="6" fillId="0" borderId="6" xfId="0" applyNumberFormat="1" applyFont="1" applyBorder="1" applyAlignment="1">
      <alignment horizontal="left" vertical="center" wrapText="1"/>
    </xf>
    <xf numFmtId="0" fontId="2" fillId="0" borderId="1" xfId="0" applyFont="1" applyBorder="1" applyAlignment="1" applyProtection="1">
      <alignment horizontal="left" vertical="center"/>
      <protection locked="0"/>
    </xf>
    <xf numFmtId="0" fontId="2" fillId="6" borderId="5" xfId="0" applyFont="1" applyFill="1" applyBorder="1" applyAlignment="1">
      <alignment horizontal="center" vertical="center" wrapText="1"/>
    </xf>
    <xf numFmtId="10" fontId="2" fillId="6" borderId="5" xfId="0" applyNumberFormat="1" applyFont="1" applyFill="1" applyBorder="1" applyAlignment="1">
      <alignment horizontal="center" vertical="center" wrapText="1"/>
    </xf>
    <xf numFmtId="176" fontId="2" fillId="6" borderId="5" xfId="0" applyNumberFormat="1" applyFont="1" applyFill="1" applyBorder="1" applyAlignment="1">
      <alignment horizontal="center" vertical="center" wrapText="1"/>
    </xf>
    <xf numFmtId="176" fontId="2" fillId="0" borderId="5" xfId="0" applyNumberFormat="1" applyFont="1" applyBorder="1" applyAlignment="1">
      <alignment horizontal="center" vertical="center" wrapText="1"/>
    </xf>
    <xf numFmtId="176" fontId="2" fillId="6" borderId="1" xfId="0" applyNumberFormat="1" applyFont="1" applyFill="1" applyBorder="1" applyAlignment="1">
      <alignment horizontal="center" vertical="center" wrapText="1"/>
    </xf>
    <xf numFmtId="0" fontId="2" fillId="0" borderId="1" xfId="0" applyFont="1" applyBorder="1" applyAlignment="1" applyProtection="1">
      <alignment vertical="center" wrapText="1"/>
      <protection locked="0"/>
    </xf>
    <xf numFmtId="178" fontId="2" fillId="0" borderId="1" xfId="0" applyNumberFormat="1" applyFont="1" applyBorder="1" applyAlignment="1" applyProtection="1">
      <alignment horizontal="center" vertical="center"/>
      <protection locked="0"/>
    </xf>
    <xf numFmtId="43" fontId="2" fillId="0" borderId="1" xfId="1" applyFont="1" applyBorder="1" applyAlignment="1" applyProtection="1">
      <alignment horizontal="right" vertical="center"/>
      <protection locked="0"/>
    </xf>
    <xf numFmtId="0" fontId="5" fillId="0" borderId="5" xfId="0" applyFont="1" applyBorder="1" applyAlignment="1">
      <alignment horizontal="center" vertical="center" wrapText="1"/>
    </xf>
    <xf numFmtId="0" fontId="2" fillId="8" borderId="0" xfId="0" applyFont="1" applyFill="1">
      <alignment vertical="center"/>
    </xf>
    <xf numFmtId="0" fontId="1" fillId="2" borderId="9" xfId="0" applyFont="1" applyFill="1" applyBorder="1" applyAlignment="1">
      <alignment horizontal="center" vertical="center"/>
    </xf>
    <xf numFmtId="0" fontId="1" fillId="2" borderId="9"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4" fillId="2" borderId="9" xfId="0" applyFont="1" applyFill="1" applyBorder="1" applyAlignment="1">
      <alignment horizontal="center" vertical="center" wrapText="1"/>
    </xf>
    <xf numFmtId="43" fontId="1" fillId="2" borderId="9" xfId="1" applyFont="1" applyFill="1" applyBorder="1" applyAlignment="1">
      <alignment horizontal="center" vertical="center" wrapText="1"/>
    </xf>
    <xf numFmtId="177" fontId="12" fillId="8" borderId="11" xfId="0" applyNumberFormat="1" applyFont="1" applyFill="1" applyBorder="1" applyAlignment="1">
      <alignment horizontal="center" vertical="center" wrapText="1"/>
    </xf>
    <xf numFmtId="0" fontId="12" fillId="8" borderId="11" xfId="0" applyFont="1" applyFill="1" applyBorder="1" applyAlignment="1">
      <alignment horizontal="center" vertical="center" wrapText="1"/>
    </xf>
    <xf numFmtId="10" fontId="1" fillId="4" borderId="9" xfId="0" applyNumberFormat="1" applyFont="1" applyFill="1" applyBorder="1" applyAlignment="1">
      <alignment horizontal="center" vertical="center" wrapText="1"/>
    </xf>
    <xf numFmtId="0" fontId="1" fillId="4" borderId="9" xfId="0" applyFont="1" applyFill="1" applyBorder="1" applyAlignment="1">
      <alignment horizontal="center" vertical="center" wrapText="1"/>
    </xf>
    <xf numFmtId="0" fontId="5" fillId="0" borderId="1" xfId="0" applyFont="1" applyBorder="1" applyAlignment="1" applyProtection="1">
      <alignment horizontal="center" vertical="center"/>
      <protection locked="0"/>
    </xf>
    <xf numFmtId="9" fontId="5" fillId="0" borderId="1" xfId="0" applyNumberFormat="1"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9" fontId="5" fillId="0" borderId="1" xfId="0" applyNumberFormat="1" applyFont="1" applyBorder="1" applyAlignment="1">
      <alignment horizontal="center" vertical="center"/>
    </xf>
    <xf numFmtId="176" fontId="5" fillId="0" borderId="1" xfId="0" applyNumberFormat="1" applyFont="1" applyBorder="1" applyAlignment="1">
      <alignment horizontal="center" vertical="center" wrapText="1"/>
    </xf>
    <xf numFmtId="43" fontId="5" fillId="0" borderId="1" xfId="1" applyFont="1" applyBorder="1" applyAlignment="1" applyProtection="1">
      <alignment horizontal="center" vertical="center"/>
      <protection locked="0"/>
    </xf>
    <xf numFmtId="10" fontId="5" fillId="0" borderId="1" xfId="0" applyNumberFormat="1" applyFont="1" applyBorder="1" applyAlignment="1">
      <alignment horizontal="center" vertical="center" wrapText="1"/>
    </xf>
    <xf numFmtId="9" fontId="5" fillId="0" borderId="1" xfId="0" applyNumberFormat="1" applyFont="1" applyBorder="1" applyAlignment="1">
      <alignment horizontal="left" vertical="center" wrapText="1"/>
    </xf>
    <xf numFmtId="177" fontId="5" fillId="0" borderId="1" xfId="0" applyNumberFormat="1" applyFont="1" applyBorder="1" applyAlignment="1">
      <alignment horizontal="center" vertical="center" wrapText="1"/>
    </xf>
    <xf numFmtId="0" fontId="5" fillId="0" borderId="1" xfId="0" applyFont="1" applyBorder="1" applyProtection="1">
      <alignment vertical="center"/>
      <protection locked="0"/>
    </xf>
    <xf numFmtId="0" fontId="5" fillId="0" borderId="1" xfId="0" applyFont="1" applyBorder="1" applyAlignment="1" applyProtection="1">
      <alignment horizontal="center" vertical="center" wrapText="1"/>
      <protection locked="0"/>
    </xf>
    <xf numFmtId="10" fontId="5" fillId="0" borderId="1" xfId="0" applyNumberFormat="1" applyFont="1" applyBorder="1" applyAlignment="1">
      <alignment horizontal="center" vertical="center"/>
    </xf>
    <xf numFmtId="0" fontId="13" fillId="0" borderId="1" xfId="0" applyFont="1" applyBorder="1" applyAlignment="1">
      <alignment horizontal="center" vertical="center" wrapText="1"/>
    </xf>
    <xf numFmtId="43" fontId="5" fillId="0" borderId="1" xfId="1" applyFont="1" applyBorder="1" applyAlignment="1">
      <alignment horizontal="center" vertical="center" wrapText="1"/>
    </xf>
    <xf numFmtId="178" fontId="5" fillId="0" borderId="1" xfId="0" applyNumberFormat="1" applyFont="1" applyBorder="1" applyAlignment="1">
      <alignment horizontal="center" vertical="center" wrapText="1"/>
    </xf>
    <xf numFmtId="9" fontId="5" fillId="0" borderId="1" xfId="3" applyFont="1" applyBorder="1" applyAlignment="1">
      <alignment horizontal="center" vertical="center" wrapText="1"/>
    </xf>
    <xf numFmtId="10" fontId="5" fillId="0" borderId="1" xfId="0" applyNumberFormat="1" applyFont="1" applyBorder="1" applyAlignment="1" applyProtection="1">
      <alignment horizontal="center" vertical="center"/>
      <protection locked="0"/>
    </xf>
    <xf numFmtId="0" fontId="7"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vertical="center" wrapText="1"/>
    </xf>
    <xf numFmtId="9" fontId="5" fillId="0" borderId="1" xfId="0" applyNumberFormat="1" applyFont="1" applyBorder="1" applyAlignment="1" applyProtection="1">
      <alignment horizontal="center" vertical="center"/>
      <protection locked="0"/>
    </xf>
    <xf numFmtId="0" fontId="2" fillId="0" borderId="0" xfId="0" applyFont="1" applyFill="1">
      <alignment vertical="center"/>
    </xf>
    <xf numFmtId="0" fontId="0" fillId="0" borderId="0" xfId="0" applyFill="1">
      <alignment vertical="center"/>
    </xf>
    <xf numFmtId="0" fontId="0" fillId="8" borderId="0" xfId="0" applyFill="1">
      <alignment vertical="center"/>
    </xf>
    <xf numFmtId="0" fontId="3" fillId="9" borderId="9" xfId="0" applyFont="1" applyFill="1" applyBorder="1" applyAlignment="1">
      <alignment horizontal="center" vertical="center" wrapText="1"/>
    </xf>
    <xf numFmtId="0" fontId="4" fillId="8" borderId="9" xfId="0" applyFont="1" applyFill="1" applyBorder="1" applyAlignment="1">
      <alignment horizontal="center" vertical="center" wrapText="1"/>
    </xf>
    <xf numFmtId="177" fontId="12" fillId="0" borderId="11" xfId="0" applyNumberFormat="1" applyFont="1" applyBorder="1" applyAlignment="1">
      <alignment horizontal="center" vertical="center" wrapText="1"/>
    </xf>
    <xf numFmtId="0" fontId="12" fillId="10" borderId="11" xfId="0" applyFont="1" applyFill="1" applyBorder="1" applyAlignment="1">
      <alignment horizontal="center" vertical="center" wrapText="1"/>
    </xf>
    <xf numFmtId="0" fontId="12" fillId="7" borderId="11" xfId="0" applyFont="1" applyFill="1" applyBorder="1" applyAlignment="1">
      <alignment horizontal="center" vertical="center" wrapText="1"/>
    </xf>
    <xf numFmtId="0" fontId="12" fillId="0" borderId="11" xfId="0" applyFont="1" applyBorder="1" applyAlignment="1">
      <alignment horizontal="center" vertical="center" wrapText="1"/>
    </xf>
    <xf numFmtId="10" fontId="3" fillId="4" borderId="9" xfId="0" applyNumberFormat="1" applyFont="1" applyFill="1" applyBorder="1" applyAlignment="1">
      <alignment horizontal="center" vertical="center" wrapText="1"/>
    </xf>
    <xf numFmtId="0" fontId="2" fillId="0" borderId="1" xfId="0" applyFont="1" applyFill="1" applyBorder="1" applyAlignment="1" applyProtection="1">
      <alignment horizontal="center" vertical="center" wrapText="1"/>
      <protection locked="0"/>
    </xf>
    <xf numFmtId="0" fontId="5" fillId="0" borderId="1" xfId="0" applyFont="1" applyFill="1" applyBorder="1" applyAlignment="1" applyProtection="1">
      <alignment horizontal="center" vertical="center"/>
      <protection locked="0"/>
    </xf>
    <xf numFmtId="0" fontId="2" fillId="0" borderId="1" xfId="0" applyFont="1" applyFill="1" applyBorder="1" applyProtection="1">
      <alignment vertical="center"/>
      <protection locked="0"/>
    </xf>
    <xf numFmtId="0" fontId="2" fillId="0" borderId="1" xfId="0" applyFont="1" applyFill="1" applyBorder="1" applyAlignment="1" applyProtection="1">
      <alignment horizontal="center" vertical="center"/>
      <protection locked="0"/>
    </xf>
    <xf numFmtId="43" fontId="10" fillId="0" borderId="1" xfId="0" applyNumberFormat="1" applyFont="1" applyFill="1" applyBorder="1">
      <alignment vertical="center"/>
    </xf>
    <xf numFmtId="9" fontId="2" fillId="0" borderId="1" xfId="0" applyNumberFormat="1" applyFont="1" applyFill="1" applyBorder="1" applyAlignment="1">
      <alignment horizontal="center" vertical="center" wrapText="1"/>
    </xf>
    <xf numFmtId="178" fontId="5" fillId="0" borderId="10" xfId="0" applyNumberFormat="1" applyFont="1" applyFill="1" applyBorder="1" applyAlignment="1">
      <alignment horizontal="center" vertical="center" wrapText="1"/>
    </xf>
    <xf numFmtId="43" fontId="5" fillId="0" borderId="1" xfId="1" applyFont="1" applyFill="1" applyBorder="1" applyAlignment="1">
      <alignment horizontal="right" vertical="center" wrapText="1"/>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10" fontId="5" fillId="0" borderId="1" xfId="0" applyNumberFormat="1" applyFont="1" applyFill="1" applyBorder="1" applyAlignment="1" applyProtection="1">
      <alignment horizontal="center" vertical="center"/>
      <protection locked="0"/>
    </xf>
    <xf numFmtId="0" fontId="5" fillId="0" borderId="1" xfId="0" applyFont="1" applyFill="1" applyBorder="1" applyAlignment="1">
      <alignment horizontal="left" vertical="center" wrapText="1"/>
    </xf>
    <xf numFmtId="0" fontId="7" fillId="0" borderId="0" xfId="0" applyFont="1" applyFill="1">
      <alignment vertical="center"/>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40" fontId="6" fillId="0" borderId="10" xfId="0" applyNumberFormat="1" applyFont="1" applyFill="1" applyBorder="1" applyAlignment="1">
      <alignment vertical="center" shrinkToFit="1"/>
    </xf>
    <xf numFmtId="9" fontId="5" fillId="0" borderId="1" xfId="0" applyNumberFormat="1" applyFont="1" applyFill="1" applyBorder="1" applyAlignment="1">
      <alignment horizontal="center" vertical="center" wrapText="1"/>
    </xf>
    <xf numFmtId="43" fontId="5" fillId="0" borderId="1" xfId="1" applyFont="1" applyFill="1" applyBorder="1" applyAlignment="1" applyProtection="1">
      <alignment horizontal="center" vertical="center"/>
      <protection locked="0"/>
    </xf>
    <xf numFmtId="0" fontId="2" fillId="0" borderId="1" xfId="0" applyFont="1" applyFill="1" applyBorder="1" applyAlignment="1" applyProtection="1">
      <alignment horizontal="left" vertical="center" wrapText="1"/>
      <protection locked="0"/>
    </xf>
    <xf numFmtId="179" fontId="5" fillId="0" borderId="10" xfId="0" applyNumberFormat="1" applyFont="1" applyFill="1" applyBorder="1" applyAlignment="1">
      <alignment horizontal="center" vertical="center" wrapText="1"/>
    </xf>
    <xf numFmtId="0" fontId="5" fillId="0" borderId="1" xfId="0" applyFont="1" applyFill="1" applyBorder="1" applyAlignment="1" applyProtection="1">
      <alignment horizontal="center" vertical="center" wrapText="1"/>
      <protection locked="0"/>
    </xf>
    <xf numFmtId="176" fontId="5" fillId="0" borderId="1" xfId="0" applyNumberFormat="1" applyFont="1" applyFill="1" applyBorder="1" applyAlignment="1">
      <alignment horizontal="center" vertical="center" wrapText="1"/>
    </xf>
    <xf numFmtId="0" fontId="14" fillId="0" borderId="8" xfId="0" applyFont="1" applyFill="1" applyBorder="1" applyAlignment="1">
      <alignment horizontal="center" vertical="center" wrapText="1"/>
    </xf>
    <xf numFmtId="0" fontId="2" fillId="8" borderId="1" xfId="0" applyFont="1" applyFill="1" applyBorder="1" applyProtection="1">
      <alignment vertical="center"/>
      <protection locked="0"/>
    </xf>
    <xf numFmtId="0" fontId="6" fillId="0" borderId="1" xfId="0" applyFont="1" applyFill="1" applyBorder="1" applyAlignment="1" applyProtection="1">
      <alignment horizontal="center" vertical="center"/>
      <protection locked="0"/>
    </xf>
    <xf numFmtId="9" fontId="5" fillId="0" borderId="10" xfId="0" applyNumberFormat="1" applyFont="1" applyFill="1" applyBorder="1" applyAlignment="1">
      <alignment horizontal="center" vertical="center" wrapText="1"/>
    </xf>
    <xf numFmtId="10" fontId="5" fillId="0" borderId="1" xfId="1" applyNumberFormat="1" applyFont="1" applyFill="1" applyBorder="1" applyAlignment="1" applyProtection="1">
      <alignment horizontal="center" vertical="center"/>
      <protection locked="0"/>
    </xf>
    <xf numFmtId="40" fontId="15" fillId="11" borderId="5" xfId="0" applyNumberFormat="1" applyFont="1" applyFill="1" applyBorder="1" applyAlignment="1">
      <alignment horizontal="center" vertical="center" shrinkToFit="1"/>
    </xf>
    <xf numFmtId="10" fontId="5" fillId="0" borderId="1" xfId="0" applyNumberFormat="1" applyFont="1" applyFill="1" applyBorder="1" applyAlignment="1">
      <alignment horizontal="center" vertical="center" wrapText="1"/>
    </xf>
    <xf numFmtId="40" fontId="15" fillId="8" borderId="5" xfId="0" applyNumberFormat="1" applyFont="1" applyFill="1" applyBorder="1" applyAlignment="1">
      <alignment horizontal="center" vertical="center" shrinkToFit="1"/>
    </xf>
    <xf numFmtId="0" fontId="16" fillId="0" borderId="1" xfId="0" applyFont="1" applyFill="1" applyBorder="1" applyAlignment="1">
      <alignment horizontal="center" vertical="center" wrapText="1"/>
    </xf>
    <xf numFmtId="9" fontId="5" fillId="0" borderId="1" xfId="0" applyNumberFormat="1" applyFont="1" applyFill="1" applyBorder="1" applyAlignment="1">
      <alignment horizontal="left" vertical="center" wrapText="1"/>
    </xf>
    <xf numFmtId="177" fontId="5" fillId="0" borderId="1" xfId="0" applyNumberFormat="1" applyFont="1" applyFill="1" applyBorder="1" applyAlignment="1">
      <alignment horizontal="center" vertical="center" wrapText="1"/>
    </xf>
    <xf numFmtId="40" fontId="15" fillId="0" borderId="5" xfId="0" applyNumberFormat="1" applyFont="1" applyBorder="1" applyAlignment="1">
      <alignment horizontal="center" vertical="center" shrinkToFit="1"/>
    </xf>
    <xf numFmtId="0" fontId="5" fillId="0" borderId="10" xfId="0" applyFont="1" applyFill="1" applyBorder="1" applyAlignment="1">
      <alignment horizontal="center" vertical="center" wrapText="1"/>
    </xf>
    <xf numFmtId="9" fontId="5" fillId="0" borderId="1" xfId="0" applyNumberFormat="1" applyFont="1" applyFill="1" applyBorder="1" applyAlignment="1" applyProtection="1">
      <alignment horizontal="center" vertical="center"/>
      <protection locked="0"/>
    </xf>
    <xf numFmtId="0" fontId="2" fillId="0" borderId="1" xfId="0" applyFont="1" applyFill="1" applyBorder="1" applyAlignment="1">
      <alignment horizontal="center" vertical="center"/>
    </xf>
    <xf numFmtId="0" fontId="17" fillId="0" borderId="1" xfId="0" applyFont="1" applyFill="1" applyBorder="1" applyAlignment="1" applyProtection="1">
      <alignment horizontal="right" vertical="center" wrapText="1"/>
      <protection locked="0"/>
    </xf>
    <xf numFmtId="43" fontId="6" fillId="0" borderId="10" xfId="0" applyNumberFormat="1" applyFont="1" applyFill="1" applyBorder="1" applyAlignment="1">
      <alignment horizontal="center" vertical="center" shrinkToFit="1"/>
    </xf>
    <xf numFmtId="4" fontId="17" fillId="0" borderId="1" xfId="0" applyNumberFormat="1" applyFont="1" applyFill="1" applyBorder="1" applyAlignment="1">
      <alignment vertical="center" wrapText="1"/>
    </xf>
    <xf numFmtId="43" fontId="6" fillId="0" borderId="1" xfId="0" applyNumberFormat="1" applyFont="1" applyFill="1" applyBorder="1" applyAlignment="1">
      <alignment horizontal="center" vertical="center" shrinkToFit="1"/>
    </xf>
    <xf numFmtId="4" fontId="5" fillId="0"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wrapText="1"/>
    </xf>
    <xf numFmtId="180" fontId="6" fillId="0" borderId="10" xfId="0" applyNumberFormat="1" applyFont="1" applyFill="1" applyBorder="1" applyAlignment="1">
      <alignment horizontal="center" vertical="center" shrinkToFit="1"/>
    </xf>
    <xf numFmtId="0" fontId="17" fillId="0" borderId="1" xfId="0" applyFont="1" applyFill="1" applyBorder="1" applyAlignment="1">
      <alignment vertical="center" wrapText="1"/>
    </xf>
    <xf numFmtId="180" fontId="6" fillId="0" borderId="1" xfId="0" applyNumberFormat="1" applyFont="1" applyFill="1" applyBorder="1" applyAlignment="1">
      <alignment horizontal="center" vertical="center" shrinkToFit="1"/>
    </xf>
    <xf numFmtId="0" fontId="6" fillId="0" borderId="1" xfId="0" applyFont="1" applyFill="1" applyBorder="1" applyAlignment="1">
      <alignment horizontal="center" vertical="center" wrapText="1"/>
    </xf>
    <xf numFmtId="43" fontId="18" fillId="12" borderId="5" xfId="0" applyNumberFormat="1" applyFont="1" applyFill="1" applyBorder="1" applyAlignment="1">
      <alignment horizontal="center" vertical="center" shrinkToFit="1"/>
    </xf>
    <xf numFmtId="43" fontId="18" fillId="0" borderId="5" xfId="0" applyNumberFormat="1" applyFont="1" applyFill="1" applyBorder="1" applyAlignment="1">
      <alignment horizontal="center" vertical="center" shrinkToFit="1"/>
    </xf>
    <xf numFmtId="43" fontId="18" fillId="12" borderId="5" xfId="0" applyNumberFormat="1" applyFont="1" applyFill="1" applyBorder="1" applyAlignment="1" applyProtection="1">
      <alignment horizontal="center" vertical="center" shrinkToFit="1"/>
      <protection locked="0"/>
    </xf>
    <xf numFmtId="178" fontId="18" fillId="0" borderId="5" xfId="0" applyNumberFormat="1" applyFont="1" applyBorder="1" applyAlignment="1">
      <alignment horizontal="center" vertical="center"/>
    </xf>
    <xf numFmtId="178" fontId="18" fillId="0" borderId="5" xfId="0" applyNumberFormat="1" applyFont="1" applyBorder="1" applyAlignment="1" applyProtection="1">
      <alignment horizontal="center" vertical="center" shrinkToFit="1"/>
      <protection locked="0"/>
    </xf>
    <xf numFmtId="180" fontId="19" fillId="13" borderId="13" xfId="0" applyNumberFormat="1" applyFont="1" applyFill="1" applyBorder="1" applyAlignment="1" applyProtection="1">
      <alignment horizontal="center" vertical="center" shrinkToFit="1"/>
      <protection locked="0"/>
    </xf>
    <xf numFmtId="178" fontId="18" fillId="12" borderId="5" xfId="0" applyNumberFormat="1" applyFont="1" applyFill="1" applyBorder="1" applyAlignment="1" applyProtection="1">
      <alignment horizontal="center" vertical="center" shrinkToFit="1"/>
      <protection locked="0"/>
    </xf>
    <xf numFmtId="43" fontId="18" fillId="12" borderId="7" xfId="0" applyNumberFormat="1" applyFont="1" applyFill="1" applyBorder="1" applyAlignment="1" applyProtection="1">
      <alignment horizontal="center" vertical="center" shrinkToFit="1"/>
      <protection locked="0"/>
    </xf>
    <xf numFmtId="180" fontId="19" fillId="14" borderId="7" xfId="0" applyNumberFormat="1" applyFont="1" applyFill="1" applyBorder="1" applyAlignment="1" applyProtection="1">
      <alignment horizontal="center" vertical="center" shrinkToFit="1"/>
      <protection locked="0"/>
    </xf>
    <xf numFmtId="178" fontId="20" fillId="0" borderId="5" xfId="0" applyNumberFormat="1" applyFont="1" applyBorder="1" applyAlignment="1">
      <alignment horizontal="center" vertical="center"/>
    </xf>
    <xf numFmtId="178" fontId="5" fillId="0"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xf>
    <xf numFmtId="4" fontId="17" fillId="0" borderId="1" xfId="0" applyNumberFormat="1" applyFont="1" applyFill="1" applyBorder="1" applyAlignment="1">
      <alignment horizontal="center" vertical="center" wrapText="1"/>
    </xf>
    <xf numFmtId="0" fontId="5" fillId="0" borderId="1" xfId="3" applyNumberFormat="1" applyFont="1" applyFill="1" applyBorder="1" applyAlignment="1">
      <alignment horizontal="center" vertical="center" wrapText="1"/>
    </xf>
    <xf numFmtId="9" fontId="5" fillId="0" borderId="1" xfId="3" applyFont="1" applyFill="1" applyBorder="1" applyAlignment="1">
      <alignment horizontal="center" vertical="center" wrapText="1"/>
    </xf>
    <xf numFmtId="4" fontId="17" fillId="0" borderId="1" xfId="0" applyNumberFormat="1" applyFont="1" applyFill="1" applyBorder="1" applyAlignment="1" applyProtection="1">
      <alignment horizontal="center" vertical="center" wrapText="1"/>
      <protection locked="0"/>
    </xf>
    <xf numFmtId="0" fontId="17" fillId="0" borderId="1" xfId="0" applyFont="1" applyFill="1" applyBorder="1" applyAlignment="1">
      <alignment horizontal="center" vertical="center" wrapText="1"/>
    </xf>
    <xf numFmtId="0" fontId="17" fillId="0" borderId="1" xfId="0" applyFont="1" applyFill="1" applyBorder="1" applyAlignment="1" applyProtection="1">
      <alignment horizontal="center" vertical="center" wrapText="1"/>
      <protection locked="0"/>
    </xf>
    <xf numFmtId="43" fontId="21" fillId="15" borderId="5" xfId="0" applyNumberFormat="1" applyFont="1" applyFill="1" applyBorder="1" applyAlignment="1">
      <alignment horizontal="center" vertical="center" shrinkToFit="1"/>
    </xf>
    <xf numFmtId="10" fontId="5" fillId="0" borderId="1" xfId="0" applyNumberFormat="1" applyFont="1" applyFill="1" applyBorder="1" applyAlignment="1">
      <alignment horizontal="center" vertical="center"/>
    </xf>
    <xf numFmtId="43" fontId="22" fillId="0" borderId="5" xfId="0" applyNumberFormat="1" applyFont="1" applyBorder="1" applyAlignment="1">
      <alignment horizontal="center" vertical="center" shrinkToFit="1"/>
    </xf>
    <xf numFmtId="43" fontId="22" fillId="11" borderId="5" xfId="0" applyNumberFormat="1" applyFont="1" applyFill="1" applyBorder="1" applyAlignment="1">
      <alignment horizontal="center" vertical="center" shrinkToFit="1"/>
    </xf>
    <xf numFmtId="43" fontId="22" fillId="0" borderId="14" xfId="0" applyNumberFormat="1" applyFont="1" applyBorder="1" applyAlignment="1">
      <alignment horizontal="center" vertical="center" shrinkToFit="1"/>
    </xf>
    <xf numFmtId="180" fontId="18" fillId="0" borderId="15" xfId="0" applyNumberFormat="1" applyFont="1" applyFill="1" applyBorder="1" applyAlignment="1">
      <alignment horizontal="center" vertical="center" shrinkToFit="1"/>
    </xf>
    <xf numFmtId="0" fontId="6" fillId="0" borderId="5" xfId="0" applyFont="1" applyBorder="1">
      <alignment vertical="center"/>
    </xf>
    <xf numFmtId="0" fontId="17" fillId="0" borderId="10" xfId="0" applyFont="1" applyFill="1" applyBorder="1" applyAlignment="1">
      <alignment horizontal="right" vertical="center" wrapText="1"/>
    </xf>
    <xf numFmtId="0" fontId="17" fillId="0" borderId="1" xfId="0" applyFont="1" applyFill="1" applyBorder="1" applyAlignment="1">
      <alignment horizontal="right" vertical="center" wrapText="1"/>
    </xf>
    <xf numFmtId="176" fontId="10" fillId="0" borderId="5" xfId="0" applyNumberFormat="1" applyFont="1" applyFill="1" applyBorder="1" applyAlignment="1">
      <alignment horizontal="center" vertical="center" wrapText="1"/>
    </xf>
    <xf numFmtId="178" fontId="5" fillId="0" borderId="1" xfId="0" applyNumberFormat="1" applyFont="1" applyFill="1" applyBorder="1" applyAlignment="1" applyProtection="1">
      <alignment horizontal="center" vertical="center"/>
      <protection locked="0"/>
    </xf>
    <xf numFmtId="0" fontId="5" fillId="0" borderId="1" xfId="0" applyFont="1" applyFill="1" applyBorder="1" applyAlignment="1">
      <alignment vertical="center" wrapText="1"/>
    </xf>
    <xf numFmtId="0" fontId="6" fillId="0" borderId="5" xfId="0" applyFont="1" applyBorder="1" applyProtection="1">
      <alignment vertical="center"/>
      <protection locked="0"/>
    </xf>
    <xf numFmtId="43" fontId="6" fillId="0" borderId="5" xfId="0" applyNumberFormat="1" applyFont="1" applyBorder="1">
      <alignment vertical="center"/>
    </xf>
    <xf numFmtId="178" fontId="18" fillId="0" borderId="5" xfId="0" applyNumberFormat="1" applyFont="1" applyFill="1" applyBorder="1" applyAlignment="1" applyProtection="1">
      <alignment horizontal="center" vertical="center"/>
      <protection locked="0"/>
    </xf>
    <xf numFmtId="0" fontId="2" fillId="8" borderId="1" xfId="0" applyFont="1" applyFill="1" applyBorder="1" applyAlignment="1" applyProtection="1">
      <alignment horizontal="center" vertical="center" wrapText="1"/>
      <protection locked="0"/>
    </xf>
    <xf numFmtId="0" fontId="5" fillId="8" borderId="1" xfId="0" applyFont="1" applyFill="1" applyBorder="1" applyAlignment="1" applyProtection="1">
      <alignment horizontal="center" vertical="center"/>
      <protection locked="0"/>
    </xf>
    <xf numFmtId="0" fontId="2" fillId="8" borderId="1" xfId="0" applyFont="1" applyFill="1" applyBorder="1" applyAlignment="1" applyProtection="1">
      <alignment horizontal="center" vertical="center"/>
      <protection locked="0"/>
    </xf>
    <xf numFmtId="0" fontId="2" fillId="8"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43" fontId="10" fillId="8" borderId="1" xfId="0" applyNumberFormat="1" applyFont="1" applyFill="1" applyBorder="1">
      <alignment vertical="center"/>
    </xf>
    <xf numFmtId="9" fontId="2" fillId="8" borderId="1" xfId="0" applyNumberFormat="1" applyFont="1" applyFill="1" applyBorder="1" applyAlignment="1">
      <alignment horizontal="center" vertical="center" wrapText="1"/>
    </xf>
    <xf numFmtId="181" fontId="6" fillId="8" borderId="10" xfId="0" applyNumberFormat="1" applyFont="1" applyFill="1" applyBorder="1" applyAlignment="1">
      <alignment horizontal="center" vertical="center" shrinkToFit="1"/>
    </xf>
    <xf numFmtId="43" fontId="5" fillId="8" borderId="1" xfId="1" applyFont="1" applyFill="1" applyBorder="1" applyAlignment="1">
      <alignment horizontal="right" vertical="center" wrapText="1"/>
    </xf>
    <xf numFmtId="10" fontId="5" fillId="8" borderId="1" xfId="0" applyNumberFormat="1" applyFont="1" applyFill="1" applyBorder="1" applyAlignment="1">
      <alignment horizontal="center" vertical="center"/>
    </xf>
    <xf numFmtId="181" fontId="6" fillId="8" borderId="1" xfId="0" applyNumberFormat="1" applyFont="1" applyFill="1" applyBorder="1" applyAlignment="1">
      <alignment horizontal="center" vertical="center" shrinkToFit="1"/>
    </xf>
    <xf numFmtId="9" fontId="5" fillId="8" borderId="1" xfId="0" applyNumberFormat="1" applyFont="1" applyFill="1" applyBorder="1" applyAlignment="1">
      <alignment horizontal="center" vertical="center" wrapText="1"/>
    </xf>
    <xf numFmtId="0" fontId="6" fillId="8" borderId="1" xfId="0" applyFont="1" applyFill="1" applyBorder="1" applyAlignment="1">
      <alignment horizontal="center" vertical="center"/>
    </xf>
    <xf numFmtId="0" fontId="5" fillId="8" borderId="1" xfId="0" applyFont="1" applyFill="1" applyBorder="1" applyAlignment="1">
      <alignment horizontal="center" vertical="center"/>
    </xf>
    <xf numFmtId="176" fontId="5" fillId="8" borderId="1" xfId="0" applyNumberFormat="1" applyFont="1" applyFill="1" applyBorder="1" applyAlignment="1">
      <alignment horizontal="center" vertical="center" wrapText="1"/>
    </xf>
    <xf numFmtId="0" fontId="6" fillId="8" borderId="1" xfId="0" applyFont="1" applyFill="1" applyBorder="1" applyAlignment="1">
      <alignment horizontal="center" vertical="center" wrapText="1"/>
    </xf>
    <xf numFmtId="181" fontId="6" fillId="8" borderId="1" xfId="0" applyNumberFormat="1" applyFont="1" applyFill="1" applyBorder="1" applyAlignment="1" applyProtection="1">
      <alignment horizontal="center" vertical="center" shrinkToFit="1"/>
      <protection locked="0"/>
    </xf>
    <xf numFmtId="10" fontId="5" fillId="8" borderId="1" xfId="0" applyNumberFormat="1" applyFont="1" applyFill="1" applyBorder="1" applyAlignment="1" applyProtection="1">
      <alignment horizontal="center" vertical="center"/>
      <protection locked="0"/>
    </xf>
    <xf numFmtId="0" fontId="5" fillId="8" borderId="1" xfId="0" applyFont="1" applyFill="1" applyBorder="1" applyAlignment="1">
      <alignment horizontal="left" vertical="center" wrapText="1"/>
    </xf>
    <xf numFmtId="0" fontId="7" fillId="8" borderId="0" xfId="0" applyFont="1" applyFill="1">
      <alignment vertical="center"/>
    </xf>
    <xf numFmtId="0" fontId="2" fillId="8" borderId="1" xfId="0" applyFont="1" applyFill="1" applyBorder="1" applyAlignment="1">
      <alignment horizontal="center" vertical="center" wrapText="1"/>
    </xf>
    <xf numFmtId="9" fontId="5" fillId="8" borderId="1" xfId="0" applyNumberFormat="1" applyFont="1" applyFill="1" applyBorder="1" applyAlignment="1">
      <alignment horizontal="center" vertical="center"/>
    </xf>
    <xf numFmtId="0" fontId="7" fillId="0" borderId="1" xfId="0" applyFont="1" applyFill="1" applyBorder="1" applyAlignment="1">
      <alignment vertical="center" wrapText="1"/>
    </xf>
    <xf numFmtId="0" fontId="5" fillId="0" borderId="1" xfId="0" applyFont="1" applyFill="1" applyBorder="1" applyAlignment="1">
      <alignment horizontal="left" vertical="center"/>
    </xf>
    <xf numFmtId="0" fontId="17" fillId="0" borderId="10" xfId="0" applyFont="1" applyFill="1" applyBorder="1" applyAlignment="1">
      <alignment horizontal="center" vertical="center" wrapText="1"/>
    </xf>
    <xf numFmtId="179" fontId="17" fillId="0" borderId="1" xfId="0" applyNumberFormat="1" applyFont="1" applyFill="1" applyBorder="1" applyAlignment="1">
      <alignment horizontal="center" vertical="center" wrapText="1"/>
    </xf>
    <xf numFmtId="179" fontId="6" fillId="0" borderId="1" xfId="0" applyNumberFormat="1" applyFont="1" applyFill="1" applyBorder="1" applyAlignment="1">
      <alignment horizontal="center" vertical="center" wrapText="1"/>
    </xf>
    <xf numFmtId="179" fontId="6" fillId="0" borderId="1" xfId="0" applyNumberFormat="1" applyFont="1" applyFill="1" applyBorder="1" applyAlignment="1">
      <alignment horizontal="center" vertical="center"/>
    </xf>
    <xf numFmtId="179" fontId="6" fillId="0" borderId="1" xfId="0" applyNumberFormat="1" applyFont="1" applyFill="1" applyBorder="1" applyAlignment="1" applyProtection="1">
      <alignment horizontal="center" vertical="center"/>
      <protection locked="0"/>
    </xf>
    <xf numFmtId="0" fontId="5" fillId="0" borderId="10" xfId="0" applyFont="1" applyFill="1" applyBorder="1" applyAlignment="1">
      <alignment horizontal="center" vertical="center"/>
    </xf>
    <xf numFmtId="0" fontId="5" fillId="0" borderId="1" xfId="0" applyFont="1" applyFill="1" applyBorder="1" applyProtection="1">
      <alignment vertical="center"/>
      <protection locked="0"/>
    </xf>
    <xf numFmtId="0" fontId="10" fillId="16" borderId="12" xfId="0" applyFont="1" applyFill="1" applyBorder="1" applyAlignment="1">
      <alignment horizontal="center" vertical="center" wrapText="1"/>
    </xf>
    <xf numFmtId="2" fontId="5" fillId="0" borderId="1" xfId="0" applyNumberFormat="1" applyFont="1" applyFill="1" applyBorder="1" applyAlignment="1">
      <alignment horizontal="center" vertical="center" wrapText="1"/>
    </xf>
    <xf numFmtId="178" fontId="6" fillId="0" borderId="1" xfId="0" applyNumberFormat="1" applyFont="1" applyFill="1" applyBorder="1" applyAlignment="1" applyProtection="1">
      <alignment horizontal="center" vertical="center"/>
      <protection locked="0"/>
    </xf>
    <xf numFmtId="4" fontId="17" fillId="0" borderId="10" xfId="0" applyNumberFormat="1" applyFont="1" applyFill="1" applyBorder="1" applyAlignment="1">
      <alignment vertical="center" wrapText="1"/>
    </xf>
    <xf numFmtId="4" fontId="17" fillId="0" borderId="1" xfId="0" applyNumberFormat="1" applyFont="1" applyFill="1" applyBorder="1" applyAlignment="1" applyProtection="1">
      <alignment vertical="center" wrapText="1"/>
      <protection locked="0"/>
    </xf>
    <xf numFmtId="40" fontId="6" fillId="0" borderId="10" xfId="0" applyNumberFormat="1" applyFont="1" applyFill="1" applyBorder="1" applyAlignment="1">
      <alignment horizontal="center" vertical="center" shrinkToFit="1"/>
    </xf>
    <xf numFmtId="40" fontId="6" fillId="0" borderId="1" xfId="0" applyNumberFormat="1" applyFont="1" applyFill="1" applyBorder="1" applyAlignment="1">
      <alignment vertical="center" shrinkToFit="1"/>
    </xf>
    <xf numFmtId="0" fontId="6" fillId="0" borderId="10" xfId="0" applyFont="1" applyFill="1" applyBorder="1" applyAlignment="1">
      <alignment horizontal="center" vertical="center" shrinkToFit="1"/>
    </xf>
    <xf numFmtId="181" fontId="6" fillId="0" borderId="1" xfId="0" applyNumberFormat="1" applyFont="1" applyFill="1" applyBorder="1" applyAlignment="1">
      <alignment horizontal="center" vertical="center" shrinkToFit="1"/>
    </xf>
    <xf numFmtId="181" fontId="6" fillId="0" borderId="1" xfId="0" applyNumberFormat="1" applyFont="1" applyFill="1" applyBorder="1" applyAlignment="1" applyProtection="1">
      <alignment horizontal="center" vertical="center" shrinkToFit="1"/>
      <protection locked="0"/>
    </xf>
    <xf numFmtId="9" fontId="6" fillId="0" borderId="1" xfId="0" applyNumberFormat="1" applyFont="1" applyFill="1" applyBorder="1" applyAlignment="1">
      <alignment horizontal="center" vertical="center" wrapText="1"/>
    </xf>
    <xf numFmtId="180" fontId="19" fillId="0" borderId="5" xfId="0" applyNumberFormat="1" applyFont="1" applyFill="1" applyBorder="1" applyAlignment="1">
      <alignment horizontal="center" vertical="center" shrinkToFit="1"/>
    </xf>
    <xf numFmtId="43" fontId="6" fillId="0" borderId="1" xfId="0" applyNumberFormat="1" applyFont="1" applyFill="1" applyBorder="1" applyAlignment="1" applyProtection="1">
      <alignment horizontal="center" vertical="center" shrinkToFit="1"/>
      <protection locked="0"/>
    </xf>
    <xf numFmtId="0" fontId="6" fillId="0" borderId="1" xfId="0" applyFont="1" applyFill="1" applyBorder="1" applyAlignment="1">
      <alignment horizontal="center" vertical="center"/>
    </xf>
    <xf numFmtId="43" fontId="18" fillId="0" borderId="5" xfId="0" applyNumberFormat="1" applyFont="1" applyBorder="1" applyAlignment="1">
      <alignment horizontal="center" vertical="center" shrinkToFit="1"/>
    </xf>
    <xf numFmtId="0" fontId="2" fillId="0" borderId="1" xfId="0" applyFont="1" applyFill="1" applyBorder="1" applyAlignment="1" applyProtection="1">
      <alignment horizontal="left" vertical="center"/>
      <protection locked="0"/>
    </xf>
    <xf numFmtId="0" fontId="23" fillId="0" borderId="5" xfId="0" applyFont="1" applyFill="1" applyBorder="1">
      <alignment vertical="center"/>
    </xf>
    <xf numFmtId="43" fontId="18" fillId="0" borderId="7" xfId="0" applyNumberFormat="1" applyFont="1" applyBorder="1" applyAlignment="1">
      <alignment horizontal="center" vertical="center" shrinkToFit="1"/>
    </xf>
    <xf numFmtId="0" fontId="24" fillId="0" borderId="5" xfId="0" applyFont="1" applyBorder="1" applyAlignment="1" applyProtection="1">
      <alignment horizontal="center" vertical="center"/>
      <protection locked="0"/>
    </xf>
    <xf numFmtId="0" fontId="25" fillId="0" borderId="0" xfId="0" applyFont="1">
      <alignment vertical="center"/>
    </xf>
    <xf numFmtId="0" fontId="25" fillId="13" borderId="5" xfId="0" applyFont="1" applyFill="1" applyBorder="1" applyAlignment="1">
      <alignment horizontal="center" vertical="center"/>
    </xf>
    <xf numFmtId="43" fontId="18" fillId="13" borderId="5" xfId="0" applyNumberFormat="1" applyFont="1" applyFill="1" applyBorder="1" applyAlignment="1">
      <alignment horizontal="center" vertical="center" shrinkToFit="1"/>
    </xf>
    <xf numFmtId="0" fontId="24" fillId="17" borderId="5" xfId="0" applyFont="1" applyFill="1" applyBorder="1" applyAlignment="1" applyProtection="1">
      <alignment horizontal="center" vertical="center"/>
      <protection locked="0"/>
    </xf>
    <xf numFmtId="43" fontId="18" fillId="17" borderId="5" xfId="0" applyNumberFormat="1" applyFont="1" applyFill="1" applyBorder="1" applyAlignment="1">
      <alignment horizontal="center" vertical="center" shrinkToFit="1"/>
    </xf>
    <xf numFmtId="0" fontId="24" fillId="0" borderId="5" xfId="0" applyFont="1" applyFill="1" applyBorder="1" applyAlignment="1" applyProtection="1">
      <alignment horizontal="center" vertical="center"/>
      <protection locked="0"/>
    </xf>
    <xf numFmtId="43" fontId="5" fillId="0" borderId="1" xfId="1" applyFont="1" applyFill="1" applyBorder="1" applyAlignment="1" applyProtection="1">
      <alignment horizontal="right" vertical="center"/>
      <protection locked="0"/>
    </xf>
    <xf numFmtId="178" fontId="6" fillId="0" borderId="1" xfId="0" applyNumberFormat="1" applyFont="1" applyFill="1" applyBorder="1" applyAlignment="1">
      <alignment horizontal="center" vertical="center" shrinkToFit="1"/>
    </xf>
    <xf numFmtId="2" fontId="5" fillId="0" borderId="1" xfId="0" applyNumberFormat="1" applyFont="1" applyFill="1" applyBorder="1" applyAlignment="1" applyProtection="1">
      <alignment horizontal="center" vertical="center"/>
      <protection locked="0"/>
    </xf>
    <xf numFmtId="0" fontId="6" fillId="0" borderId="1" xfId="0" applyNumberFormat="1" applyFont="1" applyFill="1" applyBorder="1" applyAlignment="1">
      <alignment horizontal="center" vertical="center" wrapText="1"/>
    </xf>
    <xf numFmtId="178" fontId="6" fillId="0" borderId="10" xfId="0" applyNumberFormat="1" applyFont="1" applyFill="1" applyBorder="1" applyAlignment="1">
      <alignment horizontal="center" vertical="center" wrapText="1"/>
    </xf>
    <xf numFmtId="0" fontId="7" fillId="0" borderId="1" xfId="0" applyFont="1" applyFill="1" applyBorder="1" applyAlignment="1">
      <alignment horizontal="center" vertical="center"/>
    </xf>
    <xf numFmtId="43" fontId="6" fillId="0" borderId="1" xfId="0" applyNumberFormat="1" applyFont="1" applyFill="1" applyBorder="1" applyAlignment="1">
      <alignment horizontal="center" vertical="center" wrapText="1"/>
    </xf>
    <xf numFmtId="43" fontId="5" fillId="0" borderId="1" xfId="1" applyFont="1" applyFill="1" applyBorder="1" applyAlignment="1">
      <alignment horizontal="right" vertical="center"/>
    </xf>
    <xf numFmtId="178" fontId="5" fillId="0" borderId="1" xfId="0" applyNumberFormat="1" applyFont="1" applyFill="1" applyBorder="1" applyAlignment="1" applyProtection="1">
      <alignment horizontal="center" vertical="center" wrapText="1"/>
      <protection locked="0"/>
    </xf>
    <xf numFmtId="10" fontId="5" fillId="0" borderId="1" xfId="0" applyNumberFormat="1" applyFont="1" applyFill="1" applyBorder="1">
      <alignment vertical="center"/>
    </xf>
    <xf numFmtId="0" fontId="5" fillId="0" borderId="1" xfId="0" applyFont="1" applyFill="1" applyBorder="1">
      <alignment vertical="center"/>
    </xf>
    <xf numFmtId="178" fontId="18" fillId="0" borderId="5" xfId="0" applyNumberFormat="1" applyFont="1" applyFill="1" applyBorder="1" applyAlignment="1">
      <alignment horizontal="center" vertical="center"/>
    </xf>
    <xf numFmtId="0" fontId="7" fillId="8" borderId="1" xfId="0" applyFont="1" applyFill="1" applyBorder="1" applyAlignment="1">
      <alignment horizontal="center" vertical="center"/>
    </xf>
    <xf numFmtId="0" fontId="6" fillId="8" borderId="1" xfId="0" applyFont="1" applyFill="1" applyBorder="1" applyAlignment="1" applyProtection="1">
      <alignment horizontal="center" vertical="center"/>
      <protection locked="0"/>
    </xf>
    <xf numFmtId="0" fontId="2" fillId="8" borderId="1" xfId="0" applyFont="1" applyFill="1" applyBorder="1" applyAlignment="1" applyProtection="1">
      <alignment horizontal="left" vertical="center" wrapText="1"/>
      <protection locked="0"/>
    </xf>
    <xf numFmtId="43" fontId="6" fillId="8" borderId="1" xfId="0" applyNumberFormat="1" applyFont="1" applyFill="1" applyBorder="1" applyAlignment="1">
      <alignment horizontal="center" vertical="center" wrapText="1"/>
    </xf>
    <xf numFmtId="178" fontId="5" fillId="8" borderId="10" xfId="0" applyNumberFormat="1" applyFont="1" applyFill="1" applyBorder="1" applyAlignment="1">
      <alignment horizontal="center" vertical="center" wrapText="1"/>
    </xf>
    <xf numFmtId="43" fontId="5" fillId="8" borderId="1" xfId="1" applyFont="1" applyFill="1" applyBorder="1" applyAlignment="1">
      <alignment horizontal="right" vertical="center"/>
    </xf>
    <xf numFmtId="10" fontId="5" fillId="8" borderId="1" xfId="0" applyNumberFormat="1" applyFont="1" applyFill="1" applyBorder="1">
      <alignment vertical="center"/>
    </xf>
    <xf numFmtId="0" fontId="5" fillId="8" borderId="1" xfId="0" applyFont="1" applyFill="1" applyBorder="1">
      <alignment vertical="center"/>
    </xf>
    <xf numFmtId="0" fontId="5" fillId="8" borderId="1" xfId="0" applyFont="1" applyFill="1" applyBorder="1" applyAlignment="1">
      <alignment vertical="center" wrapText="1"/>
    </xf>
    <xf numFmtId="0" fontId="6" fillId="0" borderId="10" xfId="0" applyFont="1" applyFill="1" applyBorder="1" applyAlignment="1">
      <alignment horizontal="center" vertical="center" wrapText="1"/>
    </xf>
    <xf numFmtId="0" fontId="10" fillId="0" borderId="1" xfId="0" applyFont="1" applyFill="1" applyBorder="1" applyAlignment="1">
      <alignment horizontal="center" vertical="center"/>
    </xf>
    <xf numFmtId="178" fontId="6" fillId="0" borderId="1" xfId="0" applyNumberFormat="1" applyFont="1" applyFill="1" applyBorder="1" applyAlignment="1" applyProtection="1">
      <alignment horizontal="center" vertical="center" shrinkToFit="1"/>
      <protection locked="0"/>
    </xf>
    <xf numFmtId="0" fontId="10"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43" fontId="7" fillId="0" borderId="1" xfId="1" applyFont="1" applyFill="1" applyBorder="1" applyAlignment="1">
      <alignment horizontal="right" vertical="center"/>
    </xf>
    <xf numFmtId="10" fontId="7" fillId="0" borderId="1" xfId="0" applyNumberFormat="1" applyFont="1" applyFill="1" applyBorder="1" applyAlignment="1">
      <alignment horizontal="center" vertical="center"/>
    </xf>
    <xf numFmtId="43" fontId="18" fillId="0" borderId="5" xfId="0" applyNumberFormat="1" applyFont="1" applyFill="1" applyBorder="1" applyAlignment="1" applyProtection="1">
      <alignment horizontal="center" vertical="center" shrinkToFit="1"/>
      <protection locked="0"/>
    </xf>
    <xf numFmtId="178" fontId="18" fillId="0" borderId="5" xfId="0" applyNumberFormat="1" applyFont="1" applyFill="1" applyBorder="1" applyAlignment="1" applyProtection="1">
      <alignment horizontal="center" vertical="center" shrinkToFit="1"/>
      <protection locked="0"/>
    </xf>
    <xf numFmtId="10" fontId="7" fillId="0" borderId="1" xfId="0" applyNumberFormat="1" applyFont="1" applyFill="1" applyBorder="1">
      <alignment vertical="center"/>
    </xf>
    <xf numFmtId="0" fontId="10" fillId="0" borderId="1" xfId="0" applyFont="1" applyFill="1" applyBorder="1" applyAlignment="1" applyProtection="1">
      <alignment horizontal="center" vertical="center" wrapText="1"/>
      <protection locked="0"/>
    </xf>
    <xf numFmtId="180" fontId="19" fillId="0" borderId="13" xfId="0" applyNumberFormat="1" applyFont="1" applyFill="1" applyBorder="1" applyAlignment="1" applyProtection="1">
      <alignment horizontal="center" vertical="center" shrinkToFit="1"/>
      <protection locked="0"/>
    </xf>
    <xf numFmtId="0" fontId="26" fillId="0" borderId="1" xfId="0" applyFont="1" applyFill="1" applyBorder="1" applyAlignment="1">
      <alignment horizontal="center" vertical="center"/>
    </xf>
    <xf numFmtId="0" fontId="26" fillId="0" borderId="1" xfId="0" applyFont="1" applyFill="1" applyBorder="1" applyAlignment="1">
      <alignment horizontal="center" vertical="center" wrapText="1"/>
    </xf>
    <xf numFmtId="43" fontId="10" fillId="0" borderId="9" xfId="0" applyNumberFormat="1" applyFont="1" applyFill="1" applyBorder="1">
      <alignment vertical="center"/>
    </xf>
    <xf numFmtId="0" fontId="7" fillId="0" borderId="9" xfId="0" applyFont="1" applyFill="1" applyBorder="1" applyAlignment="1">
      <alignment horizontal="center" vertical="center" wrapText="1"/>
    </xf>
    <xf numFmtId="43" fontId="7" fillId="0" borderId="9" xfId="1" applyFont="1" applyFill="1" applyBorder="1" applyAlignment="1">
      <alignment horizontal="right" vertical="center"/>
    </xf>
    <xf numFmtId="10" fontId="7" fillId="0" borderId="9" xfId="0" applyNumberFormat="1" applyFont="1" applyFill="1" applyBorder="1" applyAlignment="1">
      <alignment horizontal="center" vertical="center"/>
    </xf>
    <xf numFmtId="0" fontId="7" fillId="0" borderId="9" xfId="0" applyFont="1" applyFill="1" applyBorder="1" applyAlignment="1">
      <alignment horizontal="center" vertical="center"/>
    </xf>
    <xf numFmtId="10" fontId="7" fillId="0" borderId="9" xfId="0" applyNumberFormat="1" applyFont="1" applyFill="1" applyBorder="1" applyAlignment="1">
      <alignment horizontal="center" vertical="center" wrapText="1"/>
    </xf>
    <xf numFmtId="10" fontId="7" fillId="0" borderId="9" xfId="0" applyNumberFormat="1" applyFont="1" applyFill="1" applyBorder="1">
      <alignment vertical="center"/>
    </xf>
    <xf numFmtId="0" fontId="7" fillId="0" borderId="9" xfId="0" applyFont="1" applyFill="1" applyBorder="1">
      <alignment vertical="center"/>
    </xf>
    <xf numFmtId="0" fontId="7" fillId="0" borderId="9" xfId="0" applyFont="1" applyFill="1" applyBorder="1" applyAlignment="1">
      <alignment vertical="center" wrapText="1"/>
    </xf>
    <xf numFmtId="0" fontId="7" fillId="0" borderId="9" xfId="0" applyFont="1" applyFill="1" applyBorder="1" applyAlignment="1">
      <alignment horizontal="left" vertical="center" wrapText="1"/>
    </xf>
    <xf numFmtId="43" fontId="10" fillId="0" borderId="2" xfId="0" applyNumberFormat="1" applyFont="1" applyFill="1" applyBorder="1">
      <alignment vertical="center"/>
    </xf>
    <xf numFmtId="0" fontId="7" fillId="0" borderId="5" xfId="0" applyFont="1" applyFill="1" applyBorder="1" applyAlignment="1">
      <alignment horizontal="center" vertical="center" wrapText="1"/>
    </xf>
    <xf numFmtId="43" fontId="7" fillId="0" borderId="5" xfId="1" applyFont="1" applyFill="1" applyBorder="1" applyAlignment="1">
      <alignment horizontal="right" vertical="center"/>
    </xf>
    <xf numFmtId="10" fontId="7" fillId="0" borderId="5" xfId="0" applyNumberFormat="1" applyFont="1" applyFill="1" applyBorder="1" applyAlignment="1">
      <alignment horizontal="center" vertical="center"/>
    </xf>
    <xf numFmtId="0" fontId="7" fillId="0" borderId="5" xfId="0" applyFont="1" applyFill="1" applyBorder="1" applyAlignment="1">
      <alignment horizontal="center" vertical="center"/>
    </xf>
    <xf numFmtId="10" fontId="7" fillId="0" borderId="5" xfId="0" applyNumberFormat="1" applyFont="1" applyFill="1" applyBorder="1" applyAlignment="1">
      <alignment horizontal="center" vertical="center" wrapText="1"/>
    </xf>
    <xf numFmtId="10" fontId="7" fillId="0" borderId="5" xfId="0" applyNumberFormat="1" applyFont="1" applyFill="1" applyBorder="1">
      <alignment vertical="center"/>
    </xf>
    <xf numFmtId="0" fontId="7" fillId="0" borderId="5" xfId="0" applyFont="1" applyFill="1" applyBorder="1">
      <alignment vertical="center"/>
    </xf>
    <xf numFmtId="0" fontId="7" fillId="0" borderId="5" xfId="0" applyFont="1" applyFill="1" applyBorder="1" applyAlignment="1">
      <alignment vertical="center" wrapText="1"/>
    </xf>
    <xf numFmtId="0" fontId="7" fillId="0" borderId="5" xfId="0" applyFont="1" applyFill="1" applyBorder="1" applyAlignment="1">
      <alignment horizontal="left" vertical="center" wrapText="1"/>
    </xf>
    <xf numFmtId="0" fontId="27" fillId="0" borderId="5" xfId="0" applyFont="1" applyFill="1" applyBorder="1">
      <alignment vertical="center"/>
    </xf>
    <xf numFmtId="0" fontId="28" fillId="0" borderId="1" xfId="0" applyFont="1" applyFill="1" applyBorder="1">
      <alignment vertical="center"/>
    </xf>
    <xf numFmtId="178" fontId="5" fillId="0" borderId="2" xfId="0" applyNumberFormat="1" applyFont="1" applyFill="1" applyBorder="1">
      <alignment vertical="center"/>
    </xf>
    <xf numFmtId="0" fontId="27" fillId="0" borderId="5" xfId="0" applyFont="1" applyFill="1" applyBorder="1" applyAlignment="1">
      <alignment horizontal="center" vertical="center" wrapText="1"/>
    </xf>
    <xf numFmtId="43" fontId="27" fillId="0" borderId="5" xfId="1" applyFont="1" applyFill="1" applyBorder="1" applyAlignment="1">
      <alignment horizontal="right" vertical="center"/>
    </xf>
    <xf numFmtId="10" fontId="27" fillId="0" borderId="5" xfId="0" applyNumberFormat="1" applyFont="1" applyFill="1" applyBorder="1" applyAlignment="1">
      <alignment horizontal="center" vertical="center"/>
    </xf>
    <xf numFmtId="0" fontId="27" fillId="0" borderId="5" xfId="0" applyFont="1" applyFill="1" applyBorder="1" applyAlignment="1">
      <alignment horizontal="center" vertical="center"/>
    </xf>
    <xf numFmtId="10" fontId="27" fillId="0" borderId="5" xfId="0" applyNumberFormat="1" applyFont="1" applyFill="1" applyBorder="1" applyAlignment="1">
      <alignment horizontal="center" vertical="center" wrapText="1"/>
    </xf>
    <xf numFmtId="10" fontId="27" fillId="0" borderId="5" xfId="0" applyNumberFormat="1" applyFont="1" applyFill="1" applyBorder="1">
      <alignment vertical="center"/>
    </xf>
    <xf numFmtId="0" fontId="27" fillId="0" borderId="5" xfId="0" applyFont="1" applyFill="1" applyBorder="1" applyAlignment="1">
      <alignment vertical="center" wrapText="1"/>
    </xf>
    <xf numFmtId="0" fontId="27" fillId="0" borderId="5" xfId="0" applyFont="1" applyFill="1" applyBorder="1" applyAlignment="1">
      <alignment horizontal="left" vertical="center" wrapText="1"/>
    </xf>
    <xf numFmtId="43" fontId="22" fillId="0" borderId="7" xfId="0" applyNumberFormat="1" applyFont="1" applyFill="1" applyBorder="1" applyAlignment="1">
      <alignment horizontal="center" vertical="center" shrinkToFit="1"/>
    </xf>
    <xf numFmtId="43" fontId="26" fillId="0" borderId="7" xfId="0" applyNumberFormat="1" applyFont="1" applyFill="1" applyBorder="1" applyAlignment="1">
      <alignment horizontal="center" vertical="center" shrinkToFit="1"/>
    </xf>
    <xf numFmtId="0" fontId="7" fillId="0" borderId="1" xfId="0" applyFont="1" applyFill="1" applyBorder="1" applyAlignment="1" applyProtection="1">
      <alignment horizontal="center" vertical="center"/>
      <protection locked="0"/>
    </xf>
    <xf numFmtId="0" fontId="2" fillId="0" borderId="9" xfId="0" applyFont="1" applyFill="1" applyBorder="1" applyAlignment="1" applyProtection="1">
      <alignment horizontal="center" vertical="center" wrapText="1"/>
      <protection locked="0"/>
    </xf>
    <xf numFmtId="0" fontId="5" fillId="0" borderId="9" xfId="0" applyFont="1" applyFill="1" applyBorder="1" applyAlignment="1" applyProtection="1">
      <alignment horizontal="center" vertical="center"/>
      <protection locked="0"/>
    </xf>
    <xf numFmtId="0" fontId="2" fillId="0" borderId="9" xfId="0" applyFont="1" applyFill="1" applyBorder="1" applyAlignment="1" applyProtection="1">
      <alignment horizontal="center" vertical="center"/>
      <protection locked="0"/>
    </xf>
    <xf numFmtId="0" fontId="2" fillId="0" borderId="9" xfId="0" applyFont="1" applyFill="1" applyBorder="1" applyAlignment="1">
      <alignment horizontal="center" vertical="center" wrapText="1"/>
    </xf>
    <xf numFmtId="178" fontId="5" fillId="0" borderId="16" xfId="0" applyNumberFormat="1" applyFont="1" applyFill="1" applyBorder="1">
      <alignment vertical="center"/>
    </xf>
    <xf numFmtId="0" fontId="7" fillId="0" borderId="11" xfId="0" applyFont="1" applyFill="1" applyBorder="1" applyAlignment="1">
      <alignment horizontal="center" vertical="center" wrapText="1"/>
    </xf>
    <xf numFmtId="0" fontId="27" fillId="0" borderId="11" xfId="0" applyFont="1" applyFill="1" applyBorder="1" applyAlignment="1">
      <alignment horizontal="center" vertical="center" wrapText="1"/>
    </xf>
    <xf numFmtId="43" fontId="27" fillId="0" borderId="11" xfId="1" applyFont="1" applyFill="1" applyBorder="1" applyAlignment="1">
      <alignment horizontal="right" vertical="center"/>
    </xf>
    <xf numFmtId="10" fontId="27" fillId="0" borderId="11" xfId="0" applyNumberFormat="1" applyFont="1" applyFill="1" applyBorder="1" applyAlignment="1">
      <alignment horizontal="center" vertical="center"/>
    </xf>
    <xf numFmtId="0" fontId="27" fillId="0" borderId="11" xfId="0" applyFont="1" applyFill="1" applyBorder="1" applyAlignment="1">
      <alignment horizontal="center" vertical="center"/>
    </xf>
    <xf numFmtId="10" fontId="27" fillId="0" borderId="11" xfId="0" applyNumberFormat="1" applyFont="1" applyFill="1" applyBorder="1" applyAlignment="1">
      <alignment horizontal="center" vertical="center" wrapText="1"/>
    </xf>
    <xf numFmtId="10" fontId="27" fillId="0" borderId="11" xfId="0" applyNumberFormat="1" applyFont="1" applyFill="1" applyBorder="1">
      <alignment vertical="center"/>
    </xf>
    <xf numFmtId="0" fontId="27" fillId="0" borderId="11" xfId="0" applyFont="1" applyFill="1" applyBorder="1">
      <alignment vertical="center"/>
    </xf>
    <xf numFmtId="0" fontId="27" fillId="0" borderId="11" xfId="0" applyFont="1" applyFill="1" applyBorder="1" applyAlignment="1">
      <alignment vertical="center" wrapText="1"/>
    </xf>
    <xf numFmtId="0" fontId="27" fillId="0" borderId="11" xfId="0" applyFont="1" applyFill="1" applyBorder="1" applyAlignment="1">
      <alignment horizontal="left" vertical="center" wrapText="1"/>
    </xf>
    <xf numFmtId="0" fontId="7" fillId="0" borderId="11" xfId="0" applyFont="1" applyFill="1" applyBorder="1">
      <alignment vertical="center"/>
    </xf>
    <xf numFmtId="0" fontId="5" fillId="0" borderId="1" xfId="0" applyFont="1" applyFill="1" applyBorder="1" applyAlignment="1" applyProtection="1">
      <alignment horizontal="center" vertical="center" wrapText="1"/>
    </xf>
    <xf numFmtId="0" fontId="6" fillId="0" borderId="1" xfId="0" applyFont="1" applyFill="1" applyBorder="1" applyAlignment="1" applyProtection="1">
      <alignment horizontal="center" vertical="center"/>
    </xf>
    <xf numFmtId="49" fontId="28" fillId="0" borderId="1" xfId="0" applyNumberFormat="1" applyFont="1" applyFill="1" applyBorder="1" applyAlignment="1" applyProtection="1">
      <alignment horizontal="center" vertical="center" shrinkToFit="1"/>
    </xf>
    <xf numFmtId="0" fontId="6" fillId="8" borderId="1" xfId="0" applyFont="1" applyFill="1" applyBorder="1" applyAlignment="1" applyProtection="1">
      <alignment horizontal="center" vertical="center"/>
    </xf>
    <xf numFmtId="0" fontId="6" fillId="8" borderId="2" xfId="0" applyFont="1" applyFill="1" applyBorder="1" applyAlignment="1" applyProtection="1">
      <alignment horizontal="center" vertical="center" wrapText="1"/>
    </xf>
    <xf numFmtId="0" fontId="6" fillId="8" borderId="1" xfId="0" applyFont="1" applyFill="1" applyBorder="1" applyAlignment="1" applyProtection="1">
      <alignment horizontal="center" vertical="center" wrapText="1"/>
    </xf>
    <xf numFmtId="0" fontId="7" fillId="0" borderId="1" xfId="0" applyFont="1" applyBorder="1" applyAlignment="1">
      <alignment horizontal="center" vertical="center" wrapText="1"/>
    </xf>
    <xf numFmtId="43" fontId="7" fillId="0" borderId="1" xfId="1" applyFont="1" applyBorder="1" applyAlignment="1">
      <alignment horizontal="right" vertical="center"/>
    </xf>
    <xf numFmtId="0" fontId="7" fillId="0" borderId="1" xfId="0" applyFont="1" applyBorder="1" applyAlignment="1">
      <alignment horizontal="center" vertical="center"/>
    </xf>
    <xf numFmtId="10" fontId="7" fillId="0" borderId="1" xfId="0" applyNumberFormat="1" applyFont="1" applyBorder="1" applyAlignment="1">
      <alignment horizontal="center" vertical="center" wrapText="1"/>
    </xf>
    <xf numFmtId="10" fontId="7" fillId="0" borderId="1" xfId="0" applyNumberFormat="1" applyFont="1" applyBorder="1" applyAlignment="1">
      <alignment horizontal="center" vertical="center"/>
    </xf>
    <xf numFmtId="10" fontId="7" fillId="0" borderId="1" xfId="0" applyNumberFormat="1" applyFont="1" applyBorder="1">
      <alignment vertical="center"/>
    </xf>
    <xf numFmtId="0" fontId="7" fillId="0" borderId="1" xfId="0" applyFont="1" applyBorder="1" applyAlignment="1">
      <alignment horizontal="left" vertical="center" wrapText="1"/>
    </xf>
    <xf numFmtId="0" fontId="7" fillId="0" borderId="1" xfId="0" applyFont="1" applyBorder="1">
      <alignment vertical="center"/>
    </xf>
    <xf numFmtId="0" fontId="2" fillId="8" borderId="1" xfId="0" applyFont="1" applyFill="1" applyBorder="1" applyAlignment="1" applyProtection="1">
      <alignment horizontal="center" vertical="center" wrapText="1"/>
    </xf>
    <xf numFmtId="0" fontId="2" fillId="8" borderId="2" xfId="0" applyFont="1" applyFill="1" applyBorder="1" applyAlignment="1" applyProtection="1">
      <alignment horizontal="center" vertical="center" wrapText="1"/>
    </xf>
    <xf numFmtId="0" fontId="5" fillId="0" borderId="0" xfId="0" applyFont="1" applyFill="1" applyBorder="1" applyAlignment="1" applyProtection="1">
      <alignment horizontal="center" vertical="center" wrapText="1"/>
    </xf>
    <xf numFmtId="0" fontId="6" fillId="0" borderId="5" xfId="0" applyFont="1" applyFill="1" applyBorder="1" applyAlignment="1" applyProtection="1">
      <alignment horizontal="center" vertical="center"/>
    </xf>
    <xf numFmtId="0" fontId="28" fillId="0" borderId="5" xfId="0" applyFont="1" applyFill="1" applyBorder="1" applyAlignment="1" applyProtection="1">
      <alignment horizontal="center" vertical="center"/>
    </xf>
    <xf numFmtId="0" fontId="6" fillId="0" borderId="12" xfId="0" applyFont="1" applyFill="1" applyBorder="1" applyAlignment="1" applyProtection="1">
      <alignment horizontal="center" vertical="center" wrapText="1"/>
    </xf>
    <xf numFmtId="0" fontId="6" fillId="0" borderId="1" xfId="0" applyFont="1" applyFill="1" applyBorder="1" applyAlignment="1" applyProtection="1">
      <alignment horizontal="center" vertical="center" wrapText="1"/>
    </xf>
    <xf numFmtId="0" fontId="6" fillId="0" borderId="9" xfId="0" applyFont="1" applyFill="1" applyBorder="1" applyAlignment="1" applyProtection="1">
      <alignment horizontal="center" vertical="center" wrapText="1"/>
    </xf>
    <xf numFmtId="0" fontId="2" fillId="0" borderId="1" xfId="0" applyFont="1" applyFill="1" applyBorder="1" applyAlignment="1" applyProtection="1">
      <alignment horizontal="center" vertical="center"/>
    </xf>
    <xf numFmtId="0" fontId="2" fillId="0" borderId="9" xfId="0" applyFont="1" applyFill="1" applyBorder="1" applyAlignment="1" applyProtection="1">
      <alignment horizontal="center" vertical="center"/>
    </xf>
    <xf numFmtId="0" fontId="2" fillId="0" borderId="9" xfId="0" applyFont="1" applyFill="1" applyBorder="1" applyAlignment="1" applyProtection="1">
      <alignment horizontal="center" vertical="center" wrapText="1"/>
    </xf>
    <xf numFmtId="0" fontId="2" fillId="0" borderId="0" xfId="0" applyFont="1" applyFill="1" applyBorder="1" applyAlignment="1" applyProtection="1">
      <alignment horizontal="center" vertical="center" wrapText="1"/>
    </xf>
    <xf numFmtId="0" fontId="6" fillId="0" borderId="0" xfId="0" applyFont="1" applyFill="1" applyBorder="1" applyAlignment="1">
      <alignment horizontal="center" vertical="center" wrapText="1"/>
    </xf>
    <xf numFmtId="0" fontId="6" fillId="0" borderId="0" xfId="0" applyNumberFormat="1" applyFont="1" applyFill="1" applyAlignment="1" applyProtection="1">
      <alignment horizontal="center" vertical="center"/>
      <protection locked="0"/>
    </xf>
    <xf numFmtId="0" fontId="2" fillId="0" borderId="2" xfId="0" applyFont="1" applyFill="1" applyBorder="1" applyAlignment="1" applyProtection="1">
      <alignment horizontal="center" vertical="center"/>
    </xf>
    <xf numFmtId="0" fontId="6" fillId="0" borderId="5" xfId="0" applyFont="1" applyFill="1" applyBorder="1" applyAlignment="1">
      <alignment horizontal="center" vertical="center"/>
    </xf>
    <xf numFmtId="0" fontId="2" fillId="0" borderId="5" xfId="0" applyFont="1" applyFill="1" applyBorder="1" applyAlignment="1" applyProtection="1">
      <alignment horizontal="center" vertical="center" wrapText="1"/>
    </xf>
    <xf numFmtId="0" fontId="6" fillId="0" borderId="5" xfId="0" applyFont="1" applyFill="1" applyBorder="1" applyAlignment="1">
      <alignment horizontal="center" vertical="center" wrapText="1"/>
    </xf>
    <xf numFmtId="49" fontId="10" fillId="0" borderId="5" xfId="0" applyNumberFormat="1" applyFont="1" applyBorder="1" applyAlignment="1">
      <alignment horizontal="center" vertical="center"/>
    </xf>
    <xf numFmtId="0" fontId="6" fillId="0" borderId="9" xfId="0" applyFont="1" applyFill="1" applyBorder="1" applyAlignment="1" applyProtection="1">
      <alignment horizontal="center" vertical="center"/>
    </xf>
    <xf numFmtId="0" fontId="6" fillId="0" borderId="0" xfId="0" applyFont="1" applyFill="1" applyBorder="1" applyAlignment="1">
      <alignment horizontal="center" vertical="center"/>
    </xf>
    <xf numFmtId="0" fontId="6" fillId="0" borderId="16" xfId="0" applyFont="1" applyFill="1" applyBorder="1" applyAlignment="1" applyProtection="1">
      <alignment horizontal="center" vertical="center"/>
    </xf>
    <xf numFmtId="0" fontId="6" fillId="0" borderId="5" xfId="0" applyNumberFormat="1"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xf>
    <xf numFmtId="0" fontId="2" fillId="0" borderId="1" xfId="0" applyFont="1" applyFill="1" applyBorder="1" applyAlignment="1" applyProtection="1">
      <alignment horizontal="center" vertical="center" wrapText="1"/>
    </xf>
    <xf numFmtId="0" fontId="2" fillId="0" borderId="2" xfId="0" applyFont="1" applyFill="1" applyBorder="1" applyAlignment="1" applyProtection="1">
      <alignment horizontal="center" vertical="center" wrapText="1"/>
    </xf>
    <xf numFmtId="0" fontId="6" fillId="8" borderId="5" xfId="0" applyFont="1" applyFill="1" applyBorder="1" applyAlignment="1">
      <alignment horizontal="center" vertical="center"/>
    </xf>
    <xf numFmtId="0" fontId="6" fillId="0" borderId="5" xfId="0" applyFont="1" applyFill="1" applyBorder="1" applyAlignment="1" applyProtection="1">
      <alignment horizontal="center" vertical="center"/>
      <protection locked="0"/>
    </xf>
    <xf numFmtId="0" fontId="6" fillId="0" borderId="12" xfId="0" applyFont="1" applyFill="1" applyBorder="1" applyAlignment="1" applyProtection="1">
      <alignment horizontal="center" vertical="center"/>
    </xf>
    <xf numFmtId="0" fontId="2" fillId="0" borderId="16" xfId="0" applyFont="1" applyFill="1" applyBorder="1" applyAlignment="1" applyProtection="1">
      <alignment horizontal="center" vertical="center" wrapText="1"/>
    </xf>
    <xf numFmtId="0" fontId="6" fillId="0" borderId="11" xfId="0" applyFont="1" applyFill="1" applyBorder="1" applyAlignment="1">
      <alignment horizontal="center" vertical="center" wrapText="1"/>
    </xf>
    <xf numFmtId="0" fontId="6" fillId="8" borderId="11" xfId="0" applyFont="1" applyFill="1" applyBorder="1" applyAlignment="1">
      <alignment horizontal="center" vertical="center"/>
    </xf>
    <xf numFmtId="0" fontId="2" fillId="0" borderId="5" xfId="0" applyFont="1" applyFill="1" applyBorder="1" applyAlignment="1" applyProtection="1">
      <alignment horizontal="center" vertical="center"/>
    </xf>
    <xf numFmtId="0" fontId="6" fillId="0" borderId="5" xfId="0" applyNumberFormat="1" applyFont="1" applyFill="1" applyBorder="1" applyAlignment="1">
      <alignment horizontal="center" vertical="center" wrapText="1"/>
    </xf>
    <xf numFmtId="0" fontId="28" fillId="0" borderId="5" xfId="0" applyNumberFormat="1" applyFont="1" applyFill="1" applyBorder="1" applyAlignment="1">
      <alignment horizontal="center" vertical="center" wrapText="1"/>
    </xf>
    <xf numFmtId="0" fontId="6" fillId="0" borderId="11" xfId="0" applyFont="1" applyFill="1" applyBorder="1" applyAlignment="1" applyProtection="1">
      <alignment horizontal="center" vertical="center"/>
    </xf>
    <xf numFmtId="0" fontId="2" fillId="0" borderId="16" xfId="0" applyFont="1" applyFill="1" applyBorder="1" applyAlignment="1" applyProtection="1">
      <alignment horizontal="center" vertical="center"/>
    </xf>
    <xf numFmtId="0" fontId="2" fillId="0" borderId="11" xfId="0" applyFont="1" applyFill="1" applyBorder="1" applyAlignment="1" applyProtection="1">
      <alignment horizontal="center" vertical="center"/>
    </xf>
    <xf numFmtId="0" fontId="2" fillId="0" borderId="11" xfId="0" applyFont="1" applyFill="1" applyBorder="1" applyAlignment="1" applyProtection="1">
      <alignment horizontal="center" vertical="center" wrapText="1"/>
    </xf>
    <xf numFmtId="0" fontId="6" fillId="0" borderId="11" xfId="0" applyNumberFormat="1" applyFont="1" applyFill="1" applyBorder="1" applyAlignment="1">
      <alignment horizontal="center" vertical="center" wrapText="1"/>
    </xf>
    <xf numFmtId="0" fontId="28" fillId="0" borderId="11" xfId="0" applyNumberFormat="1" applyFont="1" applyFill="1" applyBorder="1" applyAlignment="1">
      <alignment horizontal="center" vertical="center" wrapText="1"/>
    </xf>
    <xf numFmtId="0" fontId="6" fillId="18" borderId="1" xfId="0" applyFont="1" applyFill="1" applyBorder="1" applyAlignment="1" applyProtection="1">
      <alignment horizontal="center" vertical="center"/>
    </xf>
    <xf numFmtId="0" fontId="2" fillId="18" borderId="1" xfId="0" applyFont="1" applyFill="1" applyBorder="1" applyAlignment="1" applyProtection="1">
      <alignment horizontal="center" vertical="center"/>
    </xf>
    <xf numFmtId="0" fontId="2" fillId="18" borderId="1" xfId="0" applyFont="1" applyFill="1" applyBorder="1" applyAlignment="1" applyProtection="1">
      <alignment horizontal="center" vertical="center" wrapText="1"/>
    </xf>
    <xf numFmtId="0" fontId="6" fillId="18" borderId="1" xfId="0" applyFont="1" applyFill="1" applyBorder="1" applyAlignment="1" applyProtection="1">
      <alignment horizontal="center" vertical="center" wrapText="1"/>
    </xf>
    <xf numFmtId="43" fontId="10" fillId="18" borderId="1" xfId="0" applyNumberFormat="1" applyFont="1" applyFill="1" applyBorder="1">
      <alignment vertical="center"/>
    </xf>
    <xf numFmtId="0" fontId="7" fillId="18" borderId="1" xfId="0" applyFont="1" applyFill="1" applyBorder="1" applyAlignment="1">
      <alignment horizontal="center" vertical="center" wrapText="1"/>
    </xf>
    <xf numFmtId="43" fontId="7" fillId="18" borderId="1" xfId="1" applyFont="1" applyFill="1" applyBorder="1" applyAlignment="1">
      <alignment horizontal="right" vertical="center"/>
    </xf>
    <xf numFmtId="10" fontId="7" fillId="18" borderId="1" xfId="0" applyNumberFormat="1" applyFont="1" applyFill="1" applyBorder="1" applyAlignment="1">
      <alignment horizontal="center" vertical="center"/>
    </xf>
    <xf numFmtId="0" fontId="7" fillId="18" borderId="1" xfId="0" applyFont="1" applyFill="1" applyBorder="1" applyAlignment="1">
      <alignment horizontal="center" vertical="center"/>
    </xf>
    <xf numFmtId="10" fontId="7" fillId="18" borderId="1" xfId="0" applyNumberFormat="1" applyFont="1" applyFill="1" applyBorder="1" applyAlignment="1">
      <alignment horizontal="center" vertical="center" wrapText="1"/>
    </xf>
    <xf numFmtId="10" fontId="7" fillId="18" borderId="1" xfId="0" applyNumberFormat="1" applyFont="1" applyFill="1" applyBorder="1">
      <alignment vertical="center"/>
    </xf>
    <xf numFmtId="0" fontId="7" fillId="18" borderId="1" xfId="0" applyFont="1" applyFill="1" applyBorder="1">
      <alignment vertical="center"/>
    </xf>
    <xf numFmtId="0" fontId="7" fillId="18" borderId="1" xfId="0" applyFont="1" applyFill="1" applyBorder="1" applyAlignment="1">
      <alignment vertical="center" wrapText="1"/>
    </xf>
    <xf numFmtId="0" fontId="7" fillId="18" borderId="1" xfId="0" applyFont="1" applyFill="1" applyBorder="1" applyAlignment="1">
      <alignment horizontal="left" vertical="center" wrapText="1"/>
    </xf>
    <xf numFmtId="0" fontId="27" fillId="18" borderId="1" xfId="0" applyFont="1" applyFill="1" applyBorder="1" applyAlignment="1">
      <alignment horizontal="center" vertical="center"/>
    </xf>
    <xf numFmtId="0" fontId="7" fillId="18" borderId="1" xfId="0" applyNumberFormat="1" applyFont="1" applyFill="1" applyBorder="1" applyAlignment="1">
      <alignment vertical="center" wrapText="1"/>
    </xf>
    <xf numFmtId="0" fontId="7" fillId="18" borderId="1" xfId="0" applyNumberFormat="1" applyFont="1" applyFill="1" applyBorder="1" applyAlignment="1">
      <alignment vertical="center"/>
    </xf>
    <xf numFmtId="0" fontId="7" fillId="18" borderId="1" xfId="0" applyNumberFormat="1" applyFont="1" applyFill="1" applyBorder="1" applyAlignment="1">
      <alignment horizontal="left" vertical="center" wrapText="1"/>
    </xf>
    <xf numFmtId="0" fontId="7" fillId="18" borderId="1" xfId="0" applyNumberFormat="1" applyFont="1" applyFill="1" applyBorder="1" applyAlignment="1">
      <alignment horizontal="center" vertical="center" wrapText="1"/>
    </xf>
    <xf numFmtId="0" fontId="6" fillId="0" borderId="5" xfId="0" applyFont="1" applyBorder="1" applyAlignment="1" applyProtection="1">
      <alignment horizontal="left" vertical="center" wrapText="1"/>
      <protection locked="0"/>
    </xf>
    <xf numFmtId="43" fontId="0" fillId="0" borderId="0" xfId="1" applyAlignment="1">
      <alignment vertical="center" wrapText="1"/>
    </xf>
    <xf numFmtId="0" fontId="0" fillId="0" borderId="1" xfId="0" applyBorder="1">
      <alignment vertical="center"/>
    </xf>
    <xf numFmtId="0" fontId="0" fillId="0" borderId="1" xfId="0" applyBorder="1" applyAlignment="1">
      <alignment vertical="center" wrapText="1"/>
    </xf>
    <xf numFmtId="0" fontId="0" fillId="8" borderId="1" xfId="0" applyFill="1" applyBorder="1">
      <alignment vertical="center"/>
    </xf>
    <xf numFmtId="0" fontId="0" fillId="0" borderId="0" xfId="0" applyFont="1">
      <alignment vertical="center"/>
    </xf>
    <xf numFmtId="31" fontId="0" fillId="0" borderId="0" xfId="0" applyNumberFormat="1" applyAlignment="1">
      <alignment horizontal="left" vertical="center"/>
    </xf>
    <xf numFmtId="0" fontId="5" fillId="13" borderId="2" xfId="0" applyFont="1" applyFill="1" applyBorder="1" applyAlignment="1" applyProtection="1">
      <alignment horizontal="center" vertical="center"/>
      <protection locked="0"/>
    </xf>
    <xf numFmtId="0" fontId="2" fillId="0" borderId="2" xfId="0" applyFont="1" applyBorder="1" applyProtection="1">
      <alignment vertical="center"/>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9">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alignment wrapText="1"/>
    </dxf>
    <dxf>
      <alignment wrapText="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 name="PivotStylePreset2_Accent1" table="0" count="10" xr9:uid="{267968C8-6FFD-4C36-ACC1-9EA1FD1885CA}">
      <tableStyleElement type="headerRow" dxfId="38"/>
      <tableStyleElement type="totalRow" dxfId="37"/>
      <tableStyleElement type="firstRowStripe" dxfId="36"/>
      <tableStyleElement type="firstColumnStripe" dxfId="35"/>
      <tableStyleElement type="firstSubtotalRow" dxfId="34"/>
      <tableStyleElement type="secondSubtotalRow" dxfId="33"/>
      <tableStyleElement type="firstRowSubheading" dxfId="32"/>
      <tableStyleElement type="secondRowSubheading" dxfId="31"/>
      <tableStyleElement type="pageFieldLabels" dxfId="30"/>
      <tableStyleElement type="pageFieldValues" dxfId="2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pivotCacheDefinition" Target="pivotCache/pivotCacheDefinition1.xml"/><Relationship Id="rId10" Type="http://schemas.openxmlformats.org/officeDocument/2006/relationships/customXml" Target="../customXml/item4.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Zrrssglxt\xwechat_files\weijhqq_fcf1\msg\file\2026-09\2026&#24180;8&#26376;&#31185;&#26725;&#39184;&#39278;&#20844;&#21496;&#21508;&#39033;&#25351;&#26631;&#26126;&#32454;&#65288;&#20840;&#39069;&#33829;&#19994;&#39069;&#65289;2026.9.1&#32508;&#21512;&#37096;&#21457;&#36865;&#21407;&#31295;&#12304;&#36130;&#21153;&#26680;&#23545;&#25490;&#38169;&#12305;2026.09.0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2026年8月科桥餐饮公司各项指标明细"/>
      <sheetName val="汇总【按项目口径】"/>
    </sheetNames>
    <sheetDataSet>
      <sheetData sheetId="0">
        <row r="3">
          <cell r="D3" t="str">
            <v>项目代码</v>
          </cell>
          <cell r="E3" t="str">
            <v>项目名称</v>
          </cell>
        </row>
        <row r="3">
          <cell r="G3" t="str">
            <v>分组作业名称</v>
          </cell>
          <cell r="H3" t="str">
            <v>分组作业窗口名称</v>
          </cell>
          <cell r="I3" t="str">
            <v>签订人
（会议纪要）</v>
          </cell>
          <cell r="J3" t="str">
            <v>全额营业额
合计</v>
          </cell>
        </row>
        <row r="4">
          <cell r="D4" t="str">
            <v>CF139</v>
          </cell>
          <cell r="E4" t="str">
            <v>苏州中科新药篮餐厅</v>
          </cell>
        </row>
        <row r="4">
          <cell r="G4" t="str">
            <v>自营</v>
          </cell>
          <cell r="H4" t="str">
            <v>/</v>
          </cell>
          <cell r="I4" t="str">
            <v>/</v>
          </cell>
          <cell r="J4">
            <v>201107.98</v>
          </cell>
        </row>
        <row r="5">
          <cell r="D5" t="str">
            <v>CF481</v>
          </cell>
          <cell r="E5" t="str">
            <v>常熟世华高级中学食堂</v>
          </cell>
        </row>
        <row r="5">
          <cell r="G5" t="str">
            <v>自营</v>
          </cell>
          <cell r="H5" t="str">
            <v>/</v>
          </cell>
          <cell r="I5" t="str">
            <v>杨志军</v>
          </cell>
          <cell r="J5">
            <v>66255.63</v>
          </cell>
        </row>
        <row r="6">
          <cell r="D6" t="str">
            <v>CF478</v>
          </cell>
          <cell r="E6" t="str">
            <v>苏州华杨电子餐厅</v>
          </cell>
        </row>
        <row r="6">
          <cell r="G6" t="str">
            <v>/</v>
          </cell>
          <cell r="H6" t="str">
            <v>/</v>
          </cell>
          <cell r="I6" t="str">
            <v>武良军</v>
          </cell>
          <cell r="J6">
            <v>170171.4</v>
          </cell>
        </row>
        <row r="7">
          <cell r="D7" t="str">
            <v>CF751</v>
          </cell>
          <cell r="E7" t="str">
            <v>国防科大（长沙）食堂</v>
          </cell>
        </row>
        <row r="7">
          <cell r="G7" t="str">
            <v>/</v>
          </cell>
          <cell r="H7" t="str">
            <v>/</v>
          </cell>
          <cell r="I7" t="str">
            <v>/</v>
          </cell>
          <cell r="J7">
            <v>621582.5</v>
          </cell>
        </row>
        <row r="8">
          <cell r="D8" t="str">
            <v>CF474</v>
          </cell>
          <cell r="E8" t="str">
            <v>安工大七食堂</v>
          </cell>
        </row>
        <row r="8">
          <cell r="G8" t="str">
            <v>/</v>
          </cell>
          <cell r="H8" t="str">
            <v>/</v>
          </cell>
          <cell r="I8" t="str">
            <v>李俊彦</v>
          </cell>
          <cell r="J8">
            <v>29505.2</v>
          </cell>
        </row>
        <row r="9">
          <cell r="D9" t="str">
            <v>CF474</v>
          </cell>
          <cell r="E9" t="str">
            <v>安工大七食堂</v>
          </cell>
        </row>
        <row r="9">
          <cell r="G9" t="str">
            <v>第一班组</v>
          </cell>
          <cell r="H9" t="str">
            <v>手工馄饨（大陷水饺、刀削面/汆肉米线）</v>
          </cell>
          <cell r="I9" t="str">
            <v>潘海英</v>
          </cell>
          <cell r="J9">
            <v>0</v>
          </cell>
        </row>
        <row r="10">
          <cell r="D10" t="str">
            <v>CF474</v>
          </cell>
          <cell r="E10" t="str">
            <v>安工大七食堂</v>
          </cell>
        </row>
        <row r="10">
          <cell r="G10" t="str">
            <v>第二班组</v>
          </cell>
          <cell r="H10" t="str">
            <v>黄焖系列（酸菜肉煲系列、椒麻鸡系列、酸菜鱼系列）</v>
          </cell>
          <cell r="I10" t="str">
            <v>胡科才</v>
          </cell>
          <cell r="J10">
            <v>1807.5</v>
          </cell>
        </row>
        <row r="11">
          <cell r="D11" t="str">
            <v>CF474</v>
          </cell>
          <cell r="E11" t="str">
            <v>安工大七食堂</v>
          </cell>
        </row>
        <row r="11">
          <cell r="G11" t="str">
            <v>第三班组</v>
          </cell>
          <cell r="H11" t="str">
            <v>猪脚饭系列（套饭系列、菜饭骨头汤系列）</v>
          </cell>
          <cell r="I11" t="str">
            <v>杨克顺</v>
          </cell>
          <cell r="J11">
            <v>2179.5</v>
          </cell>
        </row>
        <row r="12">
          <cell r="D12" t="str">
            <v>CF474</v>
          </cell>
          <cell r="E12" t="str">
            <v>安工大七食堂</v>
          </cell>
        </row>
        <row r="12">
          <cell r="G12" t="str">
            <v>第四班组</v>
          </cell>
          <cell r="H12" t="str">
            <v>拌饭系列（肉夹馍、紫菜包饭）</v>
          </cell>
          <cell r="I12" t="str">
            <v>魏祖华</v>
          </cell>
          <cell r="J12">
            <v>0</v>
          </cell>
        </row>
        <row r="13">
          <cell r="D13" t="str">
            <v>CF477</v>
          </cell>
          <cell r="E13" t="str">
            <v>上海民航第一食堂</v>
          </cell>
        </row>
        <row r="13">
          <cell r="G13" t="str">
            <v>自营</v>
          </cell>
          <cell r="H13" t="str">
            <v>/</v>
          </cell>
          <cell r="I13" t="str">
            <v>/</v>
          </cell>
          <cell r="J13">
            <v>0</v>
          </cell>
        </row>
        <row r="14">
          <cell r="D14" t="str">
            <v>CF477</v>
          </cell>
          <cell r="E14" t="str">
            <v>上海民航第一食堂</v>
          </cell>
        </row>
        <row r="14">
          <cell r="G14" t="str">
            <v>第二班组</v>
          </cell>
          <cell r="H14" t="str">
            <v>山东煎饼</v>
          </cell>
          <cell r="I14" t="str">
            <v>姚群</v>
          </cell>
          <cell r="J14">
            <v>0</v>
          </cell>
        </row>
        <row r="15">
          <cell r="D15" t="str">
            <v>CF477</v>
          </cell>
          <cell r="E15" t="str">
            <v>上海民航第一食堂</v>
          </cell>
        </row>
        <row r="15">
          <cell r="G15" t="str">
            <v>第六班组</v>
          </cell>
          <cell r="H15" t="str">
            <v>蜜雪冰城</v>
          </cell>
          <cell r="I15" t="str">
            <v>任黎明</v>
          </cell>
          <cell r="J15">
            <v>0</v>
          </cell>
        </row>
        <row r="16">
          <cell r="D16" t="str">
            <v>CF477</v>
          </cell>
          <cell r="E16" t="str">
            <v>上海民航第一食堂</v>
          </cell>
        </row>
        <row r="16">
          <cell r="G16" t="str">
            <v>第三班组</v>
          </cell>
          <cell r="H16" t="str">
            <v>糖水粥铺</v>
          </cell>
          <cell r="I16" t="str">
            <v>孙青青</v>
          </cell>
          <cell r="J16">
            <v>0</v>
          </cell>
        </row>
        <row r="17">
          <cell r="D17" t="str">
            <v>CF477</v>
          </cell>
          <cell r="E17" t="str">
            <v>上海民航第一食堂</v>
          </cell>
        </row>
        <row r="17">
          <cell r="G17" t="str">
            <v>第四班组</v>
          </cell>
          <cell r="H17" t="str">
            <v>大碗面</v>
          </cell>
          <cell r="I17" t="str">
            <v>景帅帅</v>
          </cell>
          <cell r="J17">
            <v>0</v>
          </cell>
        </row>
        <row r="18">
          <cell r="D18" t="str">
            <v>CF477</v>
          </cell>
          <cell r="E18" t="str">
            <v>上海民航第一食堂</v>
          </cell>
        </row>
        <row r="18">
          <cell r="G18" t="str">
            <v>第一班组</v>
          </cell>
          <cell r="H18" t="str">
            <v>早餐</v>
          </cell>
          <cell r="I18" t="str">
            <v>芦磊</v>
          </cell>
          <cell r="J18">
            <v>0</v>
          </cell>
        </row>
        <row r="19">
          <cell r="D19" t="str">
            <v>CF272</v>
          </cell>
          <cell r="E19" t="str">
            <v>苏州工学院南一食堂</v>
          </cell>
        </row>
        <row r="19">
          <cell r="G19" t="str">
            <v>/</v>
          </cell>
          <cell r="H19" t="str">
            <v>/</v>
          </cell>
          <cell r="I19" t="str">
            <v>/</v>
          </cell>
        </row>
        <row r="20">
          <cell r="D20" t="str">
            <v>CF272</v>
          </cell>
          <cell r="E20" t="str">
            <v>苏州工学院南一食堂</v>
          </cell>
        </row>
        <row r="20">
          <cell r="G20" t="str">
            <v>/</v>
          </cell>
          <cell r="H20" t="str">
            <v>饼铺</v>
          </cell>
          <cell r="I20" t="str">
            <v>纪洪强</v>
          </cell>
          <cell r="J20">
            <v>0</v>
          </cell>
        </row>
        <row r="21">
          <cell r="D21" t="str">
            <v>CF272</v>
          </cell>
          <cell r="E21" t="str">
            <v>苏州工学院南一食堂</v>
          </cell>
        </row>
        <row r="21">
          <cell r="G21" t="str">
            <v>/</v>
          </cell>
          <cell r="H21" t="str">
            <v>粥铺</v>
          </cell>
          <cell r="I21" t="str">
            <v>贺明</v>
          </cell>
          <cell r="J21">
            <v>0</v>
          </cell>
        </row>
        <row r="22">
          <cell r="D22" t="str">
            <v>CF272</v>
          </cell>
          <cell r="E22" t="str">
            <v>苏州工学院南一食堂</v>
          </cell>
        </row>
        <row r="22">
          <cell r="G22" t="str">
            <v>/</v>
          </cell>
          <cell r="H22" t="str">
            <v>老乡邨</v>
          </cell>
          <cell r="I22" t="str">
            <v>刘少军</v>
          </cell>
          <cell r="J22">
            <v>0</v>
          </cell>
        </row>
        <row r="23">
          <cell r="D23" t="str">
            <v>CF272</v>
          </cell>
          <cell r="E23" t="str">
            <v>苏州工学院南一食堂</v>
          </cell>
        </row>
        <row r="23">
          <cell r="G23" t="str">
            <v>/</v>
          </cell>
          <cell r="H23" t="str">
            <v>科桥小厨</v>
          </cell>
          <cell r="I23" t="str">
            <v>吴浩</v>
          </cell>
          <cell r="J23">
            <v>0</v>
          </cell>
        </row>
        <row r="24">
          <cell r="D24" t="str">
            <v>CF272</v>
          </cell>
          <cell r="E24" t="str">
            <v>苏州工学院南一食堂</v>
          </cell>
        </row>
        <row r="24">
          <cell r="G24" t="str">
            <v>/</v>
          </cell>
          <cell r="H24" t="str">
            <v>清汤米线</v>
          </cell>
          <cell r="I24" t="str">
            <v>张郁磊</v>
          </cell>
        </row>
        <row r="25">
          <cell r="D25" t="str">
            <v>CF272</v>
          </cell>
          <cell r="E25" t="str">
            <v>苏州工学院南一食堂</v>
          </cell>
        </row>
        <row r="25">
          <cell r="G25" t="str">
            <v>/</v>
          </cell>
          <cell r="H25" t="str">
            <v>黑鸭堡</v>
          </cell>
          <cell r="I25" t="str">
            <v>张郁磊</v>
          </cell>
          <cell r="J25">
            <v>0</v>
          </cell>
        </row>
        <row r="26">
          <cell r="D26" t="str">
            <v>CF272</v>
          </cell>
          <cell r="E26" t="str">
            <v>苏州工学院南一食堂</v>
          </cell>
        </row>
        <row r="26">
          <cell r="G26" t="str">
            <v>/</v>
          </cell>
          <cell r="H26" t="str">
            <v>7分甜</v>
          </cell>
          <cell r="I26" t="str">
            <v>纪洪强</v>
          </cell>
          <cell r="J26">
            <v>0</v>
          </cell>
        </row>
        <row r="27">
          <cell r="D27" t="str">
            <v>CF272</v>
          </cell>
          <cell r="E27" t="str">
            <v>苏州工学院南一食堂</v>
          </cell>
        </row>
        <row r="27">
          <cell r="G27" t="str">
            <v>/</v>
          </cell>
          <cell r="H27" t="str">
            <v>药膳鸡</v>
          </cell>
          <cell r="I27" t="str">
            <v>匡正娟</v>
          </cell>
          <cell r="J27">
            <v>0</v>
          </cell>
        </row>
        <row r="28">
          <cell r="D28" t="str">
            <v>CF272</v>
          </cell>
          <cell r="E28" t="str">
            <v>苏州工学院南一食堂</v>
          </cell>
        </row>
        <row r="28">
          <cell r="G28" t="str">
            <v>/</v>
          </cell>
          <cell r="H28" t="str">
            <v>麻辣香锅</v>
          </cell>
          <cell r="I28" t="str">
            <v>纪洪强</v>
          </cell>
          <cell r="J28">
            <v>0</v>
          </cell>
        </row>
        <row r="29">
          <cell r="D29" t="str">
            <v>CF272</v>
          </cell>
          <cell r="E29" t="str">
            <v>苏州工学院南一食堂</v>
          </cell>
        </row>
        <row r="29">
          <cell r="G29" t="str">
            <v>/</v>
          </cell>
          <cell r="H29" t="str">
            <v>生煎牛肉汤</v>
          </cell>
          <cell r="I29" t="str">
            <v>徐雪晗</v>
          </cell>
          <cell r="J29">
            <v>0</v>
          </cell>
        </row>
        <row r="30">
          <cell r="D30" t="str">
            <v>CF272</v>
          </cell>
          <cell r="E30" t="str">
            <v>苏州工学院南一食堂</v>
          </cell>
        </row>
        <row r="30">
          <cell r="G30" t="str">
            <v>/</v>
          </cell>
          <cell r="H30" t="str">
            <v>西式简餐</v>
          </cell>
          <cell r="I30" t="str">
            <v>李明发</v>
          </cell>
          <cell r="J30">
            <v>0</v>
          </cell>
        </row>
        <row r="31">
          <cell r="D31" t="str">
            <v>CF272</v>
          </cell>
          <cell r="E31" t="str">
            <v>苏州工学院南一食堂</v>
          </cell>
        </row>
        <row r="31">
          <cell r="G31" t="str">
            <v>/</v>
          </cell>
          <cell r="H31" t="str">
            <v>苏式面</v>
          </cell>
          <cell r="I31" t="str">
            <v>许正芳</v>
          </cell>
          <cell r="J31">
            <v>0</v>
          </cell>
        </row>
        <row r="32">
          <cell r="D32" t="str">
            <v>CF272</v>
          </cell>
          <cell r="E32" t="str">
            <v>苏州工学院南一食堂</v>
          </cell>
        </row>
        <row r="32">
          <cell r="G32" t="str">
            <v>/</v>
          </cell>
          <cell r="H32" t="str">
            <v>王记炒饭</v>
          </cell>
          <cell r="I32" t="str">
            <v>王梓骏</v>
          </cell>
          <cell r="J32">
            <v>0</v>
          </cell>
        </row>
        <row r="33">
          <cell r="D33" t="str">
            <v>CF272</v>
          </cell>
          <cell r="E33" t="str">
            <v>苏州工学院南一食堂</v>
          </cell>
        </row>
        <row r="33">
          <cell r="G33" t="str">
            <v>/</v>
          </cell>
          <cell r="H33" t="str">
            <v>烤鸭</v>
          </cell>
          <cell r="I33" t="str">
            <v>王鑫</v>
          </cell>
          <cell r="J33">
            <v>0</v>
          </cell>
        </row>
        <row r="34">
          <cell r="D34" t="str">
            <v>CF272</v>
          </cell>
          <cell r="E34" t="str">
            <v>苏州工学院南一食堂</v>
          </cell>
        </row>
        <row r="34">
          <cell r="G34" t="str">
            <v>/</v>
          </cell>
          <cell r="H34" t="str">
            <v>小街胡同牛杂面</v>
          </cell>
          <cell r="I34" t="str">
            <v>黄雨</v>
          </cell>
          <cell r="J34">
            <v>0</v>
          </cell>
        </row>
        <row r="35">
          <cell r="D35" t="str">
            <v>CF272</v>
          </cell>
          <cell r="E35" t="str">
            <v>苏州工学院南一食堂</v>
          </cell>
        </row>
        <row r="35">
          <cell r="G35" t="str">
            <v>/</v>
          </cell>
          <cell r="H35" t="str">
            <v>汉堡炸鸡</v>
          </cell>
          <cell r="I35" t="str">
            <v>陆林峰</v>
          </cell>
        </row>
        <row r="36">
          <cell r="D36" t="str">
            <v>CF272</v>
          </cell>
          <cell r="E36" t="str">
            <v>苏州工学院南一食堂</v>
          </cell>
        </row>
        <row r="36">
          <cell r="G36" t="str">
            <v>/</v>
          </cell>
          <cell r="H36" t="str">
            <v>旋转小火锅</v>
          </cell>
          <cell r="I36" t="str">
            <v>潘祥</v>
          </cell>
        </row>
        <row r="37">
          <cell r="D37" t="str">
            <v>CF127-1</v>
          </cell>
          <cell r="E37" t="str">
            <v>泰科老厂餐厅</v>
          </cell>
        </row>
        <row r="37">
          <cell r="G37" t="str">
            <v>自营</v>
          </cell>
          <cell r="H37" t="str">
            <v>/</v>
          </cell>
          <cell r="I37" t="str">
            <v>/</v>
          </cell>
          <cell r="J37">
            <v>1482243.75</v>
          </cell>
        </row>
        <row r="38">
          <cell r="D38" t="str">
            <v>CF127-3</v>
          </cell>
          <cell r="E38" t="str">
            <v>泰科新厂餐厅</v>
          </cell>
        </row>
        <row r="38">
          <cell r="G38" t="str">
            <v>自营</v>
          </cell>
          <cell r="H38" t="str">
            <v>/</v>
          </cell>
          <cell r="I38" t="str">
            <v>/</v>
          </cell>
          <cell r="J38">
            <v>1891615.12</v>
          </cell>
        </row>
        <row r="39">
          <cell r="D39" t="str">
            <v>CF141</v>
          </cell>
          <cell r="E39" t="str">
            <v>泰科阳澄湖工厂</v>
          </cell>
        </row>
        <row r="39">
          <cell r="G39" t="str">
            <v>自营</v>
          </cell>
          <cell r="H39" t="str">
            <v>/</v>
          </cell>
          <cell r="I39" t="str">
            <v>/</v>
          </cell>
          <cell r="J39">
            <v>817926.85</v>
          </cell>
        </row>
        <row r="40">
          <cell r="D40" t="str">
            <v>CF129-1</v>
          </cell>
          <cell r="E40" t="str">
            <v>中央厨房（加工服务部）</v>
          </cell>
        </row>
        <row r="40">
          <cell r="G40" t="str">
            <v>自营</v>
          </cell>
          <cell r="H40" t="str">
            <v>/</v>
          </cell>
          <cell r="I40" t="str">
            <v>/</v>
          </cell>
        </row>
        <row r="41">
          <cell r="D41" t="str">
            <v>CF142</v>
          </cell>
          <cell r="E41" t="str">
            <v>卡特彼勒（吴江）餐厅</v>
          </cell>
        </row>
        <row r="41">
          <cell r="G41" t="str">
            <v>自营</v>
          </cell>
          <cell r="H41" t="str">
            <v>/</v>
          </cell>
          <cell r="I41" t="str">
            <v>/</v>
          </cell>
        </row>
        <row r="42">
          <cell r="D42" t="str">
            <v>CF138</v>
          </cell>
          <cell r="E42" t="str">
            <v>苏州生物产业园三期餐厅</v>
          </cell>
        </row>
        <row r="42">
          <cell r="G42" t="str">
            <v>自营</v>
          </cell>
          <cell r="H42" t="str">
            <v>/</v>
          </cell>
          <cell r="I42" t="str">
            <v>/</v>
          </cell>
          <cell r="J42">
            <v>212081.83</v>
          </cell>
        </row>
        <row r="43">
          <cell r="D43" t="str">
            <v>CF181</v>
          </cell>
          <cell r="E43" t="str">
            <v>中科大苏州研究院食堂</v>
          </cell>
        </row>
        <row r="43">
          <cell r="G43" t="str">
            <v>自营</v>
          </cell>
          <cell r="H43" t="str">
            <v>/</v>
          </cell>
          <cell r="I43" t="str">
            <v>/</v>
          </cell>
          <cell r="J43">
            <v>135117.53</v>
          </cell>
        </row>
        <row r="44">
          <cell r="D44" t="str">
            <v>CF124</v>
          </cell>
          <cell r="E44" t="str">
            <v>苏州评弹学院食堂</v>
          </cell>
        </row>
        <row r="44">
          <cell r="G44" t="str">
            <v>自营</v>
          </cell>
          <cell r="H44" t="str">
            <v>/</v>
          </cell>
          <cell r="I44" t="str">
            <v>/</v>
          </cell>
          <cell r="J44">
            <v>0</v>
          </cell>
        </row>
        <row r="45">
          <cell r="D45" t="str">
            <v>CF125</v>
          </cell>
          <cell r="E45" t="str">
            <v>西浦大学宏愿食堂（南）</v>
          </cell>
        </row>
        <row r="45">
          <cell r="G45" t="str">
            <v>自营</v>
          </cell>
          <cell r="H45" t="str">
            <v>/</v>
          </cell>
          <cell r="I45" t="str">
            <v>/</v>
          </cell>
          <cell r="J45">
            <v>130412.6</v>
          </cell>
        </row>
        <row r="46">
          <cell r="D46" t="str">
            <v>CF125</v>
          </cell>
          <cell r="E46" t="str">
            <v>西浦大学宏愿食堂（南）</v>
          </cell>
        </row>
        <row r="46">
          <cell r="G46" t="str">
            <v>/</v>
          </cell>
          <cell r="H46" t="str">
            <v>麻辣烫</v>
          </cell>
          <cell r="I46" t="str">
            <v>何军军</v>
          </cell>
          <cell r="J46">
            <v>0</v>
          </cell>
        </row>
        <row r="47">
          <cell r="D47" t="str">
            <v>CF125</v>
          </cell>
          <cell r="E47" t="str">
            <v>西浦大学宏愿食堂（南）</v>
          </cell>
        </row>
        <row r="47">
          <cell r="G47" t="str">
            <v>/</v>
          </cell>
          <cell r="H47" t="str">
            <v>小炒</v>
          </cell>
          <cell r="I47" t="str">
            <v>王成龙</v>
          </cell>
          <cell r="J47">
            <v>32020.6</v>
          </cell>
        </row>
        <row r="48">
          <cell r="D48" t="str">
            <v>CF125</v>
          </cell>
          <cell r="E48" t="str">
            <v>西浦大学宏愿食堂（南）</v>
          </cell>
        </row>
        <row r="48">
          <cell r="G48" t="str">
            <v>/</v>
          </cell>
          <cell r="H48" t="str">
            <v>枣糕</v>
          </cell>
          <cell r="I48" t="str">
            <v>杜松松</v>
          </cell>
          <cell r="J48">
            <v>2181</v>
          </cell>
        </row>
        <row r="49">
          <cell r="D49" t="str">
            <v>CF125</v>
          </cell>
          <cell r="E49" t="str">
            <v>西浦大学宏愿食堂（南）</v>
          </cell>
        </row>
        <row r="49">
          <cell r="G49" t="str">
            <v>/</v>
          </cell>
          <cell r="H49" t="str">
            <v>面条</v>
          </cell>
          <cell r="I49" t="str">
            <v>葛文静</v>
          </cell>
          <cell r="J49">
            <v>0</v>
          </cell>
        </row>
        <row r="50">
          <cell r="D50" t="str">
            <v>CF125</v>
          </cell>
          <cell r="E50" t="str">
            <v>西浦大学宏愿食堂（南）</v>
          </cell>
        </row>
        <row r="50">
          <cell r="G50" t="str">
            <v>/</v>
          </cell>
          <cell r="H50" t="str">
            <v>烤肉</v>
          </cell>
          <cell r="I50" t="str">
            <v>杜松松</v>
          </cell>
          <cell r="J50">
            <v>0</v>
          </cell>
        </row>
        <row r="51">
          <cell r="D51" t="str">
            <v>CF125</v>
          </cell>
          <cell r="E51" t="str">
            <v>西浦大学宏愿食堂（南）</v>
          </cell>
        </row>
        <row r="51">
          <cell r="G51" t="str">
            <v>/</v>
          </cell>
          <cell r="H51" t="str">
            <v>粉丝汤</v>
          </cell>
          <cell r="I51" t="str">
            <v>李鑫</v>
          </cell>
          <cell r="J51">
            <v>7077.97</v>
          </cell>
        </row>
        <row r="52">
          <cell r="D52" t="str">
            <v>CF137</v>
          </cell>
          <cell r="E52" t="str">
            <v>西浦大学宏愿食堂（北）</v>
          </cell>
        </row>
        <row r="52">
          <cell r="G52" t="str">
            <v>自营</v>
          </cell>
          <cell r="H52" t="str">
            <v>/</v>
          </cell>
          <cell r="I52" t="str">
            <v>/</v>
          </cell>
          <cell r="J52">
            <v>0</v>
          </cell>
        </row>
        <row r="53">
          <cell r="D53" t="str">
            <v>CF137</v>
          </cell>
          <cell r="E53" t="str">
            <v>西浦大学宏愿食堂（北）</v>
          </cell>
        </row>
        <row r="53">
          <cell r="G53" t="str">
            <v>/</v>
          </cell>
          <cell r="H53" t="str">
            <v>滑蛋饭</v>
          </cell>
          <cell r="I53" t="str">
            <v>赵广伟</v>
          </cell>
          <cell r="J53">
            <v>0</v>
          </cell>
        </row>
        <row r="54">
          <cell r="D54" t="str">
            <v>CF137</v>
          </cell>
          <cell r="E54" t="str">
            <v>西浦大学宏愿食堂（北）</v>
          </cell>
        </row>
        <row r="54">
          <cell r="G54" t="str">
            <v>/</v>
          </cell>
          <cell r="H54" t="str">
            <v>手工水饺</v>
          </cell>
          <cell r="I54" t="str">
            <v>赵玉才</v>
          </cell>
          <cell r="J54">
            <v>0</v>
          </cell>
        </row>
        <row r="55">
          <cell r="D55" t="str">
            <v>CF137</v>
          </cell>
          <cell r="E55" t="str">
            <v>西浦大学宏愿食堂（北）</v>
          </cell>
        </row>
        <row r="55">
          <cell r="G55" t="str">
            <v>/</v>
          </cell>
          <cell r="H55" t="str">
            <v>烤盘饭</v>
          </cell>
          <cell r="I55" t="str">
            <v>付昌杰</v>
          </cell>
          <cell r="J55">
            <v>0</v>
          </cell>
        </row>
        <row r="56">
          <cell r="D56" t="str">
            <v>CF137</v>
          </cell>
          <cell r="E56" t="str">
            <v>西浦大学宏愿食堂（北）</v>
          </cell>
        </row>
        <row r="56">
          <cell r="G56" t="str">
            <v>/</v>
          </cell>
          <cell r="H56" t="str">
            <v>大花米线</v>
          </cell>
          <cell r="I56" t="str">
            <v>钱卫军</v>
          </cell>
          <cell r="J56">
            <v>0</v>
          </cell>
        </row>
        <row r="57">
          <cell r="D57" t="str">
            <v>CF137</v>
          </cell>
          <cell r="E57" t="str">
            <v>西浦大学宏愿食堂（北）</v>
          </cell>
        </row>
        <row r="57">
          <cell r="G57" t="str">
            <v>/</v>
          </cell>
          <cell r="H57" t="str">
            <v>石锅饭</v>
          </cell>
          <cell r="I57" t="str">
            <v>葛颖</v>
          </cell>
          <cell r="J57">
            <v>0</v>
          </cell>
        </row>
        <row r="58">
          <cell r="D58" t="str">
            <v>CF137</v>
          </cell>
          <cell r="E58" t="str">
            <v>西浦大学宏愿食堂（北）</v>
          </cell>
        </row>
        <row r="58">
          <cell r="G58" t="str">
            <v>/</v>
          </cell>
          <cell r="H58" t="str">
            <v>一鸣鲜奶吧</v>
          </cell>
          <cell r="I58" t="str">
            <v>黎欢</v>
          </cell>
          <cell r="J58">
            <v>0</v>
          </cell>
        </row>
        <row r="59">
          <cell r="D59" t="str">
            <v>CF140</v>
          </cell>
          <cell r="E59" t="str">
            <v>西浦大学太仓校区食堂</v>
          </cell>
        </row>
        <row r="59">
          <cell r="G59" t="str">
            <v>自营</v>
          </cell>
          <cell r="H59" t="str">
            <v>/</v>
          </cell>
          <cell r="I59" t="str">
            <v>/</v>
          </cell>
          <cell r="J59">
            <v>134752.83</v>
          </cell>
        </row>
        <row r="60">
          <cell r="D60" t="str">
            <v>CF140</v>
          </cell>
          <cell r="E60" t="str">
            <v>西浦大学太仓校区食堂</v>
          </cell>
        </row>
        <row r="60">
          <cell r="G60" t="str">
            <v>第一班组</v>
          </cell>
          <cell r="H60" t="str">
            <v>蛋包饭(肥牛米线、水饺、烤盘饭)</v>
          </cell>
          <cell r="I60" t="str">
            <v>赵广伟</v>
          </cell>
          <cell r="J60">
            <v>66066.8</v>
          </cell>
        </row>
        <row r="61">
          <cell r="D61" t="str">
            <v>CF140</v>
          </cell>
          <cell r="E61" t="str">
            <v>西浦大学太仓校区食堂</v>
          </cell>
        </row>
        <row r="61">
          <cell r="G61" t="str">
            <v>第二班组</v>
          </cell>
          <cell r="H61" t="str">
            <v>枣糕&amp;热饮(韩式拌饭)</v>
          </cell>
          <cell r="I61" t="str">
            <v>杜松松</v>
          </cell>
          <cell r="J61">
            <v>0</v>
          </cell>
        </row>
        <row r="62">
          <cell r="D62" t="str">
            <v>CF182</v>
          </cell>
          <cell r="E62" t="str">
            <v>无锡工艺第二食堂</v>
          </cell>
        </row>
        <row r="62">
          <cell r="G62" t="str">
            <v>自营</v>
          </cell>
          <cell r="H62" t="str">
            <v>/</v>
          </cell>
          <cell r="I62" t="str">
            <v>/</v>
          </cell>
          <cell r="J62">
            <v>0</v>
          </cell>
        </row>
        <row r="63">
          <cell r="D63" t="str">
            <v>CF182</v>
          </cell>
          <cell r="E63" t="str">
            <v>无锡工艺第二食堂</v>
          </cell>
        </row>
        <row r="63">
          <cell r="G63" t="str">
            <v>/</v>
          </cell>
          <cell r="H63" t="str">
            <v>快餐</v>
          </cell>
          <cell r="I63" t="str">
            <v>林见锋</v>
          </cell>
          <cell r="J63">
            <v>0</v>
          </cell>
        </row>
        <row r="64">
          <cell r="D64" t="str">
            <v>CF182</v>
          </cell>
          <cell r="E64" t="str">
            <v>无锡工艺第二食堂</v>
          </cell>
        </row>
        <row r="64">
          <cell r="G64" t="str">
            <v>第二班组</v>
          </cell>
          <cell r="H64" t="str">
            <v>烤鸭饭</v>
          </cell>
          <cell r="I64" t="str">
            <v>徐其国</v>
          </cell>
          <cell r="J64">
            <v>0</v>
          </cell>
        </row>
        <row r="65">
          <cell r="D65" t="str">
            <v>CF182</v>
          </cell>
          <cell r="E65" t="str">
            <v>无锡工艺第二食堂</v>
          </cell>
        </row>
        <row r="65">
          <cell r="G65" t="str">
            <v>第三班组</v>
          </cell>
          <cell r="H65" t="str">
            <v>营养粥、小笼包</v>
          </cell>
        </row>
        <row r="65">
          <cell r="J65">
            <v>0</v>
          </cell>
        </row>
        <row r="66">
          <cell r="D66" t="str">
            <v>CF182</v>
          </cell>
          <cell r="E66" t="str">
            <v>无锡工艺第二食堂</v>
          </cell>
        </row>
        <row r="66">
          <cell r="G66" t="str">
            <v>第四班组</v>
          </cell>
          <cell r="H66" t="str">
            <v>武汉热干面、隆江猪脚饭</v>
          </cell>
          <cell r="I66" t="str">
            <v>田振</v>
          </cell>
          <cell r="J66">
            <v>0</v>
          </cell>
        </row>
        <row r="67">
          <cell r="D67" t="str">
            <v>CF182</v>
          </cell>
          <cell r="E67" t="str">
            <v>无锡工艺第二食堂</v>
          </cell>
        </row>
        <row r="67">
          <cell r="G67" t="str">
            <v>第六班组</v>
          </cell>
          <cell r="H67" t="str">
            <v>称重水饺、馄饨</v>
          </cell>
          <cell r="I67" t="str">
            <v>张宜轩</v>
          </cell>
          <cell r="J67">
            <v>0</v>
          </cell>
        </row>
        <row r="68">
          <cell r="D68" t="str">
            <v>CF182</v>
          </cell>
          <cell r="E68" t="str">
            <v>无锡工艺第二食堂</v>
          </cell>
        </row>
        <row r="68">
          <cell r="G68" t="str">
            <v>第七班组</v>
          </cell>
          <cell r="H68" t="str">
            <v>掉渣饼、徐州米线、鸡汤饭</v>
          </cell>
          <cell r="I68" t="str">
            <v>武玉柳</v>
          </cell>
          <cell r="J68">
            <v>0</v>
          </cell>
        </row>
        <row r="69">
          <cell r="D69" t="str">
            <v>CF182</v>
          </cell>
          <cell r="E69" t="str">
            <v>无锡工艺第二食堂</v>
          </cell>
        </row>
        <row r="69">
          <cell r="G69" t="str">
            <v>第八班组</v>
          </cell>
          <cell r="H69" t="str">
            <v>爆炒盖浇饭、套餐饭</v>
          </cell>
          <cell r="I69" t="str">
            <v>赵裕旭</v>
          </cell>
          <cell r="J69">
            <v>0</v>
          </cell>
        </row>
        <row r="70">
          <cell r="D70" t="str">
            <v>CF182</v>
          </cell>
          <cell r="E70" t="str">
            <v>无锡工艺第二食堂</v>
          </cell>
        </row>
        <row r="70">
          <cell r="G70" t="str">
            <v>第九班组</v>
          </cell>
          <cell r="H70" t="str">
            <v>休闲水吧、水果</v>
          </cell>
          <cell r="I70" t="str">
            <v>党玉真</v>
          </cell>
          <cell r="J70">
            <v>0</v>
          </cell>
        </row>
        <row r="71">
          <cell r="D71" t="str">
            <v>CF182</v>
          </cell>
          <cell r="E71" t="str">
            <v>无锡工艺第二食堂</v>
          </cell>
        </row>
        <row r="71">
          <cell r="G71" t="str">
            <v>第十一班组</v>
          </cell>
          <cell r="H71" t="str">
            <v>（二楼特色小吃）汉堡、炸鸡、自主称重快餐、千里香馄饨、手擀面</v>
          </cell>
        </row>
        <row r="71">
          <cell r="J71">
            <v>0</v>
          </cell>
        </row>
        <row r="72">
          <cell r="D72" t="str">
            <v>CF360</v>
          </cell>
          <cell r="E72" t="str">
            <v>南通师专新校区食堂</v>
          </cell>
        </row>
        <row r="72">
          <cell r="G72" t="str">
            <v>自营</v>
          </cell>
          <cell r="H72" t="str">
            <v>快餐</v>
          </cell>
        </row>
        <row r="72">
          <cell r="J72">
            <v>0</v>
          </cell>
        </row>
        <row r="73">
          <cell r="D73" t="str">
            <v>CF360</v>
          </cell>
          <cell r="E73" t="str">
            <v>南通师专新校区食堂</v>
          </cell>
        </row>
        <row r="73">
          <cell r="G73" t="str">
            <v>第一班组</v>
          </cell>
          <cell r="H73" t="str">
            <v>琳榆炸鸡腿</v>
          </cell>
          <cell r="I73" t="str">
            <v>王友强</v>
          </cell>
          <cell r="J73">
            <v>0</v>
          </cell>
        </row>
        <row r="74">
          <cell r="D74" t="str">
            <v>CF360</v>
          </cell>
          <cell r="E74" t="str">
            <v>南通师专新校区食堂</v>
          </cell>
        </row>
        <row r="74">
          <cell r="G74" t="str">
            <v>第二班组</v>
          </cell>
          <cell r="H74" t="str">
            <v>中式早点</v>
          </cell>
          <cell r="I74" t="str">
            <v>何小杏</v>
          </cell>
          <cell r="J74">
            <v>0</v>
          </cell>
        </row>
        <row r="75">
          <cell r="D75" t="str">
            <v>CF360</v>
          </cell>
          <cell r="E75" t="str">
            <v>南通师专新校区食堂</v>
          </cell>
        </row>
        <row r="75">
          <cell r="G75" t="str">
            <v>第三班组</v>
          </cell>
          <cell r="H75" t="str">
            <v>土耳其烤肉饭</v>
          </cell>
          <cell r="I75" t="str">
            <v>薛小勇</v>
          </cell>
          <cell r="J75">
            <v>0</v>
          </cell>
        </row>
        <row r="76">
          <cell r="D76" t="str">
            <v>CF360</v>
          </cell>
          <cell r="E76" t="str">
            <v>南通师专新校区食堂</v>
          </cell>
        </row>
        <row r="76">
          <cell r="G76" t="str">
            <v>第四班组</v>
          </cell>
          <cell r="H76" t="str">
            <v>营养粥小笼包</v>
          </cell>
          <cell r="I76" t="str">
            <v>沈玲</v>
          </cell>
          <cell r="J76">
            <v>0</v>
          </cell>
        </row>
        <row r="77">
          <cell r="D77" t="str">
            <v>CF360</v>
          </cell>
          <cell r="E77" t="str">
            <v>南通师专新校区食堂</v>
          </cell>
        </row>
        <row r="77">
          <cell r="G77" t="str">
            <v>第五班组</v>
          </cell>
          <cell r="H77" t="str">
            <v>生烫牛肉米线</v>
          </cell>
          <cell r="I77" t="str">
            <v>刘海霞</v>
          </cell>
          <cell r="J77">
            <v>0</v>
          </cell>
        </row>
        <row r="78">
          <cell r="D78" t="str">
            <v>CF360</v>
          </cell>
          <cell r="E78" t="str">
            <v>南通师专新校区食堂</v>
          </cell>
        </row>
        <row r="78">
          <cell r="G78" t="str">
            <v>第六班组</v>
          </cell>
          <cell r="H78" t="str">
            <v>咖喱蛋包饭</v>
          </cell>
          <cell r="I78" t="str">
            <v>余娇</v>
          </cell>
          <cell r="J78">
            <v>0</v>
          </cell>
        </row>
        <row r="79">
          <cell r="D79" t="str">
            <v>CF360</v>
          </cell>
          <cell r="E79" t="str">
            <v>南通师专新校区食堂</v>
          </cell>
        </row>
        <row r="79">
          <cell r="G79" t="str">
            <v>第七班组</v>
          </cell>
          <cell r="H79" t="str">
            <v>麻辣烫麻辣拌</v>
          </cell>
          <cell r="I79" t="str">
            <v>虞冬梅</v>
          </cell>
          <cell r="J79">
            <v>0</v>
          </cell>
        </row>
        <row r="80">
          <cell r="D80" t="str">
            <v>CF360</v>
          </cell>
          <cell r="E80" t="str">
            <v>南通师专新校区食堂</v>
          </cell>
        </row>
        <row r="80">
          <cell r="G80" t="str">
            <v>第八班组</v>
          </cell>
          <cell r="H80" t="str">
            <v>真老大手工云吞</v>
          </cell>
          <cell r="I80" t="str">
            <v>彭晴</v>
          </cell>
          <cell r="J80">
            <v>0</v>
          </cell>
        </row>
        <row r="81">
          <cell r="D81" t="str">
            <v>CF360</v>
          </cell>
          <cell r="E81" t="str">
            <v>南通师专新校区食堂</v>
          </cell>
        </row>
        <row r="81">
          <cell r="G81" t="str">
            <v>第九班组</v>
          </cell>
          <cell r="H81" t="str">
            <v>朱家小馆羊杂面</v>
          </cell>
          <cell r="I81" t="str">
            <v>薛桂中</v>
          </cell>
          <cell r="J81">
            <v>0</v>
          </cell>
        </row>
        <row r="82">
          <cell r="D82" t="str">
            <v>CF360</v>
          </cell>
          <cell r="E82" t="str">
            <v>南通师专新校区食堂</v>
          </cell>
        </row>
        <row r="82">
          <cell r="G82" t="str">
            <v>第十班组</v>
          </cell>
          <cell r="H82" t="str">
            <v>奶茶</v>
          </cell>
          <cell r="I82" t="str">
            <v>王艳</v>
          </cell>
          <cell r="J82">
            <v>0</v>
          </cell>
        </row>
        <row r="83">
          <cell r="D83" t="str">
            <v>CF364</v>
          </cell>
          <cell r="E83" t="str">
            <v>江苏航运思本轩食堂</v>
          </cell>
        </row>
        <row r="83">
          <cell r="G83" t="str">
            <v>自营</v>
          </cell>
          <cell r="H83" t="str">
            <v>/</v>
          </cell>
          <cell r="I83" t="str">
            <v>/</v>
          </cell>
          <cell r="J83">
            <v>42101.43</v>
          </cell>
        </row>
        <row r="84">
          <cell r="D84" t="str">
            <v>CF364</v>
          </cell>
          <cell r="E84" t="str">
            <v>江苏航运思本轩食堂</v>
          </cell>
        </row>
        <row r="84">
          <cell r="G84" t="str">
            <v>第二班组</v>
          </cell>
          <cell r="H84" t="str">
            <v>粉丝汤（牛肉、老母鸡、牛杂、拆骨）</v>
          </cell>
          <cell r="I84" t="str">
            <v>满超</v>
          </cell>
          <cell r="J84">
            <v>7010.6</v>
          </cell>
        </row>
        <row r="85">
          <cell r="D85" t="str">
            <v>CF364</v>
          </cell>
          <cell r="E85" t="str">
            <v>江苏航运思本轩食堂</v>
          </cell>
        </row>
        <row r="85">
          <cell r="G85" t="str">
            <v>第三班组</v>
          </cell>
          <cell r="H85" t="str">
            <v>拌饭（鸡腿饭、酸梅鸭饭）</v>
          </cell>
          <cell r="I85" t="str">
            <v>唐德生</v>
          </cell>
          <cell r="J85">
            <v>11700.09</v>
          </cell>
        </row>
        <row r="86">
          <cell r="D86" t="str">
            <v>CF364</v>
          </cell>
          <cell r="E86" t="str">
            <v>江苏航运思本轩食堂</v>
          </cell>
        </row>
        <row r="86">
          <cell r="G86" t="str">
            <v>第五班组</v>
          </cell>
          <cell r="H86" t="str">
            <v>早餐</v>
          </cell>
          <cell r="I86" t="str">
            <v>潘捷</v>
          </cell>
          <cell r="J86">
            <v>0</v>
          </cell>
        </row>
        <row r="87">
          <cell r="D87" t="str">
            <v>CF364</v>
          </cell>
          <cell r="E87" t="str">
            <v>江苏航运思本轩食堂</v>
          </cell>
        </row>
        <row r="87">
          <cell r="G87" t="str">
            <v>第七班组</v>
          </cell>
          <cell r="H87" t="str">
            <v>锡纸饭</v>
          </cell>
          <cell r="I87" t="str">
            <v>陈芳</v>
          </cell>
          <cell r="J87">
            <v>3129.47</v>
          </cell>
        </row>
        <row r="88">
          <cell r="D88" t="str">
            <v>CF364</v>
          </cell>
          <cell r="E88" t="str">
            <v>江苏航运思本轩食堂</v>
          </cell>
        </row>
        <row r="88">
          <cell r="G88" t="str">
            <v>第十班组</v>
          </cell>
          <cell r="H88" t="str">
            <v>烤鸭饭</v>
          </cell>
          <cell r="I88" t="str">
            <v>蒋继承</v>
          </cell>
          <cell r="J88">
            <v>10513.32</v>
          </cell>
        </row>
        <row r="89">
          <cell r="D89" t="str">
            <v>CF364</v>
          </cell>
          <cell r="E89" t="str">
            <v>江苏航运思本轩食堂</v>
          </cell>
        </row>
        <row r="89">
          <cell r="G89" t="str">
            <v>第十一班组</v>
          </cell>
          <cell r="H89" t="str">
            <v>朱家小馆</v>
          </cell>
          <cell r="I89" t="str">
            <v>张慧南</v>
          </cell>
          <cell r="J89">
            <v>9466.25</v>
          </cell>
        </row>
        <row r="90">
          <cell r="D90" t="str">
            <v>CF363</v>
          </cell>
          <cell r="E90" t="str">
            <v>南通大学启东校区</v>
          </cell>
        </row>
        <row r="90">
          <cell r="G90" t="str">
            <v>自营</v>
          </cell>
          <cell r="H90" t="str">
            <v>/</v>
          </cell>
          <cell r="I90" t="str">
            <v>/</v>
          </cell>
          <cell r="J90">
            <v>0</v>
          </cell>
        </row>
        <row r="91">
          <cell r="D91" t="str">
            <v>CF363</v>
          </cell>
          <cell r="E91" t="str">
            <v>南通大学启东校区</v>
          </cell>
        </row>
        <row r="91">
          <cell r="G91" t="str">
            <v>第一班组</v>
          </cell>
          <cell r="H91" t="str">
            <v>基本大伙</v>
          </cell>
          <cell r="I91" t="str">
            <v>朱寿凤</v>
          </cell>
          <cell r="J91">
            <v>0</v>
          </cell>
        </row>
        <row r="92">
          <cell r="D92" t="str">
            <v>CF363</v>
          </cell>
          <cell r="E92" t="str">
            <v>南通大学启东校区</v>
          </cell>
        </row>
        <row r="92">
          <cell r="G92" t="str">
            <v>第二班组</v>
          </cell>
          <cell r="H92" t="str">
            <v>自选称重</v>
          </cell>
          <cell r="I92" t="str">
            <v>朱寿凤</v>
          </cell>
          <cell r="J92">
            <v>0</v>
          </cell>
        </row>
        <row r="93">
          <cell r="D93" t="str">
            <v>CF363</v>
          </cell>
          <cell r="E93" t="str">
            <v>南通大学启东校区</v>
          </cell>
        </row>
        <row r="93">
          <cell r="G93" t="str">
            <v>第三班组</v>
          </cell>
          <cell r="H93" t="str">
            <v>中式早点</v>
          </cell>
          <cell r="I93" t="str">
            <v>王正明</v>
          </cell>
          <cell r="J93">
            <v>0</v>
          </cell>
        </row>
        <row r="94">
          <cell r="D94" t="str">
            <v>CF363</v>
          </cell>
          <cell r="E94" t="str">
            <v>南通大学启东校区</v>
          </cell>
        </row>
        <row r="94">
          <cell r="G94" t="str">
            <v>第四班组</v>
          </cell>
          <cell r="H94" t="str">
            <v>黄焖鸡酸菜鱼</v>
          </cell>
          <cell r="I94" t="str">
            <v>金健华</v>
          </cell>
          <cell r="J94">
            <v>0</v>
          </cell>
        </row>
        <row r="95">
          <cell r="D95" t="str">
            <v>CF363</v>
          </cell>
          <cell r="E95" t="str">
            <v>南通大学启东校区</v>
          </cell>
        </row>
        <row r="95">
          <cell r="G95" t="str">
            <v>第五班组</v>
          </cell>
          <cell r="H95" t="str">
            <v>卤肉饭套餐</v>
          </cell>
          <cell r="I95" t="str">
            <v>金健华</v>
          </cell>
          <cell r="J95">
            <v>0</v>
          </cell>
        </row>
        <row r="96">
          <cell r="D96" t="str">
            <v>CF363</v>
          </cell>
          <cell r="E96" t="str">
            <v>南通大学启东校区</v>
          </cell>
        </row>
        <row r="96">
          <cell r="G96" t="str">
            <v>第六班组</v>
          </cell>
          <cell r="H96" t="str">
            <v>营养粥杂粮煎饼</v>
          </cell>
          <cell r="I96" t="str">
            <v>邵国才</v>
          </cell>
          <cell r="J96">
            <v>0</v>
          </cell>
        </row>
        <row r="97">
          <cell r="D97" t="str">
            <v>CF363</v>
          </cell>
          <cell r="E97" t="str">
            <v>南通大学启东校区</v>
          </cell>
        </row>
        <row r="97">
          <cell r="G97" t="str">
            <v>第七班组</v>
          </cell>
          <cell r="H97" t="str">
            <v>面条馄饨</v>
          </cell>
          <cell r="I97" t="str">
            <v>邵国才</v>
          </cell>
          <cell r="J97">
            <v>0</v>
          </cell>
        </row>
        <row r="98">
          <cell r="D98" t="str">
            <v>CF363</v>
          </cell>
          <cell r="E98" t="str">
            <v>南通大学启东校区</v>
          </cell>
        </row>
        <row r="98">
          <cell r="G98" t="str">
            <v>第八班组</v>
          </cell>
          <cell r="H98" t="str">
            <v>米线汤包</v>
          </cell>
          <cell r="I98" t="str">
            <v>王友强</v>
          </cell>
          <cell r="J98">
            <v>0</v>
          </cell>
        </row>
        <row r="99">
          <cell r="D99" t="str">
            <v>CF363</v>
          </cell>
          <cell r="E99" t="str">
            <v>南通大学启东校区</v>
          </cell>
        </row>
        <row r="99">
          <cell r="G99" t="str">
            <v>第九班组</v>
          </cell>
          <cell r="H99" t="str">
            <v>香锅焖面</v>
          </cell>
          <cell r="I99" t="str">
            <v>王正明</v>
          </cell>
          <cell r="J99">
            <v>0</v>
          </cell>
        </row>
        <row r="100">
          <cell r="D100" t="str">
            <v>CF363</v>
          </cell>
          <cell r="E100" t="str">
            <v>南通大学启东校区</v>
          </cell>
        </row>
        <row r="100">
          <cell r="G100" t="str">
            <v>第十班组</v>
          </cell>
          <cell r="H100" t="str">
            <v>猪肚鸡瓦罐汤套餐</v>
          </cell>
          <cell r="I100" t="str">
            <v>翟林璐</v>
          </cell>
          <cell r="J100">
            <v>0</v>
          </cell>
        </row>
        <row r="101">
          <cell r="D101" t="str">
            <v>CF363</v>
          </cell>
          <cell r="E101" t="str">
            <v>南通大学启东校区</v>
          </cell>
        </row>
        <row r="101">
          <cell r="G101" t="str">
            <v>第十一班组</v>
          </cell>
          <cell r="H101" t="str">
            <v>汉堡小锅现炒</v>
          </cell>
          <cell r="I101" t="str">
            <v>韩荣荣</v>
          </cell>
          <cell r="J101">
            <v>0</v>
          </cell>
        </row>
        <row r="102">
          <cell r="D102" t="str">
            <v>CF363</v>
          </cell>
          <cell r="E102" t="str">
            <v>南通大学启东校区</v>
          </cell>
        </row>
        <row r="102">
          <cell r="G102" t="str">
            <v>第十二班组</v>
          </cell>
          <cell r="H102" t="str">
            <v>铁板炒饭</v>
          </cell>
          <cell r="I102" t="str">
            <v>王志河</v>
          </cell>
          <cell r="J102">
            <v>0</v>
          </cell>
        </row>
        <row r="103">
          <cell r="D103" t="str">
            <v>CF160</v>
          </cell>
          <cell r="E103" t="str">
            <v>高新区实验高中食堂(金山路校区)</v>
          </cell>
        </row>
        <row r="103">
          <cell r="G103" t="str">
            <v>/</v>
          </cell>
          <cell r="H103" t="str">
            <v>/</v>
          </cell>
          <cell r="I103" t="str">
            <v>/</v>
          </cell>
          <cell r="J103">
            <v>111638.94</v>
          </cell>
        </row>
        <row r="104">
          <cell r="D104" t="str">
            <v>CF174</v>
          </cell>
          <cell r="E104" t="str">
            <v>高新区实验高中食堂(科技城校区)</v>
          </cell>
        </row>
        <row r="104">
          <cell r="G104" t="str">
            <v>/</v>
          </cell>
          <cell r="H104" t="str">
            <v>/</v>
          </cell>
          <cell r="I104" t="str">
            <v>/</v>
          </cell>
          <cell r="J104">
            <v>98750</v>
          </cell>
        </row>
        <row r="105">
          <cell r="D105" t="str">
            <v>CF175</v>
          </cell>
          <cell r="E105" t="str">
            <v>高新区实验初中食堂(金山路校区)</v>
          </cell>
        </row>
        <row r="105">
          <cell r="G105" t="str">
            <v>/</v>
          </cell>
          <cell r="H105" t="str">
            <v>/</v>
          </cell>
          <cell r="I105" t="str">
            <v>/</v>
          </cell>
          <cell r="J105">
            <v>0</v>
          </cell>
        </row>
        <row r="106">
          <cell r="D106" t="str">
            <v>CF177</v>
          </cell>
          <cell r="E106" t="str">
            <v>高新区实验初中食堂(锦峰路校区)</v>
          </cell>
        </row>
        <row r="106">
          <cell r="G106" t="str">
            <v>/</v>
          </cell>
          <cell r="H106" t="str">
            <v>/</v>
          </cell>
          <cell r="I106" t="str">
            <v>/</v>
          </cell>
          <cell r="J106">
            <v>8498.08</v>
          </cell>
        </row>
        <row r="107">
          <cell r="D107" t="str">
            <v>CF173</v>
          </cell>
          <cell r="E107" t="str">
            <v>高新区一中食堂（汾湖路校区）</v>
          </cell>
        </row>
        <row r="107">
          <cell r="G107" t="str">
            <v>/</v>
          </cell>
          <cell r="H107" t="str">
            <v>/</v>
          </cell>
          <cell r="I107" t="str">
            <v>/</v>
          </cell>
          <cell r="J107">
            <v>149297.62</v>
          </cell>
        </row>
        <row r="108">
          <cell r="D108" t="str">
            <v>CF179</v>
          </cell>
          <cell r="E108" t="str">
            <v>高新区一中食堂（科技城校区）</v>
          </cell>
        </row>
        <row r="108">
          <cell r="G108" t="str">
            <v>/</v>
          </cell>
          <cell r="H108" t="str">
            <v>/</v>
          </cell>
          <cell r="I108" t="str">
            <v>/</v>
          </cell>
          <cell r="J108">
            <v>115940.99</v>
          </cell>
        </row>
        <row r="109">
          <cell r="D109" t="str">
            <v>CF180</v>
          </cell>
          <cell r="E109" t="str">
            <v>高新区一初中食堂（珠江路校区）</v>
          </cell>
        </row>
        <row r="109">
          <cell r="G109" t="str">
            <v>/</v>
          </cell>
          <cell r="H109" t="str">
            <v>/</v>
          </cell>
          <cell r="I109" t="str">
            <v>/</v>
          </cell>
          <cell r="J109">
            <v>0</v>
          </cell>
        </row>
        <row r="110">
          <cell r="D110" t="str">
            <v>CF183</v>
          </cell>
          <cell r="E110" t="str">
            <v>中医科苏州新校区食堂</v>
          </cell>
        </row>
        <row r="110">
          <cell r="G110" t="str">
            <v>/</v>
          </cell>
          <cell r="H110" t="str">
            <v>/</v>
          </cell>
          <cell r="I110" t="str">
            <v>/</v>
          </cell>
          <cell r="J110">
            <v>383229.96</v>
          </cell>
        </row>
        <row r="111">
          <cell r="D111" t="str">
            <v>CF183</v>
          </cell>
          <cell r="E111" t="str">
            <v>中医科苏州新校区食堂</v>
          </cell>
        </row>
        <row r="111">
          <cell r="G111" t="str">
            <v>自营</v>
          </cell>
          <cell r="H111" t="str">
            <v>/</v>
          </cell>
          <cell r="I111" t="str">
            <v>/</v>
          </cell>
          <cell r="J111">
            <v>0</v>
          </cell>
        </row>
        <row r="112">
          <cell r="D112" t="str">
            <v>CF450</v>
          </cell>
          <cell r="E112" t="str">
            <v>天津大学学二食堂</v>
          </cell>
        </row>
        <row r="112">
          <cell r="G112" t="str">
            <v>/</v>
          </cell>
          <cell r="H112" t="str">
            <v>/</v>
          </cell>
          <cell r="I112" t="str">
            <v>张宪</v>
          </cell>
          <cell r="J112">
            <v>10284.9</v>
          </cell>
        </row>
        <row r="113">
          <cell r="D113" t="str">
            <v>CF450</v>
          </cell>
          <cell r="E113" t="str">
            <v>天津大学学二食堂</v>
          </cell>
        </row>
        <row r="113">
          <cell r="G113" t="str">
            <v>/</v>
          </cell>
          <cell r="H113" t="str">
            <v>馄饨（轻食）</v>
          </cell>
          <cell r="I113" t="str">
            <v>李佳玉</v>
          </cell>
          <cell r="J113">
            <v>49922.16</v>
          </cell>
        </row>
        <row r="114">
          <cell r="D114" t="str">
            <v>CF450</v>
          </cell>
          <cell r="E114" t="str">
            <v>天津大学学二食堂</v>
          </cell>
        </row>
        <row r="114">
          <cell r="G114" t="str">
            <v>/</v>
          </cell>
          <cell r="H114" t="str">
            <v>面夫子</v>
          </cell>
          <cell r="I114" t="str">
            <v>刘魁</v>
          </cell>
          <cell r="J114">
            <v>17581.5</v>
          </cell>
        </row>
        <row r="115">
          <cell r="D115" t="str">
            <v>CF450</v>
          </cell>
          <cell r="E115" t="str">
            <v>天津大学学二食堂</v>
          </cell>
        </row>
        <row r="115">
          <cell r="G115" t="str">
            <v>/</v>
          </cell>
          <cell r="H115" t="str">
            <v>滑蛋饭</v>
          </cell>
          <cell r="I115" t="str">
            <v>李保</v>
          </cell>
          <cell r="J115">
            <v>18221.6</v>
          </cell>
        </row>
        <row r="116">
          <cell r="D116" t="str">
            <v>CF450</v>
          </cell>
          <cell r="E116" t="str">
            <v>天津大学学二食堂</v>
          </cell>
        </row>
        <row r="116">
          <cell r="G116" t="str">
            <v>/</v>
          </cell>
          <cell r="H116" t="str">
            <v>基本伙窗口</v>
          </cell>
          <cell r="I116" t="str">
            <v>孟祥东</v>
          </cell>
          <cell r="J116">
            <v>44658.8</v>
          </cell>
        </row>
        <row r="117">
          <cell r="D117" t="str">
            <v>CF450</v>
          </cell>
          <cell r="E117" t="str">
            <v>天津大学学二食堂</v>
          </cell>
        </row>
        <row r="117">
          <cell r="G117" t="str">
            <v>/</v>
          </cell>
          <cell r="H117" t="str">
            <v>小卖部</v>
          </cell>
          <cell r="I117" t="str">
            <v>张玉珠</v>
          </cell>
          <cell r="J117">
            <v>16139.6</v>
          </cell>
        </row>
        <row r="118">
          <cell r="D118" t="str">
            <v>CF450</v>
          </cell>
          <cell r="E118" t="str">
            <v>天津大学学二食堂</v>
          </cell>
        </row>
        <row r="118">
          <cell r="G118" t="str">
            <v>/</v>
          </cell>
          <cell r="H118" t="str">
            <v>黄焖鸡</v>
          </cell>
          <cell r="I118" t="str">
            <v>蒋彩云</v>
          </cell>
          <cell r="J118">
            <v>37792.2</v>
          </cell>
        </row>
        <row r="119">
          <cell r="D119" t="str">
            <v>CF450</v>
          </cell>
          <cell r="E119" t="str">
            <v>天津大学学二食堂</v>
          </cell>
        </row>
        <row r="119">
          <cell r="G119" t="str">
            <v>/</v>
          </cell>
          <cell r="H119" t="str">
            <v>南方面条</v>
          </cell>
          <cell r="I119" t="str">
            <v>孟祥东</v>
          </cell>
        </row>
        <row r="120">
          <cell r="D120" t="str">
            <v>CF450</v>
          </cell>
          <cell r="E120" t="str">
            <v>天津大学学二食堂</v>
          </cell>
        </row>
        <row r="120">
          <cell r="G120" t="str">
            <v>/</v>
          </cell>
          <cell r="H120" t="str">
            <v>饸饹面</v>
          </cell>
          <cell r="I120" t="str">
            <v>要志远</v>
          </cell>
          <cell r="J120">
            <v>4595.4</v>
          </cell>
        </row>
        <row r="121">
          <cell r="D121" t="str">
            <v>CF450</v>
          </cell>
          <cell r="E121" t="str">
            <v>天津大学学二食堂</v>
          </cell>
        </row>
        <row r="121">
          <cell r="G121" t="str">
            <v>/</v>
          </cell>
          <cell r="H121" t="str">
            <v>麻辣烫</v>
          </cell>
          <cell r="I121" t="str">
            <v>孟迪</v>
          </cell>
          <cell r="J121">
            <v>11708.46</v>
          </cell>
        </row>
        <row r="122">
          <cell r="D122" t="str">
            <v>CF450</v>
          </cell>
          <cell r="E122" t="str">
            <v>天津大学学二食堂</v>
          </cell>
        </row>
        <row r="122">
          <cell r="G122" t="str">
            <v>/</v>
          </cell>
          <cell r="H122" t="str">
            <v>烤鸭饭</v>
          </cell>
          <cell r="I122" t="str">
            <v>董子帅</v>
          </cell>
          <cell r="J122">
            <v>33726.8</v>
          </cell>
        </row>
        <row r="123">
          <cell r="D123" t="str">
            <v>CF450</v>
          </cell>
          <cell r="E123" t="str">
            <v>天津大学学二食堂</v>
          </cell>
        </row>
        <row r="123">
          <cell r="G123" t="str">
            <v>/</v>
          </cell>
          <cell r="H123" t="str">
            <v>真有面</v>
          </cell>
          <cell r="I123" t="str">
            <v>尹细老</v>
          </cell>
          <cell r="J123">
            <v>23106.2</v>
          </cell>
        </row>
        <row r="124">
          <cell r="D124" t="str">
            <v>CF450</v>
          </cell>
          <cell r="E124" t="str">
            <v>天津大学学二食堂</v>
          </cell>
        </row>
        <row r="124">
          <cell r="G124" t="str">
            <v>/</v>
          </cell>
          <cell r="H124" t="str">
            <v>云南生烫米线</v>
          </cell>
          <cell r="I124" t="str">
            <v>由俊楠</v>
          </cell>
        </row>
        <row r="125">
          <cell r="D125" t="str">
            <v>CF513</v>
          </cell>
          <cell r="E125" t="str">
            <v>天津大学学三食堂</v>
          </cell>
        </row>
        <row r="125">
          <cell r="G125" t="str">
            <v>/</v>
          </cell>
          <cell r="H125" t="str">
            <v>/</v>
          </cell>
          <cell r="I125" t="str">
            <v>/</v>
          </cell>
          <cell r="J125">
            <v>45261.49</v>
          </cell>
        </row>
        <row r="126">
          <cell r="D126" t="str">
            <v>CF453</v>
          </cell>
          <cell r="E126" t="str">
            <v>天津大学学四食堂</v>
          </cell>
        </row>
        <row r="126">
          <cell r="G126" t="str">
            <v>/</v>
          </cell>
          <cell r="H126" t="str">
            <v>/</v>
          </cell>
          <cell r="I126" t="str">
            <v>/</v>
          </cell>
          <cell r="J126">
            <v>56992.07</v>
          </cell>
        </row>
        <row r="127">
          <cell r="D127" t="str">
            <v>CF190</v>
          </cell>
          <cell r="E127" t="str">
            <v>苏旅财食堂</v>
          </cell>
        </row>
        <row r="127">
          <cell r="G127" t="str">
            <v>/</v>
          </cell>
          <cell r="H127" t="str">
            <v>/</v>
          </cell>
          <cell r="I127" t="str">
            <v>/</v>
          </cell>
          <cell r="J127">
            <v>0</v>
          </cell>
        </row>
        <row r="128">
          <cell r="D128" t="str">
            <v>CF190</v>
          </cell>
          <cell r="E128" t="str">
            <v>苏旅财食堂</v>
          </cell>
        </row>
        <row r="128">
          <cell r="G128" t="str">
            <v>第一班组</v>
          </cell>
          <cell r="H128" t="str">
            <v>苏式汤面</v>
          </cell>
          <cell r="I128" t="str">
            <v>闵晓均</v>
          </cell>
          <cell r="J128">
            <v>0</v>
          </cell>
        </row>
        <row r="129">
          <cell r="D129" t="str">
            <v>CF190</v>
          </cell>
          <cell r="E129" t="str">
            <v>苏旅财食堂</v>
          </cell>
        </row>
        <row r="129">
          <cell r="G129" t="str">
            <v>第二班组</v>
          </cell>
          <cell r="H129" t="str">
            <v>铁板砂锅</v>
          </cell>
          <cell r="I129" t="str">
            <v>付鹏亮</v>
          </cell>
          <cell r="J129">
            <v>0</v>
          </cell>
        </row>
        <row r="130">
          <cell r="D130" t="str">
            <v>CF190</v>
          </cell>
          <cell r="E130" t="str">
            <v>苏旅财食堂</v>
          </cell>
        </row>
        <row r="130">
          <cell r="G130" t="str">
            <v>第三班组</v>
          </cell>
          <cell r="H130" t="str">
            <v>石锅拌饭</v>
          </cell>
          <cell r="I130" t="str">
            <v>于红艳</v>
          </cell>
          <cell r="J130">
            <v>0</v>
          </cell>
        </row>
        <row r="131">
          <cell r="D131" t="str">
            <v>CF190</v>
          </cell>
          <cell r="E131" t="str">
            <v>苏旅财食堂</v>
          </cell>
        </row>
        <row r="131">
          <cell r="G131" t="str">
            <v>第四班组</v>
          </cell>
          <cell r="H131" t="str">
            <v>杂粮煎饼</v>
          </cell>
          <cell r="I131" t="str">
            <v>李右华</v>
          </cell>
          <cell r="J131">
            <v>0</v>
          </cell>
        </row>
        <row r="132">
          <cell r="D132" t="str">
            <v>CF190</v>
          </cell>
          <cell r="E132" t="str">
            <v>苏旅财食堂</v>
          </cell>
        </row>
        <row r="132">
          <cell r="G132" t="str">
            <v>第五班组</v>
          </cell>
          <cell r="H132" t="str">
            <v>水饺</v>
          </cell>
          <cell r="I132" t="str">
            <v>汪于超</v>
          </cell>
          <cell r="J132">
            <v>0</v>
          </cell>
        </row>
        <row r="133">
          <cell r="D133" t="str">
            <v>CF190</v>
          </cell>
          <cell r="E133" t="str">
            <v>苏旅财食堂</v>
          </cell>
        </row>
        <row r="133">
          <cell r="G133" t="str">
            <v>第六班组</v>
          </cell>
          <cell r="H133" t="str">
            <v>奶茶汉堡</v>
          </cell>
          <cell r="I133" t="str">
            <v>吕鹏飞</v>
          </cell>
          <cell r="J133">
            <v>0</v>
          </cell>
        </row>
        <row r="134">
          <cell r="D134" t="str">
            <v>CF190</v>
          </cell>
          <cell r="E134" t="str">
            <v>苏旅财食堂</v>
          </cell>
        </row>
        <row r="134">
          <cell r="G134" t="str">
            <v>第七班组</v>
          </cell>
          <cell r="H134" t="str">
            <v>麻辣烫</v>
          </cell>
          <cell r="I134" t="str">
            <v>袁吉</v>
          </cell>
          <cell r="J134">
            <v>0</v>
          </cell>
        </row>
        <row r="135">
          <cell r="D135" t="str">
            <v>CF276</v>
          </cell>
          <cell r="E135" t="str">
            <v>苏州经贸二食堂</v>
          </cell>
        </row>
        <row r="135">
          <cell r="G135" t="str">
            <v>自营</v>
          </cell>
          <cell r="H135" t="str">
            <v>/</v>
          </cell>
          <cell r="I135" t="str">
            <v>/</v>
          </cell>
          <cell r="J135">
            <v>0</v>
          </cell>
        </row>
        <row r="136">
          <cell r="D136" t="str">
            <v>CF276</v>
          </cell>
          <cell r="E136" t="str">
            <v>苏州经贸二食堂</v>
          </cell>
        </row>
        <row r="136">
          <cell r="G136" t="str">
            <v>第一班组</v>
          </cell>
          <cell r="H136" t="str">
            <v>卤烤套餐饭</v>
          </cell>
          <cell r="I136" t="str">
            <v>康小伟</v>
          </cell>
          <cell r="J136">
            <v>0</v>
          </cell>
        </row>
        <row r="137">
          <cell r="D137" t="str">
            <v>CF276</v>
          </cell>
          <cell r="E137" t="str">
            <v>苏州经贸二食堂</v>
          </cell>
        </row>
        <row r="137">
          <cell r="G137" t="str">
            <v>第二班组</v>
          </cell>
          <cell r="H137" t="str">
            <v>阿满烤鸭</v>
          </cell>
          <cell r="I137" t="str">
            <v>李嘉康</v>
          </cell>
          <cell r="J137">
            <v>0</v>
          </cell>
        </row>
        <row r="138">
          <cell r="D138" t="str">
            <v>CF276</v>
          </cell>
          <cell r="E138" t="str">
            <v>苏州经贸二食堂</v>
          </cell>
        </row>
        <row r="138">
          <cell r="G138" t="str">
            <v>第三班组</v>
          </cell>
          <cell r="H138" t="str">
            <v>鸡公煲</v>
          </cell>
          <cell r="I138" t="str">
            <v>陈洋</v>
          </cell>
          <cell r="J138">
            <v>0</v>
          </cell>
        </row>
        <row r="139">
          <cell r="D139" t="str">
            <v>CF276</v>
          </cell>
          <cell r="E139" t="str">
            <v>苏州经贸二食堂</v>
          </cell>
        </row>
        <row r="139">
          <cell r="G139" t="str">
            <v>第四班组</v>
          </cell>
          <cell r="H139" t="str">
            <v>羊杂面</v>
          </cell>
          <cell r="I139" t="str">
            <v>赵连财</v>
          </cell>
          <cell r="J139">
            <v>0</v>
          </cell>
        </row>
        <row r="140">
          <cell r="D140" t="str">
            <v>CF276</v>
          </cell>
          <cell r="E140" t="str">
            <v>苏州经贸二食堂</v>
          </cell>
        </row>
        <row r="140">
          <cell r="G140" t="str">
            <v>第五班组</v>
          </cell>
          <cell r="H140" t="str">
            <v>汉堡</v>
          </cell>
          <cell r="I140" t="str">
            <v>邵宁</v>
          </cell>
          <cell r="J140">
            <v>0</v>
          </cell>
        </row>
        <row r="141">
          <cell r="D141" t="str">
            <v>CF276</v>
          </cell>
          <cell r="E141" t="str">
            <v>苏州经贸二食堂</v>
          </cell>
        </row>
        <row r="141">
          <cell r="G141" t="str">
            <v>第六班组</v>
          </cell>
          <cell r="H141" t="str">
            <v>精品菜</v>
          </cell>
          <cell r="I141" t="str">
            <v>查祈恩</v>
          </cell>
          <cell r="J141">
            <v>0</v>
          </cell>
        </row>
        <row r="142">
          <cell r="D142" t="str">
            <v>CF276</v>
          </cell>
          <cell r="E142" t="str">
            <v>苏州经贸二食堂</v>
          </cell>
        </row>
        <row r="142">
          <cell r="G142" t="str">
            <v>第七班组</v>
          </cell>
          <cell r="H142" t="str">
            <v>快餐</v>
          </cell>
          <cell r="I142" t="str">
            <v>黄化里</v>
          </cell>
          <cell r="J142">
            <v>0</v>
          </cell>
        </row>
        <row r="143">
          <cell r="D143" t="str">
            <v>CF276</v>
          </cell>
          <cell r="E143" t="str">
            <v>苏州经贸二食堂</v>
          </cell>
        </row>
        <row r="143">
          <cell r="G143" t="str">
            <v>第八班组</v>
          </cell>
          <cell r="H143" t="str">
            <v>教工餐厅</v>
          </cell>
          <cell r="I143" t="str">
            <v>黄化里</v>
          </cell>
          <cell r="J143">
            <v>0</v>
          </cell>
        </row>
        <row r="144">
          <cell r="D144" t="str">
            <v>CF126</v>
          </cell>
          <cell r="E144" t="str">
            <v>西浦附校食堂</v>
          </cell>
        </row>
        <row r="144">
          <cell r="G144" t="str">
            <v>自营</v>
          </cell>
          <cell r="H144" t="str">
            <v>/</v>
          </cell>
          <cell r="I144" t="str">
            <v>/</v>
          </cell>
          <cell r="J144">
            <v>661375.2</v>
          </cell>
        </row>
        <row r="145">
          <cell r="D145" t="str">
            <v>CF782</v>
          </cell>
          <cell r="E145" t="str">
            <v>宿迁安园中央厨房</v>
          </cell>
        </row>
        <row r="145">
          <cell r="G145" t="str">
            <v>/</v>
          </cell>
          <cell r="H145" t="str">
            <v>/</v>
          </cell>
          <cell r="I145" t="str">
            <v>/</v>
          </cell>
        </row>
        <row r="146">
          <cell r="D146" t="str">
            <v>CF699</v>
          </cell>
          <cell r="E146" t="str">
            <v>徐医大第一食堂</v>
          </cell>
        </row>
        <row r="146">
          <cell r="G146" t="str">
            <v>自营</v>
          </cell>
          <cell r="H146" t="str">
            <v>/</v>
          </cell>
          <cell r="I146" t="str">
            <v>/</v>
          </cell>
          <cell r="J146">
            <v>0</v>
          </cell>
        </row>
        <row r="147">
          <cell r="D147" t="str">
            <v>CF699</v>
          </cell>
          <cell r="E147" t="str">
            <v>徐医大第一食堂</v>
          </cell>
        </row>
        <row r="147">
          <cell r="G147" t="str">
            <v>/</v>
          </cell>
          <cell r="H147" t="str">
            <v>麻辣烫</v>
          </cell>
          <cell r="I147" t="str">
            <v>董浩</v>
          </cell>
          <cell r="J147">
            <v>2453.13</v>
          </cell>
        </row>
        <row r="148">
          <cell r="D148" t="str">
            <v>CF699</v>
          </cell>
          <cell r="E148" t="str">
            <v>徐医大第一食堂</v>
          </cell>
        </row>
        <row r="148">
          <cell r="G148" t="str">
            <v>/</v>
          </cell>
          <cell r="H148" t="str">
            <v>脆香鸡</v>
          </cell>
          <cell r="I148" t="str">
            <v>闫玉净</v>
          </cell>
          <cell r="J148">
            <v>6018.5</v>
          </cell>
        </row>
        <row r="149">
          <cell r="D149" t="str">
            <v>CF699</v>
          </cell>
          <cell r="E149" t="str">
            <v>徐医大第一食堂</v>
          </cell>
        </row>
        <row r="149">
          <cell r="G149" t="str">
            <v>/</v>
          </cell>
          <cell r="H149" t="str">
            <v>鸡柳窜巷</v>
          </cell>
          <cell r="I149" t="str">
            <v>王晨</v>
          </cell>
          <cell r="J149">
            <v>0</v>
          </cell>
        </row>
        <row r="150">
          <cell r="D150" t="str">
            <v>CF699</v>
          </cell>
          <cell r="E150" t="str">
            <v>徐医大第一食堂</v>
          </cell>
        </row>
        <row r="150">
          <cell r="G150" t="str">
            <v>/</v>
          </cell>
          <cell r="H150" t="str">
            <v>螺蛳粉</v>
          </cell>
          <cell r="I150" t="str">
            <v>王梅</v>
          </cell>
          <cell r="J150">
            <v>5634.68</v>
          </cell>
        </row>
        <row r="151">
          <cell r="D151" t="str">
            <v>CF699</v>
          </cell>
          <cell r="E151" t="str">
            <v>徐医大第一食堂</v>
          </cell>
        </row>
        <row r="151">
          <cell r="G151" t="str">
            <v>/</v>
          </cell>
          <cell r="H151" t="str">
            <v>苏式汤面</v>
          </cell>
          <cell r="I151" t="str">
            <v>刘行行</v>
          </cell>
          <cell r="J151">
            <v>4895.21</v>
          </cell>
        </row>
        <row r="152">
          <cell r="D152" t="str">
            <v>CF699</v>
          </cell>
          <cell r="E152" t="str">
            <v>徐医大第一食堂</v>
          </cell>
        </row>
        <row r="152">
          <cell r="G152" t="str">
            <v>/</v>
          </cell>
          <cell r="H152" t="str">
            <v>营养粥</v>
          </cell>
          <cell r="I152" t="str">
            <v>周冰</v>
          </cell>
          <cell r="J152">
            <v>3251.3</v>
          </cell>
        </row>
        <row r="153">
          <cell r="D153" t="str">
            <v>CF699</v>
          </cell>
          <cell r="E153" t="str">
            <v>徐医大第一食堂</v>
          </cell>
        </row>
        <row r="153">
          <cell r="G153" t="str">
            <v>/</v>
          </cell>
          <cell r="H153" t="str">
            <v>辣椒炒肉</v>
          </cell>
          <cell r="I153" t="str">
            <v>王桐</v>
          </cell>
          <cell r="J153">
            <v>3067.2</v>
          </cell>
        </row>
        <row r="154">
          <cell r="D154" t="str">
            <v>CF699</v>
          </cell>
          <cell r="E154" t="str">
            <v>徐医大第一食堂</v>
          </cell>
        </row>
        <row r="154">
          <cell r="G154" t="str">
            <v>/</v>
          </cell>
          <cell r="H154" t="str">
            <v>板煮演义</v>
          </cell>
          <cell r="I154" t="str">
            <v>郑亚兰</v>
          </cell>
          <cell r="J154">
            <v>2078</v>
          </cell>
        </row>
        <row r="155">
          <cell r="D155" t="str">
            <v>CF699</v>
          </cell>
          <cell r="E155" t="str">
            <v>徐医大第一食堂</v>
          </cell>
        </row>
        <row r="155">
          <cell r="G155" t="str">
            <v>/</v>
          </cell>
          <cell r="H155" t="str">
            <v>老翟板面</v>
          </cell>
          <cell r="I155" t="str">
            <v>经蕊蕊</v>
          </cell>
          <cell r="J155">
            <v>2225.4</v>
          </cell>
        </row>
        <row r="156">
          <cell r="D156" t="str">
            <v>CF699</v>
          </cell>
          <cell r="E156" t="str">
            <v>徐医大第一食堂</v>
          </cell>
        </row>
        <row r="156">
          <cell r="G156" t="str">
            <v>/</v>
          </cell>
          <cell r="H156" t="str">
            <v>杂粮煎饼</v>
          </cell>
          <cell r="I156" t="str">
            <v>陈希广</v>
          </cell>
          <cell r="J156">
            <v>4025.1</v>
          </cell>
        </row>
        <row r="157">
          <cell r="D157" t="str">
            <v>CF699</v>
          </cell>
          <cell r="E157" t="str">
            <v>徐医大第一食堂</v>
          </cell>
        </row>
        <row r="157">
          <cell r="G157" t="str">
            <v>/</v>
          </cell>
          <cell r="H157" t="str">
            <v>早餐</v>
          </cell>
          <cell r="I157" t="str">
            <v>张召兵</v>
          </cell>
          <cell r="J157">
            <v>5469.25</v>
          </cell>
        </row>
        <row r="158">
          <cell r="D158" t="str">
            <v>CF699</v>
          </cell>
          <cell r="E158" t="str">
            <v>徐医大第一食堂</v>
          </cell>
        </row>
        <row r="158">
          <cell r="G158" t="str">
            <v>/</v>
          </cell>
          <cell r="H158" t="str">
            <v>快餐</v>
          </cell>
          <cell r="I158" t="str">
            <v>任现军</v>
          </cell>
          <cell r="J158">
            <v>0</v>
          </cell>
        </row>
        <row r="159">
          <cell r="D159" t="str">
            <v>CF699</v>
          </cell>
          <cell r="E159" t="str">
            <v>徐医大第一食堂</v>
          </cell>
        </row>
        <row r="159">
          <cell r="G159" t="str">
            <v>/</v>
          </cell>
          <cell r="H159" t="str">
            <v>精品套餐</v>
          </cell>
          <cell r="I159" t="str">
            <v>任现军</v>
          </cell>
          <cell r="J159">
            <v>0</v>
          </cell>
        </row>
        <row r="160">
          <cell r="D160" t="str">
            <v>CF699</v>
          </cell>
          <cell r="E160" t="str">
            <v>徐医大第一食堂</v>
          </cell>
        </row>
        <row r="160">
          <cell r="G160" t="str">
            <v>/</v>
          </cell>
          <cell r="H160" t="str">
            <v>家家乐烘焙</v>
          </cell>
          <cell r="I160" t="str">
            <v>朱江平</v>
          </cell>
          <cell r="J160">
            <v>2661.1</v>
          </cell>
        </row>
        <row r="161">
          <cell r="D161" t="str">
            <v>CF699</v>
          </cell>
          <cell r="E161" t="str">
            <v>徐医大第一食堂</v>
          </cell>
        </row>
        <row r="161">
          <cell r="G161" t="str">
            <v>/</v>
          </cell>
          <cell r="H161" t="str">
            <v>马老头江南小吃（炒饭）</v>
          </cell>
          <cell r="I161" t="str">
            <v>曾莉</v>
          </cell>
          <cell r="J161">
            <v>2744.4</v>
          </cell>
        </row>
        <row r="162">
          <cell r="D162" t="str">
            <v>CF699</v>
          </cell>
          <cell r="E162" t="str">
            <v>徐医大第一食堂</v>
          </cell>
        </row>
        <row r="162">
          <cell r="G162" t="str">
            <v>/</v>
          </cell>
          <cell r="H162" t="str">
            <v>鸡架拌面</v>
          </cell>
          <cell r="I162" t="str">
            <v>冀振杰</v>
          </cell>
          <cell r="J162">
            <v>0</v>
          </cell>
        </row>
        <row r="163">
          <cell r="D163" t="str">
            <v>CF699</v>
          </cell>
          <cell r="E163" t="str">
            <v>徐医大第一食堂</v>
          </cell>
        </row>
        <row r="163">
          <cell r="G163" t="str">
            <v>/</v>
          </cell>
          <cell r="H163" t="str">
            <v>自选称菜</v>
          </cell>
          <cell r="I163" t="str">
            <v>韦志得</v>
          </cell>
          <cell r="J163">
            <v>7259.73</v>
          </cell>
        </row>
        <row r="164">
          <cell r="D164" t="str">
            <v>CF699</v>
          </cell>
          <cell r="E164" t="str">
            <v>徐医大第一食堂</v>
          </cell>
        </row>
        <row r="164">
          <cell r="G164" t="str">
            <v>/</v>
          </cell>
          <cell r="H164" t="str">
            <v>肥牛火锅粉</v>
          </cell>
          <cell r="I164" t="str">
            <v>李跃跃</v>
          </cell>
          <cell r="J164">
            <v>682.5</v>
          </cell>
        </row>
        <row r="165">
          <cell r="D165" t="str">
            <v>CF699</v>
          </cell>
          <cell r="E165" t="str">
            <v>徐医大第一食堂</v>
          </cell>
        </row>
        <row r="165">
          <cell r="G165" t="str">
            <v>/</v>
          </cell>
          <cell r="H165" t="str">
            <v>千里香馄饨</v>
          </cell>
          <cell r="I165" t="str">
            <v>王才早</v>
          </cell>
          <cell r="J165">
            <v>4667.1</v>
          </cell>
        </row>
        <row r="166">
          <cell r="D166" t="str">
            <v>CF699</v>
          </cell>
          <cell r="E166" t="str">
            <v>徐医大第一食堂</v>
          </cell>
        </row>
        <row r="166">
          <cell r="G166" t="str">
            <v>/</v>
          </cell>
          <cell r="H166" t="str">
            <v>农家小炒盖浇饭</v>
          </cell>
          <cell r="I166" t="str">
            <v>崔小平</v>
          </cell>
          <cell r="J166">
            <v>4004.8</v>
          </cell>
        </row>
        <row r="167">
          <cell r="D167" t="str">
            <v>CF699</v>
          </cell>
          <cell r="E167" t="str">
            <v>徐医大第一食堂</v>
          </cell>
        </row>
        <row r="167">
          <cell r="G167" t="str">
            <v>/</v>
          </cell>
          <cell r="H167" t="str">
            <v>蜜雪冰城</v>
          </cell>
          <cell r="I167" t="str">
            <v>周雨</v>
          </cell>
          <cell r="J167">
            <v>10700.1</v>
          </cell>
        </row>
        <row r="168">
          <cell r="D168" t="str">
            <v>CF251</v>
          </cell>
          <cell r="E168" t="str">
            <v>苏州职大二食堂</v>
          </cell>
        </row>
        <row r="168">
          <cell r="G168" t="str">
            <v>自营</v>
          </cell>
          <cell r="H168" t="str">
            <v>/</v>
          </cell>
          <cell r="I168" t="str">
            <v>/</v>
          </cell>
          <cell r="J168">
            <v>0</v>
          </cell>
        </row>
        <row r="169">
          <cell r="D169" t="str">
            <v>CF251</v>
          </cell>
          <cell r="E169" t="str">
            <v>苏州职大二食堂</v>
          </cell>
        </row>
        <row r="169">
          <cell r="G169" t="str">
            <v>第一班组</v>
          </cell>
          <cell r="H169" t="str">
            <v>烘焙</v>
          </cell>
          <cell r="I169" t="str">
            <v>邵晓丽</v>
          </cell>
          <cell r="J169">
            <v>0</v>
          </cell>
        </row>
        <row r="170">
          <cell r="D170" t="str">
            <v>CF251</v>
          </cell>
          <cell r="E170" t="str">
            <v>苏州职大二食堂</v>
          </cell>
        </row>
        <row r="170">
          <cell r="G170" t="str">
            <v>第二班组</v>
          </cell>
          <cell r="H170" t="str">
            <v>奶茶饮品</v>
          </cell>
          <cell r="I170" t="str">
            <v>严振宇</v>
          </cell>
          <cell r="J170">
            <v>0</v>
          </cell>
        </row>
        <row r="171">
          <cell r="D171" t="str">
            <v>CF251</v>
          </cell>
          <cell r="E171" t="str">
            <v>苏州职大二食堂</v>
          </cell>
        </row>
        <row r="171">
          <cell r="G171" t="str">
            <v>第三班组</v>
          </cell>
          <cell r="H171" t="str">
            <v>早点</v>
          </cell>
          <cell r="I171" t="str">
            <v>缪文</v>
          </cell>
          <cell r="J171">
            <v>0</v>
          </cell>
        </row>
        <row r="172">
          <cell r="D172" t="str">
            <v>CF251</v>
          </cell>
          <cell r="E172" t="str">
            <v>苏州职大二食堂</v>
          </cell>
        </row>
        <row r="172">
          <cell r="G172" t="str">
            <v>第四班组</v>
          </cell>
          <cell r="H172" t="str">
            <v>快餐</v>
          </cell>
          <cell r="I172" t="str">
            <v>耿传垒</v>
          </cell>
          <cell r="J172">
            <v>0</v>
          </cell>
        </row>
        <row r="173">
          <cell r="D173" t="str">
            <v>CF251</v>
          </cell>
          <cell r="E173" t="str">
            <v>苏州职大二食堂</v>
          </cell>
        </row>
        <row r="173">
          <cell r="G173" t="str">
            <v>第五班组</v>
          </cell>
          <cell r="H173" t="str">
            <v>盖浇饭</v>
          </cell>
          <cell r="I173" t="str">
            <v>龙明涛</v>
          </cell>
          <cell r="J173">
            <v>0</v>
          </cell>
        </row>
        <row r="174">
          <cell r="D174" t="str">
            <v>CF251</v>
          </cell>
          <cell r="E174" t="str">
            <v>苏州职大二食堂</v>
          </cell>
        </row>
        <row r="174">
          <cell r="G174" t="str">
            <v>第六班组</v>
          </cell>
          <cell r="H174" t="str">
            <v>黄焖鸡</v>
          </cell>
          <cell r="I174" t="str">
            <v>余国凤</v>
          </cell>
          <cell r="J174">
            <v>0</v>
          </cell>
        </row>
        <row r="175">
          <cell r="D175" t="str">
            <v>CF251</v>
          </cell>
          <cell r="E175" t="str">
            <v>苏州职大二食堂</v>
          </cell>
        </row>
        <row r="175">
          <cell r="G175" t="str">
            <v>第七班组</v>
          </cell>
          <cell r="H175" t="str">
            <v>杂粮煎饼</v>
          </cell>
          <cell r="I175" t="str">
            <v>王朝风</v>
          </cell>
          <cell r="J175">
            <v>0</v>
          </cell>
        </row>
        <row r="176">
          <cell r="D176" t="str">
            <v>CF251</v>
          </cell>
          <cell r="E176" t="str">
            <v>苏州职大二食堂</v>
          </cell>
        </row>
        <row r="176">
          <cell r="G176" t="str">
            <v>第八班组</v>
          </cell>
          <cell r="H176" t="str">
            <v>苏式热干面</v>
          </cell>
          <cell r="I176" t="str">
            <v>田振</v>
          </cell>
          <cell r="J176">
            <v>0</v>
          </cell>
        </row>
        <row r="177">
          <cell r="D177" t="str">
            <v>CF251</v>
          </cell>
          <cell r="E177" t="str">
            <v>苏州职大二食堂</v>
          </cell>
        </row>
        <row r="177">
          <cell r="G177" t="str">
            <v>第九班组</v>
          </cell>
          <cell r="H177" t="str">
            <v>馄饨炒饭</v>
          </cell>
          <cell r="I177" t="str">
            <v>戴国强</v>
          </cell>
          <cell r="J177">
            <v>0</v>
          </cell>
        </row>
        <row r="178">
          <cell r="D178" t="str">
            <v>CF251</v>
          </cell>
          <cell r="E178" t="str">
            <v>苏州职大二食堂</v>
          </cell>
        </row>
        <row r="178">
          <cell r="G178" t="str">
            <v>第十班组</v>
          </cell>
          <cell r="H178" t="str">
            <v>汉堡</v>
          </cell>
          <cell r="I178" t="str">
            <v>朱燕</v>
          </cell>
          <cell r="J178">
            <v>0</v>
          </cell>
        </row>
        <row r="179">
          <cell r="D179" t="str">
            <v>CF251</v>
          </cell>
          <cell r="E179" t="str">
            <v>苏州职大二食堂</v>
          </cell>
        </row>
        <row r="179">
          <cell r="G179" t="str">
            <v>第十一班组</v>
          </cell>
          <cell r="H179" t="str">
            <v>麻辣烫</v>
          </cell>
          <cell r="I179" t="str">
            <v>孙华玲</v>
          </cell>
          <cell r="J179">
            <v>0</v>
          </cell>
        </row>
        <row r="180">
          <cell r="D180" t="str">
            <v>CF251</v>
          </cell>
          <cell r="E180" t="str">
            <v>苏州职大二食堂</v>
          </cell>
        </row>
        <row r="180">
          <cell r="G180" t="str">
            <v>第十二班组</v>
          </cell>
          <cell r="H180" t="str">
            <v>香扒饭</v>
          </cell>
          <cell r="I180" t="str">
            <v>魏加健</v>
          </cell>
          <cell r="J180">
            <v>0</v>
          </cell>
        </row>
        <row r="181">
          <cell r="D181" t="str">
            <v>CF251</v>
          </cell>
          <cell r="E181" t="str">
            <v>苏州职大二食堂</v>
          </cell>
        </row>
        <row r="181">
          <cell r="G181" t="str">
            <v>第十三班组</v>
          </cell>
          <cell r="H181" t="str">
            <v>瓦香鸡</v>
          </cell>
          <cell r="I181" t="str">
            <v>张明明</v>
          </cell>
          <cell r="J181">
            <v>0</v>
          </cell>
        </row>
        <row r="182">
          <cell r="D182" t="str">
            <v>CF251</v>
          </cell>
          <cell r="E182" t="str">
            <v>苏州职大二食堂</v>
          </cell>
        </row>
        <row r="182">
          <cell r="G182" t="str">
            <v>第十四班组</v>
          </cell>
          <cell r="H182" t="str">
            <v>羊杂面</v>
          </cell>
          <cell r="I182" t="str">
            <v>王俊鹏</v>
          </cell>
          <cell r="J182">
            <v>0</v>
          </cell>
        </row>
        <row r="183">
          <cell r="D183" t="str">
            <v>CF251</v>
          </cell>
          <cell r="E183" t="str">
            <v>苏州职大二食堂</v>
          </cell>
        </row>
        <row r="183">
          <cell r="G183" t="str">
            <v>第十五班组</v>
          </cell>
          <cell r="H183" t="str">
            <v>苏式红汤面</v>
          </cell>
          <cell r="I183" t="str">
            <v>程周如</v>
          </cell>
          <cell r="J183">
            <v>0</v>
          </cell>
        </row>
        <row r="184">
          <cell r="D184" t="str">
            <v>CF251</v>
          </cell>
          <cell r="E184" t="str">
            <v>苏州职大二食堂</v>
          </cell>
        </row>
        <row r="184">
          <cell r="G184" t="str">
            <v>第十六班组</v>
          </cell>
          <cell r="H184" t="str">
            <v>烤鸭</v>
          </cell>
          <cell r="I184" t="str">
            <v>李嘉康</v>
          </cell>
          <cell r="J184">
            <v>0</v>
          </cell>
        </row>
        <row r="185">
          <cell r="D185" t="str">
            <v>CF251</v>
          </cell>
          <cell r="E185" t="str">
            <v>苏州职大二食堂</v>
          </cell>
        </row>
        <row r="185">
          <cell r="G185" t="str">
            <v>第十七班组</v>
          </cell>
          <cell r="H185" t="str">
            <v>手工水饺</v>
          </cell>
          <cell r="I185" t="str">
            <v>汪玉凤</v>
          </cell>
          <cell r="J185">
            <v>0</v>
          </cell>
        </row>
        <row r="186">
          <cell r="D186" t="str">
            <v>CF251</v>
          </cell>
          <cell r="E186" t="str">
            <v>苏州职大二食堂</v>
          </cell>
        </row>
        <row r="186">
          <cell r="G186" t="str">
            <v>第十八班组</v>
          </cell>
          <cell r="H186" t="str">
            <v>把子肉</v>
          </cell>
          <cell r="I186" t="str">
            <v>杜故乡</v>
          </cell>
          <cell r="J186">
            <v>0</v>
          </cell>
        </row>
        <row r="187">
          <cell r="D187" t="str">
            <v>CF780</v>
          </cell>
          <cell r="E187" t="str">
            <v>吉建大二食堂</v>
          </cell>
        </row>
        <row r="187">
          <cell r="G187" t="str">
            <v>自营</v>
          </cell>
          <cell r="H187" t="str">
            <v>/</v>
          </cell>
          <cell r="I187" t="str">
            <v>/</v>
          </cell>
          <cell r="J187">
            <v>25978.42</v>
          </cell>
        </row>
        <row r="188">
          <cell r="D188" t="str">
            <v>CF780</v>
          </cell>
          <cell r="E188" t="str">
            <v>吉建大二食堂</v>
          </cell>
        </row>
        <row r="188">
          <cell r="G188" t="str">
            <v>/</v>
          </cell>
          <cell r="H188" t="str">
            <v>早点</v>
          </cell>
          <cell r="I188" t="str">
            <v>李帮</v>
          </cell>
          <cell r="J188">
            <v>10205.25</v>
          </cell>
        </row>
        <row r="189">
          <cell r="D189" t="str">
            <v>CF780</v>
          </cell>
          <cell r="E189" t="str">
            <v>吉建大二食堂</v>
          </cell>
        </row>
        <row r="189">
          <cell r="G189" t="str">
            <v>/</v>
          </cell>
          <cell r="H189" t="str">
            <v>0090汉堡</v>
          </cell>
          <cell r="I189" t="str">
            <v>戴杰</v>
          </cell>
          <cell r="J189">
            <v>25265.21</v>
          </cell>
        </row>
        <row r="190">
          <cell r="D190" t="str">
            <v>CF780</v>
          </cell>
          <cell r="E190" t="str">
            <v>吉建大二食堂</v>
          </cell>
        </row>
        <row r="190">
          <cell r="G190" t="str">
            <v>/</v>
          </cell>
          <cell r="H190" t="str">
            <v>果檬鲜果</v>
          </cell>
          <cell r="I190" t="str">
            <v>曹雪</v>
          </cell>
          <cell r="J190">
            <v>3904</v>
          </cell>
        </row>
        <row r="191">
          <cell r="D191" t="str">
            <v>CF780</v>
          </cell>
          <cell r="E191" t="str">
            <v>吉建大二食堂</v>
          </cell>
        </row>
        <row r="191">
          <cell r="G191" t="str">
            <v>/</v>
          </cell>
          <cell r="H191" t="str">
            <v>自选水饺</v>
          </cell>
          <cell r="I191" t="str">
            <v>李英</v>
          </cell>
        </row>
        <row r="192">
          <cell r="D192" t="str">
            <v>CF780</v>
          </cell>
          <cell r="E192" t="str">
            <v>吉建大二食堂</v>
          </cell>
        </row>
        <row r="192">
          <cell r="G192" t="str">
            <v>/</v>
          </cell>
          <cell r="H192" t="str">
            <v>渔之谷渔粉</v>
          </cell>
          <cell r="I192" t="str">
            <v>李荣</v>
          </cell>
          <cell r="J192">
            <v>3258.8</v>
          </cell>
        </row>
        <row r="193">
          <cell r="D193" t="str">
            <v>CF780</v>
          </cell>
          <cell r="E193" t="str">
            <v>吉建大二食堂</v>
          </cell>
        </row>
        <row r="193">
          <cell r="G193" t="str">
            <v>/</v>
          </cell>
          <cell r="H193" t="str">
            <v>昆吉双拼饭</v>
          </cell>
          <cell r="I193" t="str">
            <v>郑金娟</v>
          </cell>
          <cell r="J193">
            <v>4560.5</v>
          </cell>
        </row>
        <row r="194">
          <cell r="D194" t="str">
            <v>CF780</v>
          </cell>
          <cell r="E194" t="str">
            <v>吉建大二食堂</v>
          </cell>
        </row>
        <row r="194">
          <cell r="G194" t="str">
            <v>/</v>
          </cell>
          <cell r="H194" t="str">
            <v>杭州小笼包</v>
          </cell>
          <cell r="I194" t="str">
            <v>李红岷</v>
          </cell>
          <cell r="J194">
            <v>3492.1</v>
          </cell>
        </row>
        <row r="195">
          <cell r="D195" t="str">
            <v>CF780</v>
          </cell>
          <cell r="E195" t="str">
            <v>吉建大二食堂</v>
          </cell>
        </row>
        <row r="195">
          <cell r="G195" t="str">
            <v>/</v>
          </cell>
          <cell r="H195" t="str">
            <v>辣椒炒肉</v>
          </cell>
          <cell r="I195" t="str">
            <v>马永波</v>
          </cell>
          <cell r="J195">
            <v>5192.4</v>
          </cell>
        </row>
        <row r="196">
          <cell r="D196" t="str">
            <v>CF780</v>
          </cell>
          <cell r="E196" t="str">
            <v>吉建大二食堂</v>
          </cell>
        </row>
        <row r="196">
          <cell r="G196" t="str">
            <v>/</v>
          </cell>
          <cell r="H196" t="str">
            <v>土豆粉</v>
          </cell>
          <cell r="I196" t="str">
            <v>郑丹丹</v>
          </cell>
          <cell r="J196">
            <v>5328.51</v>
          </cell>
        </row>
        <row r="197">
          <cell r="D197" t="str">
            <v>CF780</v>
          </cell>
          <cell r="E197" t="str">
            <v>吉建大二食堂</v>
          </cell>
        </row>
        <row r="197">
          <cell r="G197" t="str">
            <v>/</v>
          </cell>
          <cell r="H197" t="str">
            <v>一纸鸡</v>
          </cell>
          <cell r="I197" t="str">
            <v>徐玉珍</v>
          </cell>
        </row>
        <row r="198">
          <cell r="D198" t="str">
            <v>CF780</v>
          </cell>
          <cell r="E198" t="str">
            <v>吉建大二食堂</v>
          </cell>
        </row>
        <row r="198">
          <cell r="G198" t="str">
            <v>/</v>
          </cell>
          <cell r="H198" t="str">
            <v>现炒浇头面</v>
          </cell>
          <cell r="I198" t="str">
            <v>尹士元</v>
          </cell>
          <cell r="J198">
            <v>5714.2</v>
          </cell>
        </row>
        <row r="199">
          <cell r="D199" t="str">
            <v>CF780</v>
          </cell>
          <cell r="E199" t="str">
            <v>吉建大二食堂</v>
          </cell>
        </row>
        <row r="199">
          <cell r="G199" t="str">
            <v>/</v>
          </cell>
          <cell r="H199" t="str">
            <v>炒饭专家</v>
          </cell>
          <cell r="I199" t="str">
            <v>贡海涛</v>
          </cell>
          <cell r="J199">
            <v>3369.58</v>
          </cell>
        </row>
        <row r="200">
          <cell r="D200" t="str">
            <v>CF780</v>
          </cell>
          <cell r="E200" t="str">
            <v>吉建大二食堂</v>
          </cell>
        </row>
        <row r="200">
          <cell r="G200" t="str">
            <v>/</v>
          </cell>
          <cell r="H200" t="str">
            <v>瓦香鸡</v>
          </cell>
          <cell r="I200" t="str">
            <v>马永波</v>
          </cell>
          <cell r="J200">
            <v>6394.4</v>
          </cell>
        </row>
        <row r="201">
          <cell r="D201" t="str">
            <v>CF780</v>
          </cell>
          <cell r="E201" t="str">
            <v>吉建大二食堂</v>
          </cell>
        </row>
        <row r="201">
          <cell r="G201" t="str">
            <v>/</v>
          </cell>
          <cell r="H201" t="str">
            <v>热干面</v>
          </cell>
          <cell r="I201" t="str">
            <v>徐成龙</v>
          </cell>
          <cell r="J201">
            <v>5952</v>
          </cell>
        </row>
        <row r="202">
          <cell r="D202" t="str">
            <v>CF780</v>
          </cell>
          <cell r="E202" t="str">
            <v>吉建大二食堂</v>
          </cell>
        </row>
        <row r="202">
          <cell r="G202" t="str">
            <v>/</v>
          </cell>
          <cell r="H202" t="str">
            <v>喜翻拌麻辣拌</v>
          </cell>
          <cell r="I202" t="str">
            <v>兰国强</v>
          </cell>
          <cell r="J202">
            <v>9199.94</v>
          </cell>
        </row>
        <row r="203">
          <cell r="D203" t="str">
            <v>CF780</v>
          </cell>
          <cell r="E203" t="str">
            <v>吉建大二食堂</v>
          </cell>
        </row>
        <row r="203">
          <cell r="G203" t="str">
            <v>/</v>
          </cell>
          <cell r="H203" t="str">
            <v>檬大咖</v>
          </cell>
          <cell r="I203" t="str">
            <v>于广东</v>
          </cell>
          <cell r="J203">
            <v>3055.11</v>
          </cell>
        </row>
        <row r="204">
          <cell r="D204" t="str">
            <v>CF780</v>
          </cell>
          <cell r="E204" t="str">
            <v>吉建大二食堂</v>
          </cell>
        </row>
        <row r="204">
          <cell r="G204" t="str">
            <v>/</v>
          </cell>
          <cell r="H204" t="str">
            <v>烤盘饭</v>
          </cell>
          <cell r="I204" t="str">
            <v>曹晓东</v>
          </cell>
          <cell r="J204">
            <v>1938.7</v>
          </cell>
        </row>
        <row r="205">
          <cell r="D205" t="str">
            <v>CF780</v>
          </cell>
          <cell r="E205" t="str">
            <v>吉建大二食堂</v>
          </cell>
        </row>
        <row r="205">
          <cell r="G205" t="str">
            <v>/</v>
          </cell>
          <cell r="H205" t="str">
            <v>蜀道吉水煮肉</v>
          </cell>
          <cell r="I205" t="str">
            <v>刘旭东</v>
          </cell>
        </row>
        <row r="206">
          <cell r="D206" t="str">
            <v>CF780</v>
          </cell>
          <cell r="E206" t="str">
            <v>吉建大二食堂</v>
          </cell>
        </row>
        <row r="206">
          <cell r="G206" t="str">
            <v>/</v>
          </cell>
          <cell r="H206" t="str">
            <v>拼好饭</v>
          </cell>
          <cell r="I206" t="str">
            <v>陈国利</v>
          </cell>
        </row>
        <row r="207">
          <cell r="D207" t="str">
            <v>CF780</v>
          </cell>
          <cell r="E207" t="str">
            <v>吉建大二食堂</v>
          </cell>
        </row>
        <row r="207">
          <cell r="G207" t="str">
            <v>/</v>
          </cell>
          <cell r="H207" t="str">
            <v>烤鸭饭</v>
          </cell>
          <cell r="I207" t="str">
            <v>付冬玲</v>
          </cell>
          <cell r="J207">
            <v>6771</v>
          </cell>
        </row>
        <row r="208">
          <cell r="D208" t="str">
            <v>CF780</v>
          </cell>
          <cell r="E208" t="str">
            <v>吉建大二食堂</v>
          </cell>
        </row>
        <row r="208">
          <cell r="G208" t="str">
            <v>/</v>
          </cell>
          <cell r="H208" t="str">
            <v>海南鸡饭</v>
          </cell>
          <cell r="I208" t="str">
            <v>曲丽平</v>
          </cell>
          <cell r="J208">
            <v>18864.5</v>
          </cell>
        </row>
        <row r="209">
          <cell r="D209" t="str">
            <v>CF780</v>
          </cell>
          <cell r="E209" t="str">
            <v>吉建大二食堂</v>
          </cell>
        </row>
        <row r="209">
          <cell r="G209" t="str">
            <v>/</v>
          </cell>
          <cell r="H209" t="str">
            <v>小街牛杂面</v>
          </cell>
          <cell r="I209" t="str">
            <v>郭铁军</v>
          </cell>
          <cell r="J209">
            <v>4043.4</v>
          </cell>
        </row>
        <row r="210">
          <cell r="D210" t="str">
            <v>CF780</v>
          </cell>
          <cell r="E210" t="str">
            <v>吉建大二食堂</v>
          </cell>
        </row>
        <row r="210">
          <cell r="G210" t="str">
            <v>/</v>
          </cell>
          <cell r="H210" t="str">
            <v>炙烤五花肉</v>
          </cell>
          <cell r="I210" t="str">
            <v>付炜</v>
          </cell>
        </row>
        <row r="211">
          <cell r="D211" t="str">
            <v>CF780</v>
          </cell>
          <cell r="E211" t="str">
            <v>吉建大二食堂</v>
          </cell>
        </row>
        <row r="211">
          <cell r="G211" t="str">
            <v>/</v>
          </cell>
          <cell r="H211" t="str">
            <v>朴大叔拌饭</v>
          </cell>
          <cell r="I211" t="str">
            <v>沈延斌</v>
          </cell>
        </row>
        <row r="212">
          <cell r="D212" t="str">
            <v>CF780</v>
          </cell>
          <cell r="E212" t="str">
            <v>吉建大二食堂</v>
          </cell>
        </row>
        <row r="212">
          <cell r="G212" t="str">
            <v>/</v>
          </cell>
          <cell r="H212" t="str">
            <v>猪脚饭</v>
          </cell>
          <cell r="I212" t="str">
            <v>陈超</v>
          </cell>
          <cell r="J212">
            <v>8232.8</v>
          </cell>
        </row>
        <row r="213">
          <cell r="D213" t="str">
            <v>CF780</v>
          </cell>
          <cell r="E213" t="str">
            <v>吉建大二食堂</v>
          </cell>
        </row>
        <row r="213">
          <cell r="G213" t="str">
            <v>/</v>
          </cell>
          <cell r="H213" t="str">
            <v>羊杂面</v>
          </cell>
          <cell r="I213" t="str">
            <v>扬中理</v>
          </cell>
          <cell r="J213">
            <v>12957</v>
          </cell>
        </row>
        <row r="214">
          <cell r="D214" t="str">
            <v>CF780</v>
          </cell>
          <cell r="E214" t="str">
            <v>吉建大二食堂</v>
          </cell>
        </row>
        <row r="214">
          <cell r="G214" t="str">
            <v>/</v>
          </cell>
          <cell r="H214" t="str">
            <v>原粉公煮</v>
          </cell>
          <cell r="I214" t="str">
            <v>田卓</v>
          </cell>
          <cell r="J214">
            <v>4964</v>
          </cell>
        </row>
        <row r="215">
          <cell r="D215" t="str">
            <v>CF780</v>
          </cell>
          <cell r="E215" t="str">
            <v>吉建大二食堂</v>
          </cell>
        </row>
        <row r="215">
          <cell r="G215" t="str">
            <v>/</v>
          </cell>
          <cell r="H215" t="str">
            <v>大块牛肉饭</v>
          </cell>
          <cell r="I215" t="str">
            <v>王亮</v>
          </cell>
          <cell r="J215">
            <v>6714</v>
          </cell>
        </row>
        <row r="216">
          <cell r="D216" t="str">
            <v>CF780</v>
          </cell>
          <cell r="E216" t="str">
            <v>吉建大二食堂</v>
          </cell>
        </row>
        <row r="216">
          <cell r="G216" t="str">
            <v>/</v>
          </cell>
          <cell r="H216" t="str">
            <v>嘻哈密语</v>
          </cell>
          <cell r="I216" t="str">
            <v>陶志鹏</v>
          </cell>
          <cell r="J216">
            <v>3402.31</v>
          </cell>
        </row>
        <row r="217">
          <cell r="D217" t="str">
            <v>CF780</v>
          </cell>
          <cell r="E217" t="str">
            <v>吉建大二食堂</v>
          </cell>
        </row>
        <row r="217">
          <cell r="G217" t="str">
            <v>/</v>
          </cell>
          <cell r="H217" t="str">
            <v>炸鸡汉堡</v>
          </cell>
          <cell r="I217" t="str">
            <v>隗伟</v>
          </cell>
          <cell r="J217">
            <v>2697.2</v>
          </cell>
        </row>
        <row r="218">
          <cell r="D218" t="str">
            <v>CF780</v>
          </cell>
          <cell r="E218" t="str">
            <v>吉建大二食堂</v>
          </cell>
        </row>
        <row r="218">
          <cell r="G218" t="str">
            <v>/</v>
          </cell>
          <cell r="H218" t="str">
            <v>九阳豆浆</v>
          </cell>
          <cell r="I218" t="str">
            <v>李宝友</v>
          </cell>
          <cell r="J218">
            <v>1772</v>
          </cell>
        </row>
        <row r="219">
          <cell r="D219" t="str">
            <v>CF780</v>
          </cell>
          <cell r="E219" t="str">
            <v>吉建大二食堂</v>
          </cell>
        </row>
        <row r="219">
          <cell r="G219" t="str">
            <v>/</v>
          </cell>
          <cell r="H219" t="str">
            <v>杂粮煎饼</v>
          </cell>
          <cell r="I219" t="str">
            <v>仲伟兴</v>
          </cell>
          <cell r="J219">
            <v>1353</v>
          </cell>
        </row>
        <row r="220">
          <cell r="D220" t="str">
            <v>CF780</v>
          </cell>
          <cell r="E220" t="str">
            <v>吉建大二食堂</v>
          </cell>
        </row>
        <row r="220">
          <cell r="G220" t="str">
            <v>/</v>
          </cell>
          <cell r="H220" t="str">
            <v>特色餐厅</v>
          </cell>
          <cell r="I220" t="str">
            <v>王友峰</v>
          </cell>
          <cell r="J220">
            <v>3517.2</v>
          </cell>
        </row>
        <row r="221">
          <cell r="D221" t="str">
            <v>CF641</v>
          </cell>
          <cell r="E221" t="str">
            <v>中山大学北学二食堂</v>
          </cell>
        </row>
        <row r="221">
          <cell r="G221" t="str">
            <v>自营</v>
          </cell>
          <cell r="H221" t="str">
            <v>/</v>
          </cell>
          <cell r="I221" t="str">
            <v>/</v>
          </cell>
          <cell r="J221">
            <v>0</v>
          </cell>
        </row>
        <row r="222">
          <cell r="D222" t="str">
            <v>CF641</v>
          </cell>
          <cell r="E222" t="str">
            <v>中山大学北学二食堂</v>
          </cell>
        </row>
        <row r="222">
          <cell r="G222" t="str">
            <v>第一班组</v>
          </cell>
          <cell r="H222" t="str">
            <v>早点（大众餐、粉面）</v>
          </cell>
          <cell r="I222" t="str">
            <v>蒲久龙</v>
          </cell>
          <cell r="J222">
            <v>0</v>
          </cell>
        </row>
        <row r="223">
          <cell r="D223" t="str">
            <v>CF641</v>
          </cell>
          <cell r="E223" t="str">
            <v>中山大学北学二食堂</v>
          </cell>
        </row>
        <row r="223">
          <cell r="G223" t="str">
            <v>第二班组</v>
          </cell>
          <cell r="H223" t="str">
            <v>喜多多扒饭</v>
          </cell>
          <cell r="I223" t="str">
            <v>郝晓敏</v>
          </cell>
          <cell r="J223">
            <v>0</v>
          </cell>
        </row>
        <row r="224">
          <cell r="D224" t="str">
            <v>CF641</v>
          </cell>
          <cell r="E224" t="str">
            <v>中山大学北学二食堂</v>
          </cell>
        </row>
        <row r="224">
          <cell r="G224" t="str">
            <v>第三班组</v>
          </cell>
          <cell r="H224" t="str">
            <v>香锅（麻辣烫）</v>
          </cell>
          <cell r="I224" t="str">
            <v>魏国义</v>
          </cell>
          <cell r="J224">
            <v>0</v>
          </cell>
        </row>
        <row r="225">
          <cell r="D225" t="str">
            <v>CF641</v>
          </cell>
          <cell r="E225" t="str">
            <v>中山大学北学二食堂</v>
          </cell>
        </row>
        <row r="225">
          <cell r="G225" t="str">
            <v>第四班组</v>
          </cell>
          <cell r="H225" t="str">
            <v>面条（螺蛳粉）</v>
          </cell>
          <cell r="I225" t="str">
            <v>张玉雷</v>
          </cell>
          <cell r="J225">
            <v>0</v>
          </cell>
        </row>
        <row r="226">
          <cell r="D226" t="str">
            <v>CF641</v>
          </cell>
          <cell r="E226" t="str">
            <v>中山大学北学二食堂</v>
          </cell>
        </row>
        <row r="226">
          <cell r="G226" t="str">
            <v>第五班组</v>
          </cell>
          <cell r="H226" t="str">
            <v>牛肉饭（烤肉拌饭）</v>
          </cell>
          <cell r="I226" t="str">
            <v>张磊</v>
          </cell>
          <cell r="J226">
            <v>0</v>
          </cell>
        </row>
        <row r="227">
          <cell r="D227" t="str">
            <v>CF640</v>
          </cell>
          <cell r="E227" t="str">
            <v>广东财大雅食园食堂</v>
          </cell>
        </row>
        <row r="227">
          <cell r="G227" t="str">
            <v>自营</v>
          </cell>
          <cell r="H227" t="str">
            <v>/</v>
          </cell>
          <cell r="I227" t="str">
            <v>/</v>
          </cell>
        </row>
        <row r="228">
          <cell r="D228" t="str">
            <v>CF640</v>
          </cell>
          <cell r="E228" t="str">
            <v>广东财大雅食园食堂</v>
          </cell>
        </row>
        <row r="228">
          <cell r="G228" t="str">
            <v>第一班组</v>
          </cell>
          <cell r="H228" t="str">
            <v>早点(大众餐)</v>
          </cell>
          <cell r="I228" t="str">
            <v>黄国青</v>
          </cell>
        </row>
        <row r="229">
          <cell r="D229" t="str">
            <v>CF781</v>
          </cell>
          <cell r="E229" t="str">
            <v>苏食院第一学生食堂</v>
          </cell>
        </row>
        <row r="229">
          <cell r="G229" t="str">
            <v>自营</v>
          </cell>
          <cell r="H229" t="str">
            <v>/</v>
          </cell>
          <cell r="I229" t="str">
            <v>/</v>
          </cell>
          <cell r="J229">
            <v>0</v>
          </cell>
        </row>
        <row r="230">
          <cell r="D230" t="str">
            <v>CF781</v>
          </cell>
          <cell r="E230" t="str">
            <v>苏食院第一学生食堂</v>
          </cell>
        </row>
        <row r="230">
          <cell r="G230" t="str">
            <v>/</v>
          </cell>
          <cell r="H230" t="str">
            <v>兰州拉面</v>
          </cell>
          <cell r="I230" t="str">
            <v>马金明</v>
          </cell>
          <cell r="J230">
            <v>0</v>
          </cell>
        </row>
        <row r="231">
          <cell r="D231" t="str">
            <v>CF781</v>
          </cell>
          <cell r="E231" t="str">
            <v>苏食院第一学生食堂</v>
          </cell>
        </row>
        <row r="231">
          <cell r="G231" t="str">
            <v>/</v>
          </cell>
          <cell r="H231" t="str">
            <v>米线</v>
          </cell>
          <cell r="I231" t="str">
            <v>许慧强</v>
          </cell>
          <cell r="J231">
            <v>0</v>
          </cell>
        </row>
        <row r="232">
          <cell r="D232" t="str">
            <v>CF781</v>
          </cell>
          <cell r="E232" t="str">
            <v>苏食院第一学生食堂</v>
          </cell>
        </row>
        <row r="232">
          <cell r="G232" t="str">
            <v>/</v>
          </cell>
          <cell r="H232" t="str">
            <v>早点</v>
          </cell>
          <cell r="I232" t="str">
            <v>李帮</v>
          </cell>
          <cell r="J232">
            <v>9520.71</v>
          </cell>
        </row>
        <row r="233">
          <cell r="D233" t="str">
            <v>CF781</v>
          </cell>
          <cell r="E233" t="str">
            <v>苏食院第一学生食堂</v>
          </cell>
        </row>
        <row r="233">
          <cell r="G233" t="str">
            <v>/</v>
          </cell>
          <cell r="H233" t="str">
            <v>快餐</v>
          </cell>
          <cell r="I233" t="str">
            <v>吴荣花</v>
          </cell>
          <cell r="J233">
            <v>49898.76</v>
          </cell>
        </row>
        <row r="234">
          <cell r="D234" t="str">
            <v>CF781</v>
          </cell>
          <cell r="E234" t="str">
            <v>苏食院第一学生食堂</v>
          </cell>
        </row>
        <row r="234">
          <cell r="G234" t="str">
            <v>/</v>
          </cell>
          <cell r="H234" t="str">
            <v>羊杂面</v>
          </cell>
          <cell r="I234" t="str">
            <v>许慧强</v>
          </cell>
          <cell r="J234">
            <v>17825.7</v>
          </cell>
        </row>
        <row r="235">
          <cell r="D235" t="str">
            <v>CF781</v>
          </cell>
          <cell r="E235" t="str">
            <v>苏食院第一学生食堂</v>
          </cell>
        </row>
        <row r="235">
          <cell r="G235" t="str">
            <v>/</v>
          </cell>
          <cell r="H235" t="str">
            <v>牛肉粉丝汤</v>
          </cell>
          <cell r="I235" t="str">
            <v>张宗芳</v>
          </cell>
          <cell r="J235">
            <v>0</v>
          </cell>
        </row>
        <row r="236">
          <cell r="D236" t="str">
            <v>CF781</v>
          </cell>
          <cell r="E236" t="str">
            <v>苏食院第一学生食堂</v>
          </cell>
        </row>
        <row r="236">
          <cell r="G236" t="str">
            <v>/</v>
          </cell>
          <cell r="H236" t="str">
            <v>汤包蒸饺</v>
          </cell>
          <cell r="I236" t="str">
            <v>嵇炜</v>
          </cell>
          <cell r="J236">
            <v>2729.87</v>
          </cell>
        </row>
        <row r="237">
          <cell r="D237" t="str">
            <v>CF781</v>
          </cell>
          <cell r="E237" t="str">
            <v>苏食院第一学生食堂</v>
          </cell>
        </row>
        <row r="237">
          <cell r="G237" t="str">
            <v>/</v>
          </cell>
          <cell r="H237" t="str">
            <v>套餐饭</v>
          </cell>
          <cell r="I237" t="str">
            <v>白亚雪</v>
          </cell>
          <cell r="J237">
            <v>773.69</v>
          </cell>
        </row>
        <row r="238">
          <cell r="D238" t="str">
            <v>CF781</v>
          </cell>
          <cell r="E238" t="str">
            <v>苏食院第一学生食堂</v>
          </cell>
        </row>
        <row r="238">
          <cell r="G238" t="str">
            <v>/</v>
          </cell>
          <cell r="H238" t="str">
            <v>拉面</v>
          </cell>
          <cell r="I238" t="str">
            <v>李小东</v>
          </cell>
          <cell r="J238">
            <v>0</v>
          </cell>
        </row>
        <row r="239">
          <cell r="D239" t="str">
            <v>CF781</v>
          </cell>
          <cell r="E239" t="str">
            <v>苏食院第一学生食堂</v>
          </cell>
        </row>
        <row r="239">
          <cell r="G239" t="str">
            <v>/</v>
          </cell>
          <cell r="H239" t="str">
            <v>水吧</v>
          </cell>
          <cell r="I239" t="str">
            <v>王树松</v>
          </cell>
          <cell r="J239">
            <v>0</v>
          </cell>
        </row>
        <row r="240">
          <cell r="D240" t="str">
            <v>CF781</v>
          </cell>
          <cell r="E240" t="str">
            <v>苏食院第一学生食堂</v>
          </cell>
        </row>
        <row r="240">
          <cell r="G240" t="str">
            <v>/</v>
          </cell>
          <cell r="H240" t="str">
            <v>面包</v>
          </cell>
          <cell r="I240" t="str">
            <v>汪雨凤</v>
          </cell>
          <cell r="J240">
            <v>0</v>
          </cell>
        </row>
        <row r="241">
          <cell r="D241" t="str">
            <v>CF781</v>
          </cell>
          <cell r="E241" t="str">
            <v>苏食院第一学生食堂</v>
          </cell>
        </row>
        <row r="241">
          <cell r="G241" t="str">
            <v>/</v>
          </cell>
          <cell r="H241" t="str">
            <v>蹦蹦鸡</v>
          </cell>
          <cell r="I241" t="str">
            <v>朱海涛</v>
          </cell>
          <cell r="J241">
            <v>0</v>
          </cell>
        </row>
        <row r="242">
          <cell r="D242" t="str">
            <v>CF781</v>
          </cell>
          <cell r="E242" t="str">
            <v>苏食院第一学生食堂</v>
          </cell>
        </row>
        <row r="242">
          <cell r="G242" t="str">
            <v>/</v>
          </cell>
          <cell r="H242" t="str">
            <v>水饺</v>
          </cell>
          <cell r="I242" t="str">
            <v>刘淑平</v>
          </cell>
          <cell r="J242">
            <v>1151.62</v>
          </cell>
        </row>
        <row r="243">
          <cell r="D243" t="str">
            <v>CF781</v>
          </cell>
          <cell r="E243" t="str">
            <v>苏食院第一学生食堂</v>
          </cell>
        </row>
        <row r="243">
          <cell r="G243" t="str">
            <v>/</v>
          </cell>
          <cell r="H243" t="str">
            <v>0900汉堡</v>
          </cell>
          <cell r="I243" t="str">
            <v>张文浩</v>
          </cell>
          <cell r="J243">
            <v>3020.33</v>
          </cell>
        </row>
        <row r="244">
          <cell r="D244" t="str">
            <v>CF781</v>
          </cell>
          <cell r="E244" t="str">
            <v>苏食院第一学生食堂</v>
          </cell>
        </row>
        <row r="244">
          <cell r="G244" t="str">
            <v>/</v>
          </cell>
          <cell r="H244" t="str">
            <v>煎饼果子</v>
          </cell>
          <cell r="I244" t="str">
            <v>朱小林</v>
          </cell>
          <cell r="J244">
            <v>2070.6</v>
          </cell>
        </row>
        <row r="245">
          <cell r="D245" t="str">
            <v>CF320</v>
          </cell>
          <cell r="E245" t="str">
            <v>江苏财经梅园食堂</v>
          </cell>
        </row>
        <row r="245">
          <cell r="G245" t="str">
            <v>自营</v>
          </cell>
          <cell r="H245" t="str">
            <v>/</v>
          </cell>
          <cell r="I245" t="str">
            <v>/</v>
          </cell>
          <cell r="J245">
            <v>0</v>
          </cell>
        </row>
        <row r="246">
          <cell r="D246" t="str">
            <v>CF320</v>
          </cell>
          <cell r="E246" t="str">
            <v>江苏财经梅园食堂</v>
          </cell>
        </row>
        <row r="246">
          <cell r="G246" t="str">
            <v>/</v>
          </cell>
          <cell r="H246" t="str">
            <v>喜翻拌</v>
          </cell>
          <cell r="I246" t="str">
            <v>赵建芳</v>
          </cell>
          <cell r="J246">
            <v>11398.61</v>
          </cell>
        </row>
        <row r="247">
          <cell r="D247" t="str">
            <v>CF320</v>
          </cell>
          <cell r="E247" t="str">
            <v>江苏财经梅园食堂</v>
          </cell>
        </row>
        <row r="247">
          <cell r="G247" t="str">
            <v>/</v>
          </cell>
          <cell r="H247" t="str">
            <v>石锅菜</v>
          </cell>
          <cell r="I247" t="str">
            <v>马成霞</v>
          </cell>
          <cell r="J247">
            <v>4825.61</v>
          </cell>
        </row>
        <row r="248">
          <cell r="D248" t="str">
            <v>CF320</v>
          </cell>
          <cell r="E248" t="str">
            <v>江苏财经梅园食堂</v>
          </cell>
        </row>
        <row r="248">
          <cell r="G248" t="str">
            <v>/</v>
          </cell>
          <cell r="H248" t="str">
            <v>盖码面/饭</v>
          </cell>
          <cell r="I248" t="str">
            <v>辛保帆</v>
          </cell>
        </row>
        <row r="249">
          <cell r="D249" t="str">
            <v>CF320</v>
          </cell>
          <cell r="E249" t="str">
            <v>江苏财经梅园食堂</v>
          </cell>
        </row>
        <row r="249">
          <cell r="G249" t="str">
            <v>/</v>
          </cell>
          <cell r="H249" t="str">
            <v>铁板烧</v>
          </cell>
          <cell r="I249" t="str">
            <v>姜红霞</v>
          </cell>
        </row>
        <row r="250">
          <cell r="D250" t="str">
            <v>CF320</v>
          </cell>
          <cell r="E250" t="str">
            <v>江苏财经梅园食堂</v>
          </cell>
        </row>
        <row r="250">
          <cell r="G250" t="str">
            <v>/</v>
          </cell>
          <cell r="H250" t="str">
            <v>快餐</v>
          </cell>
          <cell r="I250" t="str">
            <v>黄信生</v>
          </cell>
          <cell r="J250">
            <v>36058.54</v>
          </cell>
        </row>
        <row r="251">
          <cell r="D251" t="str">
            <v>CF320</v>
          </cell>
          <cell r="E251" t="str">
            <v>江苏财经梅园食堂</v>
          </cell>
        </row>
        <row r="251">
          <cell r="G251" t="str">
            <v>/</v>
          </cell>
          <cell r="H251" t="str">
            <v>早点</v>
          </cell>
          <cell r="I251" t="str">
            <v>狄国军</v>
          </cell>
          <cell r="J251">
            <v>11529.24</v>
          </cell>
        </row>
        <row r="252">
          <cell r="D252" t="str">
            <v>CF320</v>
          </cell>
          <cell r="E252" t="str">
            <v>江苏财经梅园食堂</v>
          </cell>
        </row>
        <row r="252">
          <cell r="G252" t="str">
            <v>/</v>
          </cell>
          <cell r="H252" t="str">
            <v>双拼饭</v>
          </cell>
          <cell r="I252" t="str">
            <v>相加生</v>
          </cell>
        </row>
        <row r="253">
          <cell r="D253" t="str">
            <v>CF320</v>
          </cell>
          <cell r="E253" t="str">
            <v>江苏财经梅园食堂</v>
          </cell>
        </row>
        <row r="253">
          <cell r="G253" t="str">
            <v>/</v>
          </cell>
          <cell r="H253" t="str">
            <v>一纸鸡</v>
          </cell>
          <cell r="I253" t="str">
            <v>王森</v>
          </cell>
        </row>
        <row r="254">
          <cell r="D254" t="str">
            <v>CF320</v>
          </cell>
          <cell r="E254" t="str">
            <v>江苏财经梅园食堂</v>
          </cell>
        </row>
        <row r="254">
          <cell r="G254" t="str">
            <v>/</v>
          </cell>
          <cell r="H254" t="str">
            <v>糖水粥铺</v>
          </cell>
          <cell r="I254" t="str">
            <v>胡跃跃</v>
          </cell>
        </row>
        <row r="255">
          <cell r="D255" t="str">
            <v>CF320</v>
          </cell>
          <cell r="E255" t="str">
            <v>江苏财经梅园食堂</v>
          </cell>
        </row>
        <row r="255">
          <cell r="G255" t="str">
            <v>/</v>
          </cell>
          <cell r="H255" t="str">
            <v>五谷渔粉</v>
          </cell>
          <cell r="I255" t="str">
            <v>赵青青</v>
          </cell>
          <cell r="J255">
            <v>19071.02</v>
          </cell>
        </row>
        <row r="256">
          <cell r="D256" t="str">
            <v>CF320</v>
          </cell>
          <cell r="E256" t="str">
            <v>江苏财经梅园食堂</v>
          </cell>
        </row>
        <row r="256">
          <cell r="G256" t="str">
            <v>/</v>
          </cell>
          <cell r="H256" t="str">
            <v>吉祥馄饨</v>
          </cell>
          <cell r="I256" t="str">
            <v>刘淑平</v>
          </cell>
          <cell r="J256">
            <v>4080.84</v>
          </cell>
        </row>
        <row r="257">
          <cell r="D257" t="str">
            <v>CF320</v>
          </cell>
          <cell r="E257" t="str">
            <v>江苏财经梅园食堂</v>
          </cell>
        </row>
        <row r="257">
          <cell r="G257" t="str">
            <v>/</v>
          </cell>
          <cell r="H257" t="str">
            <v>煎饼</v>
          </cell>
          <cell r="I257" t="str">
            <v>相丽</v>
          </cell>
        </row>
        <row r="258">
          <cell r="D258" t="str">
            <v>CF320</v>
          </cell>
          <cell r="E258" t="str">
            <v>江苏财经梅园食堂</v>
          </cell>
        </row>
        <row r="258">
          <cell r="G258" t="str">
            <v>/</v>
          </cell>
          <cell r="H258" t="str">
            <v>香锅</v>
          </cell>
          <cell r="I258" t="str">
            <v>王凯</v>
          </cell>
          <cell r="J258">
            <v>9238.29</v>
          </cell>
        </row>
        <row r="259">
          <cell r="D259" t="str">
            <v>CF320</v>
          </cell>
          <cell r="E259" t="str">
            <v>江苏财经梅园食堂</v>
          </cell>
        </row>
        <row r="259">
          <cell r="G259" t="str">
            <v>第十五班组</v>
          </cell>
          <cell r="H259" t="str">
            <v>柚见鲜茶</v>
          </cell>
          <cell r="I259" t="str">
            <v>王春梅</v>
          </cell>
          <cell r="J259">
            <v>11239.55</v>
          </cell>
        </row>
        <row r="260">
          <cell r="D260" t="str">
            <v>CF320</v>
          </cell>
          <cell r="E260" t="str">
            <v>江苏财经梅园食堂</v>
          </cell>
        </row>
        <row r="260">
          <cell r="G260" t="str">
            <v>第十六班组</v>
          </cell>
          <cell r="H260" t="str">
            <v>酷堡王</v>
          </cell>
          <cell r="I260" t="str">
            <v>籍明明</v>
          </cell>
          <cell r="J260">
            <v>0</v>
          </cell>
        </row>
        <row r="261">
          <cell r="D261" t="str">
            <v>CF320</v>
          </cell>
          <cell r="E261" t="str">
            <v>江苏财经梅园食堂</v>
          </cell>
        </row>
        <row r="261">
          <cell r="G261" t="str">
            <v>/</v>
          </cell>
          <cell r="H261" t="str">
            <v>水果</v>
          </cell>
          <cell r="I261" t="str">
            <v>陈龙</v>
          </cell>
          <cell r="J261">
            <v>19562.71</v>
          </cell>
        </row>
        <row r="262">
          <cell r="D262" t="str">
            <v>CF320</v>
          </cell>
          <cell r="E262" t="str">
            <v>江苏财经梅园食堂</v>
          </cell>
        </row>
        <row r="262">
          <cell r="G262" t="str">
            <v>/</v>
          </cell>
          <cell r="H262" t="str">
            <v>一鸣鲜奶</v>
          </cell>
          <cell r="I262" t="str">
            <v>吴斯忠</v>
          </cell>
        </row>
        <row r="263">
          <cell r="D263" t="str">
            <v>CF320</v>
          </cell>
          <cell r="E263" t="str">
            <v>江苏财经梅园食堂</v>
          </cell>
        </row>
        <row r="263">
          <cell r="G263" t="str">
            <v>/</v>
          </cell>
          <cell r="H263" t="str">
            <v>库迪咖啡</v>
          </cell>
          <cell r="I263" t="str">
            <v>张凌子</v>
          </cell>
          <cell r="J263">
            <v>348.11</v>
          </cell>
        </row>
        <row r="264">
          <cell r="D264" t="str">
            <v>CF320</v>
          </cell>
          <cell r="E264" t="str">
            <v>江苏财经梅园食堂</v>
          </cell>
        </row>
        <row r="264">
          <cell r="G264" t="str">
            <v>/</v>
          </cell>
          <cell r="H264" t="str">
            <v>猪脚饭</v>
          </cell>
          <cell r="I264" t="str">
            <v>李袁园</v>
          </cell>
          <cell r="J264">
            <v>9852.57</v>
          </cell>
        </row>
        <row r="265">
          <cell r="D265" t="str">
            <v>CF694</v>
          </cell>
          <cell r="E265" t="str">
            <v>兰理工彭家坪北村食堂</v>
          </cell>
        </row>
        <row r="265">
          <cell r="G265" t="str">
            <v>自营</v>
          </cell>
          <cell r="H265" t="str">
            <v>/</v>
          </cell>
          <cell r="I265" t="str">
            <v>/</v>
          </cell>
          <cell r="J265">
            <v>0</v>
          </cell>
        </row>
        <row r="266">
          <cell r="D266" t="str">
            <v>CF694</v>
          </cell>
          <cell r="E266" t="str">
            <v>兰理工彭家坪北村食堂</v>
          </cell>
        </row>
        <row r="266">
          <cell r="G266" t="str">
            <v>/</v>
          </cell>
          <cell r="H266" t="str">
            <v>水饺</v>
          </cell>
          <cell r="I266" t="str">
            <v>穆小芳</v>
          </cell>
          <cell r="J266">
            <v>0</v>
          </cell>
        </row>
        <row r="267">
          <cell r="D267" t="str">
            <v>CF694</v>
          </cell>
          <cell r="E267" t="str">
            <v>兰理工彭家坪北村食堂</v>
          </cell>
        </row>
        <row r="267">
          <cell r="G267" t="str">
            <v>/</v>
          </cell>
          <cell r="H267" t="str">
            <v>牛肉面</v>
          </cell>
          <cell r="I267" t="str">
            <v>李俊兵</v>
          </cell>
          <cell r="J267">
            <v>0</v>
          </cell>
        </row>
        <row r="268">
          <cell r="D268" t="str">
            <v>CF694</v>
          </cell>
          <cell r="E268" t="str">
            <v>兰理工彭家坪北村食堂</v>
          </cell>
        </row>
        <row r="268">
          <cell r="G268" t="str">
            <v>/</v>
          </cell>
          <cell r="H268" t="str">
            <v>韩式煎饼</v>
          </cell>
          <cell r="I268" t="str">
            <v>赵平花</v>
          </cell>
          <cell r="J268">
            <v>0</v>
          </cell>
        </row>
        <row r="269">
          <cell r="D269" t="str">
            <v>CF694</v>
          </cell>
          <cell r="E269" t="str">
            <v>兰理工彭家坪北村食堂</v>
          </cell>
        </row>
        <row r="269">
          <cell r="G269" t="str">
            <v>/</v>
          </cell>
          <cell r="H269" t="str">
            <v>米粉</v>
          </cell>
          <cell r="I269" t="str">
            <v>尚伟云</v>
          </cell>
          <cell r="J269">
            <v>0</v>
          </cell>
        </row>
        <row r="270">
          <cell r="D270" t="str">
            <v>CF694</v>
          </cell>
          <cell r="E270" t="str">
            <v>兰理工彭家坪北村食堂</v>
          </cell>
        </row>
        <row r="270">
          <cell r="G270" t="str">
            <v>/</v>
          </cell>
          <cell r="H270" t="str">
            <v>肉肉堡</v>
          </cell>
          <cell r="I270" t="str">
            <v>任洪彦</v>
          </cell>
          <cell r="J270">
            <v>0</v>
          </cell>
        </row>
        <row r="271">
          <cell r="D271" t="str">
            <v>CF694</v>
          </cell>
          <cell r="E271" t="str">
            <v>兰理工彭家坪北村食堂</v>
          </cell>
        </row>
        <row r="271">
          <cell r="G271" t="str">
            <v>/</v>
          </cell>
          <cell r="H271" t="str">
            <v>肉酱面</v>
          </cell>
          <cell r="I271" t="str">
            <v>杨小含</v>
          </cell>
          <cell r="J271">
            <v>0</v>
          </cell>
        </row>
        <row r="272">
          <cell r="D272" t="str">
            <v>CF694</v>
          </cell>
          <cell r="E272" t="str">
            <v>兰理工彭家坪北村食堂</v>
          </cell>
        </row>
        <row r="272">
          <cell r="G272" t="str">
            <v>/</v>
          </cell>
          <cell r="H272" t="str">
            <v>脆皮鸡</v>
          </cell>
          <cell r="I272" t="str">
            <v>汤瑞珍</v>
          </cell>
          <cell r="J272">
            <v>0</v>
          </cell>
        </row>
        <row r="273">
          <cell r="D273" t="str">
            <v>CF694</v>
          </cell>
          <cell r="E273" t="str">
            <v>兰理工彭家坪北村食堂</v>
          </cell>
        </row>
        <row r="273">
          <cell r="G273" t="str">
            <v>/</v>
          </cell>
          <cell r="H273" t="str">
            <v>小笼包（渔粉）</v>
          </cell>
          <cell r="I273" t="str">
            <v>庞大江</v>
          </cell>
          <cell r="J273">
            <v>0</v>
          </cell>
        </row>
        <row r="274">
          <cell r="D274" t="str">
            <v>CF694</v>
          </cell>
          <cell r="E274" t="str">
            <v>兰理工彭家坪北村食堂</v>
          </cell>
        </row>
        <row r="274">
          <cell r="G274" t="str">
            <v>/</v>
          </cell>
          <cell r="H274" t="str">
            <v>早点</v>
          </cell>
          <cell r="I274" t="str">
            <v>陶红喜</v>
          </cell>
          <cell r="J274">
            <v>0</v>
          </cell>
        </row>
        <row r="275">
          <cell r="D275" t="str">
            <v>CF694</v>
          </cell>
          <cell r="E275" t="str">
            <v>兰理工彭家坪北村食堂</v>
          </cell>
        </row>
        <row r="275">
          <cell r="G275" t="str">
            <v>/</v>
          </cell>
          <cell r="H275" t="str">
            <v>湘式小炒</v>
          </cell>
          <cell r="I275" t="str">
            <v>李雪婷</v>
          </cell>
          <cell r="J275">
            <v>0</v>
          </cell>
        </row>
        <row r="276">
          <cell r="D276" t="str">
            <v>CF694</v>
          </cell>
          <cell r="E276" t="str">
            <v>兰理工彭家坪北村食堂</v>
          </cell>
        </row>
        <row r="276">
          <cell r="G276" t="str">
            <v>/</v>
          </cell>
          <cell r="H276" t="str">
            <v>饸饹面</v>
          </cell>
          <cell r="I276" t="str">
            <v>高维秦</v>
          </cell>
          <cell r="J276">
            <v>0</v>
          </cell>
        </row>
        <row r="277">
          <cell r="D277" t="str">
            <v>CF694</v>
          </cell>
          <cell r="E277" t="str">
            <v>兰理工彭家坪北村食堂</v>
          </cell>
        </row>
        <row r="277">
          <cell r="G277" t="str">
            <v>/</v>
          </cell>
          <cell r="H277" t="str">
            <v>石锅饭</v>
          </cell>
          <cell r="I277" t="str">
            <v>杨方红</v>
          </cell>
          <cell r="J277">
            <v>0</v>
          </cell>
        </row>
        <row r="278">
          <cell r="D278" t="str">
            <v>CF694</v>
          </cell>
          <cell r="E278" t="str">
            <v>兰理工彭家坪北村食堂</v>
          </cell>
        </row>
        <row r="278">
          <cell r="G278" t="str">
            <v>/</v>
          </cell>
          <cell r="H278" t="str">
            <v>猪脚饭</v>
          </cell>
          <cell r="I278" t="str">
            <v>陈发全</v>
          </cell>
          <cell r="J278">
            <v>0</v>
          </cell>
        </row>
        <row r="279">
          <cell r="D279" t="str">
            <v>CF694</v>
          </cell>
          <cell r="E279" t="str">
            <v>兰理工彭家坪北村食堂</v>
          </cell>
        </row>
        <row r="279">
          <cell r="G279" t="str">
            <v>/</v>
          </cell>
          <cell r="H279" t="str">
            <v>水吧</v>
          </cell>
          <cell r="I279" t="str">
            <v>陈发全</v>
          </cell>
          <cell r="J279">
            <v>0</v>
          </cell>
        </row>
        <row r="280">
          <cell r="D280" t="str">
            <v>CF694</v>
          </cell>
          <cell r="E280" t="str">
            <v>兰理工彭家坪北村食堂</v>
          </cell>
        </row>
        <row r="280">
          <cell r="G280" t="str">
            <v>/</v>
          </cell>
          <cell r="H280" t="str">
            <v>小火锅</v>
          </cell>
          <cell r="I280" t="str">
            <v>韩玉红</v>
          </cell>
          <cell r="J280">
            <v>0</v>
          </cell>
        </row>
        <row r="281">
          <cell r="D281" t="str">
            <v>CF694</v>
          </cell>
          <cell r="E281" t="str">
            <v>兰理工彭家坪北村食堂</v>
          </cell>
        </row>
        <row r="281">
          <cell r="G281" t="str">
            <v>/</v>
          </cell>
          <cell r="H281" t="str">
            <v>牛肉面</v>
          </cell>
          <cell r="I281" t="str">
            <v>石磊</v>
          </cell>
          <cell r="J281">
            <v>0</v>
          </cell>
        </row>
        <row r="282">
          <cell r="D282" t="str">
            <v>CF696</v>
          </cell>
          <cell r="E282" t="str">
            <v>甘肃省气象局</v>
          </cell>
        </row>
        <row r="282">
          <cell r="G282" t="str">
            <v>/</v>
          </cell>
          <cell r="H282" t="str">
            <v>/</v>
          </cell>
          <cell r="I282" t="str">
            <v>/</v>
          </cell>
          <cell r="J282">
            <v>86022</v>
          </cell>
        </row>
        <row r="283">
          <cell r="D283" t="str">
            <v>CF620</v>
          </cell>
          <cell r="E283" t="str">
            <v>山西大学B6食堂三层</v>
          </cell>
        </row>
        <row r="283">
          <cell r="G283" t="str">
            <v>/</v>
          </cell>
          <cell r="H283" t="str">
            <v>冒菜</v>
          </cell>
          <cell r="I283" t="str">
            <v>陈祥</v>
          </cell>
          <cell r="J283">
            <v>0</v>
          </cell>
        </row>
        <row r="284">
          <cell r="D284" t="str">
            <v>CF620</v>
          </cell>
          <cell r="E284" t="str">
            <v>山西大学B6食堂三层</v>
          </cell>
        </row>
        <row r="284">
          <cell r="G284" t="str">
            <v>/</v>
          </cell>
          <cell r="H284" t="str">
            <v>烤盘菜</v>
          </cell>
          <cell r="I284" t="str">
            <v>陈祥</v>
          </cell>
          <cell r="J284">
            <v>0</v>
          </cell>
        </row>
        <row r="285">
          <cell r="D285" t="str">
            <v>CF620</v>
          </cell>
          <cell r="E285" t="str">
            <v>山西大学B6食堂三层</v>
          </cell>
        </row>
        <row r="285">
          <cell r="G285" t="str">
            <v>/</v>
          </cell>
          <cell r="H285" t="str">
            <v>大盘鸡</v>
          </cell>
          <cell r="I285" t="str">
            <v>陈祥</v>
          </cell>
          <cell r="J285">
            <v>0</v>
          </cell>
        </row>
        <row r="286">
          <cell r="D286" t="str">
            <v>CF620</v>
          </cell>
          <cell r="E286" t="str">
            <v>山西大学B6食堂三层</v>
          </cell>
        </row>
        <row r="286">
          <cell r="G286" t="str">
            <v>/</v>
          </cell>
          <cell r="H286" t="str">
            <v>小碗菜</v>
          </cell>
          <cell r="I286" t="str">
            <v>陈祥</v>
          </cell>
          <cell r="J286">
            <v>0</v>
          </cell>
        </row>
        <row r="287">
          <cell r="D287" t="str">
            <v>CF620</v>
          </cell>
          <cell r="E287" t="str">
            <v>山西大学B6食堂三层</v>
          </cell>
        </row>
        <row r="287">
          <cell r="G287" t="str">
            <v>第一班组</v>
          </cell>
          <cell r="H287" t="str">
            <v>辣椒炒肉汉堡</v>
          </cell>
          <cell r="I287" t="str">
            <v>胡星丽</v>
          </cell>
          <cell r="J287">
            <v>0</v>
          </cell>
        </row>
        <row r="288">
          <cell r="D288" t="str">
            <v>CF620</v>
          </cell>
          <cell r="E288" t="str">
            <v>山西大学B6食堂三层</v>
          </cell>
        </row>
        <row r="288">
          <cell r="G288" t="str">
            <v>第二班组</v>
          </cell>
          <cell r="H288" t="str">
            <v>石锅菜</v>
          </cell>
          <cell r="I288" t="str">
            <v>穆瑞霞</v>
          </cell>
          <cell r="J288">
            <v>0</v>
          </cell>
        </row>
        <row r="289">
          <cell r="D289" t="str">
            <v>CF620</v>
          </cell>
          <cell r="E289" t="str">
            <v>山西大学B6食堂三层</v>
          </cell>
        </row>
        <row r="289">
          <cell r="G289" t="str">
            <v>第三班组</v>
          </cell>
          <cell r="H289" t="str">
            <v>方圆便利</v>
          </cell>
          <cell r="I289" t="str">
            <v>张志洁</v>
          </cell>
          <cell r="J289">
            <v>0</v>
          </cell>
        </row>
        <row r="290">
          <cell r="D290" t="str">
            <v>CF620</v>
          </cell>
          <cell r="E290" t="str">
            <v>山西大学B6食堂三层</v>
          </cell>
        </row>
        <row r="290">
          <cell r="G290" t="str">
            <v>第四班组</v>
          </cell>
          <cell r="H290" t="str">
            <v>私抹制茶</v>
          </cell>
          <cell r="I290" t="str">
            <v>韩美珍</v>
          </cell>
          <cell r="J290">
            <v>0</v>
          </cell>
        </row>
        <row r="291">
          <cell r="D291" t="str">
            <v>CF697</v>
          </cell>
          <cell r="E291" t="str">
            <v>兰交大百苑二楼食堂</v>
          </cell>
        </row>
        <row r="291">
          <cell r="G291" t="str">
            <v>自营</v>
          </cell>
          <cell r="H291" t="str">
            <v>/</v>
          </cell>
          <cell r="I291" t="str">
            <v>/</v>
          </cell>
          <cell r="J291">
            <v>0</v>
          </cell>
        </row>
        <row r="292">
          <cell r="D292" t="str">
            <v>CF697</v>
          </cell>
          <cell r="E292" t="str">
            <v>兰交大百苑二楼食堂</v>
          </cell>
        </row>
        <row r="292">
          <cell r="G292" t="str">
            <v>/</v>
          </cell>
          <cell r="H292" t="str">
            <v>快餐</v>
          </cell>
          <cell r="I292" t="str">
            <v>胡小娟</v>
          </cell>
          <cell r="J292">
            <v>0</v>
          </cell>
        </row>
        <row r="293">
          <cell r="D293" t="str">
            <v>CF697</v>
          </cell>
          <cell r="E293" t="str">
            <v>兰交大百苑二楼食堂</v>
          </cell>
        </row>
        <row r="293">
          <cell r="G293" t="str">
            <v>/</v>
          </cell>
          <cell r="H293" t="str">
            <v>热卤饭</v>
          </cell>
          <cell r="I293" t="str">
            <v>郭建琴</v>
          </cell>
          <cell r="J293">
            <v>0</v>
          </cell>
        </row>
        <row r="294">
          <cell r="D294" t="str">
            <v>CF697</v>
          </cell>
          <cell r="E294" t="str">
            <v>兰交大百苑二楼食堂</v>
          </cell>
        </row>
        <row r="294">
          <cell r="G294" t="str">
            <v>/</v>
          </cell>
          <cell r="H294" t="str">
            <v>铁锅炖</v>
          </cell>
          <cell r="I294" t="str">
            <v>白小霞</v>
          </cell>
          <cell r="J294">
            <v>0</v>
          </cell>
        </row>
        <row r="295">
          <cell r="D295" t="str">
            <v>CF697</v>
          </cell>
          <cell r="E295" t="str">
            <v>兰交大百苑二楼食堂</v>
          </cell>
        </row>
        <row r="295">
          <cell r="G295" t="str">
            <v>/</v>
          </cell>
          <cell r="H295" t="str">
            <v>绝世皇鸭</v>
          </cell>
          <cell r="I295" t="str">
            <v>魏路虎</v>
          </cell>
          <cell r="J295">
            <v>0</v>
          </cell>
        </row>
        <row r="296">
          <cell r="D296" t="str">
            <v>CF697</v>
          </cell>
          <cell r="E296" t="str">
            <v>兰交大百苑二楼食堂</v>
          </cell>
        </row>
        <row r="296">
          <cell r="G296" t="str">
            <v>/</v>
          </cell>
          <cell r="H296" t="str">
            <v>螺蛳粉</v>
          </cell>
          <cell r="I296" t="str">
            <v>孟庆玲</v>
          </cell>
          <cell r="J296">
            <v>0</v>
          </cell>
        </row>
        <row r="297">
          <cell r="D297" t="str">
            <v>CF697</v>
          </cell>
          <cell r="E297" t="str">
            <v>兰交大百苑二楼食堂</v>
          </cell>
        </row>
        <row r="297">
          <cell r="G297" t="str">
            <v>/</v>
          </cell>
          <cell r="H297" t="str">
            <v>麻辣烫</v>
          </cell>
          <cell r="I297" t="str">
            <v>姚春</v>
          </cell>
          <cell r="J297">
            <v>0</v>
          </cell>
        </row>
        <row r="298">
          <cell r="D298" t="str">
            <v>CF697</v>
          </cell>
          <cell r="E298" t="str">
            <v>兰交大百苑二楼食堂</v>
          </cell>
        </row>
        <row r="298">
          <cell r="G298" t="str">
            <v>/</v>
          </cell>
          <cell r="H298" t="str">
            <v>脆皮鸡米饭</v>
          </cell>
          <cell r="I298" t="str">
            <v>王燕</v>
          </cell>
          <cell r="J298">
            <v>0</v>
          </cell>
        </row>
        <row r="299">
          <cell r="D299" t="str">
            <v>CF697</v>
          </cell>
          <cell r="E299" t="str">
            <v>兰交大百苑二楼食堂</v>
          </cell>
        </row>
        <row r="299">
          <cell r="G299" t="str">
            <v>/</v>
          </cell>
          <cell r="H299" t="str">
            <v>羊杂面</v>
          </cell>
          <cell r="I299" t="str">
            <v>裴晓文</v>
          </cell>
          <cell r="J299">
            <v>0</v>
          </cell>
        </row>
        <row r="300">
          <cell r="D300" t="str">
            <v>CF697</v>
          </cell>
          <cell r="E300" t="str">
            <v>兰交大百苑二楼食堂</v>
          </cell>
        </row>
        <row r="300">
          <cell r="G300" t="str">
            <v>/</v>
          </cell>
          <cell r="H300" t="str">
            <v>快餐</v>
          </cell>
          <cell r="I300" t="str">
            <v>闫焕平</v>
          </cell>
          <cell r="J300">
            <v>0</v>
          </cell>
        </row>
        <row r="301">
          <cell r="D301" t="str">
            <v>CF697</v>
          </cell>
          <cell r="E301" t="str">
            <v>兰交大百苑二楼食堂</v>
          </cell>
        </row>
        <row r="301">
          <cell r="G301" t="str">
            <v>/</v>
          </cell>
          <cell r="H301" t="str">
            <v>石锅菜</v>
          </cell>
          <cell r="I301" t="str">
            <v>李雄飞</v>
          </cell>
          <cell r="J301">
            <v>0</v>
          </cell>
        </row>
        <row r="302">
          <cell r="D302" t="str">
            <v>CF697</v>
          </cell>
          <cell r="E302" t="str">
            <v>兰交大百苑二楼食堂</v>
          </cell>
        </row>
        <row r="302">
          <cell r="G302" t="str">
            <v>/</v>
          </cell>
          <cell r="H302" t="str">
            <v>米粉</v>
          </cell>
          <cell r="I302" t="str">
            <v>安平</v>
          </cell>
          <cell r="J302">
            <v>0</v>
          </cell>
        </row>
        <row r="303">
          <cell r="D303" t="str">
            <v>CF697</v>
          </cell>
          <cell r="E303" t="str">
            <v>兰交大百苑二楼食堂</v>
          </cell>
        </row>
        <row r="303">
          <cell r="G303" t="str">
            <v>/</v>
          </cell>
          <cell r="H303" t="str">
            <v>猪脚饭</v>
          </cell>
          <cell r="I303" t="str">
            <v>张文权</v>
          </cell>
          <cell r="J303">
            <v>0</v>
          </cell>
        </row>
        <row r="304">
          <cell r="D304" t="str">
            <v>CF697</v>
          </cell>
          <cell r="E304" t="str">
            <v>兰交大百苑二楼食堂</v>
          </cell>
        </row>
        <row r="304">
          <cell r="G304" t="str">
            <v>/</v>
          </cell>
          <cell r="H304" t="str">
            <v>宋曼烤串</v>
          </cell>
          <cell r="I304" t="str">
            <v>于金梅</v>
          </cell>
          <cell r="J304">
            <v>0</v>
          </cell>
        </row>
        <row r="305">
          <cell r="D305" t="str">
            <v>CF697</v>
          </cell>
          <cell r="E305" t="str">
            <v>兰交大百苑二楼食堂</v>
          </cell>
        </row>
        <row r="305">
          <cell r="G305" t="str">
            <v>/</v>
          </cell>
          <cell r="H305" t="str">
            <v>汉堡</v>
          </cell>
          <cell r="I305" t="str">
            <v>陈发权</v>
          </cell>
          <cell r="J305">
            <v>0</v>
          </cell>
        </row>
        <row r="306">
          <cell r="D306" t="str">
            <v>CF698</v>
          </cell>
          <cell r="E306" t="str">
            <v>兰理工兰工坪校区一食堂</v>
          </cell>
        </row>
        <row r="306">
          <cell r="G306" t="str">
            <v>自营</v>
          </cell>
          <cell r="H306" t="str">
            <v>/</v>
          </cell>
          <cell r="I306" t="str">
            <v>/</v>
          </cell>
          <cell r="J306">
            <v>8546.19</v>
          </cell>
        </row>
        <row r="307">
          <cell r="D307" t="str">
            <v>CF698</v>
          </cell>
          <cell r="E307" t="str">
            <v>兰理工兰工坪校区一食堂</v>
          </cell>
        </row>
        <row r="307">
          <cell r="G307" t="str">
            <v>/</v>
          </cell>
          <cell r="H307" t="str">
            <v>早餐（包子、粥、馅饼、饺子）</v>
          </cell>
          <cell r="I307" t="str">
            <v>杨文宏</v>
          </cell>
          <cell r="J307">
            <v>0</v>
          </cell>
        </row>
        <row r="308">
          <cell r="D308" t="str">
            <v>CF698</v>
          </cell>
          <cell r="E308" t="str">
            <v>兰理工兰工坪校区一食堂</v>
          </cell>
        </row>
        <row r="308">
          <cell r="G308" t="str">
            <v>/</v>
          </cell>
          <cell r="H308" t="str">
            <v>快餐（盖浇饭、锅仔）</v>
          </cell>
          <cell r="I308" t="str">
            <v>宋玉琴</v>
          </cell>
          <cell r="J308">
            <v>0</v>
          </cell>
        </row>
        <row r="309">
          <cell r="D309" t="str">
            <v>CF698</v>
          </cell>
          <cell r="E309" t="str">
            <v>兰理工兰工坪校区一食堂</v>
          </cell>
        </row>
        <row r="309">
          <cell r="G309" t="str">
            <v>/</v>
          </cell>
          <cell r="H309" t="str">
            <v>米粉</v>
          </cell>
          <cell r="I309" t="str">
            <v>尚伟伟</v>
          </cell>
          <cell r="J309">
            <v>14052.8</v>
          </cell>
        </row>
        <row r="310">
          <cell r="D310" t="str">
            <v>CF698</v>
          </cell>
          <cell r="E310" t="str">
            <v>兰理工兰工坪校区一食堂</v>
          </cell>
        </row>
        <row r="310">
          <cell r="G310" t="str">
            <v>/</v>
          </cell>
          <cell r="H310" t="str">
            <v>烤鸭饭</v>
          </cell>
          <cell r="I310" t="str">
            <v>何启发</v>
          </cell>
          <cell r="J310">
            <v>33430.81</v>
          </cell>
        </row>
        <row r="311">
          <cell r="D311" t="str">
            <v>CF698</v>
          </cell>
          <cell r="E311" t="str">
            <v>兰理工兰工坪校区一食堂</v>
          </cell>
        </row>
        <row r="311">
          <cell r="G311" t="str">
            <v>/</v>
          </cell>
          <cell r="H311" t="str">
            <v>香肉拌饭</v>
          </cell>
          <cell r="I311" t="str">
            <v>尚晓强</v>
          </cell>
          <cell r="J311">
            <v>0</v>
          </cell>
        </row>
        <row r="312">
          <cell r="D312" t="str">
            <v>CF698</v>
          </cell>
          <cell r="E312" t="str">
            <v>兰理工兰工坪校区一食堂</v>
          </cell>
        </row>
        <row r="312">
          <cell r="G312" t="str">
            <v>/</v>
          </cell>
          <cell r="H312" t="str">
            <v>面夫子包子（煎饺）</v>
          </cell>
          <cell r="I312" t="str">
            <v>景波波</v>
          </cell>
          <cell r="J312">
            <v>3649.32</v>
          </cell>
        </row>
        <row r="313">
          <cell r="D313" t="str">
            <v>CF698</v>
          </cell>
          <cell r="E313" t="str">
            <v>兰理工兰工坪校区一食堂</v>
          </cell>
        </row>
        <row r="313">
          <cell r="G313" t="str">
            <v>/</v>
          </cell>
          <cell r="H313" t="str">
            <v>面小福菜拌面</v>
          </cell>
          <cell r="I313" t="str">
            <v>蔡晓娟</v>
          </cell>
          <cell r="J313">
            <v>0</v>
          </cell>
        </row>
        <row r="314">
          <cell r="D314" t="str">
            <v>CF698</v>
          </cell>
          <cell r="E314" t="str">
            <v>兰理工兰工坪校区一食堂</v>
          </cell>
        </row>
        <row r="314">
          <cell r="G314" t="str">
            <v>/</v>
          </cell>
          <cell r="H314" t="str">
            <v>饶城湘辣椒炒肉</v>
          </cell>
          <cell r="I314" t="str">
            <v>蔡晓娟</v>
          </cell>
          <cell r="J314">
            <v>50842.42</v>
          </cell>
        </row>
        <row r="315">
          <cell r="D315" t="str">
            <v>CF698</v>
          </cell>
          <cell r="E315" t="str">
            <v>兰理工兰工坪校区一食堂</v>
          </cell>
        </row>
        <row r="315">
          <cell r="G315" t="str">
            <v>/</v>
          </cell>
          <cell r="H315" t="str">
            <v>一纸鸡牛肉饭</v>
          </cell>
          <cell r="I315" t="str">
            <v>王燕</v>
          </cell>
          <cell r="J315">
            <v>0</v>
          </cell>
        </row>
        <row r="316">
          <cell r="D316" t="str">
            <v>CF698</v>
          </cell>
          <cell r="E316" t="str">
            <v>兰理工兰工坪校区一食堂</v>
          </cell>
        </row>
        <row r="316">
          <cell r="G316" t="str">
            <v>/</v>
          </cell>
          <cell r="H316" t="str">
            <v>波乐宝炸鸡汉堡</v>
          </cell>
          <cell r="I316" t="str">
            <v>周小鹏</v>
          </cell>
          <cell r="J316">
            <v>2928.58</v>
          </cell>
        </row>
        <row r="317">
          <cell r="D317" t="str">
            <v>CF698</v>
          </cell>
          <cell r="E317" t="str">
            <v>兰理工兰工坪校区一食堂</v>
          </cell>
        </row>
        <row r="317">
          <cell r="G317" t="str">
            <v>/</v>
          </cell>
          <cell r="H317" t="str">
            <v>冒菜（小火锅）</v>
          </cell>
          <cell r="I317" t="str">
            <v>马娟娟</v>
          </cell>
          <cell r="J317">
            <v>3140.47</v>
          </cell>
        </row>
        <row r="318">
          <cell r="D318" t="str">
            <v>CF698</v>
          </cell>
          <cell r="E318" t="str">
            <v>兰理工兰工坪校区一食堂</v>
          </cell>
        </row>
        <row r="318">
          <cell r="G318" t="str">
            <v>/</v>
          </cell>
          <cell r="H318" t="str">
            <v>牛肉面（炒面）</v>
          </cell>
          <cell r="I318" t="str">
            <v>马娟娟</v>
          </cell>
          <cell r="J318">
            <v>22043.9</v>
          </cell>
        </row>
        <row r="319">
          <cell r="D319" t="str">
            <v>CF698</v>
          </cell>
          <cell r="E319" t="str">
            <v>兰理工兰工坪校区一食堂</v>
          </cell>
        </row>
        <row r="319">
          <cell r="G319" t="str">
            <v>/</v>
          </cell>
          <cell r="H319" t="str">
            <v>杂粮煎饼</v>
          </cell>
          <cell r="I319" t="str">
            <v>李超</v>
          </cell>
          <cell r="J319">
            <v>1766.13</v>
          </cell>
        </row>
        <row r="320">
          <cell r="D320" t="str">
            <v>CF698</v>
          </cell>
          <cell r="E320" t="str">
            <v>兰理工兰工坪校区一食堂</v>
          </cell>
        </row>
        <row r="320">
          <cell r="G320" t="str">
            <v>/</v>
          </cell>
          <cell r="H320" t="str">
            <v>蜜雪冰城</v>
          </cell>
          <cell r="I320" t="str">
            <v>陈发全</v>
          </cell>
          <cell r="J320">
            <v>4156.1</v>
          </cell>
        </row>
        <row r="321">
          <cell r="D321" t="str">
            <v>CF102</v>
          </cell>
          <cell r="E321" t="str">
            <v>苏大东区四食堂</v>
          </cell>
        </row>
        <row r="321">
          <cell r="G321" t="str">
            <v>自营</v>
          </cell>
          <cell r="H321" t="str">
            <v>/</v>
          </cell>
          <cell r="I321" t="str">
            <v>/</v>
          </cell>
          <cell r="J321">
            <v>0</v>
          </cell>
        </row>
        <row r="322">
          <cell r="D322" t="str">
            <v>CF102</v>
          </cell>
          <cell r="E322" t="str">
            <v>苏大东区四食堂</v>
          </cell>
        </row>
        <row r="322">
          <cell r="G322" t="str">
            <v>/</v>
          </cell>
          <cell r="H322" t="str">
            <v>苏秦味馆</v>
          </cell>
          <cell r="I322" t="str">
            <v>胡朝阳</v>
          </cell>
          <cell r="J322">
            <v>0</v>
          </cell>
        </row>
        <row r="323">
          <cell r="D323" t="str">
            <v>CF102</v>
          </cell>
          <cell r="E323" t="str">
            <v>苏大东区四食堂</v>
          </cell>
        </row>
        <row r="323">
          <cell r="G323" t="str">
            <v>/</v>
          </cell>
          <cell r="H323" t="str">
            <v>麻辣香锅</v>
          </cell>
          <cell r="I323" t="str">
            <v>祁从忙</v>
          </cell>
          <cell r="J323">
            <v>0</v>
          </cell>
        </row>
        <row r="324">
          <cell r="D324" t="str">
            <v>CF102</v>
          </cell>
          <cell r="E324" t="str">
            <v>苏大东区四食堂</v>
          </cell>
        </row>
        <row r="324">
          <cell r="G324" t="str">
            <v>/</v>
          </cell>
          <cell r="H324" t="str">
            <v>奉天朱家小馆</v>
          </cell>
          <cell r="I324" t="str">
            <v>闫闪闪</v>
          </cell>
          <cell r="J324">
            <v>0</v>
          </cell>
        </row>
        <row r="325">
          <cell r="D325" t="str">
            <v>CF102</v>
          </cell>
          <cell r="E325" t="str">
            <v>苏大东区四食堂</v>
          </cell>
        </row>
        <row r="325">
          <cell r="G325" t="str">
            <v>/</v>
          </cell>
          <cell r="H325" t="str">
            <v>李左奚香港肥汁米线</v>
          </cell>
          <cell r="I325" t="str">
            <v>杨伟明</v>
          </cell>
          <cell r="J325">
            <v>0</v>
          </cell>
        </row>
        <row r="326">
          <cell r="D326" t="str">
            <v>CF102</v>
          </cell>
          <cell r="E326" t="str">
            <v>苏大东区四食堂</v>
          </cell>
        </row>
        <row r="326">
          <cell r="G326" t="str">
            <v>/</v>
          </cell>
          <cell r="H326" t="str">
            <v>好粥道(卤味套餐饭)</v>
          </cell>
          <cell r="I326" t="str">
            <v>朱德国</v>
          </cell>
          <cell r="J326">
            <v>0</v>
          </cell>
        </row>
        <row r="327">
          <cell r="D327" t="str">
            <v>CF102</v>
          </cell>
          <cell r="E327" t="str">
            <v>苏大东区四食堂</v>
          </cell>
        </row>
        <row r="327">
          <cell r="G327" t="str">
            <v>/</v>
          </cell>
          <cell r="H327" t="str">
            <v>炒饭.炖罐</v>
          </cell>
          <cell r="I327" t="str">
            <v>朱少谦</v>
          </cell>
          <cell r="J327">
            <v>0</v>
          </cell>
        </row>
        <row r="328">
          <cell r="D328" t="str">
            <v>CF102</v>
          </cell>
          <cell r="E328" t="str">
            <v>苏大东区四食堂</v>
          </cell>
        </row>
        <row r="328">
          <cell r="G328" t="str">
            <v>/</v>
          </cell>
          <cell r="H328" t="str">
            <v>七里糖</v>
          </cell>
          <cell r="I328" t="str">
            <v>任浩龙</v>
          </cell>
          <cell r="J328">
            <v>0</v>
          </cell>
        </row>
        <row r="329">
          <cell r="D329" t="str">
            <v>CF102</v>
          </cell>
          <cell r="E329" t="str">
            <v>苏大东区四食堂</v>
          </cell>
        </row>
        <row r="329">
          <cell r="G329" t="str">
            <v>/</v>
          </cell>
          <cell r="H329" t="str">
            <v>港式云吞</v>
          </cell>
          <cell r="I329" t="str">
            <v>杨华建</v>
          </cell>
          <cell r="J329">
            <v>0</v>
          </cell>
        </row>
        <row r="330">
          <cell r="D330" t="str">
            <v>CF102</v>
          </cell>
          <cell r="E330" t="str">
            <v>苏大东区四食堂</v>
          </cell>
        </row>
        <row r="330">
          <cell r="G330" t="str">
            <v>/</v>
          </cell>
          <cell r="H330" t="str">
            <v>烤肉拌饭</v>
          </cell>
          <cell r="I330" t="str">
            <v>李红利</v>
          </cell>
          <cell r="J330">
            <v>0</v>
          </cell>
        </row>
        <row r="331">
          <cell r="D331" t="str">
            <v>CF108</v>
          </cell>
          <cell r="E331" t="str">
            <v>苏大北区六食堂</v>
          </cell>
        </row>
        <row r="331">
          <cell r="G331" t="str">
            <v>自营</v>
          </cell>
          <cell r="H331" t="str">
            <v>/</v>
          </cell>
          <cell r="I331" t="str">
            <v>/</v>
          </cell>
          <cell r="J331">
            <v>132311.63</v>
          </cell>
        </row>
        <row r="332">
          <cell r="D332" t="str">
            <v>CF108</v>
          </cell>
          <cell r="E332" t="str">
            <v>苏大北区六食堂</v>
          </cell>
        </row>
        <row r="332">
          <cell r="G332" t="str">
            <v>/</v>
          </cell>
          <cell r="H332" t="str">
            <v>快餐</v>
          </cell>
          <cell r="I332" t="str">
            <v>刘立强</v>
          </cell>
          <cell r="J332">
            <v>0</v>
          </cell>
        </row>
        <row r="333">
          <cell r="D333" t="str">
            <v>CF108</v>
          </cell>
          <cell r="E333" t="str">
            <v>苏大北区六食堂</v>
          </cell>
        </row>
        <row r="333">
          <cell r="G333" t="str">
            <v>/</v>
          </cell>
          <cell r="H333" t="str">
            <v>香锅</v>
          </cell>
          <cell r="I333" t="str">
            <v>吕金春</v>
          </cell>
          <cell r="J333">
            <v>0</v>
          </cell>
        </row>
        <row r="334">
          <cell r="D334" t="str">
            <v>CF108</v>
          </cell>
          <cell r="E334" t="str">
            <v>苏大北区六食堂</v>
          </cell>
        </row>
        <row r="334">
          <cell r="G334" t="str">
            <v>/</v>
          </cell>
          <cell r="H334" t="str">
            <v>黄焖鸡</v>
          </cell>
          <cell r="I334" t="str">
            <v>许可</v>
          </cell>
          <cell r="J334">
            <v>0</v>
          </cell>
        </row>
        <row r="335">
          <cell r="D335" t="str">
            <v>CF108</v>
          </cell>
          <cell r="E335" t="str">
            <v>苏大北区六食堂</v>
          </cell>
        </row>
        <row r="335">
          <cell r="G335" t="str">
            <v>/</v>
          </cell>
          <cell r="H335" t="str">
            <v>千里香</v>
          </cell>
          <cell r="I335" t="str">
            <v>刘立强</v>
          </cell>
          <cell r="J335">
            <v>5285</v>
          </cell>
        </row>
        <row r="336">
          <cell r="D336" t="str">
            <v>CF108</v>
          </cell>
          <cell r="E336" t="str">
            <v>苏大北区六食堂</v>
          </cell>
        </row>
        <row r="336">
          <cell r="G336" t="str">
            <v>/</v>
          </cell>
          <cell r="H336" t="str">
            <v>拌面</v>
          </cell>
          <cell r="I336" t="str">
            <v>龚文涛</v>
          </cell>
          <cell r="J336">
            <v>0</v>
          </cell>
        </row>
        <row r="337">
          <cell r="D337" t="str">
            <v>CF108</v>
          </cell>
          <cell r="E337" t="str">
            <v>苏大北区六食堂</v>
          </cell>
        </row>
        <row r="337">
          <cell r="G337" t="str">
            <v>/</v>
          </cell>
          <cell r="H337" t="str">
            <v>煎饼</v>
          </cell>
          <cell r="I337" t="str">
            <v>李秀德</v>
          </cell>
          <cell r="J337">
            <v>0</v>
          </cell>
        </row>
        <row r="338">
          <cell r="D338" t="str">
            <v>CF108</v>
          </cell>
          <cell r="E338" t="str">
            <v>苏大北区六食堂</v>
          </cell>
        </row>
        <row r="338">
          <cell r="G338" t="str">
            <v>/</v>
          </cell>
          <cell r="H338" t="str">
            <v>汉堡</v>
          </cell>
          <cell r="I338" t="str">
            <v>吴梦醒</v>
          </cell>
          <cell r="J338">
            <v>0</v>
          </cell>
        </row>
        <row r="339">
          <cell r="D339" t="str">
            <v>CF101</v>
          </cell>
          <cell r="E339" t="str">
            <v>苏大本部方塔食堂</v>
          </cell>
        </row>
        <row r="339">
          <cell r="G339" t="str">
            <v>/</v>
          </cell>
          <cell r="H339" t="str">
            <v>/</v>
          </cell>
          <cell r="I339" t="str">
            <v>蒋德生</v>
          </cell>
          <cell r="J339">
            <v>433227.33</v>
          </cell>
        </row>
        <row r="340">
          <cell r="D340" t="str">
            <v>CF107</v>
          </cell>
          <cell r="E340" t="str">
            <v>苏大东区教工食堂</v>
          </cell>
        </row>
        <row r="340">
          <cell r="G340" t="str">
            <v>/</v>
          </cell>
          <cell r="H340" t="str">
            <v>/</v>
          </cell>
          <cell r="I340" t="str">
            <v>/</v>
          </cell>
          <cell r="J340">
            <v>0</v>
          </cell>
        </row>
        <row r="341">
          <cell r="D341" t="str">
            <v>CF120</v>
          </cell>
          <cell r="E341" t="str">
            <v>苏大独墅湖一食堂</v>
          </cell>
        </row>
        <row r="341">
          <cell r="G341" t="str">
            <v>/</v>
          </cell>
          <cell r="H341" t="str">
            <v>/</v>
          </cell>
          <cell r="I341" t="str">
            <v>杨登钟</v>
          </cell>
          <cell r="J341">
            <v>0</v>
          </cell>
        </row>
        <row r="342">
          <cell r="D342" t="str">
            <v>CF120</v>
          </cell>
          <cell r="E342" t="str">
            <v>苏大独墅湖一食堂</v>
          </cell>
        </row>
        <row r="342">
          <cell r="G342" t="str">
            <v>/</v>
          </cell>
          <cell r="H342" t="str">
            <v>麻辣香锅</v>
          </cell>
          <cell r="I342" t="str">
            <v>周文影</v>
          </cell>
          <cell r="J342">
            <v>0</v>
          </cell>
        </row>
        <row r="343">
          <cell r="D343" t="str">
            <v>CF120</v>
          </cell>
          <cell r="E343" t="str">
            <v>苏大独墅湖一食堂</v>
          </cell>
        </row>
        <row r="343">
          <cell r="G343" t="str">
            <v>/</v>
          </cell>
          <cell r="H343" t="str">
            <v>板煮</v>
          </cell>
          <cell r="I343" t="str">
            <v>郁亚勇</v>
          </cell>
          <cell r="J343">
            <v>0</v>
          </cell>
        </row>
        <row r="344">
          <cell r="D344" t="str">
            <v>CF122</v>
          </cell>
          <cell r="E344" t="str">
            <v>苏大独墅湖六食堂</v>
          </cell>
        </row>
        <row r="344">
          <cell r="G344" t="str">
            <v>/</v>
          </cell>
          <cell r="H344" t="str">
            <v>/</v>
          </cell>
          <cell r="I344" t="str">
            <v>杨登钟</v>
          </cell>
          <cell r="J344">
            <v>0</v>
          </cell>
        </row>
        <row r="345">
          <cell r="D345" t="str">
            <v>CF122</v>
          </cell>
          <cell r="E345" t="str">
            <v>苏大独墅湖六食堂</v>
          </cell>
        </row>
        <row r="345">
          <cell r="G345" t="str">
            <v>/</v>
          </cell>
          <cell r="H345" t="str">
            <v>青海拉面</v>
          </cell>
          <cell r="I345" t="str">
            <v>韩应努四</v>
          </cell>
          <cell r="J345">
            <v>0</v>
          </cell>
        </row>
        <row r="346">
          <cell r="D346" t="str">
            <v>CF121</v>
          </cell>
          <cell r="E346" t="str">
            <v>苏大独墅湖二食堂</v>
          </cell>
        </row>
        <row r="346">
          <cell r="G346" t="str">
            <v>/</v>
          </cell>
          <cell r="H346" t="str">
            <v>/</v>
          </cell>
          <cell r="I346" t="str">
            <v>徐小林</v>
          </cell>
          <cell r="J346">
            <v>0</v>
          </cell>
        </row>
        <row r="347">
          <cell r="D347" t="str">
            <v>CF121</v>
          </cell>
          <cell r="E347" t="str">
            <v>苏大独墅湖二食堂</v>
          </cell>
        </row>
        <row r="347">
          <cell r="G347" t="str">
            <v>/</v>
          </cell>
          <cell r="H347" t="str">
            <v>手工水饺(山东煎饼)</v>
          </cell>
          <cell r="I347" t="str">
            <v>李俊</v>
          </cell>
          <cell r="J347">
            <v>0</v>
          </cell>
        </row>
        <row r="348">
          <cell r="D348" t="str">
            <v>CF121</v>
          </cell>
          <cell r="E348" t="str">
            <v>苏大独墅湖二食堂</v>
          </cell>
        </row>
        <row r="348">
          <cell r="G348" t="str">
            <v>/</v>
          </cell>
          <cell r="H348" t="str">
            <v>苏式汤面</v>
          </cell>
          <cell r="I348" t="str">
            <v>孙建平</v>
          </cell>
          <cell r="J348">
            <v>0</v>
          </cell>
        </row>
        <row r="349">
          <cell r="D349" t="str">
            <v>CF121</v>
          </cell>
          <cell r="E349" t="str">
            <v>苏大独墅湖二食堂</v>
          </cell>
        </row>
        <row r="349">
          <cell r="G349" t="str">
            <v>/</v>
          </cell>
          <cell r="H349" t="str">
            <v>烤盘饭</v>
          </cell>
          <cell r="I349" t="str">
            <v>梁宇</v>
          </cell>
          <cell r="J349">
            <v>0</v>
          </cell>
        </row>
        <row r="350">
          <cell r="D350" t="str">
            <v>CF134</v>
          </cell>
          <cell r="E350" t="str">
            <v>苏大独墅湖五食堂</v>
          </cell>
        </row>
        <row r="350">
          <cell r="G350" t="str">
            <v>自营</v>
          </cell>
          <cell r="H350" t="str">
            <v>/</v>
          </cell>
          <cell r="I350" t="str">
            <v>/</v>
          </cell>
          <cell r="J350">
            <v>0</v>
          </cell>
        </row>
        <row r="351">
          <cell r="D351" t="str">
            <v>CF134</v>
          </cell>
          <cell r="E351" t="str">
            <v>苏大独墅湖五食堂</v>
          </cell>
        </row>
        <row r="351">
          <cell r="G351" t="str">
            <v>/</v>
          </cell>
          <cell r="H351" t="str">
            <v>快餐</v>
          </cell>
          <cell r="I351" t="str">
            <v>赵广伟</v>
          </cell>
          <cell r="J351">
            <v>0</v>
          </cell>
        </row>
        <row r="352">
          <cell r="D352" t="str">
            <v>CF134</v>
          </cell>
          <cell r="E352" t="str">
            <v>苏大独墅湖五食堂</v>
          </cell>
        </row>
        <row r="352">
          <cell r="G352" t="str">
            <v>/</v>
          </cell>
          <cell r="H352" t="str">
            <v>生烫牛肉米线</v>
          </cell>
          <cell r="I352" t="str">
            <v>胡振强</v>
          </cell>
          <cell r="J352">
            <v>0</v>
          </cell>
        </row>
        <row r="353">
          <cell r="D353" t="str">
            <v>CF134</v>
          </cell>
          <cell r="E353" t="str">
            <v>苏大独墅湖五食堂</v>
          </cell>
        </row>
        <row r="353">
          <cell r="G353" t="str">
            <v>/</v>
          </cell>
          <cell r="H353" t="str">
            <v>旋转小火锅</v>
          </cell>
          <cell r="I353" t="str">
            <v>段姗姗</v>
          </cell>
          <cell r="J353">
            <v>0</v>
          </cell>
        </row>
        <row r="354">
          <cell r="D354" t="str">
            <v>CF134</v>
          </cell>
          <cell r="E354" t="str">
            <v>苏大独墅湖五食堂</v>
          </cell>
        </row>
        <row r="354">
          <cell r="G354" t="str">
            <v>/</v>
          </cell>
          <cell r="H354" t="str">
            <v>巴比馒头</v>
          </cell>
          <cell r="I354" t="str">
            <v>赵玉磊</v>
          </cell>
          <cell r="J354">
            <v>0</v>
          </cell>
        </row>
        <row r="355">
          <cell r="D355" t="str">
            <v>CF134</v>
          </cell>
          <cell r="E355" t="str">
            <v>苏大独墅湖五食堂</v>
          </cell>
        </row>
        <row r="355">
          <cell r="G355" t="str">
            <v>/</v>
          </cell>
          <cell r="H355" t="str">
            <v>北京烤鸭</v>
          </cell>
          <cell r="I355" t="str">
            <v>韩少卫</v>
          </cell>
          <cell r="J355">
            <v>0</v>
          </cell>
        </row>
        <row r="356">
          <cell r="D356" t="str">
            <v>CF134</v>
          </cell>
          <cell r="E356" t="str">
            <v>苏大独墅湖五食堂</v>
          </cell>
        </row>
        <row r="356">
          <cell r="G356" t="str">
            <v>/</v>
          </cell>
          <cell r="H356" t="str">
            <v>山东炒鸡</v>
          </cell>
          <cell r="I356" t="str">
            <v>马明华</v>
          </cell>
          <cell r="J356">
            <v>0</v>
          </cell>
        </row>
        <row r="357">
          <cell r="D357" t="str">
            <v>CF134</v>
          </cell>
          <cell r="E357" t="str">
            <v>苏大独墅湖五食堂</v>
          </cell>
        </row>
        <row r="357">
          <cell r="G357" t="str">
            <v>/</v>
          </cell>
          <cell r="H357" t="str">
            <v>拌饭(套餐饭)</v>
          </cell>
          <cell r="I357" t="str">
            <v>刘兆安</v>
          </cell>
          <cell r="J357">
            <v>0</v>
          </cell>
        </row>
        <row r="358">
          <cell r="D358" t="str">
            <v>CF134</v>
          </cell>
          <cell r="E358" t="str">
            <v>苏大独墅湖五食堂</v>
          </cell>
        </row>
        <row r="358">
          <cell r="G358" t="str">
            <v>/</v>
          </cell>
          <cell r="H358" t="str">
            <v>辣椒炒肉</v>
          </cell>
          <cell r="I358" t="str">
            <v>李美蓉</v>
          </cell>
          <cell r="J358">
            <v>0</v>
          </cell>
        </row>
        <row r="359">
          <cell r="D359" t="str">
            <v>CF134</v>
          </cell>
          <cell r="E359" t="str">
            <v>苏大独墅湖五食堂</v>
          </cell>
        </row>
        <row r="359">
          <cell r="G359" t="str">
            <v>/</v>
          </cell>
          <cell r="H359" t="str">
            <v>手工水饺</v>
          </cell>
          <cell r="I359" t="str">
            <v>王光芬</v>
          </cell>
          <cell r="J359">
            <v>0</v>
          </cell>
        </row>
        <row r="360">
          <cell r="D360" t="str">
            <v>CF134</v>
          </cell>
          <cell r="E360" t="str">
            <v>苏大独墅湖五食堂</v>
          </cell>
        </row>
        <row r="360">
          <cell r="G360" t="str">
            <v>/</v>
          </cell>
          <cell r="H360" t="str">
            <v>刀削面</v>
          </cell>
          <cell r="I360" t="str">
            <v>刘红东</v>
          </cell>
          <cell r="J360">
            <v>0</v>
          </cell>
        </row>
        <row r="361">
          <cell r="D361" t="str">
            <v>CF134</v>
          </cell>
          <cell r="E361" t="str">
            <v>苏大独墅湖五食堂</v>
          </cell>
        </row>
        <row r="361">
          <cell r="G361" t="str">
            <v>/</v>
          </cell>
          <cell r="H361" t="str">
            <v>奶茶、炸鸡</v>
          </cell>
          <cell r="I361" t="str">
            <v>张斌</v>
          </cell>
          <cell r="J361">
            <v>0</v>
          </cell>
        </row>
        <row r="362">
          <cell r="D362" t="str">
            <v>CF293</v>
          </cell>
          <cell r="E362" t="str">
            <v>江苏二师石湫校区食堂</v>
          </cell>
        </row>
        <row r="362">
          <cell r="G362" t="str">
            <v>自营</v>
          </cell>
          <cell r="H362" t="str">
            <v>/</v>
          </cell>
          <cell r="I362" t="str">
            <v>/</v>
          </cell>
          <cell r="J362">
            <v>0</v>
          </cell>
        </row>
        <row r="363">
          <cell r="D363" t="str">
            <v>CF293</v>
          </cell>
          <cell r="E363" t="str">
            <v>江苏二师石湫校区食堂</v>
          </cell>
        </row>
        <row r="363">
          <cell r="G363" t="str">
            <v>第二班组</v>
          </cell>
          <cell r="H363" t="str">
            <v>水饺面条</v>
          </cell>
          <cell r="I363" t="str">
            <v>申亮</v>
          </cell>
        </row>
        <row r="364">
          <cell r="D364" t="str">
            <v>CF293</v>
          </cell>
          <cell r="E364" t="str">
            <v>江苏二师石湫校区食堂</v>
          </cell>
        </row>
        <row r="364">
          <cell r="G364" t="str">
            <v>第三班组</v>
          </cell>
          <cell r="H364" t="str">
            <v>湘西小炒</v>
          </cell>
          <cell r="I364" t="str">
            <v>李帮</v>
          </cell>
          <cell r="J364">
            <v>0</v>
          </cell>
        </row>
        <row r="365">
          <cell r="D365" t="str">
            <v>CF293</v>
          </cell>
          <cell r="E365" t="str">
            <v>江苏二师石湫校区食堂</v>
          </cell>
        </row>
        <row r="365">
          <cell r="G365" t="str">
            <v>第七班组</v>
          </cell>
          <cell r="H365" t="str">
            <v>早餐</v>
          </cell>
          <cell r="I365" t="str">
            <v>李帮</v>
          </cell>
          <cell r="J365">
            <v>0</v>
          </cell>
        </row>
        <row r="366">
          <cell r="D366" t="str">
            <v>CF293</v>
          </cell>
          <cell r="E366" t="str">
            <v>江苏二师石湫校区食堂</v>
          </cell>
        </row>
        <row r="366">
          <cell r="G366" t="str">
            <v>第一班组</v>
          </cell>
          <cell r="H366" t="str">
            <v>营养粥(肠粉)</v>
          </cell>
          <cell r="I366" t="str">
            <v>申亮</v>
          </cell>
          <cell r="J366">
            <v>0</v>
          </cell>
        </row>
        <row r="367">
          <cell r="D367" t="str">
            <v>CF293</v>
          </cell>
          <cell r="E367" t="str">
            <v>江苏二师石湫校区食堂</v>
          </cell>
        </row>
        <row r="367">
          <cell r="G367" t="str">
            <v>第五班组</v>
          </cell>
          <cell r="H367" t="str">
            <v>米线</v>
          </cell>
          <cell r="I367" t="str">
            <v>汪芳</v>
          </cell>
          <cell r="J367">
            <v>0</v>
          </cell>
        </row>
        <row r="368">
          <cell r="D368" t="str">
            <v>CF293</v>
          </cell>
          <cell r="E368" t="str">
            <v>江苏二师石湫校区食堂</v>
          </cell>
        </row>
        <row r="368">
          <cell r="G368" t="str">
            <v>第六班组</v>
          </cell>
          <cell r="H368" t="str">
            <v>麻辣烫(麻辣拌)</v>
          </cell>
          <cell r="I368" t="str">
            <v>汪芳</v>
          </cell>
          <cell r="J368">
            <v>0</v>
          </cell>
        </row>
        <row r="369">
          <cell r="D369" t="str">
            <v>CF293</v>
          </cell>
          <cell r="E369" t="str">
            <v>江苏二师石湫校区食堂</v>
          </cell>
        </row>
        <row r="369">
          <cell r="G369" t="str">
            <v>第八班组</v>
          </cell>
          <cell r="H369" t="str">
            <v>炸鸡(汉堡)</v>
          </cell>
          <cell r="I369" t="str">
            <v>熊跳</v>
          </cell>
          <cell r="J369">
            <v>0</v>
          </cell>
        </row>
        <row r="370">
          <cell r="D370" t="str">
            <v>CF293</v>
          </cell>
          <cell r="E370" t="str">
            <v>江苏二师石湫校区食堂</v>
          </cell>
        </row>
        <row r="370">
          <cell r="G370" t="str">
            <v>第九班组</v>
          </cell>
          <cell r="H370" t="str">
            <v>七分甜</v>
          </cell>
          <cell r="I370" t="str">
            <v>熊跳</v>
          </cell>
          <cell r="J370">
            <v>0</v>
          </cell>
        </row>
        <row r="371">
          <cell r="D371" t="str">
            <v>CF293</v>
          </cell>
          <cell r="E371" t="str">
            <v>江苏二师石湫校区食堂</v>
          </cell>
        </row>
        <row r="371">
          <cell r="G371" t="str">
            <v>第四班组</v>
          </cell>
          <cell r="H371" t="str">
            <v>土豆泥拌饭</v>
          </cell>
          <cell r="I371" t="str">
            <v>端和伟</v>
          </cell>
        </row>
        <row r="372">
          <cell r="D372" t="str">
            <v>CF480</v>
          </cell>
          <cell r="E372" t="str">
            <v>江苏旅游学生食堂二楼</v>
          </cell>
        </row>
        <row r="372">
          <cell r="G372" t="str">
            <v>自营</v>
          </cell>
          <cell r="H372" t="str">
            <v>/</v>
          </cell>
          <cell r="I372" t="str">
            <v>/</v>
          </cell>
          <cell r="J372">
            <v>0</v>
          </cell>
        </row>
        <row r="373">
          <cell r="D373" t="str">
            <v>CF480</v>
          </cell>
          <cell r="E373" t="str">
            <v>江苏旅游学生食堂二楼</v>
          </cell>
        </row>
        <row r="373">
          <cell r="G373" t="str">
            <v>/</v>
          </cell>
          <cell r="H373" t="str">
            <v>全福记热卤拌饭(牛肉汤)</v>
          </cell>
          <cell r="I373" t="str">
            <v>张文泉</v>
          </cell>
          <cell r="J373">
            <v>0</v>
          </cell>
        </row>
        <row r="374">
          <cell r="D374" t="str">
            <v>CF480</v>
          </cell>
          <cell r="E374" t="str">
            <v>江苏旅游学生食堂二楼</v>
          </cell>
        </row>
        <row r="374">
          <cell r="G374" t="str">
            <v>/</v>
          </cell>
          <cell r="H374" t="str">
            <v>盖浇饭(套餐饭)</v>
          </cell>
          <cell r="I374" t="str">
            <v>刘宝峰</v>
          </cell>
          <cell r="J374">
            <v>0</v>
          </cell>
        </row>
        <row r="375">
          <cell r="D375" t="str">
            <v>CF480</v>
          </cell>
          <cell r="E375" t="str">
            <v>江苏旅游学生食堂二楼</v>
          </cell>
        </row>
        <row r="375">
          <cell r="G375" t="str">
            <v>/</v>
          </cell>
          <cell r="H375" t="str">
            <v>煎饼(鸡蛋灌饼)</v>
          </cell>
          <cell r="I375" t="str">
            <v>李中怀</v>
          </cell>
          <cell r="J375">
            <v>0</v>
          </cell>
        </row>
        <row r="376">
          <cell r="D376" t="str">
            <v>CF480</v>
          </cell>
          <cell r="E376" t="str">
            <v>江苏旅游学生食堂二楼</v>
          </cell>
        </row>
        <row r="376">
          <cell r="G376" t="str">
            <v>/</v>
          </cell>
          <cell r="H376" t="str">
            <v>柒公主焖饭</v>
          </cell>
          <cell r="I376" t="str">
            <v>张月红</v>
          </cell>
        </row>
        <row r="377">
          <cell r="D377" t="str">
            <v>CF480</v>
          </cell>
          <cell r="E377" t="str">
            <v>江苏旅游学生食堂二楼</v>
          </cell>
        </row>
        <row r="377">
          <cell r="G377" t="str">
            <v>/</v>
          </cell>
          <cell r="H377" t="str">
            <v>掉渣饼</v>
          </cell>
          <cell r="I377" t="str">
            <v>郭保君</v>
          </cell>
          <cell r="J377">
            <v>0</v>
          </cell>
        </row>
        <row r="378">
          <cell r="D378" t="str">
            <v>CF480</v>
          </cell>
          <cell r="E378" t="str">
            <v>江苏旅游学生食堂二楼</v>
          </cell>
        </row>
        <row r="378">
          <cell r="G378" t="str">
            <v>/</v>
          </cell>
          <cell r="H378" t="str">
            <v>擂椒拌饭(烤鸭饭)</v>
          </cell>
          <cell r="I378" t="str">
            <v>崔建美</v>
          </cell>
          <cell r="J378">
            <v>0</v>
          </cell>
        </row>
        <row r="379">
          <cell r="D379" t="str">
            <v>CF480</v>
          </cell>
          <cell r="E379" t="str">
            <v>江苏旅游学生食堂二楼</v>
          </cell>
        </row>
        <row r="379">
          <cell r="G379" t="str">
            <v>/</v>
          </cell>
          <cell r="H379" t="str">
            <v>老成都面(猪脚饭)</v>
          </cell>
          <cell r="I379" t="str">
            <v>顾卫君</v>
          </cell>
          <cell r="J379">
            <v>0</v>
          </cell>
        </row>
        <row r="380">
          <cell r="D380" t="str">
            <v>CF480</v>
          </cell>
          <cell r="E380" t="str">
            <v>江苏旅游学生食堂二楼</v>
          </cell>
        </row>
        <row r="380">
          <cell r="G380" t="str">
            <v>/</v>
          </cell>
          <cell r="H380" t="str">
            <v>一纸鸡</v>
          </cell>
          <cell r="I380" t="str">
            <v>熊朝秀</v>
          </cell>
        </row>
        <row r="381">
          <cell r="D381" t="str">
            <v>CF480</v>
          </cell>
          <cell r="E381" t="str">
            <v>江苏旅游学生食堂二楼</v>
          </cell>
        </row>
        <row r="381">
          <cell r="G381" t="str">
            <v>/</v>
          </cell>
          <cell r="H381" t="str">
            <v>炸鸡</v>
          </cell>
          <cell r="I381" t="str">
            <v>单良</v>
          </cell>
          <cell r="J381">
            <v>0</v>
          </cell>
        </row>
        <row r="382">
          <cell r="D382" t="str">
            <v>CF480</v>
          </cell>
          <cell r="E382" t="str">
            <v>江苏旅游学生食堂二楼</v>
          </cell>
        </row>
        <row r="382">
          <cell r="G382" t="str">
            <v>/</v>
          </cell>
          <cell r="H382" t="str">
            <v>快餐自选</v>
          </cell>
          <cell r="I382" t="str">
            <v>王明辉</v>
          </cell>
          <cell r="J382">
            <v>0</v>
          </cell>
        </row>
        <row r="383">
          <cell r="D383" t="str">
            <v>CF480</v>
          </cell>
          <cell r="E383" t="str">
            <v>江苏旅游学生食堂二楼</v>
          </cell>
        </row>
        <row r="383">
          <cell r="G383" t="str">
            <v>/</v>
          </cell>
          <cell r="H383" t="str">
            <v>早餐</v>
          </cell>
          <cell r="I383" t="str">
            <v>王明辉</v>
          </cell>
          <cell r="J383">
            <v>0</v>
          </cell>
        </row>
        <row r="384">
          <cell r="D384" t="str">
            <v>CF341</v>
          </cell>
          <cell r="E384" t="str">
            <v>扬大荷花池校区二楼食堂</v>
          </cell>
        </row>
        <row r="384">
          <cell r="G384" t="str">
            <v>/</v>
          </cell>
          <cell r="H384" t="str">
            <v>/</v>
          </cell>
          <cell r="I384" t="str">
            <v>/</v>
          </cell>
          <cell r="J384">
            <v>0</v>
          </cell>
        </row>
        <row r="385">
          <cell r="D385" t="str">
            <v>CF341</v>
          </cell>
          <cell r="E385" t="str">
            <v>扬大荷花池校区二楼食堂</v>
          </cell>
        </row>
        <row r="385">
          <cell r="G385" t="str">
            <v>第一班组</v>
          </cell>
          <cell r="H385" t="str">
            <v>麻辣烫(麻辣拌、麻酱拌、小碗菜、盖浇饭、猪脚饭)</v>
          </cell>
          <cell r="I385" t="str">
            <v>于士位</v>
          </cell>
        </row>
        <row r="386">
          <cell r="D386" t="str">
            <v>CF341</v>
          </cell>
          <cell r="E386" t="str">
            <v>扬大荷花池校区二楼食堂</v>
          </cell>
        </row>
        <row r="386">
          <cell r="G386" t="str">
            <v>第二班组</v>
          </cell>
          <cell r="H386" t="str">
            <v>烤鸭饭</v>
          </cell>
          <cell r="I386" t="str">
            <v>吴异</v>
          </cell>
        </row>
        <row r="387">
          <cell r="D387" t="str">
            <v>CF341</v>
          </cell>
          <cell r="E387" t="str">
            <v>扬大荷花池校区二楼食堂</v>
          </cell>
        </row>
        <row r="387">
          <cell r="G387" t="str">
            <v>第三班组</v>
          </cell>
          <cell r="H387" t="str">
            <v>酸菜鱼(砂锅)</v>
          </cell>
          <cell r="I387" t="str">
            <v>邱康兴</v>
          </cell>
        </row>
        <row r="388">
          <cell r="D388" t="str">
            <v>CF341</v>
          </cell>
          <cell r="E388" t="str">
            <v>扬大荷花池校区二楼食堂</v>
          </cell>
        </row>
        <row r="388">
          <cell r="G388" t="str">
            <v>第四班组</v>
          </cell>
          <cell r="H388" t="str">
            <v>瓦香鸡</v>
          </cell>
          <cell r="I388" t="str">
            <v>董伟</v>
          </cell>
        </row>
        <row r="389">
          <cell r="D389" t="str">
            <v>CF341</v>
          </cell>
          <cell r="E389" t="str">
            <v>扬大荷花池校区二楼食堂</v>
          </cell>
        </row>
        <row r="389">
          <cell r="G389" t="str">
            <v>第五班组</v>
          </cell>
          <cell r="H389" t="str">
            <v>水饺(馄饨)</v>
          </cell>
          <cell r="I389" t="str">
            <v>周凯</v>
          </cell>
        </row>
        <row r="390">
          <cell r="D390" t="str">
            <v>CF341</v>
          </cell>
          <cell r="E390" t="str">
            <v>扬大荷花池校区二楼食堂</v>
          </cell>
        </row>
        <row r="390">
          <cell r="G390" t="str">
            <v>第六班组</v>
          </cell>
          <cell r="H390" t="str">
            <v>川湘菜</v>
          </cell>
          <cell r="I390" t="str">
            <v>刘诚诚</v>
          </cell>
        </row>
        <row r="391">
          <cell r="D391" t="str">
            <v>CF341</v>
          </cell>
          <cell r="E391" t="str">
            <v>扬大荷花池校区二楼食堂</v>
          </cell>
        </row>
        <row r="391">
          <cell r="G391" t="str">
            <v>第七班组</v>
          </cell>
          <cell r="H391" t="str">
            <v>烤盘饭</v>
          </cell>
          <cell r="I391" t="str">
            <v>曹清红</v>
          </cell>
        </row>
        <row r="392">
          <cell r="D392" t="str">
            <v>CF341</v>
          </cell>
          <cell r="E392" t="str">
            <v>扬大荷花池校区二楼食堂</v>
          </cell>
        </row>
        <row r="392">
          <cell r="G392" t="str">
            <v>第八班组</v>
          </cell>
          <cell r="H392" t="str">
            <v>黄焖鸡(黑鸭煲、拌面拌粉)</v>
          </cell>
          <cell r="I392" t="str">
            <v>刘发治</v>
          </cell>
        </row>
        <row r="393">
          <cell r="D393" t="str">
            <v>CF213</v>
          </cell>
          <cell r="E393" t="str">
            <v>苏州大脑营行餐厅</v>
          </cell>
        </row>
        <row r="393">
          <cell r="G393" t="str">
            <v>自营</v>
          </cell>
          <cell r="H393" t="str">
            <v>/</v>
          </cell>
          <cell r="I393" t="str">
            <v>/</v>
          </cell>
          <cell r="J393">
            <v>1034178.47</v>
          </cell>
        </row>
        <row r="394">
          <cell r="D394" t="str">
            <v>CF213</v>
          </cell>
          <cell r="E394" t="str">
            <v>苏州大脑营行餐厅</v>
          </cell>
        </row>
        <row r="394">
          <cell r="G394" t="str">
            <v>第一班组</v>
          </cell>
          <cell r="H394" t="str">
            <v>湘菜</v>
          </cell>
          <cell r="I394" t="str">
            <v>李勇</v>
          </cell>
          <cell r="J394">
            <v>97527</v>
          </cell>
        </row>
        <row r="395">
          <cell r="D395" t="str">
            <v>CF213</v>
          </cell>
          <cell r="E395" t="str">
            <v>苏州大脑营行餐厅</v>
          </cell>
        </row>
        <row r="395">
          <cell r="G395" t="str">
            <v>第二班组</v>
          </cell>
          <cell r="H395" t="str">
            <v>猪脚饭（酸菜鱼、米线、鸭血粉丝）</v>
          </cell>
          <cell r="I395" t="str">
            <v>黄永利</v>
          </cell>
          <cell r="J395">
            <v>74836</v>
          </cell>
        </row>
        <row r="396">
          <cell r="D396" t="str">
            <v>CF213</v>
          </cell>
          <cell r="E396" t="str">
            <v>苏州大脑营行餐厅</v>
          </cell>
        </row>
        <row r="396">
          <cell r="G396" t="str">
            <v>第三班组</v>
          </cell>
          <cell r="H396" t="str">
            <v>黄焖鸡、沙县小吃</v>
          </cell>
          <cell r="I396" t="str">
            <v>苏嫩仔</v>
          </cell>
          <cell r="J396">
            <v>62472.01</v>
          </cell>
        </row>
        <row r="397">
          <cell r="D397" t="str">
            <v>CF275</v>
          </cell>
          <cell r="E397" t="str">
            <v>南大苏州校区西区二食堂</v>
          </cell>
        </row>
        <row r="397">
          <cell r="G397" t="str">
            <v>自营</v>
          </cell>
          <cell r="H397" t="str">
            <v>/</v>
          </cell>
          <cell r="I397" t="str">
            <v>/</v>
          </cell>
          <cell r="J397">
            <v>-2904.19</v>
          </cell>
        </row>
        <row r="398">
          <cell r="D398" t="str">
            <v>CF275</v>
          </cell>
          <cell r="E398" t="str">
            <v>南大苏州校区西区二食堂</v>
          </cell>
        </row>
        <row r="398">
          <cell r="G398" t="str">
            <v>第一班组</v>
          </cell>
          <cell r="H398" t="str">
            <v>自选</v>
          </cell>
          <cell r="I398" t="str">
            <v>刘岩艳</v>
          </cell>
          <cell r="J398">
            <v>100693.97</v>
          </cell>
        </row>
        <row r="399">
          <cell r="D399" t="str">
            <v>CF275</v>
          </cell>
          <cell r="E399" t="str">
            <v>南大苏州校区西区二食堂</v>
          </cell>
        </row>
        <row r="399">
          <cell r="G399" t="str">
            <v>第二班组</v>
          </cell>
          <cell r="H399" t="str">
            <v>特色</v>
          </cell>
          <cell r="I399" t="str">
            <v>朱传兴</v>
          </cell>
          <cell r="J399">
            <v>158780.98</v>
          </cell>
        </row>
        <row r="400">
          <cell r="D400" t="str">
            <v>CF275</v>
          </cell>
          <cell r="E400" t="str">
            <v>南大苏州校区西区二食堂</v>
          </cell>
        </row>
        <row r="400">
          <cell r="G400" t="str">
            <v>第三班组</v>
          </cell>
          <cell r="H400" t="str">
            <v>早餐</v>
          </cell>
          <cell r="I400" t="str">
            <v>李嵩</v>
          </cell>
          <cell r="J400">
            <v>29515.23</v>
          </cell>
        </row>
        <row r="401">
          <cell r="D401" t="str">
            <v>CF275</v>
          </cell>
          <cell r="E401" t="str">
            <v>南大苏州校区西区二食堂</v>
          </cell>
        </row>
        <row r="401">
          <cell r="G401" t="str">
            <v>第四班组</v>
          </cell>
          <cell r="H401" t="str">
            <v>民族风味</v>
          </cell>
          <cell r="I401" t="str">
            <v>马素女</v>
          </cell>
          <cell r="J401">
            <v>26243.75</v>
          </cell>
        </row>
        <row r="402">
          <cell r="D402" t="str">
            <v>CF275</v>
          </cell>
          <cell r="E402" t="str">
            <v>南大苏州校区西区二食堂</v>
          </cell>
        </row>
        <row r="402">
          <cell r="G402" t="str">
            <v>第五班组</v>
          </cell>
          <cell r="H402" t="str">
            <v>卤肉饭</v>
          </cell>
          <cell r="I402" t="str">
            <v>周文琳</v>
          </cell>
          <cell r="J402">
            <v>31402.19</v>
          </cell>
        </row>
        <row r="403">
          <cell r="D403" t="str">
            <v>CF275</v>
          </cell>
          <cell r="E403" t="str">
            <v>南大苏州校区西区二食堂</v>
          </cell>
        </row>
        <row r="403">
          <cell r="G403" t="str">
            <v>第六班组</v>
          </cell>
          <cell r="H403" t="str">
            <v>麻辣烫</v>
          </cell>
          <cell r="I403" t="str">
            <v>余红莹</v>
          </cell>
          <cell r="J403">
            <v>41344.11</v>
          </cell>
        </row>
        <row r="404">
          <cell r="D404" t="str">
            <v>CF275</v>
          </cell>
          <cell r="E404" t="str">
            <v>南大苏州校区西区二食堂</v>
          </cell>
        </row>
        <row r="404">
          <cell r="G404" t="str">
            <v>第七班组</v>
          </cell>
          <cell r="H404" t="str">
            <v>面条</v>
          </cell>
          <cell r="I404" t="str">
            <v>许铭鼎</v>
          </cell>
          <cell r="J404">
            <v>20435.29</v>
          </cell>
        </row>
        <row r="405">
          <cell r="D405" t="str">
            <v>CF275</v>
          </cell>
          <cell r="E405" t="str">
            <v>南大苏州校区西区二食堂</v>
          </cell>
        </row>
        <row r="405">
          <cell r="G405" t="str">
            <v>第八班组</v>
          </cell>
          <cell r="H405" t="str">
            <v>辣椒炒肉</v>
          </cell>
          <cell r="I405" t="str">
            <v>吴海龙</v>
          </cell>
          <cell r="J405">
            <v>40422.12</v>
          </cell>
        </row>
        <row r="406">
          <cell r="D406" t="str">
            <v>CF275</v>
          </cell>
          <cell r="E406" t="str">
            <v>南大苏州校区西区二食堂</v>
          </cell>
        </row>
        <row r="406">
          <cell r="G406" t="str">
            <v>第九班组</v>
          </cell>
          <cell r="H406" t="str">
            <v>瓦香鸡</v>
          </cell>
          <cell r="I406" t="str">
            <v>仲海洋</v>
          </cell>
          <cell r="J406">
            <v>24022.37</v>
          </cell>
        </row>
        <row r="407">
          <cell r="D407" t="str">
            <v>CF275</v>
          </cell>
          <cell r="E407" t="str">
            <v>南大苏州校区西区二食堂</v>
          </cell>
        </row>
        <row r="407">
          <cell r="G407" t="str">
            <v>第十班组</v>
          </cell>
          <cell r="H407" t="str">
            <v>炸鸡汉堡</v>
          </cell>
          <cell r="I407" t="str">
            <v>张栗铭</v>
          </cell>
          <cell r="J407">
            <v>28220.17</v>
          </cell>
        </row>
        <row r="408">
          <cell r="D408" t="str">
            <v>CF275</v>
          </cell>
          <cell r="E408" t="str">
            <v>南大苏州校区西区二食堂</v>
          </cell>
        </row>
        <row r="408">
          <cell r="G408" t="str">
            <v>第十一班组</v>
          </cell>
          <cell r="H408" t="str">
            <v>淮南牛肉汤</v>
          </cell>
          <cell r="I408" t="str">
            <v>钱年英</v>
          </cell>
          <cell r="J408">
            <v>21063.9</v>
          </cell>
        </row>
        <row r="409">
          <cell r="D409" t="str">
            <v>CF275</v>
          </cell>
          <cell r="E409" t="str">
            <v>南大苏州校区西区二食堂</v>
          </cell>
        </row>
        <row r="409">
          <cell r="G409" t="str">
            <v>第十二班组</v>
          </cell>
          <cell r="H409" t="str">
            <v>面点</v>
          </cell>
          <cell r="I409" t="str">
            <v>陈天燕</v>
          </cell>
          <cell r="J409">
            <v>35575.89</v>
          </cell>
        </row>
        <row r="410">
          <cell r="D410" t="str">
            <v>CF212</v>
          </cell>
          <cell r="E410" t="str">
            <v>苏中附校苏州湾食堂</v>
          </cell>
        </row>
        <row r="410">
          <cell r="G410" t="str">
            <v>自营</v>
          </cell>
          <cell r="H410" t="str">
            <v>/</v>
          </cell>
          <cell r="I410" t="str">
            <v>/</v>
          </cell>
          <cell r="J410">
            <v>149018.39</v>
          </cell>
        </row>
        <row r="411">
          <cell r="D411" t="str">
            <v>CF273</v>
          </cell>
          <cell r="E411" t="str">
            <v>南大苏州校区科创大厦食堂</v>
          </cell>
        </row>
        <row r="411">
          <cell r="G411" t="str">
            <v>自营</v>
          </cell>
          <cell r="H411" t="str">
            <v>/</v>
          </cell>
          <cell r="I411" t="str">
            <v>/</v>
          </cell>
          <cell r="J411">
            <v>175053.14</v>
          </cell>
        </row>
        <row r="412">
          <cell r="D412" t="str">
            <v>CF191</v>
          </cell>
          <cell r="E412" t="str">
            <v>苏州旭辉彩园餐厅</v>
          </cell>
        </row>
        <row r="412">
          <cell r="G412" t="str">
            <v>/</v>
          </cell>
          <cell r="H412" t="str">
            <v>/</v>
          </cell>
          <cell r="I412" t="str">
            <v>/</v>
          </cell>
          <cell r="J412">
            <v>182182.78</v>
          </cell>
        </row>
        <row r="413">
          <cell r="D413" t="str">
            <v>CF479</v>
          </cell>
          <cell r="E413" t="str">
            <v>江苏省交通技师学院第一食堂</v>
          </cell>
        </row>
        <row r="413">
          <cell r="G413" t="str">
            <v>自营</v>
          </cell>
          <cell r="H413" t="str">
            <v>/</v>
          </cell>
          <cell r="I413" t="str">
            <v>/</v>
          </cell>
          <cell r="J413">
            <v>0</v>
          </cell>
        </row>
        <row r="414">
          <cell r="D414" t="str">
            <v>CF479</v>
          </cell>
          <cell r="E414" t="str">
            <v>江苏省交通技师学院第一食堂</v>
          </cell>
        </row>
        <row r="414">
          <cell r="G414" t="str">
            <v>第一班组</v>
          </cell>
          <cell r="H414" t="str">
            <v>八大碗</v>
          </cell>
          <cell r="I414" t="str">
            <v>丁秀梅</v>
          </cell>
          <cell r="J414">
            <v>0</v>
          </cell>
        </row>
        <row r="415">
          <cell r="D415" t="str">
            <v>CF479</v>
          </cell>
          <cell r="E415" t="str">
            <v>江苏省交通技师学院第一食堂</v>
          </cell>
        </row>
        <row r="415">
          <cell r="G415" t="str">
            <v>第二班组</v>
          </cell>
          <cell r="H415" t="str">
            <v>牛肉汤</v>
          </cell>
          <cell r="I415" t="str">
            <v>范义龙</v>
          </cell>
          <cell r="J415">
            <v>0</v>
          </cell>
        </row>
        <row r="416">
          <cell r="D416" t="str">
            <v>CF479</v>
          </cell>
          <cell r="E416" t="str">
            <v>江苏省交通技师学院第一食堂</v>
          </cell>
        </row>
        <row r="416">
          <cell r="G416" t="str">
            <v>第三班组</v>
          </cell>
          <cell r="H416" t="str">
            <v>基本大伙</v>
          </cell>
          <cell r="I416" t="str">
            <v>查启清</v>
          </cell>
        </row>
        <row r="417">
          <cell r="D417" t="str">
            <v>CF479</v>
          </cell>
          <cell r="E417" t="str">
            <v>江苏省交通技师学院第一食堂</v>
          </cell>
        </row>
        <row r="417">
          <cell r="G417" t="str">
            <v>第四班组</v>
          </cell>
          <cell r="H417" t="str">
            <v>早餐</v>
          </cell>
          <cell r="I417" t="str">
            <v>苏广前</v>
          </cell>
          <cell r="J417">
            <v>0</v>
          </cell>
        </row>
        <row r="418">
          <cell r="D418" t="str">
            <v>CF479</v>
          </cell>
          <cell r="E418" t="str">
            <v>江苏省交通技师学院第一食堂</v>
          </cell>
        </row>
        <row r="418">
          <cell r="G418" t="str">
            <v>第五班组</v>
          </cell>
          <cell r="H418" t="str">
            <v>面条</v>
          </cell>
          <cell r="I418" t="str">
            <v>李炳志</v>
          </cell>
          <cell r="J418">
            <v>0</v>
          </cell>
        </row>
        <row r="419">
          <cell r="D419" t="str">
            <v>CF479</v>
          </cell>
          <cell r="E419" t="str">
            <v>江苏省交通技师学院第一食堂</v>
          </cell>
        </row>
        <row r="419">
          <cell r="G419" t="str">
            <v>第六班组</v>
          </cell>
          <cell r="H419" t="str">
            <v>水饺</v>
          </cell>
          <cell r="I419" t="str">
            <v>王金华</v>
          </cell>
          <cell r="J419">
            <v>0</v>
          </cell>
        </row>
        <row r="420">
          <cell r="D420" t="str">
            <v>CF479</v>
          </cell>
          <cell r="E420" t="str">
            <v>江苏省交通技师学院第一食堂</v>
          </cell>
        </row>
        <row r="420">
          <cell r="G420" t="str">
            <v>第七班组</v>
          </cell>
          <cell r="H420" t="str">
            <v>油泼鸡</v>
          </cell>
          <cell r="I420" t="str">
            <v>陈永龙</v>
          </cell>
          <cell r="J420">
            <v>0</v>
          </cell>
        </row>
        <row r="421">
          <cell r="D421" t="str">
            <v>CF479</v>
          </cell>
          <cell r="E421" t="str">
            <v>江苏省交通技师学院第一食堂</v>
          </cell>
        </row>
        <row r="421">
          <cell r="G421" t="str">
            <v>第八班组</v>
          </cell>
          <cell r="H421" t="str">
            <v>麦多馅饼</v>
          </cell>
          <cell r="I421" t="str">
            <v>董超</v>
          </cell>
        </row>
        <row r="422">
          <cell r="D422" t="str">
            <v>CF479</v>
          </cell>
          <cell r="E422" t="str">
            <v>江苏省交通技师学院第一食堂</v>
          </cell>
        </row>
        <row r="422">
          <cell r="G422" t="str">
            <v>第九班组</v>
          </cell>
          <cell r="H422" t="str">
            <v>炒饭炒面</v>
          </cell>
          <cell r="I422" t="str">
            <v>于继文</v>
          </cell>
          <cell r="J422">
            <v>0</v>
          </cell>
        </row>
        <row r="423">
          <cell r="D423" t="str">
            <v>CF479</v>
          </cell>
          <cell r="E423" t="str">
            <v>江苏省交通技师学院第一食堂</v>
          </cell>
        </row>
        <row r="423">
          <cell r="G423" t="str">
            <v>第十班组</v>
          </cell>
          <cell r="H423" t="str">
            <v>麻辣烫</v>
          </cell>
          <cell r="I423" t="str">
            <v>于立鑫</v>
          </cell>
        </row>
        <row r="424">
          <cell r="D424" t="str">
            <v>CF479</v>
          </cell>
          <cell r="E424" t="str">
            <v>江苏省交通技师学院第一食堂</v>
          </cell>
        </row>
        <row r="424">
          <cell r="G424" t="str">
            <v>第十一班组</v>
          </cell>
          <cell r="H424" t="str">
            <v>炸鸡汉堡</v>
          </cell>
          <cell r="I424" t="str">
            <v>刘立志</v>
          </cell>
        </row>
        <row r="425">
          <cell r="D425" t="str">
            <v>CF479</v>
          </cell>
          <cell r="E425" t="str">
            <v>江苏省交通技师学院第一食堂</v>
          </cell>
        </row>
        <row r="425">
          <cell r="G425" t="str">
            <v>第十二班组</v>
          </cell>
          <cell r="H425" t="str">
            <v>掉渣饼</v>
          </cell>
          <cell r="I425" t="str">
            <v>武情</v>
          </cell>
        </row>
        <row r="426">
          <cell r="D426" t="str">
            <v>CF479</v>
          </cell>
          <cell r="E426" t="str">
            <v>江苏省交通技师学院第一食堂</v>
          </cell>
        </row>
        <row r="426">
          <cell r="G426" t="str">
            <v>第十三班组</v>
          </cell>
          <cell r="H426" t="str">
            <v>鸭血粉丝</v>
          </cell>
          <cell r="I426" t="str">
            <v>巫杨银</v>
          </cell>
        </row>
        <row r="427">
          <cell r="D427" t="str">
            <v>CF475</v>
          </cell>
          <cell r="E427" t="str">
            <v>国科大南京学院食堂</v>
          </cell>
        </row>
        <row r="427">
          <cell r="G427" t="str">
            <v>自营</v>
          </cell>
          <cell r="H427" t="str">
            <v>/</v>
          </cell>
          <cell r="I427" t="str">
            <v>/</v>
          </cell>
          <cell r="J427">
            <v>113658.71</v>
          </cell>
        </row>
        <row r="428">
          <cell r="D428" t="str">
            <v>CF475</v>
          </cell>
          <cell r="E428" t="str">
            <v>国科大南京学院食堂</v>
          </cell>
        </row>
        <row r="428">
          <cell r="G428" t="str">
            <v>第一班组</v>
          </cell>
          <cell r="H428" t="str">
            <v>茶香鸡、麻辣烫、水吧</v>
          </cell>
          <cell r="I428" t="str">
            <v>浦卫东</v>
          </cell>
          <cell r="J428">
            <v>2862.5</v>
          </cell>
        </row>
        <row r="429">
          <cell r="D429" t="str">
            <v>CF475</v>
          </cell>
          <cell r="E429" t="str">
            <v>国科大南京学院食堂</v>
          </cell>
        </row>
        <row r="429">
          <cell r="G429" t="str">
            <v>第二班组</v>
          </cell>
          <cell r="H429" t="str">
            <v>西北风味</v>
          </cell>
          <cell r="I429" t="str">
            <v>马山杏尼</v>
          </cell>
          <cell r="J429">
            <v>5949.1</v>
          </cell>
        </row>
        <row r="430">
          <cell r="D430" t="str">
            <v>CF475</v>
          </cell>
          <cell r="E430" t="str">
            <v>国科大南京学院食堂</v>
          </cell>
        </row>
        <row r="430">
          <cell r="G430" t="str">
            <v>第四班组</v>
          </cell>
          <cell r="H430" t="str">
            <v>七里塘</v>
          </cell>
          <cell r="I430" t="str">
            <v>沈汉平</v>
          </cell>
        </row>
        <row r="431">
          <cell r="D431" t="str">
            <v>CF364</v>
          </cell>
          <cell r="E431" t="str">
            <v>江苏航运思本轩食堂</v>
          </cell>
        </row>
        <row r="431">
          <cell r="G431" t="str">
            <v>第十二班组</v>
          </cell>
          <cell r="H431" t="str">
            <v>炸串</v>
          </cell>
          <cell r="I431" t="str">
            <v>陆水花</v>
          </cell>
          <cell r="J431">
            <v>0</v>
          </cell>
        </row>
        <row r="432">
          <cell r="D432" t="str">
            <v>CF364</v>
          </cell>
          <cell r="E432" t="str">
            <v>江苏航运思本轩食堂</v>
          </cell>
        </row>
        <row r="432">
          <cell r="G432" t="str">
            <v>第十三班组</v>
          </cell>
          <cell r="H432" t="str">
            <v>马玉涛麻辣烫</v>
          </cell>
          <cell r="I432" t="str">
            <v>陆爱军</v>
          </cell>
          <cell r="J432">
            <v>0</v>
          </cell>
        </row>
        <row r="433">
          <cell r="D433" t="str">
            <v>CF479</v>
          </cell>
          <cell r="E433" t="str">
            <v>江苏省交通技师学院第一食堂</v>
          </cell>
        </row>
        <row r="433">
          <cell r="G433" t="str">
            <v>第十二班组</v>
          </cell>
          <cell r="H433" t="str">
            <v>自选称重</v>
          </cell>
          <cell r="I433" t="str">
            <v>周俊帅</v>
          </cell>
          <cell r="J433">
            <v>0</v>
          </cell>
        </row>
        <row r="434">
          <cell r="D434" t="str">
            <v>CF480</v>
          </cell>
          <cell r="E434" t="str">
            <v>江苏旅游学生食堂二楼</v>
          </cell>
        </row>
        <row r="434">
          <cell r="G434" t="str">
            <v>/</v>
          </cell>
          <cell r="H434" t="str">
            <v>虾仁捞饭</v>
          </cell>
          <cell r="I434" t="str">
            <v>周玉娟</v>
          </cell>
        </row>
        <row r="435">
          <cell r="D435" t="str">
            <v>CF480</v>
          </cell>
          <cell r="E435" t="str">
            <v>江苏旅游学生食堂二楼</v>
          </cell>
        </row>
        <row r="435">
          <cell r="G435" t="str">
            <v>/</v>
          </cell>
          <cell r="H435" t="str">
            <v>大大大碗面</v>
          </cell>
          <cell r="I435" t="str">
            <v>夏发军</v>
          </cell>
          <cell r="J435">
            <v>0</v>
          </cell>
        </row>
        <row r="436">
          <cell r="D436" t="str">
            <v>CF108</v>
          </cell>
          <cell r="E436" t="str">
            <v>苏大北区六食堂</v>
          </cell>
        </row>
        <row r="436">
          <cell r="G436" t="str">
            <v>自营</v>
          </cell>
          <cell r="H436" t="str">
            <v>民族餐厅</v>
          </cell>
          <cell r="I436" t="str">
            <v>/</v>
          </cell>
          <cell r="J436">
            <v>0</v>
          </cell>
        </row>
        <row r="437">
          <cell r="D437" t="str">
            <v>CF102</v>
          </cell>
          <cell r="E437" t="str">
            <v>苏大东区四食堂</v>
          </cell>
        </row>
        <row r="437">
          <cell r="G437" t="str">
            <v>/</v>
          </cell>
          <cell r="H437" t="str">
            <v>深夜大食堂</v>
          </cell>
          <cell r="I437" t="str">
            <v>左伟</v>
          </cell>
        </row>
        <row r="438">
          <cell r="D438" t="str">
            <v>CF477</v>
          </cell>
          <cell r="E438" t="str">
            <v>上海民航第一食堂</v>
          </cell>
        </row>
        <row r="438">
          <cell r="G438" t="str">
            <v>第五班组</v>
          </cell>
          <cell r="H438" t="str">
            <v>三楼风味</v>
          </cell>
          <cell r="I438" t="str">
            <v>卢翠连</v>
          </cell>
          <cell r="J438">
            <v>0</v>
          </cell>
        </row>
        <row r="439">
          <cell r="D439" t="str">
            <v>CF699</v>
          </cell>
          <cell r="E439" t="str">
            <v>徐医大第一食堂</v>
          </cell>
        </row>
        <row r="439">
          <cell r="G439" t="str">
            <v>/</v>
          </cell>
          <cell r="H439" t="str">
            <v>悦轻荷</v>
          </cell>
          <cell r="I439" t="str">
            <v>王于于</v>
          </cell>
          <cell r="J439">
            <v>2552.4</v>
          </cell>
        </row>
        <row r="440">
          <cell r="D440" t="str">
            <v>CF780</v>
          </cell>
          <cell r="E440" t="str">
            <v>吉建大二食堂</v>
          </cell>
        </row>
        <row r="440">
          <cell r="G440" t="str">
            <v>/</v>
          </cell>
          <cell r="H440" t="str">
            <v>板烧厨房</v>
          </cell>
          <cell r="I440" t="str">
            <v>徐红月</v>
          </cell>
          <cell r="J440">
            <v>3994.4</v>
          </cell>
        </row>
        <row r="441">
          <cell r="D441" t="str">
            <v>CF293</v>
          </cell>
          <cell r="E441" t="str">
            <v>江苏二师石湫校区食堂</v>
          </cell>
        </row>
        <row r="441">
          <cell r="G441" t="str">
            <v>第二班组</v>
          </cell>
          <cell r="H441" t="str">
            <v>猪脚饭</v>
          </cell>
          <cell r="I441" t="str">
            <v>孙仲弘</v>
          </cell>
          <cell r="J441">
            <v>0</v>
          </cell>
        </row>
        <row r="442">
          <cell r="D442" t="str">
            <v>CF293</v>
          </cell>
          <cell r="E442" t="str">
            <v>江苏二师石湫校区食堂</v>
          </cell>
        </row>
        <row r="442">
          <cell r="G442" t="str">
            <v>第四班组</v>
          </cell>
          <cell r="H442" t="str">
            <v>铁锅炖</v>
          </cell>
          <cell r="I442" t="str">
            <v>夏金涛</v>
          </cell>
          <cell r="J442">
            <v>0</v>
          </cell>
        </row>
        <row r="443">
          <cell r="D443" t="str">
            <v>Q021</v>
          </cell>
          <cell r="E443" t="str">
            <v>苏州星塘医院餐厅</v>
          </cell>
        </row>
        <row r="443">
          <cell r="G443" t="str">
            <v>/</v>
          </cell>
          <cell r="H443" t="str">
            <v>/</v>
          </cell>
          <cell r="I443" t="str">
            <v>/</v>
          </cell>
          <cell r="J443">
            <v>223277.28</v>
          </cell>
        </row>
        <row r="444">
          <cell r="D444" t="str">
            <v>CF700</v>
          </cell>
          <cell r="E444" t="str">
            <v>北理工长三角研究院(嘉兴）食堂</v>
          </cell>
        </row>
        <row r="444">
          <cell r="G444" t="str">
            <v>自选快餐面条</v>
          </cell>
        </row>
        <row r="444">
          <cell r="J444">
            <v>213247.9</v>
          </cell>
        </row>
        <row r="445">
          <cell r="D445" t="str">
            <v>CF699</v>
          </cell>
          <cell r="E445" t="str">
            <v>徐医大第一食堂</v>
          </cell>
        </row>
        <row r="445">
          <cell r="G445" t="str">
            <v>/</v>
          </cell>
          <cell r="H445" t="str">
            <v>快餐</v>
          </cell>
          <cell r="I445" t="str">
            <v>张振</v>
          </cell>
          <cell r="J445">
            <v>6629.1</v>
          </cell>
        </row>
        <row r="446">
          <cell r="D446" t="str">
            <v>CF516</v>
          </cell>
          <cell r="E446" t="str">
            <v>苏州北美国际高级中学餐厅</v>
          </cell>
        </row>
        <row r="446">
          <cell r="G446" t="str">
            <v>自营</v>
          </cell>
          <cell r="H446" t="str">
            <v>快餐</v>
          </cell>
        </row>
        <row r="446">
          <cell r="J446">
            <v>86533.3</v>
          </cell>
        </row>
        <row r="447">
          <cell r="D447" t="str">
            <v>CF516</v>
          </cell>
          <cell r="E447" t="str">
            <v>苏州北美国际高级中学餐厅</v>
          </cell>
        </row>
        <row r="447">
          <cell r="H447" t="str">
            <v>个体</v>
          </cell>
        </row>
        <row r="447">
          <cell r="J447">
            <v>5519</v>
          </cell>
        </row>
        <row r="448">
          <cell r="D448" t="str">
            <v>CF514</v>
          </cell>
          <cell r="E448" t="str">
            <v>昆山康桥培英高级中学食堂</v>
          </cell>
        </row>
        <row r="448">
          <cell r="G448" t="str">
            <v>自营</v>
          </cell>
        </row>
        <row r="448">
          <cell r="J448">
            <v>568469</v>
          </cell>
        </row>
        <row r="449">
          <cell r="D449" t="str">
            <v>CF450</v>
          </cell>
          <cell r="E449" t="str">
            <v>天津大学学二食堂</v>
          </cell>
        </row>
        <row r="449">
          <cell r="H449" t="str">
            <v>牛肉面</v>
          </cell>
          <cell r="I449" t="str">
            <v>何元双</v>
          </cell>
          <cell r="J449">
            <v>16536</v>
          </cell>
        </row>
        <row r="450">
          <cell r="D450" t="str">
            <v>CF780</v>
          </cell>
          <cell r="E450" t="str">
            <v>吉建大二食堂</v>
          </cell>
        </row>
        <row r="450">
          <cell r="G450" t="str">
            <v>/</v>
          </cell>
          <cell r="H450" t="str">
            <v> 手工鲜水饺 </v>
          </cell>
          <cell r="I450" t="str">
            <v>王洪伟</v>
          </cell>
          <cell r="J450">
            <v>1544.63</v>
          </cell>
        </row>
        <row r="451">
          <cell r="D451" t="str">
            <v>CF780</v>
          </cell>
          <cell r="E451" t="str">
            <v>吉建大二食堂</v>
          </cell>
        </row>
        <row r="451">
          <cell r="G451" t="str">
            <v>/</v>
          </cell>
          <cell r="H451" t="str">
            <v> 荔枝鸡饭 </v>
          </cell>
          <cell r="I451" t="str">
            <v>陈志国</v>
          </cell>
          <cell r="J451">
            <v>8720.8</v>
          </cell>
        </row>
        <row r="452">
          <cell r="D452" t="str">
            <v>CF780</v>
          </cell>
          <cell r="E452" t="str">
            <v>吉建大二食堂</v>
          </cell>
        </row>
        <row r="452">
          <cell r="G452" t="str">
            <v>/</v>
          </cell>
          <cell r="H452" t="str">
            <v>河山桥水煮肉</v>
          </cell>
          <cell r="I452" t="str">
            <v>李旭</v>
          </cell>
          <cell r="J452">
            <v>0</v>
          </cell>
        </row>
        <row r="453">
          <cell r="D453" t="str">
            <v>CF780</v>
          </cell>
          <cell r="E453" t="str">
            <v>吉建大二食堂</v>
          </cell>
        </row>
        <row r="453">
          <cell r="G453" t="str">
            <v>/</v>
          </cell>
          <cell r="H453" t="str">
            <v>土豆泥拌饭</v>
          </cell>
          <cell r="I453" t="str">
            <v>徐启航</v>
          </cell>
          <cell r="J453">
            <v>5054.4</v>
          </cell>
        </row>
        <row r="454">
          <cell r="D454" t="str">
            <v>CF698</v>
          </cell>
          <cell r="E454" t="str">
            <v>兰理工兰工坪校区一食堂</v>
          </cell>
        </row>
        <row r="454">
          <cell r="G454" t="str">
            <v>/</v>
          </cell>
          <cell r="H454" t="str">
            <v>小碗菜</v>
          </cell>
          <cell r="I454" t="str">
            <v>宋玉琴</v>
          </cell>
          <cell r="J454">
            <v>12228.47</v>
          </cell>
        </row>
        <row r="455">
          <cell r="D455" t="str">
            <v>CF341</v>
          </cell>
          <cell r="E455" t="str">
            <v>扬大荷花池校区二楼食堂</v>
          </cell>
        </row>
        <row r="455">
          <cell r="H455" t="str">
            <v>牛杂面</v>
          </cell>
          <cell r="I455" t="str">
            <v>周小红</v>
          </cell>
        </row>
        <row r="456">
          <cell r="D456" t="str">
            <v>CF341</v>
          </cell>
          <cell r="E456" t="str">
            <v>扬大荷花池校区二楼食堂</v>
          </cell>
        </row>
        <row r="456">
          <cell r="H456" t="str">
            <v>黑鸭煲</v>
          </cell>
          <cell r="I456" t="str">
            <v>邱浩</v>
          </cell>
        </row>
        <row r="457">
          <cell r="D457" t="str">
            <v>CF341</v>
          </cell>
          <cell r="E457" t="str">
            <v>扬大荷花池校区二楼食堂</v>
          </cell>
        </row>
        <row r="457">
          <cell r="H457" t="str">
            <v>盖浇饭</v>
          </cell>
          <cell r="I457" t="str">
            <v>唐爱萍</v>
          </cell>
        </row>
        <row r="458">
          <cell r="D458" t="str">
            <v>CF781</v>
          </cell>
          <cell r="E458" t="str">
            <v>苏食院第一学生食堂</v>
          </cell>
        </row>
        <row r="458">
          <cell r="G458" t="str">
            <v>/</v>
          </cell>
          <cell r="H458" t="str">
            <v>烤鸭饭</v>
          </cell>
          <cell r="I458" t="str">
            <v>刘太华</v>
          </cell>
          <cell r="J458">
            <v>15577.93</v>
          </cell>
        </row>
        <row r="459">
          <cell r="D459" t="str">
            <v>CF781</v>
          </cell>
          <cell r="E459" t="str">
            <v>苏食院第一学生食堂</v>
          </cell>
        </row>
        <row r="459">
          <cell r="G459" t="str">
            <v>/</v>
          </cell>
          <cell r="H459" t="str">
            <v>现炒浇头</v>
          </cell>
          <cell r="I459" t="str">
            <v>匡雷</v>
          </cell>
          <cell r="J459">
            <v>9909.36</v>
          </cell>
        </row>
        <row r="460">
          <cell r="D460" t="str">
            <v>CF781</v>
          </cell>
          <cell r="E460" t="str">
            <v>苏食院第一学生食堂</v>
          </cell>
        </row>
        <row r="460">
          <cell r="G460" t="str">
            <v>/</v>
          </cell>
          <cell r="H460" t="str">
            <v>库迪咖啡</v>
          </cell>
          <cell r="I460" t="str">
            <v>张凌子</v>
          </cell>
          <cell r="J460">
            <v>39.8</v>
          </cell>
        </row>
        <row r="461">
          <cell r="D461" t="str">
            <v>CF781</v>
          </cell>
          <cell r="E461" t="str">
            <v>苏食院第一学生食堂</v>
          </cell>
        </row>
        <row r="461">
          <cell r="G461" t="str">
            <v>/</v>
          </cell>
          <cell r="H461" t="str">
            <v>水果捞</v>
          </cell>
          <cell r="I461" t="str">
            <v>徐星</v>
          </cell>
          <cell r="J461">
            <v>682.67</v>
          </cell>
        </row>
        <row r="462">
          <cell r="D462" t="str">
            <v>CF781</v>
          </cell>
          <cell r="E462" t="str">
            <v>苏食院第一学生食堂</v>
          </cell>
        </row>
        <row r="462">
          <cell r="G462" t="str">
            <v>/</v>
          </cell>
          <cell r="H462" t="str">
            <v>自选菜</v>
          </cell>
          <cell r="I462" t="str">
            <v>王功成</v>
          </cell>
          <cell r="J462">
            <v>2040.16</v>
          </cell>
        </row>
        <row r="463">
          <cell r="D463" t="str">
            <v>CF781</v>
          </cell>
          <cell r="E463" t="str">
            <v>苏食院第一学生食堂</v>
          </cell>
        </row>
        <row r="463">
          <cell r="G463" t="str">
            <v>/</v>
          </cell>
          <cell r="H463" t="str">
            <v>麻辣烫</v>
          </cell>
          <cell r="I463" t="str">
            <v>胡长江</v>
          </cell>
          <cell r="J463">
            <v>4618.93</v>
          </cell>
        </row>
        <row r="464">
          <cell r="D464" t="str">
            <v>CF781</v>
          </cell>
          <cell r="E464" t="str">
            <v>苏食院第一学生食堂</v>
          </cell>
        </row>
        <row r="464">
          <cell r="G464" t="str">
            <v>/</v>
          </cell>
          <cell r="H464" t="str">
            <v>水吧</v>
          </cell>
          <cell r="I464" t="str">
            <v>刘飞</v>
          </cell>
          <cell r="J464">
            <v>2089.63</v>
          </cell>
        </row>
        <row r="465">
          <cell r="D465" t="str">
            <v>CF781</v>
          </cell>
          <cell r="E465" t="str">
            <v>苏食院第一学生食堂</v>
          </cell>
        </row>
        <row r="465">
          <cell r="G465" t="str">
            <v>/</v>
          </cell>
          <cell r="H465" t="str">
            <v>西点</v>
          </cell>
          <cell r="I465" t="str">
            <v>吴贵华</v>
          </cell>
          <cell r="J465">
            <v>448.4</v>
          </cell>
        </row>
        <row r="466">
          <cell r="D466" t="str">
            <v>CF781</v>
          </cell>
          <cell r="E466" t="str">
            <v>苏食院第一学生食堂</v>
          </cell>
        </row>
        <row r="466">
          <cell r="G466" t="str">
            <v>/</v>
          </cell>
          <cell r="H466" t="str">
            <v>烤鸡饭</v>
          </cell>
          <cell r="I466" t="str">
            <v>刘太华</v>
          </cell>
          <cell r="J466">
            <v>855.6</v>
          </cell>
        </row>
        <row r="467">
          <cell r="D467" t="str">
            <v>CF320</v>
          </cell>
          <cell r="E467" t="str">
            <v>江苏财经梅园食堂</v>
          </cell>
        </row>
        <row r="467">
          <cell r="G467" t="str">
            <v>/</v>
          </cell>
          <cell r="H467" t="str">
            <v>卤肉饭</v>
          </cell>
          <cell r="I467" t="str">
            <v>朱仕兵</v>
          </cell>
          <cell r="J467">
            <v>0</v>
          </cell>
        </row>
        <row r="468">
          <cell r="D468" t="str">
            <v>CF320</v>
          </cell>
          <cell r="E468" t="str">
            <v>江苏财经梅园食堂</v>
          </cell>
        </row>
        <row r="468">
          <cell r="G468" t="str">
            <v>/</v>
          </cell>
          <cell r="H468" t="str">
            <v>牛肉汤</v>
          </cell>
          <cell r="I468" t="str">
            <v>张然</v>
          </cell>
          <cell r="J468">
            <v>5324.01</v>
          </cell>
        </row>
        <row r="469">
          <cell r="D469" t="str">
            <v>CF320</v>
          </cell>
          <cell r="E469" t="str">
            <v>江苏财经梅园食堂</v>
          </cell>
        </row>
        <row r="469">
          <cell r="G469" t="str">
            <v>/</v>
          </cell>
          <cell r="H469" t="str">
            <v>港式烤鸭饭</v>
          </cell>
          <cell r="I469" t="str">
            <v>籍明明</v>
          </cell>
          <cell r="J469">
            <v>26809.82</v>
          </cell>
        </row>
        <row r="470">
          <cell r="D470" t="str">
            <v>CF320</v>
          </cell>
          <cell r="E470" t="str">
            <v>江苏财经梅园食堂</v>
          </cell>
        </row>
        <row r="470">
          <cell r="G470" t="str">
            <v>/</v>
          </cell>
          <cell r="H470" t="str">
            <v>黄焖鸡</v>
          </cell>
          <cell r="I470" t="str">
            <v>曹学云</v>
          </cell>
          <cell r="J470">
            <v>23234.41</v>
          </cell>
        </row>
        <row r="471">
          <cell r="D471" t="str">
            <v>CF320</v>
          </cell>
          <cell r="E471" t="str">
            <v>江苏财经梅园食堂</v>
          </cell>
        </row>
        <row r="471">
          <cell r="G471" t="str">
            <v>/</v>
          </cell>
          <cell r="H471" t="str">
            <v>有味拉面</v>
          </cell>
          <cell r="I471" t="str">
            <v>刘万众</v>
          </cell>
          <cell r="J471">
            <v>10850.02</v>
          </cell>
        </row>
        <row r="472">
          <cell r="D472" t="str">
            <v>CF320</v>
          </cell>
          <cell r="E472" t="str">
            <v>江苏财经梅园食堂</v>
          </cell>
        </row>
        <row r="472">
          <cell r="G472" t="str">
            <v>/</v>
          </cell>
          <cell r="H472" t="str">
            <v>现炒浇头</v>
          </cell>
          <cell r="I472" t="str">
            <v>朱潮</v>
          </cell>
          <cell r="J472">
            <v>11042.71</v>
          </cell>
        </row>
        <row r="473">
          <cell r="D473" t="str">
            <v>CF320</v>
          </cell>
          <cell r="E473" t="str">
            <v>江苏财经梅园食堂</v>
          </cell>
        </row>
        <row r="473">
          <cell r="G473" t="str">
            <v>/</v>
          </cell>
          <cell r="H473" t="str">
            <v>面包</v>
          </cell>
          <cell r="I473" t="str">
            <v>吴桂华</v>
          </cell>
          <cell r="J473">
            <v>405.51</v>
          </cell>
        </row>
        <row r="474">
          <cell r="D474" t="str">
            <v>CF320</v>
          </cell>
          <cell r="E474" t="str">
            <v>江苏财经梅园食堂</v>
          </cell>
        </row>
        <row r="474">
          <cell r="G474" t="str">
            <v>/</v>
          </cell>
          <cell r="H474" t="str">
            <v>江晓笼</v>
          </cell>
          <cell r="I474" t="str">
            <v>廖文</v>
          </cell>
          <cell r="J474">
            <v>3102.05</v>
          </cell>
        </row>
        <row r="475">
          <cell r="D475" t="str">
            <v>CF275</v>
          </cell>
          <cell r="E475" t="str">
            <v>南大苏州校区西区二食堂</v>
          </cell>
        </row>
        <row r="475">
          <cell r="G475" t="str">
            <v>第十三班组</v>
          </cell>
          <cell r="H475" t="str">
            <v>西餐</v>
          </cell>
        </row>
        <row r="475">
          <cell r="J475">
            <v>108653.79</v>
          </cell>
        </row>
        <row r="476">
          <cell r="D476" t="str">
            <v>CF699</v>
          </cell>
          <cell r="E476" t="str">
            <v>徐医大第一食堂</v>
          </cell>
        </row>
        <row r="476">
          <cell r="G476" t="str">
            <v>/</v>
          </cell>
          <cell r="H476" t="str">
            <v>炸串卷饼拌饭</v>
          </cell>
          <cell r="I476" t="str">
            <v>王倩</v>
          </cell>
          <cell r="J476">
            <v>676.57</v>
          </cell>
        </row>
        <row r="477">
          <cell r="D477" t="str">
            <v>CF699</v>
          </cell>
          <cell r="E477" t="str">
            <v>徐医大第一食堂</v>
          </cell>
        </row>
        <row r="477">
          <cell r="G477" t="str">
            <v>/</v>
          </cell>
          <cell r="H477" t="str">
            <v>鸡架拌面</v>
          </cell>
          <cell r="I477" t="str">
            <v>姜艳芳</v>
          </cell>
          <cell r="J477">
            <v>2789.9</v>
          </cell>
        </row>
        <row r="478">
          <cell r="D478" t="str">
            <v>CF320</v>
          </cell>
          <cell r="E478" t="str">
            <v>江苏财经梅园食堂</v>
          </cell>
        </row>
        <row r="478">
          <cell r="G478" t="str">
            <v>第十六班组</v>
          </cell>
          <cell r="H478" t="str">
            <v>酷堡王</v>
          </cell>
          <cell r="I478" t="str">
            <v>王得志</v>
          </cell>
          <cell r="J478">
            <v>10745.22</v>
          </cell>
        </row>
        <row r="479">
          <cell r="D479" t="str">
            <v>CF698</v>
          </cell>
          <cell r="E479" t="str">
            <v>兰理工兰工坪校区一食堂</v>
          </cell>
        </row>
        <row r="479">
          <cell r="G479" t="str">
            <v>/</v>
          </cell>
          <cell r="H479" t="str">
            <v>早餐（包子、粥、馅饼、饺子）</v>
          </cell>
          <cell r="I479" t="str">
            <v>杨凤祥</v>
          </cell>
          <cell r="J479">
            <v>11981.43</v>
          </cell>
        </row>
        <row r="480">
          <cell r="D480" t="str">
            <v>CF698</v>
          </cell>
          <cell r="E480" t="str">
            <v>兰理工兰工坪校区一食堂</v>
          </cell>
        </row>
        <row r="480">
          <cell r="G480" t="str">
            <v>/</v>
          </cell>
          <cell r="H480" t="str">
            <v>快餐（盖浇饭、锅仔）</v>
          </cell>
          <cell r="I480" t="str">
            <v>曾德彬</v>
          </cell>
          <cell r="J480">
            <v>86745.25</v>
          </cell>
        </row>
        <row r="481">
          <cell r="D481" t="str">
            <v>CF698</v>
          </cell>
          <cell r="E481" t="str">
            <v>兰理工兰工坪校区一食堂</v>
          </cell>
        </row>
        <row r="481">
          <cell r="G481" t="str">
            <v>/</v>
          </cell>
          <cell r="H481" t="str">
            <v>香肉拌饭</v>
          </cell>
          <cell r="I481" t="str">
            <v>尚晓刚</v>
          </cell>
          <cell r="J481">
            <v>19166.47</v>
          </cell>
        </row>
        <row r="482">
          <cell r="D482" t="str">
            <v>CF698</v>
          </cell>
          <cell r="E482" t="str">
            <v>兰理工兰工坪校区一食堂</v>
          </cell>
        </row>
        <row r="482">
          <cell r="G482" t="str">
            <v>/</v>
          </cell>
          <cell r="H482" t="str">
            <v>面小福菜拌面</v>
          </cell>
          <cell r="I482" t="str">
            <v>周颖</v>
          </cell>
          <cell r="J482">
            <v>22845.19</v>
          </cell>
        </row>
        <row r="483">
          <cell r="D483" t="str">
            <v>CF698</v>
          </cell>
          <cell r="E483" t="str">
            <v>兰理工兰工坪校区一食堂</v>
          </cell>
        </row>
        <row r="483">
          <cell r="G483" t="str">
            <v>/</v>
          </cell>
          <cell r="H483" t="str">
            <v>一纸鸡牛肉饭</v>
          </cell>
          <cell r="I483" t="str">
            <v>蔡晓娟</v>
          </cell>
          <cell r="J483">
            <v>3748.92</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37.7088888889" refreshedBy="Unknown User" recordCount="452">
  <cacheSource type="worksheet">
    <worksheetSource ref="A2:BR454" sheet=" 2026年科桥餐饮公司各项指标明细 (8月)"/>
  </cacheSource>
  <cacheFields count="70">
    <cacheField name="序号" numFmtId="0">
      <sharedItems containsString="0" containsBlank="1" containsNumber="1" containsInteger="1" minValue="0" maxValue="434" count="386">
        <n v="4"/>
        <n v="6"/>
        <n v="7"/>
        <n v="8"/>
        <n v="9"/>
        <n v="11"/>
        <n v="12"/>
        <n v="13"/>
        <n v="14"/>
        <n v="15"/>
        <n v="16"/>
        <n v="17"/>
        <n v="18"/>
        <n v="19"/>
        <n v="20"/>
        <n v="21"/>
        <n v="22"/>
        <n v="23"/>
        <n v="24"/>
        <n v="25"/>
        <n v="26"/>
        <n v="27"/>
        <n v="28"/>
        <n v="29"/>
        <n v="30"/>
        <n v="31"/>
        <n v="32"/>
        <n v="33"/>
        <n v="43"/>
        <n v="44"/>
        <n v="45"/>
        <n v="46"/>
        <n v="47"/>
        <n v="48"/>
        <n v="50"/>
        <n v="51"/>
        <n v="52"/>
        <n v="53"/>
        <n v="54"/>
        <n v="55"/>
        <n v="57"/>
        <n v="58"/>
        <n v="60"/>
        <n v="61"/>
        <n v="62"/>
        <n v="63"/>
        <n v="64"/>
        <n v="65"/>
        <n v="66"/>
        <n v="67"/>
        <n v="68"/>
        <n v="70"/>
        <n v="71"/>
        <n v="72"/>
        <n v="73"/>
        <n v="74"/>
        <n v="75"/>
        <n v="76"/>
        <n v="77"/>
        <n v="78"/>
        <n v="79"/>
        <n v="82"/>
        <n v="83"/>
        <n v="84"/>
        <n v="86"/>
        <n v="89"/>
        <n v="90"/>
        <n v="95"/>
        <n v="96"/>
        <n v="97"/>
        <n v="98"/>
        <n v="99"/>
        <n v="100"/>
        <n v="101"/>
        <n v="102"/>
        <n v="103"/>
        <n v="104"/>
        <n v="105"/>
        <n v="106"/>
        <n v="107"/>
        <n v="108"/>
        <n v="109"/>
        <n v="110"/>
        <n v="111"/>
        <n v="112"/>
        <n v="113"/>
        <n v="114"/>
        <n v="117"/>
        <n v="118"/>
        <n v="119"/>
        <n v="120"/>
        <n v="121"/>
        <n v="122"/>
        <n v="123"/>
        <n v="124"/>
        <n v="125"/>
        <n v="126"/>
        <n v="127"/>
        <n v="128"/>
        <n v="129"/>
        <n v="130"/>
        <n v="131"/>
        <n v="132"/>
        <n v="133"/>
        <n v="134"/>
        <n v="135"/>
        <n v="136"/>
        <n v="137"/>
        <n v="138"/>
        <n v="140"/>
        <n v="141"/>
        <n v="142"/>
        <n v="143"/>
        <n v="144"/>
        <n v="145"/>
        <n v="146"/>
        <n v="147"/>
        <n v="149"/>
        <n v="151"/>
        <n v="152"/>
        <n v="153"/>
        <n v="154"/>
        <n v="155"/>
        <n v="156"/>
        <n v="157"/>
        <n v="158"/>
        <n v="159"/>
        <n v="160"/>
        <n v="161"/>
        <n v="162"/>
        <n v="163"/>
        <n v="164"/>
        <n v="165"/>
        <n v="166"/>
        <n v="167"/>
        <n v="168"/>
        <n v="169"/>
        <n v="170"/>
        <n v="171"/>
        <n v="173"/>
        <n v="174"/>
        <n v="175"/>
        <n v="176"/>
        <n v="177"/>
        <n v="178"/>
        <n v="179"/>
        <n v="180"/>
        <n v="181"/>
        <n v="182"/>
        <n v="183"/>
        <n v="184"/>
        <n v="185"/>
        <n v="186"/>
        <n v="187"/>
        <n v="188"/>
        <n v="189"/>
        <n v="190"/>
        <n v="192"/>
        <n v="193"/>
        <n v="194"/>
        <n v="195"/>
        <n v="196"/>
        <n v="197"/>
        <n v="198"/>
        <n v="199"/>
        <n v="200"/>
        <n v="201"/>
        <n v="202"/>
        <n v="203"/>
        <n v="204"/>
        <n v="205"/>
        <n v="206"/>
        <n v="207"/>
        <n v="208"/>
        <n v="209"/>
        <n v="210"/>
        <n v="211"/>
        <n v="212"/>
        <n v="213"/>
        <n v="214"/>
        <n v="215"/>
        <n v="216"/>
        <n v="217"/>
        <n v="218"/>
        <n v="219"/>
        <n v="220"/>
        <n v="221"/>
        <n v="222"/>
        <n v="223"/>
        <n v="224"/>
        <n v="226"/>
        <n v="227"/>
        <n v="228"/>
        <n v="229"/>
        <n v="230"/>
        <n v="232"/>
        <n v="234"/>
        <n v="235"/>
        <n v="236"/>
        <n v="237"/>
        <n v="238"/>
        <n v="239"/>
        <n v="240"/>
        <n v="241"/>
        <n v="242"/>
        <n v="243"/>
        <n v="244"/>
        <n v="245"/>
        <n v="246"/>
        <n v="247"/>
        <n v="248"/>
        <n v="250"/>
        <n v="251"/>
        <n v="252"/>
        <n v="253"/>
        <n v="254"/>
        <n v="255"/>
        <n v="256"/>
        <n v="257"/>
        <n v="258"/>
        <n v="259"/>
        <n v="260"/>
        <n v="261"/>
        <n v="262"/>
        <n v="263"/>
        <n v="264"/>
        <n v="265"/>
        <n v="266"/>
        <n v="267"/>
        <n v="268"/>
        <n v="270"/>
        <n v="271"/>
        <n v="272"/>
        <n v="273"/>
        <n v="274"/>
        <n v="275"/>
        <n v="276"/>
        <n v="277"/>
        <n v="278"/>
        <n v="279"/>
        <n v="280"/>
        <n v="281"/>
        <n v="282"/>
        <n v="283"/>
        <n v="284"/>
        <n v="285"/>
        <n v="286"/>
        <n v="291"/>
        <n v="292"/>
        <n v="293"/>
        <n v="294"/>
        <n v="296"/>
        <n v="297"/>
        <n v="298"/>
        <n v="299"/>
        <n v="300"/>
        <n v="301"/>
        <n v="302"/>
        <n v="303"/>
        <n v="304"/>
        <n v="305"/>
        <n v="306"/>
        <n v="307"/>
        <n v="308"/>
        <n v="309"/>
        <n v="311"/>
        <n v="312"/>
        <n v="313"/>
        <n v="314"/>
        <n v="315"/>
        <n v="316"/>
        <n v="317"/>
        <n v="318"/>
        <n v="319"/>
        <n v="320"/>
        <n v="321"/>
        <n v="322"/>
        <n v="323"/>
        <n v="324"/>
        <n v="326"/>
        <n v="327"/>
        <n v="328"/>
        <n v="329"/>
        <n v="330"/>
        <n v="331"/>
        <n v="332"/>
        <n v="333"/>
        <n v="334"/>
        <n v="336"/>
        <n v="337"/>
        <n v="338"/>
        <n v="339"/>
        <n v="340"/>
        <n v="341"/>
        <n v="342"/>
        <n v="344"/>
        <n v="346"/>
        <n v="347"/>
        <n v="349"/>
        <n v="351"/>
        <n v="352"/>
        <n v="353"/>
        <n v="355"/>
        <n v="356"/>
        <n v="357"/>
        <n v="358"/>
        <n v="359"/>
        <n v="360"/>
        <n v="361"/>
        <n v="362"/>
        <n v="363"/>
        <n v="364"/>
        <n v="365"/>
        <n v="367"/>
        <n v="368"/>
        <n v="369"/>
        <n v="370"/>
        <n v="371"/>
        <n v="372"/>
        <n v="373"/>
        <n v="374"/>
        <n v="375"/>
        <n v="377"/>
        <n v="378"/>
        <n v="379"/>
        <n v="380"/>
        <n v="381"/>
        <n v="382"/>
        <n v="383"/>
        <n v="384"/>
        <n v="385"/>
        <n v="386"/>
        <n v="387"/>
        <n v="388"/>
        <n v="389"/>
        <n v="390"/>
        <n v="391"/>
        <n v="392"/>
        <n v="393"/>
        <n v="394"/>
        <n v="395"/>
        <n v="396"/>
        <n v="398"/>
        <n v="399"/>
        <n v="400"/>
        <n v="402"/>
        <n v="403"/>
        <n v="404"/>
        <n v="405"/>
        <n v="406"/>
        <n v="407"/>
        <n v="408"/>
        <n v="409"/>
        <n v="410"/>
        <n v="411"/>
        <n v="412"/>
        <n v="413"/>
        <n v="416"/>
        <n v="418"/>
        <n v="419"/>
        <n v="420"/>
        <n v="421"/>
        <n v="422"/>
        <n v="423"/>
        <n v="424"/>
        <n v="425"/>
        <n v="426"/>
        <n v="427"/>
        <n v="428"/>
        <n v="429"/>
        <n v="430"/>
        <n v="432"/>
        <n v="433"/>
        <n v="434"/>
        <m/>
        <n v="3"/>
        <n v="5"/>
        <n v="116"/>
        <n v="287"/>
        <n v="288"/>
        <n v="289"/>
        <n v="290"/>
        <n v="343"/>
        <n v="345"/>
        <n v="348"/>
        <n v="350"/>
      </sharedItems>
    </cacheField>
    <cacheField name="档口唯一标志" numFmtId="0">
      <sharedItems count="386">
        <s v="KQCY0004"/>
        <s v="KQCY0006"/>
        <s v="KQCY0007"/>
        <s v="KQCY0008"/>
        <s v="KQCY0009"/>
        <s v="KQCY0011"/>
        <s v="KQCY0012"/>
        <s v="KQCY0013"/>
        <s v="KQCY0014"/>
        <s v="KQCY0015"/>
        <s v="KQCY0016"/>
        <s v="KQCY0017"/>
        <s v="KQCY0018"/>
        <s v="KQCY0019"/>
        <s v="KQCY0020"/>
        <s v="KQCY0021"/>
        <s v="KQCY0022"/>
        <s v="KQCY0023"/>
        <s v="KQCY0024"/>
        <s v="KQCY0025"/>
        <s v="KQCY0026"/>
        <s v="KQCY0027"/>
        <s v="KQCY0028"/>
        <s v="KQCY0029"/>
        <s v="KQCY0030"/>
        <s v="KQCY0031"/>
        <s v="KQCY0032"/>
        <s v="KQCY0033"/>
        <s v="KQCY0043"/>
        <s v="KQCY0044"/>
        <s v="KQCY0045"/>
        <s v="KQCY0046"/>
        <s v="KQCY0047"/>
        <s v="KQCY0048"/>
        <s v="KQCY0050"/>
        <s v="KQCY0051"/>
        <s v="KQCY0052"/>
        <s v="KQCY0053"/>
        <s v="KQCY0054"/>
        <s v="KQCY0055"/>
        <s v="KQCY0057"/>
        <s v="KQCY0058"/>
        <s v="KQCY0060"/>
        <s v="KQCY0061"/>
        <s v="KQCY0062"/>
        <s v="KQCY0063"/>
        <s v="KQCY0064"/>
        <s v="KQCY0065"/>
        <s v="KQCY0066"/>
        <s v="KQCY0067"/>
        <s v="KQCY0068"/>
        <s v="KQCY0070"/>
        <s v="KQCY0071"/>
        <s v="KQCY0072"/>
        <s v="KQCY0073"/>
        <s v="KQCY0074"/>
        <s v="KQCY0075"/>
        <s v="KQCY0076"/>
        <s v="KQCY0077"/>
        <s v="KQCY0078"/>
        <s v="KQCY0079"/>
        <s v="KQCY0082"/>
        <s v="KQCY0083"/>
        <s v="KQCY0084"/>
        <s v="KQCY0086"/>
        <s v="KQCY0089"/>
        <s v="KQCY0090"/>
        <s v="KQCY0095"/>
        <s v="KQCY0096"/>
        <s v="KQCY0097"/>
        <s v="KQCY0098"/>
        <s v="KQCY0099"/>
        <s v="KQCY0100"/>
        <s v="KQCY0101"/>
        <s v="KQCY0102"/>
        <s v="KQCY0103"/>
        <s v="KQCY0104"/>
        <s v="KQCY0105"/>
        <s v="KQCY0106"/>
        <s v="KQCY0107"/>
        <s v="KQCY0108"/>
        <s v="KQCY0109"/>
        <s v="KQCY0110"/>
        <s v="KQCY0111"/>
        <s v="KQCY0112"/>
        <s v="KQCY0113"/>
        <s v="KQCY0114"/>
        <s v="KQCY0117"/>
        <s v="KQCY0118"/>
        <s v="KQCY0119"/>
        <s v="KQCY0120"/>
        <s v="KQCY0121"/>
        <s v="KQCY0122"/>
        <s v="KQCY0123"/>
        <s v="KQCY0124"/>
        <s v="KQCY0125"/>
        <s v="KQCY0126"/>
        <s v="KQCY0127"/>
        <s v="KQCY0128"/>
        <s v="KQCY0129"/>
        <s v="KQCY0130"/>
        <s v="KQCY0131"/>
        <s v="KQCY0132"/>
        <s v="KQCY0133"/>
        <s v="KQCY0134"/>
        <s v="KQCY0135"/>
        <s v="KQCY0136"/>
        <s v="KQCY0137"/>
        <s v="KQCY0138"/>
        <s v="KQCY0140"/>
        <s v="KQCY0141"/>
        <s v="KQCY0142"/>
        <s v="KQCY0143"/>
        <s v="KQCY0144"/>
        <s v="KQCY0145"/>
        <s v="KQCY0146"/>
        <s v="KQCY0147"/>
        <s v="KQCY0149"/>
        <s v="KQCY0151"/>
        <s v="KQCY0152"/>
        <s v="KQCY0153"/>
        <s v="KQCY0154"/>
        <s v="KQCY0155"/>
        <s v="KQCY0156"/>
        <s v="KQCY0157"/>
        <s v="KQCY0158"/>
        <s v="KQCY0159"/>
        <s v="KQCY0160"/>
        <s v="KQCY0161"/>
        <s v="KQCY0162"/>
        <s v="KQCY0163"/>
        <s v="KQCY0164"/>
        <s v="KQCY0165"/>
        <s v="KQCY0166"/>
        <s v="KQCY0167"/>
        <s v="KQCY0168"/>
        <s v="KQCY0169"/>
        <s v="KQCY0170"/>
        <s v="KQCY0171"/>
        <s v="KQCY0173"/>
        <s v="KQCY0174"/>
        <s v="KQCY0175"/>
        <s v="KQCY0176"/>
        <s v="KQCY0177"/>
        <s v="KQCY0178"/>
        <s v="KQCY0179"/>
        <s v="KQCY0180"/>
        <s v="KQCY0181"/>
        <s v="KQCY0182"/>
        <s v="KQCY0183"/>
        <s v="KQCY0184"/>
        <s v="KQCY0185"/>
        <s v="KQCY0186"/>
        <s v="KQCY0187"/>
        <s v="KQCY0188"/>
        <s v="KQCY0189"/>
        <s v="KQCY0190"/>
        <s v="KQCY0192"/>
        <s v="KQCY0193"/>
        <s v="KQCY0194"/>
        <s v="KQCY0195"/>
        <s v="KQCY0196"/>
        <s v="KQCY0197"/>
        <s v="KQCY0198"/>
        <s v="KQCY0199"/>
        <s v="KQCY0200"/>
        <s v="KQCY0201"/>
        <s v="KQCY0202"/>
        <s v="KQCY0203"/>
        <s v="KQCY0204"/>
        <s v="KQCY0205"/>
        <s v="KQCY0206"/>
        <s v="KQCY0207"/>
        <s v="KQCY0208"/>
        <s v="KQCY0209"/>
        <s v="KQCY0210"/>
        <s v="KQCY0211"/>
        <s v="KQCY0212"/>
        <s v="KQCY0213"/>
        <s v="KQCY0214"/>
        <s v="KQCY0215"/>
        <s v="KQCY0216"/>
        <s v="KQCY0217"/>
        <s v="KQCY0218"/>
        <s v="KQCY0219"/>
        <s v="KQCY0220"/>
        <s v="KQCY0221"/>
        <s v="KQCY0222"/>
        <s v="KQCY0223"/>
        <s v="KQCY0224"/>
        <s v="KQCY0226"/>
        <s v="KQCY0227"/>
        <s v="KQCY0228"/>
        <s v="KQCY0229"/>
        <s v="KQCY0230"/>
        <s v="KQCY0232"/>
        <s v="KQCY0234"/>
        <s v="KQCY0235"/>
        <s v="KQCY0236"/>
        <s v="KQCY0237"/>
        <s v="KQCY0238"/>
        <s v="KQCY0239"/>
        <s v="KQCY0240"/>
        <s v="KQCY0241"/>
        <s v="KQCY0242"/>
        <s v="KQCY0243"/>
        <s v="KQCY0244"/>
        <s v="KQCY0245"/>
        <s v="KQCY0246"/>
        <s v="KQCY0247"/>
        <s v="KQCY0248"/>
        <s v="KQCY0250"/>
        <s v="KQCY0251"/>
        <s v="KQCY0252"/>
        <s v="KQCY0253"/>
        <s v="KQCY0254"/>
        <s v="KQCY0255"/>
        <s v="KQCY0256"/>
        <s v="KQCY0257"/>
        <s v="KQCY0258"/>
        <s v="KQCY0259"/>
        <s v="KQCY0260"/>
        <s v="KQCY0261"/>
        <s v="KQCY0262"/>
        <s v="KQCY0263"/>
        <s v="KQCY0264"/>
        <s v="KQCY0265"/>
        <s v="KQCY0266"/>
        <s v="KQCY0267"/>
        <s v="KQCY0268"/>
        <s v="KQCY0270"/>
        <s v="KQCY0271"/>
        <s v="KQCY0272"/>
        <s v="KQCY0273"/>
        <s v="KQCY0274"/>
        <s v="KQCY0275"/>
        <s v="KQCY0276"/>
        <s v="KQCY0277"/>
        <s v="KQCY0278"/>
        <s v="KQCY0279"/>
        <s v="KQCY0280"/>
        <s v="KQCY0281"/>
        <s v="KQCY0282"/>
        <s v="KQCY0283"/>
        <s v="KQCY0284"/>
        <s v="KQCY0285"/>
        <s v="KQCY0286"/>
        <s v="KQCY0291"/>
        <s v="KQCY0292"/>
        <s v="KQCY0293"/>
        <s v="KQCY0294"/>
        <s v="KQCY0296"/>
        <s v="KQCY0297"/>
        <s v="KQCY0298"/>
        <s v="KQCY0299"/>
        <s v="KQCY0300"/>
        <s v="KQCY0301"/>
        <s v="KQCY0302"/>
        <s v="KQCY0303"/>
        <s v="KQCY0304"/>
        <s v="KQCY0305"/>
        <s v="KQCY0306"/>
        <s v="KQCY0307"/>
        <s v="KQCY0308"/>
        <s v="KQCY0309"/>
        <s v="KQCY0311"/>
        <s v="KQCY0312"/>
        <s v="KQCY0313"/>
        <s v="KQCY0314"/>
        <s v="KQCY0315"/>
        <s v="KQCY0316"/>
        <s v="KQCY0317"/>
        <s v="KQCY0318"/>
        <s v="KQCY0319"/>
        <s v="KQCY0320"/>
        <s v="KQCY0321"/>
        <s v="KQCY0322"/>
        <s v="KQCY0323"/>
        <s v="KQCY0324"/>
        <s v="KQCY0326"/>
        <s v="KQCY0327"/>
        <s v="KQCY0328"/>
        <s v="KQCY0329"/>
        <s v="KQCY0330"/>
        <s v="KQCY0331"/>
        <s v="KQCY0332"/>
        <s v="KQCY0333"/>
        <s v="KQCY0334"/>
        <s v="KQCY0336"/>
        <s v="KQCY0337"/>
        <s v="KQCY0338"/>
        <s v="KQCY0339"/>
        <s v="KQCY0340"/>
        <s v="KQCY0341"/>
        <s v="KQCY0342"/>
        <s v="KQCY0344"/>
        <s v="KQCY0346"/>
        <s v="KQCY0347"/>
        <s v="KQCY0349"/>
        <s v="KQCY0351"/>
        <s v="KQCY0352"/>
        <s v="KQCY0353"/>
        <s v="KQCY0355"/>
        <s v="KQCY0356"/>
        <s v="KQCY0357"/>
        <s v="KQCY0358"/>
        <s v="KQCY0359"/>
        <s v="KQCY0360"/>
        <s v="KQCY0361"/>
        <s v="KQCY0362"/>
        <s v="KQCY0363"/>
        <s v="KQCY0364"/>
        <s v="KQCY0365"/>
        <s v="KQCY0367"/>
        <s v="KQCY0368"/>
        <s v="KQCY0369"/>
        <s v="KQCY0370"/>
        <s v="KQCY0371"/>
        <s v="KQCY0372"/>
        <s v="KQCY0373"/>
        <s v="KQCY0374"/>
        <s v="KQCY0375"/>
        <s v="KQCY0377"/>
        <s v="KQCY0378"/>
        <s v="KQCY0379"/>
        <s v="KQCY0380"/>
        <s v="KQCY0381"/>
        <s v="KQCY0382"/>
        <s v="KQCY0383"/>
        <s v="KQCY0384"/>
        <s v="KQCY0385"/>
        <s v="KQCY0386"/>
        <s v="KQCY0387"/>
        <s v="KQCY0388"/>
        <s v="KQCY0389"/>
        <s v="KQCY0390"/>
        <s v="KQCY0391"/>
        <s v="KQCY0392"/>
        <s v="KQCY0393"/>
        <s v="KQCY0394"/>
        <s v="KQCY0395"/>
        <s v="KQCY0396"/>
        <s v="KQCY0398"/>
        <s v="KQCY0399"/>
        <s v="KQCY0400"/>
        <s v="KQCY0402"/>
        <s v="KQCY0403"/>
        <s v="KQCY0404"/>
        <s v="KQCY0405"/>
        <s v="KQCY0406"/>
        <s v="KQCY0407"/>
        <s v="KQCY0408"/>
        <s v="KQCY0409"/>
        <s v="KQCY0410"/>
        <s v="KQCY0411"/>
        <s v="KQCY0412"/>
        <s v="KQCY0413"/>
        <s v="KQCY0416"/>
        <s v="KQCY0418"/>
        <s v="KQCY0419"/>
        <s v="KQCY0420"/>
        <s v="KQCY0421"/>
        <s v="KQCY0422"/>
        <s v="KQCY0423"/>
        <s v="KQCY0424"/>
        <s v="KQCY0425"/>
        <s v="KQCY0426"/>
        <s v="KQCY0427"/>
        <s v="KQCY0428"/>
        <s v="KQCY0429"/>
        <s v="KQCY0430"/>
        <s v="KQCY0432"/>
        <s v="KQCY0433"/>
        <s v="KQCY0434"/>
        <s v="补充"/>
        <s v="KQCY0003"/>
        <s v="KQCY0005"/>
        <s v="KQCY0116"/>
        <s v="KQCY0287"/>
        <s v="KQCY0288"/>
        <s v="KQCY0289"/>
        <s v="KQCY0290"/>
        <s v="KQCY0343"/>
        <s v="KQCY0345"/>
        <s v="KQCY0348"/>
        <s v="KQCY0350"/>
      </sharedItems>
    </cacheField>
    <cacheField name="分部名称" numFmtId="0">
      <sharedItems count="5">
        <s v="餐饮一分部"/>
        <s v="餐饮二分部"/>
        <s v="餐饮三分部"/>
        <s v="餐饮五分部"/>
        <s v="餐饮六分部"/>
      </sharedItems>
    </cacheField>
    <cacheField name="项目代码" numFmtId="0">
      <sharedItems containsBlank="1" count="57">
        <s v="CF751"/>
        <s v="CF474"/>
        <s v="CF477"/>
        <s v="CF272"/>
        <s v="CF125"/>
        <s v="CF137"/>
        <s v="CF140"/>
        <s v="CF182"/>
        <s v="CF360"/>
        <s v="CF364"/>
        <s v="CF363"/>
        <s v="CF160"/>
        <s v="CF174"/>
        <s v="CF175"/>
        <s v="CF177"/>
        <s v="CF173"/>
        <s v="CF179"/>
        <s v="CF180"/>
        <s v="CF183"/>
        <s v="CF450"/>
        <s v="CF513"/>
        <s v="CF453"/>
        <s v="CF190"/>
        <s v="CF276"/>
        <s v="CF782"/>
        <s v="CF699"/>
        <s v="CF251"/>
        <s v="CF780"/>
        <s v="CF641"/>
        <s v="CF640"/>
        <s v="CF781"/>
        <s v="CF320"/>
        <s v="CF694"/>
        <s v="CF696"/>
        <s v="CF620"/>
        <s v="CF697"/>
        <s v="CF698"/>
        <s v="CF102"/>
        <s v="CF108"/>
        <s v="CF107"/>
        <s v="CF120"/>
        <s v="CF121"/>
        <s v="CF134"/>
        <s v="CF293"/>
        <s v="CF480"/>
        <s v="CF341"/>
        <s v="CF213"/>
        <s v="CF275"/>
        <s v="CF191"/>
        <s v="CF479"/>
        <s v="CF475"/>
        <s v="CF783"/>
        <s v="CF784"/>
        <s v="CF785"/>
        <m/>
        <s v="CF478"/>
        <s v="CF101"/>
      </sharedItems>
    </cacheField>
    <cacheField name="项目名称" numFmtId="0">
      <sharedItems count="54">
        <s v="国防科大（长沙）食堂"/>
        <s v="安工大七食堂"/>
        <s v="上海民航第一食堂"/>
        <s v="苏州工学院南一食堂"/>
        <s v="西浦大学宏愿食堂（南）"/>
        <s v="西浦大学宏愿食堂（北）"/>
        <s v="西浦大学太仓校区食堂"/>
        <s v="无锡工艺第二食堂"/>
        <s v="南通师专新校区食堂"/>
        <s v="江苏航运思本轩食堂"/>
        <s v="南通大学启东校区"/>
        <s v="高新区实验高中食堂(金山路校区)"/>
        <s v="高新区实验高中食堂(科技城校区)"/>
        <s v="高新区实验初中食堂(金山路校区)"/>
        <s v="高新区实验初中食堂(锦峰路校区)"/>
        <s v="高新区一中食堂（汾湖路校区）"/>
        <s v="高新区一中食堂（科技城校区）"/>
        <s v="高新区一初中食堂（珠江路校区）"/>
        <s v="中医科苏州新校区食堂"/>
        <s v="天津大学学二食堂"/>
        <s v="天津大学学三食堂"/>
        <s v="天津大学学四食堂"/>
        <s v="苏旅财食堂"/>
        <s v="苏州经贸二食堂"/>
        <s v="宿迁安园中央厨房"/>
        <s v="徐医大第一食堂"/>
        <s v="苏州职大二食堂"/>
        <s v="吉建大二食堂"/>
        <s v="中山大学北学二食堂"/>
        <s v="广东财大雅食园食堂"/>
        <s v="苏食院第一学生食堂"/>
        <s v="江苏财经梅园食堂"/>
        <s v="兰理工彭家坪北村食堂"/>
        <s v="甘肃省气象局"/>
        <s v="山西大学B6食堂三层"/>
        <s v="兰交大百苑二楼食堂"/>
        <s v="兰理工兰工坪校区一食堂"/>
        <s v="苏大东区四食堂"/>
        <s v="苏大北区六食堂"/>
        <s v="苏大东区教工食堂"/>
        <s v="苏大独墅湖一食堂"/>
        <s v="苏大独墅湖六食堂"/>
        <s v="苏大独墅湖二食堂"/>
        <s v="苏大独墅湖五食堂"/>
        <s v="江苏二师石湫校区食堂"/>
        <s v="江苏旅游学生食堂二楼"/>
        <s v="扬大荷花池校区二楼食堂"/>
        <s v="苏州大脑营行餐厅"/>
        <s v="南大苏州校区西区二食堂"/>
        <s v="苏州旭辉彩园餐厅"/>
        <s v="江苏省交通技师学院第一食堂"/>
        <s v="国科大南京学院食堂"/>
        <s v="苏州华杨电子餐厅"/>
        <s v="苏大本部方塔食堂"/>
      </sharedItems>
    </cacheField>
    <cacheField name="项目类型" numFmtId="0">
      <sharedItems count="4">
        <s v="人员服务外包"/>
        <s v="强责"/>
        <s v="分组作业"/>
        <s v="自营"/>
      </sharedItems>
    </cacheField>
    <cacheField name="核算会计" numFmtId="0">
      <sharedItems containsBlank="1" count="7">
        <s v="徐敏捷"/>
        <s v="卫屹"/>
        <s v="郑虎"/>
        <s v="徐敏娟"/>
        <s v="陈晨"/>
        <s v="张镁镁"/>
        <m/>
      </sharedItems>
    </cacheField>
    <cacheField name="分组作业名称" numFmtId="0">
      <sharedItems containsBlank="1" count="21">
        <s v="/"/>
        <s v="第一班组"/>
        <s v="第二班组"/>
        <s v="第三班组"/>
        <s v="第四班组"/>
        <s v="第六班组"/>
        <s v="第七班组"/>
        <s v="第八班组"/>
        <s v="第九班组"/>
        <s v="第十一班组"/>
        <s v="第五班组"/>
        <s v="第十班组"/>
        <s v="第十二班组"/>
        <s v="第十三班组"/>
        <s v="第十四班组"/>
        <s v="第十五班组"/>
        <s v="第十六班组"/>
        <s v="第十七班组"/>
        <s v="第十八班组"/>
        <m/>
        <s v="已撤场"/>
      </sharedItems>
    </cacheField>
    <cacheField name="分组作业窗口名称" numFmtId="0">
      <sharedItems count="298">
        <s v="/"/>
        <s v="手工馄饨（大陷水饺、刀削面/汆肉米线）"/>
        <s v="黄焖系列（酸菜肉煲系列、椒麻鸡系列、酸菜鱼系列）"/>
        <s v="猪脚饭系列（套饭系列、菜饭骨头汤系列）"/>
        <s v="拌饭系列（肉夹馍、紫菜包饭）"/>
        <s v="山东煎饼"/>
        <s v="蜜雪冰城"/>
        <s v="糖水粥铺"/>
        <s v="大碗面"/>
        <s v="早餐"/>
        <s v="饼铺"/>
        <s v="粥铺"/>
        <s v="老乡邨"/>
        <s v="科桥小厨"/>
        <s v="清汤米线"/>
        <s v="黑鸭堡"/>
        <s v="7分甜"/>
        <s v="药膳鸡"/>
        <s v="麻辣香锅"/>
        <s v="生煎牛肉汤"/>
        <s v="西式简餐"/>
        <s v="苏式面"/>
        <s v="王记炒饭"/>
        <s v="烤鸭"/>
        <s v="小街胡同牛杂面"/>
        <s v="汉堡炸鸡"/>
        <s v="旋转小火锅"/>
        <s v="麻辣烫"/>
        <s v="小炒"/>
        <s v="枣糕"/>
        <s v="面条"/>
        <s v="烤肉"/>
        <s v="粉丝汤"/>
        <s v="滑蛋饭"/>
        <s v="手工水饺"/>
        <s v="烤盘饭"/>
        <s v="大花米线"/>
        <s v="石锅饭"/>
        <s v="一鸣鲜奶吧"/>
        <s v="蛋包饭(肥牛米线、水饺、烤盘饭)"/>
        <s v="枣糕&amp;热饮(韩式拌饭)"/>
        <s v="快餐"/>
        <s v="烤鸭饭"/>
        <s v="营养粥、小笼包"/>
        <s v="武汉热干面、隆江猪脚饭"/>
        <s v="称重水饺、馄饨"/>
        <s v="掉渣饼、徐州米线、鸡汤饭"/>
        <s v="爆炒盖浇饭、套餐饭"/>
        <s v="休闲水吧、水果"/>
        <s v="（二楼特色小吃）汉堡、炸鸡、自主称重快餐、千里香馄饨、手擀面"/>
        <s v="琳榆炸鸡腿"/>
        <s v="中式早点"/>
        <s v="土耳其烤肉饭"/>
        <s v="营养粥小笼包"/>
        <s v="生烫牛肉米线"/>
        <s v="咖喱蛋包饭"/>
        <s v="麻辣烫麻辣拌"/>
        <s v="真老大手工云吞"/>
        <s v="朱家小馆羊杂面"/>
        <s v="奶茶"/>
        <s v="粉丝汤（牛肉、老母鸡、牛杂、拆骨）"/>
        <s v="拌饭（鸡腿饭、酸梅鸭饭）"/>
        <s v="锡纸饭"/>
        <s v="朱家小馆"/>
        <s v="基本大伙"/>
        <s v="自选称重"/>
        <s v="黄焖鸡酸菜鱼"/>
        <s v="卤肉饭套餐"/>
        <s v="营养粥杂粮煎饼"/>
        <s v="面条馄饨"/>
        <s v="米线汤包"/>
        <s v="香锅焖面"/>
        <s v="猪肚鸡瓦罐汤套餐"/>
        <s v="汉堡小锅现炒"/>
        <s v="铁板炒饭"/>
        <s v="馄饨（轻食）"/>
        <s v="面夫子"/>
        <s v="基本伙窗口"/>
        <s v="小卖部"/>
        <s v="黄焖鸡"/>
        <s v="南方面条"/>
        <s v="饸饹面"/>
        <s v="真有面"/>
        <s v="云南生烫米线"/>
        <s v="苏式汤面"/>
        <s v="铁板砂锅"/>
        <s v="石锅拌饭"/>
        <s v="杂粮煎饼"/>
        <s v="水饺"/>
        <s v="奶茶汉堡"/>
        <s v="卤烤套餐饭"/>
        <s v="阿满烤鸭"/>
        <s v="鸡公煲"/>
        <s v="羊杂面"/>
        <s v="汉堡"/>
        <s v="精品菜"/>
        <s v="教工餐厅"/>
        <s v="脆香鸡"/>
        <s v="鸡柳窜巷"/>
        <s v="螺蛳粉"/>
        <s v="营养粥"/>
        <s v="辣椒炒肉"/>
        <s v="板煮演义"/>
        <s v="老翟板面"/>
        <s v="精品套餐"/>
        <s v="家家乐烘焙"/>
        <s v="马老头江南小吃（炒饭）"/>
        <s v="鸡架拌面"/>
        <s v="自选称菜"/>
        <s v="肥牛火锅粉"/>
        <s v="千里香馄饨"/>
        <s v="农家小炒盖浇饭"/>
        <s v="烘焙"/>
        <s v="奶茶饮品"/>
        <s v="早点"/>
        <s v="盖浇饭"/>
        <s v="苏式热干面"/>
        <s v="馄饨炒饭"/>
        <s v="香扒饭"/>
        <s v="瓦香鸡"/>
        <s v="苏式红汤面"/>
        <s v="把子肉"/>
        <s v="0090汉堡"/>
        <s v="果檬鲜果"/>
        <s v="自选水饺"/>
        <s v="渔之谷渔粉"/>
        <s v="昆吉双拼饭"/>
        <s v="杭州小笼包"/>
        <s v="土豆粉"/>
        <s v="一纸鸡"/>
        <s v="现炒浇头面"/>
        <s v="炒饭专家"/>
        <s v="热干面"/>
        <s v="喜翻拌麻辣拌"/>
        <s v="檬大咖"/>
        <s v="蜀道吉水煮肉"/>
        <s v="拼好饭"/>
        <s v="海南鸡饭"/>
        <s v="小街牛杂面"/>
        <s v="炙烤五花肉"/>
        <s v="朴大叔拌饭"/>
        <s v="猪脚饭"/>
        <s v="原粉公煮"/>
        <s v="大块牛肉饭"/>
        <s v="嘻哈密语"/>
        <s v="炸鸡汉堡"/>
        <s v="九阳豆浆"/>
        <s v="特色餐厅"/>
        <s v="早点（大众餐、粉面）"/>
        <s v="喜多多扒饭"/>
        <s v="香锅（麻辣烫）"/>
        <s v="面条（螺蛳粉）"/>
        <s v="牛肉饭（烤肉拌饭）"/>
        <s v="早点(大众餐)"/>
        <s v="兰州拉面"/>
        <s v="米线"/>
        <s v="牛肉粉丝汤"/>
        <s v="汤包蒸饺"/>
        <s v="套餐饭"/>
        <s v="拉面"/>
        <s v="水吧"/>
        <s v="面包"/>
        <s v="蹦蹦鸡"/>
        <s v="0900汉堡"/>
        <s v="煎饼果子"/>
        <s v="喜翻拌"/>
        <s v="石锅菜"/>
        <s v="盖码面/饭"/>
        <s v="铁板烧"/>
        <s v="双拼饭"/>
        <s v="五谷渔粉"/>
        <s v="吉祥馄饨"/>
        <s v="煎饼"/>
        <s v="香锅"/>
        <s v="柚见鲜茶"/>
        <s v="酷堡王"/>
        <s v="水果"/>
        <s v="一鸣鲜奶"/>
        <s v="库迪咖啡"/>
        <s v="牛肉面"/>
        <s v="韩式煎饼"/>
        <s v="米粉"/>
        <s v="肉肉堡"/>
        <s v="肉酱面"/>
        <s v="脆皮鸡"/>
        <s v="小笼包（渔粉）"/>
        <s v="湘式小炒"/>
        <s v="小火锅"/>
        <s v="辣椒炒肉汉堡"/>
        <s v="方圆便利"/>
        <s v="私抹制茶"/>
        <s v="热卤饭"/>
        <s v="铁锅炖"/>
        <s v="绝世皇鸭"/>
        <s v="脆皮鸡米饭"/>
        <s v="宋曼烤串"/>
        <s v="早餐（包子、粥、馅饼、饺子）"/>
        <s v="快餐（盖浇饭、锅仔）"/>
        <s v="香肉拌饭"/>
        <s v="面夫子包子（煎饺）"/>
        <s v="面小福菜拌面"/>
        <s v="饶城湘辣椒炒肉"/>
        <s v="一纸鸡牛肉饭"/>
        <s v="波乐宝炸鸡汉堡"/>
        <s v="冒菜（小火锅）"/>
        <s v="牛肉面（炒面）"/>
        <s v="苏秦味馆"/>
        <s v="奉天朱家小馆"/>
        <s v="李左奚香港肥汁米线"/>
        <s v="好粥道(卤味套餐饭)"/>
        <s v="炒饭.炖罐"/>
        <s v="七里糖"/>
        <s v="港式云吞"/>
        <s v="烤肉拌饭"/>
        <s v="千里香"/>
        <s v="拌面"/>
        <s v="板煮"/>
        <s v="青海拉面"/>
        <s v="手工水饺(山东煎饼)"/>
        <s v="巴比馒头"/>
        <s v="北京烤鸭"/>
        <s v="山东炒鸡"/>
        <s v="拌饭(套餐饭)"/>
        <s v="刀削面"/>
        <s v="奶茶、炸鸡"/>
        <s v="水饺面条"/>
        <s v="湘西小炒"/>
        <s v="营养粥(肠粉)"/>
        <s v="麻辣烫(麻辣拌)"/>
        <s v="炸鸡(汉堡)"/>
        <s v="七分甜"/>
        <s v="土豆泥拌饭"/>
        <s v="全福记热卤拌饭(牛肉汤)"/>
        <s v="盖浇饭(套餐饭)"/>
        <s v="煎饼(鸡蛋灌饼)"/>
        <s v="柒公主焖饭"/>
        <s v="掉渣饼"/>
        <s v="擂椒拌饭(烤鸭饭)"/>
        <s v="老成都面(猪脚饭)"/>
        <s v="炸鸡"/>
        <s v="快餐自选"/>
        <s v="麻辣烫(麻辣拌、麻酱拌、小碗菜、盖浇饭、猪脚饭)"/>
        <s v="酸菜鱼(砂锅)"/>
        <s v="水饺(馄饨)"/>
        <s v="川湘菜"/>
        <s v="黄焖鸡(黑鸭煲、拌面拌粉)"/>
        <s v="湘菜"/>
        <s v="猪脚饭（酸菜鱼、米线、鸭血粉丝）"/>
        <s v="黄焖鸡、沙县小吃"/>
        <s v="自选"/>
        <s v="特色"/>
        <s v="民族风味"/>
        <s v="卤肉饭"/>
        <s v="淮南牛肉汤"/>
        <s v="面点"/>
        <s v="八大碗"/>
        <s v="牛肉汤"/>
        <s v="油泼鸡"/>
        <s v="麦多馅饼"/>
        <s v="炒饭炒面"/>
        <s v="鸭血粉丝"/>
        <s v="茶香鸡、麻辣烫、水吧"/>
        <s v="西北风味"/>
        <s v="七里塘"/>
        <s v="吊龙米线"/>
        <s v="临榆炸鸡腿"/>
        <s v="茶香鸡"/>
        <s v="酥肉小锅"/>
        <s v="大哈恰饭"/>
        <s v="庆雪美食"/>
        <s v="烧腊"/>
        <s v="小馄饨"/>
        <s v="自选称重餐"/>
        <s v="三楼风味"/>
        <s v="馄饨"/>
        <s v="幸运面"/>
        <s v="昆明小吃"/>
        <s v="蒸菜"/>
        <s v=" 一楼第四班组"/>
        <s v="虾仁捞饭"/>
        <s v="大大大碗面"/>
        <s v="兔哥热卤饭"/>
        <s v="炒鸡饭"/>
        <s v="叉烧饭"/>
        <s v="匠心卤"/>
        <s v="酸菜鱼"/>
        <s v="五谷鱼粉"/>
        <s v="脆皮鸭"/>
        <s v="深夜大食堂"/>
        <s v="炸串"/>
        <s v="马玉涛麻辣烫"/>
        <s v="民族餐厅"/>
        <s v="悦轻荷"/>
        <s v="板烧厨房"/>
        <s v="冒菜"/>
        <s v="烤盘菜"/>
        <s v="大盘鸡"/>
        <s v="小碗菜"/>
      </sharedItems>
    </cacheField>
    <cacheField name="签订人_x000a_（会议纪要）" numFmtId="0">
      <sharedItems containsBlank="1" count="382">
        <s v="/"/>
        <s v="潘海英"/>
        <s v="胡科才"/>
        <s v="杨克顺"/>
        <s v="魏祖华"/>
        <s v="姚群"/>
        <s v="任黎明"/>
        <s v="孙青青"/>
        <s v="景帅帅"/>
        <s v="芦磊"/>
        <s v="纪洪强"/>
        <s v="贺明"/>
        <s v="刘少军"/>
        <s v="吴浩"/>
        <s v="张郁磊"/>
        <s v="匡正娟"/>
        <s v="徐雪晗"/>
        <s v="李明发"/>
        <s v="许正芳"/>
        <s v="王梓骏"/>
        <s v="王鑫"/>
        <s v="黄雨"/>
        <s v="陆林峰"/>
        <s v="潘祥"/>
        <s v="何军军"/>
        <s v="王成龙"/>
        <s v="杜松松"/>
        <s v="葛文静"/>
        <s v="李鑫"/>
        <s v="赵广伟"/>
        <s v="赵玉才"/>
        <s v="付昌杰"/>
        <s v="钱卫军"/>
        <s v="葛颖"/>
        <s v="黎欢"/>
        <s v="林见锋"/>
        <s v="徐其国"/>
        <s v="朱德保"/>
        <s v="田振"/>
        <s v="张宜轩"/>
        <s v="武玉柳"/>
        <s v="赵裕旭"/>
        <s v="党玉真"/>
        <s v="常霞"/>
        <s v="王友强"/>
        <s v="何小杏"/>
        <s v="薛小勇"/>
        <s v="沈玲"/>
        <s v="刘海霞"/>
        <s v="余娇"/>
        <s v="虞冬梅"/>
        <s v="彭晴"/>
        <s v="薛桂中"/>
        <s v="王艳"/>
        <s v="满超"/>
        <s v="唐德生"/>
        <s v="潘捷"/>
        <s v="陈芳"/>
        <s v="蒋继承"/>
        <s v="张慧南"/>
        <s v="朱寿凤"/>
        <s v="王正明"/>
        <s v="金健华"/>
        <s v="邵国才"/>
        <s v="翟林璐"/>
        <s v="韩荣荣"/>
        <s v="王志河"/>
        <s v="李佳玉"/>
        <s v="刘魁"/>
        <s v="李保"/>
        <s v="孟祥东"/>
        <s v="张玉珠"/>
        <s v="蒋彩云"/>
        <s v="要志远"/>
        <s v="孟迪"/>
        <s v="董子帅"/>
        <s v="尹细老"/>
        <s v="由俊楠"/>
        <s v="闵晓均"/>
        <s v="付鹏亮"/>
        <s v="于红艳"/>
        <s v="李右华"/>
        <s v="汪于超"/>
        <s v="吕鹏飞"/>
        <s v="袁吉"/>
        <s v="康小伟"/>
        <s v="李嘉康"/>
        <s v="陈洋"/>
        <s v="赵连财"/>
        <s v="邵宁"/>
        <s v="查祈恩"/>
        <s v="黄化里"/>
        <s v="董浩"/>
        <s v="闫玉净"/>
        <s v="王晨"/>
        <s v="王梅"/>
        <s v="刘行行"/>
        <s v="周冰"/>
        <s v="王桐"/>
        <s v="郑亚兰"/>
        <s v="经蕊蕊"/>
        <s v="陈希广"/>
        <s v="张召兵"/>
        <s v="任现军"/>
        <s v="朱江平"/>
        <s v="曾莉"/>
        <s v="冀振杰"/>
        <s v="韦志得"/>
        <s v="李跃跃"/>
        <s v="王才早"/>
        <s v="崔小平"/>
        <s v="周雨"/>
        <s v="邵晓丽"/>
        <s v="严振宇"/>
        <s v="缪文"/>
        <s v="耿传垒"/>
        <s v="龙明涛"/>
        <s v="余国凤"/>
        <s v="王朝风"/>
        <s v="戴国强"/>
        <s v="朱燕"/>
        <s v="孙华玲"/>
        <s v="魏加健"/>
        <s v="张明明"/>
        <s v="王俊鹏"/>
        <s v="程周如"/>
        <s v="汪玉凤"/>
        <s v="杜故乡"/>
        <s v="李帮"/>
        <s v="戴杰"/>
        <s v="曹雪"/>
        <s v="李英"/>
        <s v="李荣"/>
        <s v="郑金娟"/>
        <s v="李红岷"/>
        <s v="马永波"/>
        <s v="郑丹丹"/>
        <s v="徐玉珍"/>
        <s v="尹士元"/>
        <s v="贡海涛"/>
        <s v="徐成龙"/>
        <s v="兰国强"/>
        <s v="于广东"/>
        <s v="曹晓东"/>
        <s v="刘旭东"/>
        <s v="陈国利"/>
        <s v="付冬玲"/>
        <s v="曲丽平"/>
        <s v="郭铁军"/>
        <s v="付炜"/>
        <s v="沈延斌"/>
        <s v="陈超"/>
        <s v="扬中理"/>
        <s v="田卓"/>
        <s v="王亮"/>
        <s v="陶志鹏"/>
        <s v="隗伟"/>
        <s v="李宝友"/>
        <s v="仲伟兴"/>
        <s v="王友峰"/>
        <s v="蒲久龙"/>
        <s v="郝晓敏"/>
        <s v="魏国义"/>
        <s v="张玉雷"/>
        <s v="张磊"/>
        <s v="黄国青"/>
        <s v="马金明"/>
        <s v="许慧强"/>
        <s v="吴荣花"/>
        <s v="张宗芳"/>
        <s v="嵇炜"/>
        <s v="白亚雪"/>
        <s v="李小东"/>
        <s v="王树松"/>
        <s v="汪雨凤"/>
        <s v="朱海涛"/>
        <s v="刘淑平"/>
        <s v="张文浩"/>
        <s v="朱小林"/>
        <s v="赵建芳"/>
        <s v="马成霞"/>
        <s v="辛保帆"/>
        <s v="姜红霞"/>
        <s v="黄信生"/>
        <s v="狄国军"/>
        <s v="相加生"/>
        <s v="王森"/>
        <s v="胡跃跃"/>
        <s v="赵青青"/>
        <s v="相丽"/>
        <s v="王凯"/>
        <s v="王春梅"/>
        <s v="籍明明"/>
        <s v="陈龙"/>
        <s v="吴斯忠"/>
        <s v="张凌子"/>
        <s v="李袁园"/>
        <s v="穆小芳"/>
        <s v="李俊兵"/>
        <s v="赵平花"/>
        <s v="尚伟云"/>
        <s v="任洪彦"/>
        <s v="杨小含"/>
        <s v="汤瑞珍"/>
        <s v="庞大江"/>
        <s v="陶红喜"/>
        <s v="李雪婷"/>
        <s v="高维秦"/>
        <s v="杨方红"/>
        <s v="陈发全"/>
        <s v="韩玉红"/>
        <s v="石磊"/>
        <s v="胡星丽"/>
        <s v="穆瑞霞"/>
        <s v="张志洁"/>
        <s v="韩美珍"/>
        <s v="胡小娟"/>
        <s v="郭建琴"/>
        <s v="白小霞"/>
        <s v="魏路虎"/>
        <s v="孟庆玲"/>
        <s v="姚春"/>
        <s v="王燕"/>
        <s v="裴晓文"/>
        <s v="闫焕平"/>
        <s v="李雄飞"/>
        <s v="安平"/>
        <s v="张文权"/>
        <s v="于金梅"/>
        <s v="陈发权"/>
        <s v="杨文宏"/>
        <s v="宋玉琴"/>
        <s v="尚伟伟"/>
        <s v="何启发"/>
        <s v="尚晓强"/>
        <s v="景波波"/>
        <s v="蔡晓娟"/>
        <s v="周小鹏"/>
        <s v="马娟娟"/>
        <s v="李超"/>
        <s v="胡朝阳"/>
        <s v="祁从忙"/>
        <s v="闫闪闪"/>
        <s v="杨伟明"/>
        <s v="朱德国"/>
        <s v="朱少谦"/>
        <s v="任浩龙"/>
        <s v="杨华建"/>
        <s v="李红利"/>
        <s v="刘立强"/>
        <s v="吕金春"/>
        <s v="许可"/>
        <s v="龚文涛"/>
        <s v="李秀德"/>
        <s v="吴梦醒"/>
        <s v="周文影"/>
        <s v="郁亚勇"/>
        <s v="韩应努四"/>
        <s v="李俊"/>
        <s v="孙建平"/>
        <s v="梁宇"/>
        <s v="胡振强"/>
        <s v="段姗姗"/>
        <s v="赵玉磊"/>
        <s v="韩少卫"/>
        <s v="马明华"/>
        <s v="刘兆安"/>
        <s v="李美蓉"/>
        <s v="王光芬"/>
        <s v="刘红东"/>
        <s v="张斌"/>
        <s v="申亮"/>
        <s v="汪芳"/>
        <s v="熊跳"/>
        <s v="端和伟"/>
        <s v="张文泉"/>
        <s v="刘宝峰"/>
        <s v="李中怀"/>
        <s v="张月红"/>
        <s v="郭保君"/>
        <s v="崔建美"/>
        <s v="顾卫君"/>
        <s v="熊朝秀"/>
        <s v="单良"/>
        <s v="王明辉"/>
        <s v="于士位"/>
        <s v="吴异"/>
        <s v="邱康兴"/>
        <s v="董伟"/>
        <s v="周凯"/>
        <s v="刘诚诚"/>
        <s v="曹清红"/>
        <s v="刘发治"/>
        <s v="李勇"/>
        <s v="黄永利"/>
        <s v="苏嫩仔"/>
        <s v="刘岩艳"/>
        <s v="朱传兴"/>
        <s v="李嵩"/>
        <s v="马素女"/>
        <s v="周文琳"/>
        <s v="余红莹"/>
        <s v="许铭鼎"/>
        <s v="吴海龙"/>
        <s v="仲海洋"/>
        <s v="张栗铭"/>
        <s v="钱年英"/>
        <s v="陈天燕"/>
        <s v="丁秀梅"/>
        <s v="范义龙"/>
        <s v="查启清"/>
        <s v="苏广前"/>
        <s v="李炳志"/>
        <s v="王金华"/>
        <s v="陈永龙"/>
        <s v="董超"/>
        <s v="于继文"/>
        <s v="于立鑫 "/>
        <s v="刘立志"/>
        <s v="武情"/>
        <s v="巫杨银"/>
        <s v="浦卫东"/>
        <s v="马山杏尼"/>
        <s v="沈汉平"/>
        <s v="宋寿荣"/>
        <s v="朱浩浩"/>
        <s v="吴发松"/>
        <s v="姚杨"/>
        <s v="俞磊"/>
        <s v="王兆飞"/>
        <s v="周功源"/>
        <s v="陈海"/>
        <s v="李龙"/>
        <s v="冀爱菊"/>
        <s v="张义丛"/>
        <s v="彭家谋"/>
        <s v="郭四喜"/>
        <s v="黄海龙"/>
        <s v="林金新"/>
        <s v="夏燕红"/>
        <s v="卢翠连"/>
        <s v="陈强"/>
        <s v="陈定奎"/>
        <s v="岳磊"/>
        <s v="吴康"/>
        <s v="郭宝义"/>
        <s v="侯国安"/>
        <s v="马鲍林"/>
        <s v="郭璐"/>
        <s v="杨萍"/>
        <s v="孙云伟"/>
        <s v="李玉娇"/>
        <s v="周玉娟"/>
        <s v="夏发军"/>
        <s v="王国莹"/>
        <s v="何星星"/>
        <s v="褚子豪"/>
        <s v="梁沈阳"/>
        <s v="甘春野"/>
        <s v="李小龙"/>
        <s v="海贵云"/>
        <s v="葛莹"/>
        <s v="赵良保"/>
        <s v="陈军"/>
        <s v="徐亮"/>
        <s v="吕亚臣"/>
        <m/>
        <s v="陆水花"/>
        <s v="陆爱军"/>
        <s v="孙仲弘"/>
        <s v="周俊帅"/>
        <s v="左伟"/>
        <s v="王于于"/>
        <s v="徐红月"/>
        <s v="夏金涛"/>
        <s v="武良军"/>
        <s v="李俊彦"/>
        <s v="张宪"/>
        <s v="陈祥"/>
        <s v="蒋德生"/>
        <s v="杨登钟"/>
        <s v="徐小林"/>
      </sharedItems>
    </cacheField>
    <cacheField name="7月营业额" numFmtId="43">
      <sharedItems containsSemiMixedTypes="0" containsString="0" containsNumber="1" minValue="0" maxValue="931968.82" count="283">
        <n v="931968.82"/>
        <n v="0"/>
        <n v="18484"/>
        <n v="16680"/>
        <n v="1494.35"/>
        <n v="7813.14"/>
        <n v="5025.07"/>
        <n v="4183.2"/>
        <n v="5554.53"/>
        <n v="5224"/>
        <n v="9587"/>
        <n v="50812"/>
        <n v="1158.5"/>
        <n v="948"/>
        <n v="6921.5"/>
        <n v="13696"/>
        <n v="19697.2"/>
        <n v="6369.5"/>
        <n v="5564"/>
        <n v="9621.5"/>
        <n v="16028"/>
        <n v="16314"/>
        <n v="19011"/>
        <n v="118603.2"/>
        <n v="11203.85"/>
        <n v="575"/>
        <n v="1025"/>
        <n v="775"/>
        <n v="1625"/>
        <n v="2725"/>
        <n v="1650"/>
        <n v="85933.51"/>
        <n v="17141.31"/>
        <n v="27965.19"/>
        <n v="11802.63"/>
        <n v="32663.24"/>
        <n v="32218.69"/>
        <n v="35776.2"/>
        <n v="21998"/>
        <n v="30377.8"/>
        <n v="8071"/>
        <n v="11528"/>
        <n v="4211.5"/>
        <n v="35473"/>
        <n v="20368.3"/>
        <n v="5588"/>
        <n v="34896.7"/>
        <n v="43857.75"/>
        <n v="25673"/>
        <n v="70038.26"/>
        <n v="16579.06"/>
        <n v="117070.19"/>
        <n v="105281.88"/>
        <n v="160616"/>
        <n v="137629.72"/>
        <n v="19262.5"/>
        <n v="30542.5"/>
        <n v="52973.48"/>
        <n v="36222.27"/>
        <n v="87267"/>
        <n v="22663.6"/>
        <n v="27334.88"/>
        <n v="55752.5"/>
        <n v="23643.3"/>
        <n v="14113.53"/>
        <n v="45516.47"/>
        <n v="55472.47"/>
        <n v="16661.95"/>
        <n v="85251.5"/>
        <n v="11143"/>
        <n v="7614.6"/>
        <n v="30483"/>
        <n v="16760.3"/>
        <n v="8968.87"/>
        <n v="7803.45"/>
        <n v="35713.25"/>
        <n v="8945.96"/>
        <n v="21486.55"/>
        <n v="19656.1"/>
        <n v="23508.1"/>
        <n v="16948.45"/>
        <n v="10480.5"/>
        <n v="6972"/>
        <n v="4668.1"/>
        <n v="22210.3"/>
        <n v="21720.2"/>
        <n v="20427.06"/>
        <n v="17288.8"/>
        <n v="13991.8"/>
        <n v="32260.36"/>
        <n v="5841.7"/>
        <n v="26647.1"/>
        <n v="28267.93"/>
        <n v="37313"/>
        <n v="2810.4"/>
        <n v="5654"/>
        <n v="3884.5"/>
        <n v="4568"/>
        <n v="502"/>
        <n v="3401"/>
        <n v="632.1"/>
        <n v="8570.5"/>
        <n v="5033"/>
        <n v="2295"/>
        <n v="49999.78"/>
        <n v="112548.3"/>
        <n v="22514.06"/>
        <n v="6873.9"/>
        <n v="13223.5"/>
        <n v="17503.5"/>
        <n v="33241.48"/>
        <n v="26945"/>
        <n v="12773.6"/>
        <n v="14675.73"/>
        <n v="28806.3"/>
        <n v="30984.25"/>
        <n v="18672.4"/>
        <n v="27141"/>
        <n v="50605.4"/>
        <n v="18697.2"/>
        <n v="9680.13"/>
        <n v="8972.35"/>
        <n v="20655.5"/>
        <n v="87442.5"/>
        <n v="18531.1"/>
        <n v="29947.4"/>
        <n v="33901.55"/>
        <n v="21913.55"/>
        <n v="33604.2"/>
        <n v="20202.5"/>
        <n v="23927.54"/>
        <n v="8069"/>
        <n v="8371.5"/>
        <n v="35049.7"/>
        <n v="104009.76"/>
        <n v="17121.9"/>
        <n v="21752.7"/>
        <n v="20003.2"/>
        <n v="33369.29"/>
        <n v="242.57"/>
        <n v="7938.23"/>
        <n v="39573.86"/>
        <n v="15159.86"/>
        <n v="6675.95"/>
        <n v="6211.98"/>
        <n v="499.9"/>
        <n v="1506.63"/>
        <n v="5470.53"/>
        <n v="10537.13"/>
        <n v="9804.92"/>
        <n v="19432.62"/>
        <n v="6369.8"/>
        <n v="2863"/>
        <n v="3825"/>
        <n v="30068.3"/>
        <n v="13012.98"/>
        <n v="1043"/>
        <n v="219.4"/>
        <n v="57"/>
        <n v="23084.5"/>
        <n v="10401.3"/>
        <n v="7958.5"/>
        <n v="12473.31"/>
        <n v="12418.96"/>
        <n v="20245.4"/>
        <n v="21033.2"/>
        <n v="3471.38"/>
        <n v="9119.7"/>
        <n v="7811"/>
        <n v="23637.73"/>
        <n v="2614.93"/>
        <n v="21879.05"/>
        <n v="36097.57"/>
        <n v="31470.84"/>
        <n v="37467.59"/>
        <n v="35916.56"/>
        <n v="5233.85"/>
        <n v="36000.08"/>
        <n v="16197.51"/>
        <n v="21926.64"/>
        <n v="15632.86"/>
        <n v="41466.63"/>
        <n v="72900"/>
        <n v="21008.29"/>
        <n v="18681.4"/>
        <n v="20172.82"/>
        <n v="13982.93"/>
        <n v="19046"/>
        <n v="37476.56"/>
        <n v="7184"/>
        <n v="26160.5"/>
        <n v="13845"/>
        <n v="32032.02"/>
        <n v="59830.89"/>
        <n v="43214.5"/>
        <n v="53618"/>
        <n v="9756"/>
        <n v="37796"/>
        <n v="28197.63"/>
        <n v="31346.66"/>
        <n v="63394.39"/>
        <n v="106772.39"/>
        <n v="38452.95"/>
        <n v="52010.13"/>
        <n v="19440.62"/>
        <n v="1535.69"/>
        <n v="67289.78"/>
        <n v="20583.84"/>
        <n v="21214.99"/>
        <n v="40924.46"/>
        <n v="10173.62"/>
        <n v="27521.5"/>
        <n v="15634"/>
        <n v="50851.9"/>
        <n v="17876.79"/>
        <n v="89198.5"/>
        <n v="17088"/>
        <n v="33526.72"/>
        <n v="28321"/>
        <n v="103037.97"/>
        <n v="13739.44"/>
        <n v="21372"/>
        <n v="48337.1"/>
        <n v="19042.5"/>
        <n v="10111.5"/>
        <n v="14743.1"/>
        <n v="82022.4"/>
        <n v="91753.99"/>
        <n v="38664.93"/>
        <n v="51074"/>
        <n v="53255"/>
        <n v="42580"/>
        <n v="42002"/>
        <n v="63607.13"/>
        <n v="25250.1"/>
        <n v="23452.1"/>
        <n v="21398.97"/>
        <n v="5673"/>
        <n v="23095.7"/>
        <n v="17661.6"/>
        <n v="7299"/>
        <n v="24351"/>
        <n v="16251.35"/>
        <n v="58018.91"/>
        <n v="12721.07"/>
        <n v="8861.97"/>
        <n v="8545.39"/>
        <n v="3827.14"/>
        <n v="1931.9"/>
        <n v="1227.04"/>
        <n v="12376.54"/>
        <n v="3376.29"/>
        <n v="330.8"/>
        <n v="81581"/>
        <n v="24508"/>
        <n v="67455"/>
        <n v="189158.28"/>
        <n v="104495.31"/>
        <n v="22980.2"/>
        <n v="20900.13"/>
        <n v="35814.22"/>
        <n v="23866.99"/>
        <n v="7376.75"/>
        <n v="18387.83"/>
        <n v="39609.7"/>
        <n v="32371.04"/>
        <n v="40186.7"/>
        <n v="41737.11"/>
        <n v="185247.66"/>
        <n v="19143.02"/>
        <n v="9411"/>
        <n v="2409.99"/>
        <n v="15719.5"/>
        <n v="7944.73"/>
        <n v="19427.8"/>
        <n v="243298.06"/>
        <n v="109268.23"/>
        <n v="21537.7"/>
        <n v="34541.05"/>
        <n v="609488.92"/>
        <n v="368542.75"/>
        <n v="413622.55"/>
        <n v="457987.83"/>
      </sharedItems>
    </cacheField>
    <cacheField name="目标值" numFmtId="0">
      <sharedItems containsString="0" containsBlank="1" containsNumber="1" containsInteger="1" minValue="0" maxValue="130000" count="8">
        <m/>
        <n v="130000"/>
        <n v="80000"/>
        <n v="90000"/>
        <n v="70000"/>
        <n v="60000"/>
        <n v="110000"/>
        <n v="25000"/>
      </sharedItems>
    </cacheField>
    <cacheField name="备注" numFmtId="0">
      <sharedItems containsBlank="1" count="11">
        <m/>
        <s v="营业额数据不在我们卡机数据中"/>
        <s v="已撤场，已支付"/>
        <s v="撤场，已结算"/>
        <s v="撤场，未结算"/>
        <s v="未签会议纪要"/>
        <s v="已撤场，1-2月绩效未结算"/>
        <s v="2026年4月新加"/>
        <s v="已撤场，2025.11月-2026.1月绩效未结算"/>
        <s v="新增"/>
        <s v="强责责任人"/>
      </sharedItems>
    </cacheField>
    <cacheField name="人员工资" numFmtId="0">
      <sharedItems containsString="0" containsBlank="1" containsNumber="1" minValue="0" maxValue="221257.16" count="64">
        <m/>
        <n v="20389.69"/>
        <n v="43140.84"/>
        <n v="1698.59"/>
        <n v="0"/>
        <n v="2956.4"/>
        <n v="28"/>
        <n v="3397.18"/>
        <n v="30267.08"/>
        <n v="13454.15"/>
        <n v="29285.63"/>
        <n v="23548.67"/>
        <n v="228"/>
        <n v="1741.59"/>
        <n v="56"/>
        <n v="1726.59"/>
        <n v="1769.59"/>
        <n v="43"/>
        <n v="2216.63"/>
        <n v="2690.27"/>
        <n v="196"/>
        <n v="1840.53"/>
        <n v="2346.53"/>
        <n v="2318.53"/>
        <n v="1883.53"/>
        <n v="2290.53"/>
        <n v="3625.06"/>
        <n v="4075.06"/>
        <n v="111820.33"/>
        <n v="1246.63"/>
        <n v="3520.89"/>
        <n v="2448.26"/>
        <n v="2347.26"/>
        <n v="34997.28"/>
        <n v="4987.6"/>
        <n v="109975.79"/>
        <n v="49559.22"/>
        <n v="2007.86"/>
        <n v="23696.72"/>
        <n v="126169.66"/>
        <n v="42358.02"/>
        <n v="71039"/>
        <n v="115662"/>
        <n v="46748.49"/>
        <n v="51769.07"/>
        <n v="219777.56"/>
        <n v="221257.16"/>
        <n v="192792.35"/>
        <n v="72868.5"/>
        <n v="10481.08"/>
        <n v="9616.08"/>
        <n v="39905.78"/>
        <n v="20899.63"/>
        <n v="19684.63"/>
        <n v="3302.63"/>
        <n v="3216.63"/>
        <n v="3244.63"/>
        <n v="1723.63"/>
        <n v="5401.63"/>
        <n v="7201.63"/>
        <n v="2099"/>
        <n v="10247.26"/>
        <n v="312"/>
        <n v="84"/>
      </sharedItems>
    </cacheField>
    <cacheField name="营业额指标_x000a_【部分金额折算成一年】" numFmtId="43">
      <sharedItems containsString="0" containsBlank="1" containsNumber="1" minValue="0" maxValue="8931000" count="184">
        <n v="8931000"/>
        <n v="700000"/>
        <n v="500000"/>
        <n v="570000"/>
        <n v="899800"/>
        <n v="449900"/>
        <n v="486500"/>
        <n v="628600"/>
        <n v="0"/>
        <n v="460000"/>
        <n v="384000"/>
        <n v="930000"/>
        <n v="1280000"/>
        <n v="264000"/>
        <n v="290000"/>
        <n v="222000"/>
        <n v="234000"/>
        <n v="514000"/>
        <n v="316000"/>
        <n v="310000"/>
        <n v="530000"/>
        <n v="526000"/>
        <n v="360000"/>
        <n v="366000"/>
        <n v="284000"/>
        <n v="850000"/>
        <n v="1500000"/>
        <n v="340000"/>
        <n v="365000"/>
        <n v="370000"/>
        <n v="440000"/>
        <n v="345000"/>
        <n v="475000"/>
        <n v="875000"/>
        <n v="485000"/>
        <n v="600000"/>
        <n v="615000"/>
        <n v="450000"/>
        <n v="145000"/>
        <n v="6000000"/>
        <m/>
        <n v="800000"/>
        <n v="880000"/>
        <n v="960000"/>
        <n v="480000"/>
        <n v="590000"/>
        <n v="400000"/>
        <n v="240000"/>
        <n v="1440000"/>
        <n v="560000"/>
        <n v="2400000"/>
        <n v="1400000"/>
        <n v="2000000"/>
        <n v="1080000"/>
        <n v="920000"/>
        <n v="720000"/>
        <n v="1520000"/>
        <n v="2462000"/>
        <n v="2465000"/>
        <n v="2650000"/>
        <n v="1574000"/>
        <n v="3130000"/>
        <n v="2588000"/>
        <n v="1249000"/>
        <n v="380000"/>
        <n v="220000"/>
        <n v="300000"/>
        <n v="566000"/>
        <n v="710000"/>
        <n v="280000"/>
        <n v="420000"/>
        <n v="210000"/>
        <n v="490000"/>
        <n v="522000"/>
        <n v="564000"/>
        <n v="924000"/>
        <n v="588000"/>
        <n v="660000"/>
        <n v="672000"/>
        <n v="1056000"/>
        <n v="1548000"/>
        <n v="2004000"/>
        <n v="348000"/>
        <n v="1032000"/>
        <n v="1128000"/>
        <n v="912000"/>
        <n v="2352000"/>
        <n v="2280000"/>
        <n v="816000"/>
        <n v="700800"/>
        <n v="792000"/>
        <n v="840000"/>
        <n v="1020000"/>
        <n v="736800"/>
        <n v="948000"/>
        <n v="1464000"/>
        <n v="465600"/>
        <n v="686400"/>
        <n v="2244000"/>
        <n v="684000"/>
        <n v="1015200"/>
        <n v="1363200"/>
        <n v="847200"/>
        <n v="936000"/>
        <n v="456000"/>
        <n v="676800"/>
        <n v="468000"/>
        <n v="460800"/>
        <n v="640000"/>
        <n v="1200000"/>
        <n v="250000"/>
        <n v="1240000"/>
        <n v="540000"/>
        <n v="320000"/>
        <n v="732000"/>
        <n v="316800"/>
        <n v="667200"/>
        <n v="1519200"/>
        <n v="868800"/>
        <n v="780000"/>
        <n v="333600"/>
        <n v="254400"/>
        <n v="892800"/>
        <n v="340800"/>
        <n v="592800"/>
        <n v="328800"/>
        <n v="285600"/>
        <n v="626400"/>
        <n v="343200"/>
        <n v="408000"/>
        <n v="595200"/>
        <n v="984000"/>
        <n v="319200"/>
        <n v="908000"/>
        <n v="1488000"/>
        <n v="510000"/>
        <n v="759428.571428571"/>
        <n v="807428.571428571"/>
        <n v="1014857.14285714"/>
        <n v="750857.142857143"/>
        <n v="992571.428571428"/>
        <n v="396000"/>
        <n v="466285.714285714"/>
        <n v="690857.142857143"/>
        <n v="459428.571428571"/>
        <n v="1140000"/>
        <n v="1106000"/>
        <n v="680000"/>
        <n v="620000"/>
        <n v="230000"/>
        <n v="520000"/>
        <n v="2760000"/>
        <n v="580000"/>
        <n v="1940000"/>
        <n v="200000"/>
        <n v="612000"/>
        <n v="3830000"/>
        <n v="730000"/>
        <n v="1250000"/>
        <n v="890000"/>
        <n v="1720000"/>
        <n v="820000"/>
        <n v="670000"/>
        <n v="770000"/>
        <n v="1480000"/>
        <n v="1100000"/>
        <n v="375000"/>
        <n v="395000"/>
        <n v="968000"/>
        <n v="810000"/>
        <n v="745000"/>
        <n v="1668000"/>
        <n v="662400"/>
        <n v="367200"/>
        <n v="2232000"/>
        <n v="655200"/>
        <n v="621000"/>
        <n v="610000"/>
        <n v="160000"/>
        <n v="80000"/>
        <n v="2084000"/>
        <n v="296000"/>
        <n v="260000"/>
        <n v="330000"/>
      </sharedItems>
    </cacheField>
    <cacheField name="服务费" numFmtId="0">
      <sharedItems containsBlank="1" containsNumber="1" containsMixedTypes="1" count="48">
        <n v="0"/>
        <n v="0.07"/>
        <n v="0.1"/>
        <n v="0.08"/>
        <n v="0.06"/>
        <s v="房租4万元/学期，3月一次性付款"/>
        <n v="0.12"/>
        <n v="0.14"/>
        <n v="0.03"/>
        <n v="0.035"/>
        <n v="0.26"/>
        <n v="0.28"/>
        <n v="0.27"/>
        <n v="0.13"/>
        <n v="0.2"/>
        <n v="0.18"/>
        <n v="0.05"/>
        <n v="0.19"/>
        <n v="0.21"/>
        <n v="0.23"/>
        <n v="0.22"/>
        <n v="0.17"/>
        <n v="0.15"/>
        <n v="0.02"/>
        <n v="0.09"/>
        <n v="0.025"/>
        <n v="0.16"/>
        <n v="0.165"/>
        <n v="0.135"/>
        <n v="0.155"/>
        <n v="0.185"/>
        <n v="0.175"/>
        <n v="0.145"/>
        <s v="17%&amp;16%"/>
        <s v="20%-23％_x000a_20万元以下收23%_x000a_20-23万元收22%_x000a_23-25万元收21%_x000a_25万元以上收20%"/>
        <n v="0.24"/>
        <s v="房租8000元/月，半年4.0万元，2月、8月不收取"/>
        <s v="房租9000元/月，半年4.5万元，2月、8月不收取"/>
        <n v="0.29"/>
        <m/>
        <n v="0.125"/>
        <n v="0.11"/>
        <n v="120000"/>
        <n v="200000"/>
        <n v="0.25"/>
        <n v="0.085"/>
        <s v="22-23.5%_x000a_（18万元 23.5%_x000a_20万元 23%_x000a_22万元 22.5%_x000a_24万元及以上22%）"/>
        <n v="0.275"/>
      </sharedItems>
    </cacheField>
    <cacheField name="服务费金额" numFmtId="0">
      <sharedItems containsString="0" containsBlank="1" containsNumber="1" minValue="0" maxValue="35940.0732" count="255">
        <n v="0"/>
        <n v="1293.88"/>
        <n v="1167.6"/>
        <n v="149.435"/>
        <n v="502.507"/>
        <n v="418.32"/>
        <n v="444.3624"/>
        <n v="417.92"/>
        <n v="766.96"/>
        <n v="3048.72"/>
        <n v="92.68"/>
        <n v="75.84"/>
        <n v="1575.776"/>
        <n v="509.56"/>
        <n v="445.12"/>
        <n v="769.72"/>
        <n v="1282.24"/>
        <n v="1305.12"/>
        <n v="1520.88"/>
        <n v="14232.384"/>
        <n v="1344.462"/>
        <n v="80.5"/>
        <n v="143.5"/>
        <n v="108.5"/>
        <n v="227.5"/>
        <n v="381.5"/>
        <n v="2578.0053"/>
        <n v="2056.9572"/>
        <n v="3355.8228"/>
        <n v="1416.3156"/>
        <n v="3919.5888"/>
        <n v="3866.2428"/>
        <n v="6439.716"/>
        <n v="4179.62"/>
        <n v="6379.338"/>
        <n v="1614.2"/>
        <n v="2305.6"/>
        <n v="968.645"/>
        <n v="8158.79"/>
        <n v="4684.709"/>
        <n v="1285.24"/>
        <n v="7328.307"/>
        <n v="9648.705"/>
        <n v="5904.79"/>
        <n v="23397.0524"/>
        <n v="2889.375"/>
        <n v="5497.65"/>
        <n v="5297.348"/>
        <n v="724.4454"/>
        <n v="15708.06"/>
        <n v="4079.448"/>
        <n v="4920.2784"/>
        <n v="10035.45"/>
        <n v="4255.794"/>
        <n v="2540.4354"/>
        <n v="2983.8025"/>
        <n v="278.575"/>
        <n v="190.365"/>
        <n v="762.075"/>
        <n v="224.22175"/>
        <n v="1610.2728"/>
        <n v="4082.4445"/>
        <n v="3734.659"/>
        <n v="4466.539"/>
        <n v="3220.2055"/>
        <n v="1676.88"/>
        <n v="1324.68"/>
        <n v="746.896"/>
        <n v="4219.957"/>
        <n v="3475.232"/>
        <n v="3881.1414"/>
        <n v="3284.872"/>
        <n v="2378.606"/>
        <n v="4839.054"/>
        <n v="1109.923"/>
        <n v="5062.949"/>
        <n v="5088.2274"/>
        <n v="7089.47"/>
        <n v="140.52"/>
        <n v="932.91"/>
        <n v="524.4075"/>
        <n v="708.04"/>
        <n v="77.81"/>
        <n v="595.175"/>
        <n v="120.099"/>
        <n v="1242.7225"/>
        <n v="729.785"/>
        <n v="378.675"/>
        <n v="7499.967"/>
        <n v="19133.211"/>
        <n v="3827.3902"/>
        <n v="687.39"/>
        <n v="1322.35"/>
        <n v="1750.35"/>
        <n v="3324.148"/>
        <n v="2694.5"/>
        <n v="1277.36"/>
        <n v="1467.573"/>
        <n v="2880.63"/>
        <n v="3098.425"/>
        <n v="1867.24"/>
        <n v="2714.1"/>
        <n v="5060.54"/>
        <n v="1869.72"/>
        <n v="968.013"/>
        <n v="897.235"/>
        <n v="2065.55"/>
        <n v="8744.25"/>
        <n v="1853.11"/>
        <n v="2994.74"/>
        <n v="3390.155"/>
        <n v="2191.355"/>
        <n v="3360.42"/>
        <n v="2020.25"/>
        <n v="2392.754"/>
        <n v="806.9"/>
        <n v="837.15"/>
        <n v="2102.982"/>
        <n v="3120.2928"/>
        <n v="513.657"/>
        <n v="652.581"/>
        <n v="600.096"/>
        <n v="1001.0787"/>
        <n v="67.9196"/>
        <n v="2143.3221"/>
        <n v="9101.9878"/>
        <n v="4244.7608"/>
        <n v="1869.266"/>
        <n v="1739.3544"/>
        <n v="109.978"/>
        <n v="346.5249"/>
        <n v="1531.7484"/>
        <n v="8000"/>
        <n v="9000"/>
        <n v="5635.4598"/>
        <n v="1847.242"/>
        <n v="1109.25"/>
        <n v="6615.026"/>
        <n v="3643.6344"/>
        <n v="302.47"/>
        <n v="63.626"/>
        <n v="16.53"/>
        <n v="6694.505"/>
        <n v="3016.377"/>
        <n v="2307.965"/>
        <n v="3617.2599"/>
        <n v="4049.08"/>
        <n v="2187.08"/>
        <n v="4254.7914"/>
        <n v="313.7916"/>
        <n v="4375.81"/>
        <n v="6858.5383"/>
        <n v="6608.8764"/>
        <n v="7493.518"/>
        <n v="6824.1464"/>
        <n v="1046.77"/>
        <n v="6840.0152"/>
        <n v="3239.502"/>
        <n v="3946.7952"/>
        <n v="1875.9432"/>
        <n v="7463.9934"/>
        <n v="2626.03625"/>
        <n v="4296.722"/>
        <n v="1008.641"/>
        <n v="1398.293"/>
        <n v="2095.06"/>
        <n v="4871.9528"/>
        <n v="1005.76"/>
        <n v="3400.865"/>
        <n v="1799.85"/>
        <n v="3843.8424"/>
        <n v="8974.6335"/>
        <n v="4753.595"/>
        <n v="3217.08"/>
        <n v="1463.4"/>
        <n v="5669.4"/>
        <n v="3665.6919"/>
        <n v="2194.2662"/>
        <n v="10777.0463"/>
        <n v="18151.3063"/>
        <n v="7690.59"/>
        <n v="10402.026"/>
        <n v="3888.124"/>
        <n v="261.0673"/>
        <n v="12785.0582"/>
        <n v="12000"/>
        <n v="4242.998"/>
        <n v="4092.446"/>
        <n v="1831.2516"/>
        <n v="20000"/>
        <n v="2188.76"/>
        <n v="7627.785"/>
        <n v="2681.5185"/>
        <n v="13379.775"/>
        <n v="2563.2"/>
        <n v="4023.2064"/>
        <n v="2548.89"/>
        <n v="11334.1767"/>
        <n v="1923.5216"/>
        <n v="2992.08"/>
        <n v="7733.936"/>
        <n v="3046.8"/>
        <n v="1213.38"/>
        <n v="1621.741"/>
        <n v="16515.7182"/>
        <n v="7346.3367"/>
        <n v="5107.4"/>
        <n v="13313.75"/>
        <n v="10645"/>
        <n v="10500.5"/>
        <n v="7632.8556"/>
        <n v="3787.515"/>
        <n v="4221.378"/>
        <n v="3851.8146"/>
        <n v="1021.14"/>
        <n v="4157.226"/>
        <n v="3179.088"/>
        <n v="1313.82"/>
        <n v="4383.18"/>
        <n v="2925.243"/>
        <n v="5801.891"/>
        <n v="2789.87944444444"/>
        <n v="2690.21537037037"/>
        <n v="1204.84037037037"/>
        <n v="608.190740740741"/>
        <n v="386.29037037037"/>
        <n v="3896.31814814815"/>
        <n v="1062.90611111111"/>
        <n v="104.140740740741"/>
        <n v="9789.72"/>
        <n v="2940.96"/>
        <n v="8094.6"/>
        <n v="35940.0732"/>
        <n v="19854.1089"/>
        <n v="4366.238"/>
        <n v="3553.0221"/>
        <n v="8237.2706"/>
        <n v="5489.4077"/>
        <n v="1696.6525"/>
        <n v="4229.2009"/>
        <n v="9110.231"/>
        <n v="7445.3392"/>
        <n v="9242.941"/>
        <n v="2921.5977"/>
        <n v="1148.5812"/>
        <n v="564.66"/>
        <n v="3022.1724"/>
        <n v="1992.48"/>
        <n v="10204.824"/>
        <m/>
        <n v="16438.04"/>
        <n v="1430.0514"/>
        <n v="1942.78"/>
        <n v="3755.35"/>
        <n v="5245.88"/>
      </sharedItems>
    </cacheField>
    <cacheField name="服务费项目填写当月实际金额" numFmtId="0">
      <sharedItems containsString="0" containsBlank="1" containsNumber="1" minValue="0" maxValue="142572.81" count="90">
        <m/>
        <n v="2461.48"/>
        <n v="1070.262"/>
        <n v="444.3624"/>
        <n v="417.92"/>
        <n v="766.96"/>
        <n v="3048.72"/>
        <n v="92.68"/>
        <n v="75.84"/>
        <n v="0"/>
        <n v="1575.776"/>
        <n v="509.56"/>
        <n v="445.12"/>
        <n v="769.72"/>
        <n v="1282.24"/>
        <n v="1305.12"/>
        <n v="1520.88"/>
        <n v="15576.85"/>
        <n v="941.5"/>
        <n v="2578.01"/>
        <n v="2056.9572"/>
        <n v="3355.8228"/>
        <n v="1416.3156"/>
        <n v="3919.5888"/>
        <n v="3866.2428"/>
        <n v="6439.716"/>
        <n v="4179.62"/>
        <n v="6379.338"/>
        <n v="1614.2"/>
        <n v="2305.6"/>
        <n v="968.645"/>
        <n v="8158.79"/>
        <n v="4684.709"/>
        <n v="1285.24"/>
        <n v="7328.307"/>
        <n v="9648.705"/>
        <n v="5904.79"/>
        <n v="79345.34"/>
        <n v="2983.8"/>
        <n v="278.58"/>
        <n v="190.37"/>
        <n v="762.08"/>
        <n v="224.22"/>
        <n v="65338.65"/>
        <n v="140.52"/>
        <n v="932.91"/>
        <n v="524.41"/>
        <n v="708.04"/>
        <n v="77.81"/>
        <n v="595.18"/>
        <n v="120.1"/>
        <n v="1242.72"/>
        <n v="729.79"/>
        <n v="378.68"/>
        <n v="97042.54"/>
        <n v="5887.71"/>
        <n v="38154.87"/>
        <n v="142572.81"/>
        <n v="61142.5"/>
        <n v="9328.97"/>
        <n v="46955.1"/>
        <n v="107048.19"/>
        <n v="35013.1349"/>
        <n v="29865.6353"/>
        <n v="23862.06"/>
        <n v="5107.4"/>
        <n v="34459.25"/>
        <n v="42275.15"/>
        <n v="9789.72"/>
        <n v="2940.96"/>
        <n v="8094.6"/>
        <n v="35940.0732"/>
        <n v="19854.1089"/>
        <n v="4366.238"/>
        <n v="3553.0221"/>
        <n v="8237.2706"/>
        <n v="5489.4077"/>
        <n v="1696.6525"/>
        <n v="4229.2009"/>
        <n v="9110.231"/>
        <n v="7445.3392"/>
        <n v="9242.941"/>
        <n v="2921.5977"/>
        <n v="1713.2412"/>
        <n v="3022.1724"/>
        <n v="1992.48"/>
        <n v="10204.824"/>
        <n v="16438.04"/>
        <n v="3755.35"/>
        <n v="5245.88"/>
      </sharedItems>
    </cacheField>
    <cacheField name="服务费差异" numFmtId="0">
      <sharedItems containsString="0" containsBlank="1" containsNumber="1" minValue="-136937.3502" maxValue="20000" count="196">
        <n v="0"/>
        <n v="1293.88"/>
        <n v="1167.6"/>
        <n v="-2461.48"/>
        <n v="149.435"/>
        <n v="502.507"/>
        <n v="-651.942"/>
        <n v="-15576.85"/>
        <n v="14232.384"/>
        <n v="1344.462"/>
        <n v="-861"/>
        <n v="143.5"/>
        <n v="108.5"/>
        <n v="227.5"/>
        <n v="381.5"/>
        <n v="-0.00470000000041182"/>
        <n v="-55948.2876"/>
        <n v="2889.375"/>
        <n v="5497.65"/>
        <n v="5297.348"/>
        <n v="724.4454"/>
        <n v="15708.06"/>
        <n v="4079.448"/>
        <n v="4920.2784"/>
        <n v="10035.45"/>
        <n v="4255.794"/>
        <n v="2540.4354"/>
        <n v="0.00250000000005457"/>
        <n v="-0.00499999999999545"/>
        <n v="0.00175000000004388"/>
        <n v="-63728.3772"/>
        <n v="4082.4445"/>
        <n v="3734.659"/>
        <n v="4466.539"/>
        <n v="3220.2055"/>
        <n v="1676.88"/>
        <n v="1324.68"/>
        <n v="746.896"/>
        <n v="4219.957"/>
        <n v="3475.232"/>
        <n v="3881.1414"/>
        <n v="3284.872"/>
        <n v="2378.606"/>
        <n v="4839.054"/>
        <n v="1109.923"/>
        <n v="5062.949"/>
        <n v="5088.2274"/>
        <n v="7089.47"/>
        <n v="-0.00249999999994088"/>
        <n v="-0.000999999999990564"/>
        <n v="0.0024999999998272"/>
        <n v="7499.967"/>
        <n v="19133.211"/>
        <n v="-93215.1498"/>
        <n v="687.39"/>
        <n v="1322.35"/>
        <n v="1750.35"/>
        <n v="3324.148"/>
        <n v="2694.5"/>
        <n v="1277.36"/>
        <n v="1467.573"/>
        <n v="2880.63"/>
        <n v="3098.425"/>
        <n v="1867.24"/>
        <n v="2714.1"/>
        <n v="5060.54"/>
        <n v="1869.72"/>
        <n v="968.013"/>
        <n v="897.235"/>
        <n v="2065.55"/>
        <n v="8744.25"/>
        <n v="1853.11"/>
        <n v="2994.74"/>
        <n v="3390.155"/>
        <n v="2191.355"/>
        <n v="3360.42"/>
        <n v="2020.25"/>
        <n v="2392.754"/>
        <n v="806.9"/>
        <n v="837.15"/>
        <n v="2102.982"/>
        <n v="-2767.4172"/>
        <n v="513.657"/>
        <n v="652.581"/>
        <n v="600.096"/>
        <n v="1001.0787"/>
        <n v="67.9196"/>
        <n v="2143.3221"/>
        <n v="9101.9878"/>
        <n v="4244.7608"/>
        <n v="1869.266"/>
        <n v="1739.3544"/>
        <n v="109.978"/>
        <n v="346.5249"/>
        <n v="1531.7484"/>
        <n v="8000"/>
        <n v="-29154.87"/>
        <n v="-136937.3502"/>
        <n v="1847.242"/>
        <n v="1109.25"/>
        <n v="6615.026"/>
        <n v="3643.6344"/>
        <n v="302.47"/>
        <n v="63.626"/>
        <n v="16.53"/>
        <n v="6694.505"/>
        <n v="3016.377"/>
        <n v="2307.965"/>
        <n v="3617.2599"/>
        <n v="4049.08"/>
        <n v="2187.08"/>
        <n v="-56887.7086"/>
        <n v="313.7916"/>
        <n v="4375.81"/>
        <n v="6858.5383"/>
        <n v="6608.8764"/>
        <n v="7493.518"/>
        <n v="6824.1464"/>
        <n v="1046.77"/>
        <n v="6840.0152"/>
        <n v="3239.502"/>
        <n v="3946.7952"/>
        <n v="1875.9432"/>
        <n v="7463.9934"/>
        <n v="-6702.93375"/>
        <n v="4296.722"/>
        <n v="1008.641"/>
        <n v="1398.293"/>
        <n v="-44860.04"/>
        <n v="4871.9528"/>
        <n v="1005.76"/>
        <n v="3400.865"/>
        <n v="1799.85"/>
        <n v="3843.8424"/>
        <n v="8974.6335"/>
        <n v="4753.595"/>
        <n v="3217.08"/>
        <n v="1463.4"/>
        <n v="5669.4"/>
        <n v="3665.6919"/>
        <n v="2194.2662"/>
        <n v="-96271.1437"/>
        <n v="18151.3063"/>
        <n v="7690.59"/>
        <n v="10402.026"/>
        <n v="3888.124"/>
        <n v="261.0673"/>
        <n v="12785.0582"/>
        <n v="12000"/>
        <n v="4242.998"/>
        <n v="4092.446"/>
        <n v="1831.2516"/>
        <n v="20000"/>
        <n v="2188.76"/>
        <n v="7627.785"/>
        <n v="2681.5185"/>
        <n v="13379.775"/>
        <n v="2563.2"/>
        <n v="4023.2064"/>
        <n v="-32464.2449"/>
        <n v="11334.1767"/>
        <n v="1923.5216"/>
        <n v="2992.08"/>
        <n v="7733.936"/>
        <n v="3046.8"/>
        <n v="1213.38"/>
        <n v="-28243.8943"/>
        <n v="-7346.3418"/>
        <n v="7346.3367"/>
        <n v="-21145.5"/>
        <n v="10645"/>
        <n v="10500.5"/>
        <n v="-34642.2944"/>
        <n v="3787.515"/>
        <n v="4221.378"/>
        <n v="3851.8146"/>
        <n v="1021.14"/>
        <n v="4157.226"/>
        <n v="3179.088"/>
        <n v="1313.82"/>
        <n v="4383.18"/>
        <n v="2925.243"/>
        <n v="5801.891"/>
        <n v="2789.87944444444"/>
        <n v="2690.21537037037"/>
        <n v="1204.84037037037"/>
        <n v="608.190740740741"/>
        <n v="386.29037037037"/>
        <n v="3896.31814814815"/>
        <n v="1062.90611111111"/>
        <n v="104.140740740741"/>
        <n v="1148.5812"/>
        <n v="-1148.5812"/>
        <m/>
        <n v="1430.0514"/>
        <n v="1942.78"/>
      </sharedItems>
    </cacheField>
    <cacheField name="虫害消杀" numFmtId="0">
      <sharedItems containsBlank="1" containsNumber="1" containsMixedTypes="1" count="6">
        <n v="0"/>
        <n v="0.01"/>
        <n v="0.03"/>
        <m/>
        <s v="按照实际收取"/>
        <s v="按实"/>
      </sharedItems>
    </cacheField>
    <cacheField name="虫害消杀金额" numFmtId="0">
      <sharedItems containsString="0" containsBlank="1" containsNumber="1" minValue="0" maxValue="1125.483" count="71">
        <n v="0"/>
        <n v="184.84"/>
        <n v="166.8"/>
        <n v="44.8305"/>
        <n v="150.7521"/>
        <n v="125.496"/>
        <n v="171.4131"/>
        <n v="279.6519"/>
        <n v="118.0263"/>
        <n v="326.6324"/>
        <n v="322.1869"/>
        <n v="499.9978"/>
        <n v="1125.483"/>
        <n v="225.1406"/>
        <n v="68.739"/>
        <n v="132.235"/>
        <n v="175.035"/>
        <n v="332.4148"/>
        <n v="269.45"/>
        <n v="127.736"/>
        <n v="146.7573"/>
        <n v="288.063"/>
        <n v="309.8425"/>
        <n v="186.724"/>
        <n v="271.41"/>
        <n v="506.054"/>
        <n v="186.972"/>
        <n v="96.8013"/>
        <n v="89.7235"/>
        <n v="206.555"/>
        <n v="874.425"/>
        <n v="185.311"/>
        <n v="299.474"/>
        <n v="339.0155"/>
        <n v="219.1355"/>
        <n v="336.042"/>
        <n v="202.025"/>
        <n v="239.2754"/>
        <n v="80.69"/>
        <n v="83.715"/>
        <n v="350.497"/>
        <n v="1040.0976"/>
        <n v="171.219"/>
        <n v="217.527"/>
        <n v="200.032"/>
        <n v="333.6929"/>
        <n v="190.46"/>
        <n v="374.7656"/>
        <n v="71.84"/>
        <n v="261.605"/>
        <n v="138.45"/>
        <n v="320.3202"/>
        <n v="598.3089"/>
        <n v="432.145"/>
        <n v="536.18"/>
        <n v="97.56"/>
        <n v="377.96"/>
        <n v="281.9763"/>
        <n v="313.4666"/>
        <n v="1030.3797"/>
        <n v="137.3944"/>
        <n v="213.72"/>
        <n v="483.371"/>
        <n v="190.425"/>
        <n v="101.115"/>
        <n v="147.431"/>
        <n v="815.81"/>
        <n v="245.08"/>
        <n v="1007.3908"/>
        <m/>
        <n v="194.278"/>
      </sharedItems>
    </cacheField>
    <cacheField name="虫害消杀项目填写当月实际金额" numFmtId="0">
      <sharedItems containsString="0" containsBlank="1" containsNumber="1" minValue="0" maxValue="8649.02" count="16">
        <m/>
        <n v="351.64"/>
        <n v="321.0786"/>
        <n v="0"/>
        <n v="171.4131"/>
        <n v="279.6519"/>
        <n v="118.0263"/>
        <n v="326.6324"/>
        <n v="322.1869"/>
        <n v="8649.02"/>
        <n v="1962.57"/>
        <n v="3995.06"/>
        <n v="2303.8361"/>
        <n v="815.81"/>
        <n v="245.08"/>
        <n v="1007.3908"/>
      </sharedItems>
    </cacheField>
    <cacheField name="虫害消杀差异" numFmtId="0">
      <sharedItems containsString="0" containsBlank="1" containsNumber="1" minValue="-8423.8794" maxValue="1125.483" count="64">
        <n v="0"/>
        <n v="184.84"/>
        <n v="166.8"/>
        <n v="-351.64"/>
        <n v="44.8305"/>
        <n v="-170.3265"/>
        <n v="125.496"/>
        <n v="499.9978"/>
        <n v="1125.483"/>
        <n v="-8423.8794"/>
        <n v="68.739"/>
        <n v="132.235"/>
        <n v="175.035"/>
        <n v="332.4148"/>
        <n v="269.45"/>
        <n v="127.736"/>
        <n v="146.7573"/>
        <n v="288.063"/>
        <n v="309.8425"/>
        <n v="186.724"/>
        <n v="271.41"/>
        <n v="506.054"/>
        <n v="186.972"/>
        <n v="96.8013"/>
        <n v="89.7235"/>
        <n v="206.555"/>
        <n v="874.425"/>
        <n v="185.311"/>
        <n v="299.474"/>
        <n v="339.0155"/>
        <n v="219.1355"/>
        <n v="336.042"/>
        <n v="202.025"/>
        <n v="239.2754"/>
        <n v="80.69"/>
        <n v="83.715"/>
        <n v="350.497"/>
        <n v="-922.4724"/>
        <n v="171.219"/>
        <n v="217.527"/>
        <n v="200.032"/>
        <n v="333.6929"/>
        <n v="190.46"/>
        <n v="374.7656"/>
        <n v="71.84"/>
        <n v="261.605"/>
        <n v="138.45"/>
        <n v="320.3202"/>
        <n v="598.3089"/>
        <n v="432.145"/>
        <n v="536.18"/>
        <n v="97.56"/>
        <n v="377.96"/>
        <n v="281.9763"/>
        <n v="313.4666"/>
        <n v="1030.3797"/>
        <n v="137.3944"/>
        <n v="213.72"/>
        <n v="483.371"/>
        <n v="190.425"/>
        <n v="101.115"/>
        <n v="-2156.4051"/>
        <m/>
        <n v="194.278"/>
      </sharedItems>
    </cacheField>
    <cacheField name="采购费" numFmtId="0">
      <sharedItems containsBlank="1" containsNumber="1" containsMixedTypes="1" count="5">
        <n v="0"/>
        <m/>
        <n v="0.02"/>
        <s v="按实"/>
        <n v="0.06"/>
      </sharedItems>
    </cacheField>
    <cacheField name="采购费金额" numFmtId="0">
      <sharedItems containsString="0" containsBlank="1" containsNumber="1" minValue="0" maxValue="6240.5856" count="33">
        <n v="0"/>
        <n v="2372.064"/>
        <n v="224.077"/>
        <n v="11.5"/>
        <n v="20.5"/>
        <n v="15.5"/>
        <n v="32.5"/>
        <n v="54.5"/>
        <n v="1718.6702"/>
        <n v="2752.5944"/>
        <n v="385.25"/>
        <n v="610.85"/>
        <n v="1059.4696"/>
        <n v="724.4454"/>
        <n v="1745.34"/>
        <n v="453.272"/>
        <n v="546.6976"/>
        <n v="1115.05"/>
        <n v="472.866"/>
        <n v="282.2706"/>
        <n v="6240.5856"/>
        <n v="1027.314"/>
        <n v="1305.162"/>
        <n v="1200.192"/>
        <n v="2002.1574"/>
        <n v="312.68"/>
        <n v="1017.038"/>
        <n v="357.5358"/>
        <n v="1783.97"/>
        <n v="341.76"/>
        <n v="670.5344"/>
        <n v="566.42"/>
        <m/>
      </sharedItems>
    </cacheField>
    <cacheField name="采购费项目填写当月实际金额" numFmtId="0">
      <sharedItems containsString="0" containsBlank="1" containsNumber="1" minValue="0" maxValue="11775.41" count="8">
        <m/>
        <n v="0"/>
        <n v="2596"/>
        <n v="134.5"/>
        <n v="1718.67"/>
        <n v="10148.11"/>
        <n v="11775.41"/>
        <n v="5049.9382"/>
      </sharedItems>
    </cacheField>
    <cacheField name="采购费差异" numFmtId="0">
      <sharedItems containsString="0" containsBlank="1" containsNumber="1" minValue="-7395.5156" maxValue="2372.064" count="34">
        <n v="0"/>
        <n v="-2596"/>
        <n v="2372.064"/>
        <n v="224.077"/>
        <n v="-123"/>
        <n v="20.5"/>
        <n v="15.5"/>
        <n v="32.5"/>
        <n v="54.5"/>
        <n v="0.000199999999949796"/>
        <n v="-7395.5156"/>
        <n v="385.25"/>
        <n v="610.85"/>
        <n v="1059.4696"/>
        <n v="724.4454"/>
        <n v="1745.34"/>
        <n v="453.272"/>
        <n v="546.6976"/>
        <n v="1115.05"/>
        <n v="472.866"/>
        <n v="282.2706"/>
        <n v="-5534.8244"/>
        <n v="1027.314"/>
        <n v="1305.162"/>
        <n v="1200.192"/>
        <n v="2002.1574"/>
        <n v="312.68"/>
        <n v="1017.038"/>
        <n v="357.5358"/>
        <n v="1783.97"/>
        <n v="341.76"/>
        <n v="670.5344"/>
        <n v="-4483.5182"/>
        <m/>
      </sharedItems>
    </cacheField>
    <cacheField name="装修折旧" numFmtId="0">
      <sharedItems containsBlank="1" containsNumber="1" containsMixedTypes="1" count="18">
        <n v="0"/>
        <n v="0.03"/>
        <n v="0.05"/>
        <m/>
        <n v="0.065"/>
        <n v="0.055"/>
        <s v="165万元分3年分摊，多退少补"/>
        <n v="0.01"/>
        <s v="137.45 元/月，3、4、5、6月收取"/>
        <s v="308.9元/月，3、4、5、6月收取"/>
        <s v="217.9元/月，3、4、5、6月收取"/>
        <s v="175.4元/月，3、4、5、6月收取"/>
        <s v="268.7元/月，3、4、5、6月收取"/>
        <s v="139.2元/月，3、4、5、6月收取"/>
        <s v="137.45元/月，3、4、5、6月收取"/>
        <n v="0.04"/>
        <n v="0.02"/>
        <n v="0.045"/>
      </sharedItems>
    </cacheField>
    <cacheField name="装修折旧金额" numFmtId="0">
      <sharedItems containsString="0" containsBlank="1" containsNumber="1" minValue="0" maxValue="4501.932" count="82">
        <n v="0"/>
        <n v="554.52"/>
        <n v="500.4"/>
        <n v="74.7175"/>
        <n v="251.2535"/>
        <n v="209.16"/>
        <n v="361.04445"/>
        <n v="339.56"/>
        <n v="623.155"/>
        <n v="2794.66"/>
        <n v="75.3025"/>
        <n v="61.62"/>
        <n v="1280.318"/>
        <n v="414.0175"/>
        <n v="361.66"/>
        <n v="625.3975"/>
        <n v="1041.82"/>
        <n v="1060.41"/>
        <n v="1235.715"/>
        <n v="171.4131"/>
        <n v="279.6519"/>
        <n v="118.0263"/>
        <n v="326.6324"/>
        <n v="322.1869"/>
        <m/>
        <n v="1999.9912"/>
        <n v="4501.932"/>
        <n v="900.5624"/>
        <n v="274.956"/>
        <n v="528.94"/>
        <n v="700.14"/>
        <n v="1329.6592"/>
        <n v="1077.8"/>
        <n v="510.944"/>
        <n v="587.0292"/>
        <n v="1152.252"/>
        <n v="1239.37"/>
        <n v="746.896"/>
        <n v="1085.64"/>
        <n v="2024.216"/>
        <n v="747.888"/>
        <n v="387.2052"/>
        <n v="358.894"/>
        <n v="826.22"/>
        <n v="3497.7"/>
        <n v="741.244"/>
        <n v="1197.896"/>
        <n v="1356.062"/>
        <n v="876.542"/>
        <n v="1344.168"/>
        <n v="808.1"/>
        <n v="957.1016"/>
        <n v="322.76"/>
        <n v="334.86"/>
        <n v="1401.988"/>
        <n v="2080.1952"/>
        <n v="342.438"/>
        <n v="435.054"/>
        <n v="400.064"/>
        <n v="667.3858"/>
        <n v="380.92"/>
        <n v="749.5312"/>
        <n v="143.68"/>
        <n v="523.21"/>
        <n v="276.9"/>
        <n v="640.6404"/>
        <n v="1196.6178"/>
        <n v="864.29"/>
        <n v="1072.36"/>
        <n v="195.12"/>
        <n v="755.92"/>
        <n v="563.9526"/>
        <n v="926.2728"/>
        <n v="1030.3797"/>
        <n v="137.3944"/>
        <n v="213.72"/>
        <n v="483.371"/>
        <n v="190.425"/>
        <n v="101.115"/>
        <n v="147.431"/>
        <n v="2014.7816"/>
        <n v="777.112"/>
      </sharedItems>
    </cacheField>
    <cacheField name="装修折旧项目填写当月实际金额" numFmtId="0">
      <sharedItems containsString="0" containsBlank="1" containsNumber="1" minValue="0" maxValue="34596.07" count="27">
        <m/>
        <n v="1054.92"/>
        <n v="535.131"/>
        <n v="361.04445"/>
        <n v="339.56"/>
        <n v="623.155"/>
        <n v="2794.66"/>
        <n v="75.3025"/>
        <n v="61.62"/>
        <n v="0"/>
        <n v="1280.318"/>
        <n v="414.0175"/>
        <n v="361.66"/>
        <n v="625.3975"/>
        <n v="1041.82"/>
        <n v="1060.41"/>
        <n v="1235.715"/>
        <n v="171.4131"/>
        <n v="279.6519"/>
        <n v="118.0263"/>
        <n v="326.6324"/>
        <n v="322.1869"/>
        <n v="34596.07"/>
        <n v="3925.14"/>
        <n v="7363.14"/>
        <n v="2303.8361"/>
        <n v="2014.7816"/>
      </sharedItems>
    </cacheField>
    <cacheField name="装修折旧差异" numFmtId="0">
      <sharedItems containsString="0" containsBlank="1" containsNumber="1" minValue="-33695.5076" maxValue="4501.932" count="64">
        <n v="0"/>
        <n v="554.52"/>
        <n v="500.4"/>
        <n v="-1054.92"/>
        <n v="74.7175"/>
        <n v="-283.8775"/>
        <n v="209.16"/>
        <n v="1999.9912"/>
        <n v="4501.932"/>
        <n v="-33695.5076"/>
        <n v="274.956"/>
        <n v="528.94"/>
        <n v="700.14"/>
        <n v="1329.6592"/>
        <n v="1077.8"/>
        <n v="510.944"/>
        <n v="587.0292"/>
        <n v="1152.252"/>
        <n v="1239.37"/>
        <n v="746.896"/>
        <n v="1085.64"/>
        <n v="2024.216"/>
        <n v="747.888"/>
        <n v="387.2052"/>
        <n v="358.894"/>
        <n v="826.22"/>
        <n v="3497.7"/>
        <n v="741.244"/>
        <n v="1197.896"/>
        <n v="1356.062"/>
        <n v="876.542"/>
        <n v="1344.168"/>
        <n v="808.1"/>
        <n v="957.1016"/>
        <n v="322.76"/>
        <n v="334.86"/>
        <n v="1401.988"/>
        <n v="-1844.9448"/>
        <n v="342.438"/>
        <n v="435.054"/>
        <n v="400.064"/>
        <n v="667.3858"/>
        <n v="-6982.22"/>
        <n v="749.5312"/>
        <n v="143.68"/>
        <n v="523.21"/>
        <n v="276.9"/>
        <n v="640.6404"/>
        <n v="1196.6178"/>
        <n v="864.29"/>
        <n v="1072.36"/>
        <n v="195.12"/>
        <n v="755.92"/>
        <n v="563.9526"/>
        <n v="926.2728"/>
        <n v="1030.3797"/>
        <n v="137.3944"/>
        <n v="213.72"/>
        <n v="483.371"/>
        <n v="190.425"/>
        <n v="101.115"/>
        <n v="-2156.4051"/>
        <m/>
        <n v="777.112"/>
      </sharedItems>
    </cacheField>
    <cacheField name="管理人员" numFmtId="0">
      <sharedItems containsBlank="1" containsNumber="1" containsMixedTypes="1" count="6">
        <n v="0"/>
        <n v="0.03"/>
        <n v="0.02"/>
        <s v="一名管理人员费用，按实际产生费用列入项目处成本"/>
        <n v="0.01"/>
        <m/>
      </sharedItems>
    </cacheField>
    <cacheField name="管理人员金额" numFmtId="0">
      <sharedItems containsString="0" containsBlank="1" containsNumber="1" minValue="0" maxValue="3376.449" count="82">
        <n v="0"/>
        <n v="554.52"/>
        <n v="500.4"/>
        <n v="29.887"/>
        <n v="100.5014"/>
        <n v="83.664"/>
        <n v="111.0906"/>
        <n v="104.48"/>
        <n v="191.74"/>
        <n v="1016.24"/>
        <n v="23.17"/>
        <n v="18.96"/>
        <n v="393.944"/>
        <n v="127.39"/>
        <n v="111.28"/>
        <n v="192.43"/>
        <n v="320.56"/>
        <n v="326.28"/>
        <n v="380.22"/>
        <n v="171.4131"/>
        <n v="279.6519"/>
        <n v="118.0263"/>
        <n v="326.6324"/>
        <n v="322.1869"/>
        <n v="1499.9934"/>
        <n v="3376.449"/>
        <n v="675.4218"/>
        <n v="206.217"/>
        <n v="396.705"/>
        <n v="525.105"/>
        <n v="997.2444"/>
        <n v="808.35"/>
        <n v="383.208"/>
        <n v="440.2719"/>
        <n v="864.189"/>
        <n v="929.5275"/>
        <n v="560.172"/>
        <n v="814.23"/>
        <n v="1518.162"/>
        <n v="560.916"/>
        <n v="290.4039"/>
        <n v="269.1705"/>
        <n v="619.665"/>
        <n v="2623.275"/>
        <n v="555.933"/>
        <n v="898.422"/>
        <n v="1017.0465"/>
        <n v="657.4065"/>
        <n v="1008.126"/>
        <n v="606.075"/>
        <n v="717.8262"/>
        <n v="242.07"/>
        <n v="251.145"/>
        <n v="1051.491"/>
        <n v="3120.2928"/>
        <n v="513.657"/>
        <n v="652.581"/>
        <n v="600.096"/>
        <n v="1001.0787"/>
        <n v="190.46"/>
        <n v="374.7656"/>
        <n v="71.84"/>
        <n v="261.605"/>
        <n v="138.45"/>
        <n v="320.3202"/>
        <n v="598.3089"/>
        <n v="432.145"/>
        <n v="536.18"/>
        <n v="97.56"/>
        <n v="377.96"/>
        <n v="281.9763"/>
        <n v="313.4666"/>
        <n v="1030.3797"/>
        <n v="137.3944"/>
        <n v="213.72"/>
        <n v="483.371"/>
        <n v="190.425"/>
        <n v="101.115"/>
        <n v="147.431"/>
        <n v="2014.7816"/>
        <m/>
        <n v="582.834"/>
      </sharedItems>
    </cacheField>
    <cacheField name="管理人员项目填写当月实际金额" numFmtId="0">
      <sharedItems containsString="0" containsBlank="1" containsNumber="1" minValue="0" maxValue="25947.05" count="27">
        <m/>
        <n v="1054.92"/>
        <n v="214.0524"/>
        <n v="111.0906"/>
        <n v="104.48"/>
        <n v="191.74"/>
        <n v="1016.24"/>
        <n v="23.17"/>
        <n v="18.96"/>
        <n v="0"/>
        <n v="393.944"/>
        <n v="127.39"/>
        <n v="111.28"/>
        <n v="192.43"/>
        <n v="320.56"/>
        <n v="326.28"/>
        <n v="380.22"/>
        <n v="171.4131"/>
        <n v="279.6519"/>
        <n v="118.0263"/>
        <n v="326.6324"/>
        <n v="322.1869"/>
        <n v="25947.05"/>
        <n v="5887.71"/>
        <n v="3995.06"/>
        <n v="2303.8361"/>
        <n v="2014.7816"/>
      </sharedItems>
    </cacheField>
    <cacheField name="管理人员差异" numFmtId="0">
      <sharedItems containsString="0" containsBlank="1" containsNumber="1" minValue="-25271.6282" maxValue="3376.449" count="64">
        <n v="0"/>
        <n v="554.52"/>
        <n v="500.4"/>
        <n v="-1054.92"/>
        <n v="29.887"/>
        <n v="-113.551"/>
        <n v="83.664"/>
        <n v="1499.9934"/>
        <n v="3376.449"/>
        <n v="-25271.6282"/>
        <n v="206.217"/>
        <n v="396.705"/>
        <n v="525.105"/>
        <n v="997.2444"/>
        <n v="808.35"/>
        <n v="383.208"/>
        <n v="440.2719"/>
        <n v="864.189"/>
        <n v="929.5275"/>
        <n v="560.172"/>
        <n v="814.23"/>
        <n v="1518.162"/>
        <n v="560.916"/>
        <n v="290.4039"/>
        <n v="269.1705"/>
        <n v="619.665"/>
        <n v="2623.275"/>
        <n v="555.933"/>
        <n v="898.422"/>
        <n v="1017.0465"/>
        <n v="657.4065"/>
        <n v="1008.126"/>
        <n v="606.075"/>
        <n v="717.8262"/>
        <n v="242.07"/>
        <n v="251.145"/>
        <n v="1051.491"/>
        <n v="-2767.4172"/>
        <n v="513.657"/>
        <n v="652.581"/>
        <n v="600.096"/>
        <n v="1001.0787"/>
        <n v="-3804.6"/>
        <n v="374.7656"/>
        <n v="71.84"/>
        <n v="261.605"/>
        <n v="138.45"/>
        <n v="320.3202"/>
        <n v="598.3089"/>
        <n v="432.145"/>
        <n v="536.18"/>
        <n v="97.56"/>
        <n v="377.96"/>
        <n v="281.9763"/>
        <n v="313.4666"/>
        <n v="1030.3797"/>
        <n v="137.3944"/>
        <n v="213.72"/>
        <n v="483.371"/>
        <n v="190.425"/>
        <n v="101.115"/>
        <n v="-2156.4051"/>
        <m/>
        <n v="582.834"/>
      </sharedItems>
    </cacheField>
    <cacheField name="共建活动" numFmtId="0">
      <sharedItems containsBlank="1" containsNumber="1" containsMixedTypes="1" count="6">
        <n v="0"/>
        <n v="0.01"/>
        <n v="0.035"/>
        <n v="0.025"/>
        <s v="按比例分摊"/>
        <m/>
      </sharedItems>
    </cacheField>
    <cacheField name="共建活动金额" numFmtId="0">
      <sharedItems containsString="0" containsBlank="1" containsNumber="1" minValue="0" maxValue="1270.3" count="71">
        <n v="0"/>
        <n v="184.84"/>
        <n v="166.8"/>
        <n v="194.40855"/>
        <n v="182.84"/>
        <n v="335.545"/>
        <n v="1270.3"/>
        <n v="40.5475"/>
        <n v="33.18"/>
        <n v="689.402"/>
        <n v="222.9325"/>
        <n v="194.74"/>
        <n v="336.7525"/>
        <n v="560.98"/>
        <n v="570.99"/>
        <n v="665.385"/>
        <n v="171.4131"/>
        <n v="279.6519"/>
        <n v="118.0263"/>
        <n v="326.6324"/>
        <n v="322.1869"/>
        <n v="499.9978"/>
        <n v="1125.483"/>
        <n v="225.1406"/>
        <n v="68.739"/>
        <n v="132.235"/>
        <n v="175.035"/>
        <n v="332.4148"/>
        <n v="269.45"/>
        <n v="127.736"/>
        <n v="146.7573"/>
        <n v="288.063"/>
        <n v="309.8425"/>
        <n v="186.724"/>
        <n v="271.41"/>
        <n v="506.054"/>
        <n v="186.972"/>
        <n v="96.8013"/>
        <n v="89.7235"/>
        <n v="206.555"/>
        <n v="874.425"/>
        <n v="185.311"/>
        <n v="299.474"/>
        <n v="339.0155"/>
        <n v="219.1355"/>
        <n v="336.042"/>
        <n v="202.025"/>
        <n v="239.2754"/>
        <n v="80.69"/>
        <n v="83.715"/>
        <n v="350.497"/>
        <n v="1040.0976"/>
        <n v="171.219"/>
        <n v="217.527"/>
        <n v="200.032"/>
        <n v="333.6929"/>
        <n v="190.46"/>
        <n v="374.7656"/>
        <n v="71.84"/>
        <n v="261.605"/>
        <n v="138.45"/>
        <n v="320.3202"/>
        <n v="598.3089"/>
        <n v="432.145"/>
        <n v="536.18"/>
        <n v="97.56"/>
        <n v="377.96"/>
        <n v="281.9763"/>
        <n v="313.4666"/>
        <m/>
        <n v="194.278"/>
      </sharedItems>
    </cacheField>
    <cacheField name="共建活动项目填写当月实际金额" numFmtId="0">
      <sharedItems containsString="0" containsBlank="1" containsNumber="1" minValue="0" maxValue="8649.02" count="24">
        <m/>
        <n v="351.64"/>
        <n v="0"/>
        <n v="194.40855"/>
        <n v="182.84"/>
        <n v="335.545"/>
        <n v="1270.3"/>
        <n v="40.5475"/>
        <n v="33.18"/>
        <n v="689.402"/>
        <n v="222.9325"/>
        <n v="194.74"/>
        <n v="336.7525"/>
        <n v="560.98"/>
        <n v="570.99"/>
        <n v="665.385"/>
        <n v="171.4131"/>
        <n v="279.6519"/>
        <n v="118.0263"/>
        <n v="326.6324"/>
        <n v="322.1869"/>
        <n v="8649.02"/>
        <n v="1962.57"/>
        <n v="3995.06"/>
      </sharedItems>
    </cacheField>
    <cacheField name="共建活动差异" numFmtId="0">
      <sharedItems containsString="0" containsBlank="1" containsNumber="1" minValue="-8423.8794" maxValue="1125.483" count="54">
        <n v="0"/>
        <n v="184.84"/>
        <n v="166.8"/>
        <n v="-351.64"/>
        <n v="499.9978"/>
        <n v="1125.483"/>
        <n v="-8423.8794"/>
        <n v="68.739"/>
        <n v="132.235"/>
        <n v="175.035"/>
        <n v="332.4148"/>
        <n v="269.45"/>
        <n v="127.736"/>
        <n v="146.7573"/>
        <n v="288.063"/>
        <n v="309.8425"/>
        <n v="186.724"/>
        <n v="271.41"/>
        <n v="506.054"/>
        <n v="186.972"/>
        <n v="96.8013"/>
        <n v="89.7235"/>
        <n v="206.555"/>
        <n v="874.425"/>
        <n v="185.311"/>
        <n v="299.474"/>
        <n v="339.0155"/>
        <n v="219.1355"/>
        <n v="336.042"/>
        <n v="202.025"/>
        <n v="239.2754"/>
        <n v="80.69"/>
        <n v="83.715"/>
        <n v="350.497"/>
        <n v="-922.4724"/>
        <n v="171.219"/>
        <n v="217.527"/>
        <n v="200.032"/>
        <n v="333.6929"/>
        <n v="-3804.6"/>
        <n v="374.7656"/>
        <n v="71.84"/>
        <n v="261.605"/>
        <n v="138.45"/>
        <n v="320.3202"/>
        <n v="598.3089"/>
        <n v="432.145"/>
        <n v="536.18"/>
        <n v="97.56"/>
        <n v="377.96"/>
        <n v="281.9763"/>
        <n v="313.4666"/>
        <m/>
        <n v="194.278"/>
      </sharedItems>
    </cacheField>
    <cacheField name="资产" numFmtId="0">
      <sharedItems containsBlank="1" containsNumber="1" containsMixedTypes="1" count="7">
        <n v="0"/>
        <n v="0.02"/>
        <n v="0.03"/>
        <n v="0.01"/>
        <s v="500/月，1、2、7、8月不收"/>
        <m/>
        <s v="按实"/>
      </sharedItems>
    </cacheField>
    <cacheField name="资产金额" numFmtId="0">
      <sharedItems containsString="0" containsBlank="1" containsNumber="1" minValue="0" maxValue="2014.7816" count="50">
        <n v="0"/>
        <n v="369.68"/>
        <n v="333.6"/>
        <n v="44.8305"/>
        <n v="150.7521"/>
        <n v="125.496"/>
        <n v="342.8262"/>
        <n v="559.3038"/>
        <n v="236.0526"/>
        <n v="653.2648"/>
        <n v="644.3738"/>
        <n v="200"/>
        <n v="499.9978"/>
        <n v="1125.483"/>
        <n v="225.1406"/>
        <n v="68.739"/>
        <n v="132.235"/>
        <n v="175.035"/>
        <n v="332.4148"/>
        <n v="269.45"/>
        <n v="127.736"/>
        <n v="146.7573"/>
        <n v="288.063"/>
        <n v="309.8425"/>
        <n v="186.724"/>
        <n v="271.41"/>
        <n v="506.054"/>
        <n v="186.972"/>
        <n v="96.8013"/>
        <n v="89.7235"/>
        <n v="206.555"/>
        <n v="874.425"/>
        <n v="185.311"/>
        <n v="299.474"/>
        <n v="339.0155"/>
        <n v="219.1355"/>
        <n v="336.042"/>
        <n v="202.025"/>
        <n v="239.2754"/>
        <n v="80.69"/>
        <n v="83.715"/>
        <n v="350.497"/>
        <n v="1040.0976"/>
        <n v="171.219"/>
        <n v="217.527"/>
        <n v="200.032"/>
        <n v="333.6929"/>
        <n v="2014.7816"/>
        <m/>
        <n v="194.278"/>
      </sharedItems>
    </cacheField>
    <cacheField name="资产项目填写当月实际金额" numFmtId="0">
      <sharedItems containsString="0" containsBlank="1" containsNumber="1" minValue="0" maxValue="8649.02" count="13">
        <m/>
        <n v="703.28"/>
        <n v="321.0786"/>
        <n v="342.8262"/>
        <n v="559.3038"/>
        <n v="236.0526"/>
        <n v="653.2648"/>
        <n v="644.3738"/>
        <n v="200"/>
        <n v="0"/>
        <n v="8649.02"/>
        <n v="1962.57"/>
        <n v="2014.7816"/>
      </sharedItems>
    </cacheField>
    <cacheField name="资产差异" numFmtId="0">
      <sharedItems containsString="0" containsBlank="1" containsNumber="1" minValue="-8423.8794" maxValue="1125.483" count="44">
        <n v="0"/>
        <n v="369.68"/>
        <n v="333.6"/>
        <n v="-703.28"/>
        <n v="44.8305"/>
        <n v="-170.3265"/>
        <n v="125.496"/>
        <n v="499.9978"/>
        <n v="1125.483"/>
        <n v="-8423.8794"/>
        <n v="68.739"/>
        <n v="132.235"/>
        <n v="175.035"/>
        <n v="332.4148"/>
        <n v="269.45"/>
        <n v="127.736"/>
        <n v="146.7573"/>
        <n v="288.063"/>
        <n v="309.8425"/>
        <n v="186.724"/>
        <n v="271.41"/>
        <n v="506.054"/>
        <n v="186.972"/>
        <n v="96.8013"/>
        <n v="89.7235"/>
        <n v="206.555"/>
        <n v="874.425"/>
        <n v="185.311"/>
        <n v="299.474"/>
        <n v="339.0155"/>
        <n v="219.1355"/>
        <n v="336.042"/>
        <n v="202.025"/>
        <n v="239.2754"/>
        <n v="80.69"/>
        <n v="83.715"/>
        <n v="350.497"/>
        <n v="-922.4724"/>
        <n v="171.219"/>
        <n v="217.527"/>
        <n v="200.032"/>
        <n v="333.6929"/>
        <m/>
        <n v="194.278"/>
      </sharedItems>
    </cacheField>
    <cacheField name="卫生费" numFmtId="0">
      <sharedItems containsBlank="1" containsNumber="1" containsMixedTypes="1" count="18">
        <n v="0"/>
        <n v="0.04"/>
        <m/>
        <n v="0.03"/>
        <n v="0.025"/>
        <s v="按照实际收取"/>
        <n v="0.05"/>
        <n v="0.02"/>
        <s v="按实"/>
        <n v="0.035"/>
        <s v="按实结算"/>
        <n v="0.01"/>
        <n v="3000"/>
        <s v="1000元/月，每年1、2、7月份按实际经营天数结算"/>
        <s v="500元，每年1、2、7月份按实际经营天数结算"/>
        <s v="1500元/月，7月按实际营业天数结算"/>
        <s v="1200元/月，7月按实际营业天数结算"/>
        <s v="3000元/月，2026年2月开始取消"/>
      </sharedItems>
    </cacheField>
    <cacheField name="卫生费金额" numFmtId="0">
      <sharedItems containsString="0" containsBlank="1" containsNumber="1" minValue="0" maxValue="37276.9" count="116">
        <n v="0"/>
        <n v="739.36"/>
        <n v="667.2"/>
        <n v="166.6359"/>
        <n v="156.72"/>
        <n v="287.61"/>
        <n v="1524.36"/>
        <n v="34.755"/>
        <n v="28.44"/>
        <n v="342.4"/>
        <n v="590.916"/>
        <n v="191.085"/>
        <n v="166.92"/>
        <n v="288.645"/>
        <n v="480.84"/>
        <n v="489.42"/>
        <n v="570.33"/>
        <n v="2831.85"/>
        <n v="28.75"/>
        <n v="51.25"/>
        <n v="38.75"/>
        <n v="81.25"/>
        <n v="136.25"/>
        <n v="49.5"/>
        <n v="1718.6702"/>
        <n v="1806.38"/>
        <n v="838.9557"/>
        <n v="979.8972"/>
        <n v="1288.7476"/>
        <n v="1073.286"/>
        <n v="659.94"/>
        <n v="911.334"/>
        <n v="242.13"/>
        <n v="345.84"/>
        <n v="126.345"/>
        <n v="1064.19"/>
        <n v="611.049"/>
        <n v="167.64"/>
        <n v="1046.901"/>
        <n v="1315.7325"/>
        <n v="770.19"/>
        <n v="5505.1888"/>
        <n v="770.5"/>
        <n v="1221.7"/>
        <n v="2118.9392"/>
        <n v="1448.8908"/>
        <n v="3490.68"/>
        <n v="906.544"/>
        <n v="1093.3952"/>
        <n v="2230.1"/>
        <n v="945.732"/>
        <n v="564.5412"/>
        <m/>
        <n v="2983.8025"/>
        <n v="390.005"/>
        <n v="266.511"/>
        <n v="1066.905"/>
        <n v="586.6105"/>
        <n v="313.91045"/>
        <n v="273.12075"/>
        <n v="1249.96375"/>
        <n v="8154"/>
        <n v="197.89"/>
        <n v="135.9575"/>
        <n v="159.88"/>
        <n v="17.57"/>
        <n v="119.035"/>
        <n v="299.9675"/>
        <n v="176.155"/>
        <n v="80.325"/>
        <n v="37276.9"/>
        <n v="567.15"/>
        <n v="709.1319"/>
        <n v="52.2986"/>
        <n v="656.3715"/>
        <n v="1082.9271"/>
        <n v="629.4168"/>
        <n v="1124.0277"/>
        <n v="1077.4968"/>
        <n v="157.0155"/>
        <n v="1080.0024"/>
        <n v="485.9253"/>
        <n v="657.7992"/>
        <n v="1243.9989"/>
        <n v="3000"/>
        <n v="24560.2176"/>
        <n v="1499.0624"/>
        <n v="2144.72"/>
        <n v="17372.47"/>
        <n v="312.68"/>
        <n v="1017.038"/>
        <n v="357.5358"/>
        <n v="1783.97"/>
        <n v="341.76"/>
        <n v="670.5344"/>
        <n v="566.42"/>
        <n v="3633.33"/>
        <n v="1800"/>
        <n v="2447.43"/>
        <n v="735.24"/>
        <n v="2023.65"/>
        <n v="5674.7484"/>
        <n v="3134.8593"/>
        <n v="689.406"/>
        <n v="627.0039"/>
        <n v="1074.4266"/>
        <n v="716.0097"/>
        <n v="221.3025"/>
        <n v="551.6349"/>
        <n v="1188.291"/>
        <n v="971.1312"/>
        <n v="1205.601"/>
        <n v="1252.1133"/>
        <n v="790.1"/>
        <n v="691.78"/>
        <n v="966.35"/>
      </sharedItems>
    </cacheField>
    <cacheField name="卫生费项目填写当月实际金额" numFmtId="0">
      <sharedItems containsString="0" containsBlank="1" containsNumber="1" minValue="0" maxValue="37276.9" count="81">
        <m/>
        <n v="1406.56"/>
        <n v="0"/>
        <n v="166.6359"/>
        <n v="156.72"/>
        <n v="287.61"/>
        <n v="1524.36"/>
        <n v="34.755"/>
        <n v="28.44"/>
        <n v="342.4"/>
        <n v="590.916"/>
        <n v="191.085"/>
        <n v="166.92"/>
        <n v="288.645"/>
        <n v="480.84"/>
        <n v="489.42"/>
        <n v="570.33"/>
        <n v="2831.85"/>
        <n v="385.75"/>
        <n v="1718.67"/>
        <n v="1806.38"/>
        <n v="838.9557"/>
        <n v="979.8972"/>
        <n v="1288.7476"/>
        <n v="1073.286"/>
        <n v="659.94"/>
        <n v="911.334"/>
        <n v="242.13"/>
        <n v="345.84"/>
        <n v="126.345"/>
        <n v="1064.19"/>
        <n v="611.049"/>
        <n v="167.64"/>
        <n v="1046.901"/>
        <n v="1315.7325"/>
        <n v="770.19"/>
        <n v="20296.21"/>
        <n v="2983.8025"/>
        <n v="390.005"/>
        <n v="266.511"/>
        <n v="1066.905"/>
        <n v="586.6105"/>
        <n v="313.91045"/>
        <n v="273.12075"/>
        <n v="1249.96375"/>
        <n v="8154"/>
        <n v="197.89"/>
        <n v="135.96"/>
        <n v="159.88"/>
        <n v="17.57"/>
        <n v="119.04"/>
        <n v="299.97"/>
        <n v="176.16"/>
        <n v="80.33"/>
        <n v="37276.9"/>
        <n v="567.15"/>
        <n v="8956.5"/>
        <n v="700"/>
        <n v="28204"/>
        <n v="17372.47"/>
        <n v="5049.9382"/>
        <n v="3633.33"/>
        <n v="1800"/>
        <n v="2447.43"/>
        <n v="735.24"/>
        <n v="2023.65"/>
        <n v="5674.7484"/>
        <n v="3134.8593"/>
        <n v="689.406"/>
        <n v="627.0039"/>
        <n v="1074.4266"/>
        <n v="716.0097"/>
        <n v="221.3025"/>
        <n v="551.6349"/>
        <n v="1188.291"/>
        <n v="971.1312"/>
        <n v="1205.601"/>
        <n v="1252.1133"/>
        <n v="790.1"/>
        <n v="691.78"/>
        <n v="966.35"/>
      </sharedItems>
    </cacheField>
    <cacheField name="卫生费差异" numFmtId="0">
      <sharedItems containsString="0" containsBlank="1" containsNumber="1" minValue="-14791.0212" maxValue="3490.68" count="49">
        <n v="0"/>
        <n v="739.36"/>
        <n v="667.2"/>
        <n v="-1406.56"/>
        <n v="-357"/>
        <n v="51.25"/>
        <n v="38.75"/>
        <n v="81.25"/>
        <n v="136.25"/>
        <n v="49.5"/>
        <n v="0.000199999999949796"/>
        <n v="-14791.0212"/>
        <n v="770.5"/>
        <n v="1221.7"/>
        <n v="2118.9392"/>
        <n v="1448.8908"/>
        <n v="3490.68"/>
        <n v="906.544"/>
        <n v="1093.3952"/>
        <n v="2230.1"/>
        <n v="945.732"/>
        <n v="564.5412"/>
        <n v="-0.00249999999999773"/>
        <n v="-0.00499999999999545"/>
        <n v="-0.00499999999996703"/>
        <n v="-8247.3681"/>
        <n v="52.2986"/>
        <n v="656.3715"/>
        <n v="1082.9271"/>
        <n v="629.4168"/>
        <n v="1124.0277"/>
        <n v="1077.4968"/>
        <n v="157.0155"/>
        <n v="1080.0024"/>
        <n v="485.9253"/>
        <n v="657.7992"/>
        <n v="1243.9989"/>
        <n v="2300"/>
        <n v="-3643.7824"/>
        <n v="1499.0624"/>
        <n v="2144.72"/>
        <n v="312.68"/>
        <n v="1017.038"/>
        <n v="357.5358"/>
        <n v="1783.97"/>
        <n v="341.76"/>
        <n v="670.5344"/>
        <n v="-4483.5182"/>
        <m/>
      </sharedItems>
    </cacheField>
    <cacheField name="能源费" numFmtId="0">
      <sharedItems containsBlank="1" containsNumber="1" containsMixedTypes="1" count="19">
        <n v="0"/>
        <n v="0.05"/>
        <n v="0.04"/>
        <m/>
        <n v="0.06"/>
        <s v="按实"/>
        <n v="0.055"/>
        <s v="按照实际收取"/>
        <n v="0.03"/>
        <n v="0.02"/>
        <n v="0.01"/>
        <n v="0.07"/>
        <n v="0.065"/>
        <s v="按表收取"/>
        <s v="按实结算"/>
        <s v="计表"/>
        <n v="4000"/>
        <n v="0.08"/>
        <s v="年能源费超30万元后，超出部分按班组营业额比例分摊"/>
      </sharedItems>
    </cacheField>
    <cacheField name="能源费金额" numFmtId="0">
      <sharedItems containsString="0" containsBlank="1" containsNumber="1" minValue="0" maxValue="39996.86" count="128">
        <n v="0"/>
        <n v="924.2"/>
        <n v="834"/>
        <n v="59.774"/>
        <n v="201.0028"/>
        <n v="333.2718"/>
        <n v="313.44"/>
        <n v="575.22"/>
        <n v="3048.72"/>
        <n v="69.51"/>
        <n v="56.88"/>
        <n v="522.28"/>
        <n v="753.28"/>
        <n v="1181.832"/>
        <n v="382.17"/>
        <n v="333.84"/>
        <n v="577.29"/>
        <n v="961.68"/>
        <n v="978.84"/>
        <n v="1140.66"/>
        <n v="3142"/>
        <n v="34.5"/>
        <n v="61.5"/>
        <n v="46.5"/>
        <n v="97.5"/>
        <n v="163.5"/>
        <n v="82.5"/>
        <n v="10351.87"/>
        <m/>
        <n v="1028.44467968266"/>
        <n v="838.9557"/>
        <n v="708.134444203094"/>
        <n v="653.2648"/>
        <n v="1288.7476"/>
        <n v="1431.048"/>
        <n v="879.92"/>
        <n v="1215.112"/>
        <n v="322.84"/>
        <n v="461.12"/>
        <n v="168.46"/>
        <n v="1418.92"/>
        <n v="814.732"/>
        <n v="223.52"/>
        <n v="1395.868"/>
        <n v="1754.31"/>
        <n v="1026.92"/>
        <n v="5505.1888"/>
        <n v="770.5"/>
        <n v="1221.7"/>
        <n v="2118.9392"/>
        <n v="362.2227"/>
        <n v="3490.68"/>
        <n v="906.544"/>
        <n v="1093.3952"/>
        <n v="2230.1"/>
        <n v="945.732"/>
        <n v="564.5412"/>
        <n v="5115.09"/>
        <n v="780.01"/>
        <n v="533.022"/>
        <n v="2133.81"/>
        <n v="1089.4195"/>
        <n v="627.8209"/>
        <n v="1800"/>
        <n v="7022.51"/>
        <n v="22821.76"/>
        <n v="168.624"/>
        <n v="339.24"/>
        <n v="233.07"/>
        <n v="274.08"/>
        <n v="30.12"/>
        <n v="204.06"/>
        <n v="37.926"/>
        <n v="514.23"/>
        <n v="301.98"/>
        <n v="137.7"/>
        <n v="39996.86"/>
        <n v="20895.36"/>
        <n v="649.74"/>
        <n v="319.93"/>
        <n v="1583.4"/>
        <n v="709.1319"/>
        <n v="52.2986"/>
        <n v="656.3715"/>
        <n v="1082.9271"/>
        <n v="629.4168"/>
        <n v="1124.0277"/>
        <n v="1077.4968"/>
        <n v="157.0155"/>
        <n v="1080.0024"/>
        <n v="485.9253"/>
        <n v="657.7992"/>
        <n v="1243.9989"/>
        <n v="4000"/>
        <n v="1418.0544"/>
        <n v="374.7656"/>
        <n v="536.18"/>
        <n v="12379.64"/>
        <n v="1094.38"/>
        <n v="3559.633"/>
        <n v="1251.3753"/>
        <n v="6243.895"/>
        <n v="1196.16"/>
        <n v="2346.8704"/>
        <n v="1982.47"/>
        <n v="7212.6579"/>
        <n v="961.7608"/>
        <n v="1496.04"/>
        <n v="3383.597"/>
        <n v="1332.975"/>
        <n v="707.805"/>
        <n v="1032.017"/>
        <n v="3180.3565"/>
        <n v="757.503"/>
        <n v="938.084"/>
        <n v="641.9691"/>
        <n v="283.65"/>
        <n v="1154.785"/>
        <n v="883.08"/>
        <n v="364.95"/>
        <n v="974.04"/>
        <n v="812.5675"/>
        <n v="1740.5673"/>
        <n v="6526.48"/>
        <n v="1960.64"/>
        <n v="5396.4"/>
        <n v="1087.08"/>
        <n v="1518.54"/>
      </sharedItems>
    </cacheField>
    <cacheField name="能源费项目填写当月实际金额" numFmtId="0">
      <sharedItems containsString="0" containsBlank="1" containsNumber="1" minValue="0" maxValue="39996.86" count="76">
        <m/>
        <n v="1758.2"/>
        <n v="260.7768"/>
        <n v="333.2718"/>
        <n v="313.44"/>
        <n v="575.22"/>
        <n v="3048.72"/>
        <n v="69.51"/>
        <n v="56.88"/>
        <n v="522.28"/>
        <n v="753.28"/>
        <n v="1181.832"/>
        <n v="382.17"/>
        <n v="333.84"/>
        <n v="577.29"/>
        <n v="961.68"/>
        <n v="978.84"/>
        <n v="1140.66"/>
        <n v="0"/>
        <n v="3142"/>
        <n v="486"/>
        <n v="10351.87"/>
        <n v="1028.44467968266"/>
        <n v="838.9557"/>
        <n v="708.134444203094"/>
        <n v="653.2648"/>
        <n v="1288.7476"/>
        <n v="1431.048"/>
        <n v="879.92"/>
        <n v="1215.112"/>
        <n v="322.84"/>
        <n v="461.12"/>
        <n v="168.46"/>
        <n v="1418.92"/>
        <n v="814.732"/>
        <n v="223.52"/>
        <n v="1395.868"/>
        <n v="1754.31"/>
        <n v="1026.92"/>
        <n v="19209.54"/>
        <n v="5115.09"/>
        <n v="780.01"/>
        <n v="533.022"/>
        <n v="2133.81"/>
        <n v="1089.4195"/>
        <n v="627.8209"/>
        <n v="1800"/>
        <n v="7022.51"/>
        <n v="22821.76"/>
        <n v="168.62"/>
        <n v="339.24"/>
        <n v="233.07"/>
        <n v="274.08"/>
        <n v="30.12"/>
        <n v="204.06"/>
        <n v="37.93"/>
        <n v="514.23"/>
        <n v="301.98"/>
        <n v="137.7"/>
        <n v="39996.86"/>
        <n v="20895.36"/>
        <n v="649.74"/>
        <n v="319.93"/>
        <n v="1583.4"/>
        <n v="8956.5"/>
        <n v="1000"/>
        <n v="2329"/>
        <n v="12379.64"/>
        <n v="17674.79"/>
        <n v="16126.8527"/>
        <n v="11731.55"/>
        <n v="6526.48"/>
        <n v="1960.64"/>
        <n v="5396.4"/>
        <n v="1087.08"/>
        <n v="1518.54"/>
      </sharedItems>
    </cacheField>
    <cacheField name="能源费差异" numFmtId="0">
      <sharedItems containsString="0" containsBlank="1" containsNumber="1" minValue="-15692.32" maxValue="7212.6579" count="67">
        <n v="0"/>
        <n v="924.2"/>
        <n v="834"/>
        <n v="-1758.2"/>
        <n v="59.774"/>
        <n v="-59.774"/>
        <n v="-451.5"/>
        <n v="61.5"/>
        <n v="46.5"/>
        <n v="97.5"/>
        <n v="163.5"/>
        <n v="82.5"/>
        <n v="-13704.3512"/>
        <n v="770.5"/>
        <n v="1221.7"/>
        <n v="2118.9392"/>
        <n v="362.2227"/>
        <n v="3490.68"/>
        <n v="906.544"/>
        <n v="1093.3952"/>
        <n v="2230.1"/>
        <n v="945.732"/>
        <n v="564.5412"/>
        <n v="0.00399999999999068"/>
        <n v="-0.00399999999999778"/>
        <n v="-8247.3681"/>
        <n v="52.2986"/>
        <n v="656.3715"/>
        <n v="1082.9271"/>
        <n v="629.4168"/>
        <n v="1124.0277"/>
        <n v="1077.4968"/>
        <n v="157.0155"/>
        <n v="1080.0024"/>
        <n v="485.9253"/>
        <n v="657.7992"/>
        <n v="1243.9989"/>
        <n v="3000"/>
        <n v="-910.9456"/>
        <n v="374.7656"/>
        <n v="536.18"/>
        <n v="1094.38"/>
        <n v="3559.633"/>
        <n v="1251.3753"/>
        <n v="6243.895"/>
        <n v="1196.16"/>
        <n v="2346.8704"/>
        <n v="-15692.32"/>
        <n v="7212.6579"/>
        <n v="961.7608"/>
        <n v="1496.04"/>
        <n v="3383.597"/>
        <n v="1332.975"/>
        <n v="707.805"/>
        <n v="-15094.8357"/>
        <n v="-8551.1935"/>
        <n v="757.503"/>
        <n v="938.084"/>
        <n v="641.9691"/>
        <n v="283.65"/>
        <n v="1154.785"/>
        <n v="883.08"/>
        <n v="364.95"/>
        <n v="974.04"/>
        <n v="812.5675"/>
        <n v="1740.5673"/>
        <m/>
      </sharedItems>
    </cacheField>
    <cacheField name="其他" numFmtId="0">
      <sharedItems containsBlank="1" containsNumber="1" containsMixedTypes="1" count="9">
        <n v="0"/>
        <s v="按实"/>
        <m/>
        <n v="0.01"/>
        <n v="0.005"/>
        <s v=" 按实"/>
        <s v="外卖营业额的4％"/>
        <s v="按实结算"/>
        <s v="垃圾清运500元/月"/>
      </sharedItems>
    </cacheField>
    <cacheField name="其他金额" numFmtId="0">
      <sharedItems containsString="0" containsBlank="1" containsNumber="1" minValue="-200" maxValue="7990.28" count="23">
        <n v="0"/>
        <n v="230.96"/>
        <n v="1954.49"/>
        <n v="5.75"/>
        <n v="10.25"/>
        <n v="7.75"/>
        <n v="16.25"/>
        <n v="27.25"/>
        <n v="8.25"/>
        <n v="1000"/>
        <n v="500"/>
        <m/>
        <n v="2348.76"/>
        <n v="57.05"/>
        <n v="-16.5"/>
        <n v="3901.75"/>
        <n v="-200"/>
        <n v="5145.05"/>
        <n v="7990.28"/>
        <n v="597.31"/>
        <n v="1250"/>
        <n v="250"/>
        <n v="6361.3316"/>
      </sharedItems>
    </cacheField>
    <cacheField name="其他项目填写当月实际金额米饭差价" numFmtId="0">
      <sharedItems containsString="0" containsBlank="1" containsNumber="1" minValue="-200" maxValue="7990.28" count="18">
        <m/>
        <n v="0"/>
        <n v="230.96"/>
        <n v="1954.49"/>
        <n v="75.5"/>
        <n v="1000"/>
        <n v="500"/>
        <n v="2348.76"/>
        <n v="57.05"/>
        <n v="-16.5"/>
        <n v="3901.75"/>
        <n v="-200"/>
        <n v="5145.05"/>
        <n v="7990.28"/>
        <n v="597.31"/>
        <n v="1250"/>
        <n v="250"/>
        <n v="6361.3316"/>
      </sharedItems>
    </cacheField>
    <cacheField name="其他差异" numFmtId="0">
      <sharedItems containsString="0" containsBlank="1" containsNumber="1" minValue="-69.75" maxValue="27.25" count="8">
        <n v="0"/>
        <n v="-69.75"/>
        <n v="10.25"/>
        <n v="7.75"/>
        <n v="16.25"/>
        <n v="27.25"/>
        <n v="8.25"/>
        <m/>
      </sharedItems>
    </cacheField>
    <cacheField name="其他费用1" numFmtId="0">
      <sharedItems containsBlank="1" containsNumber="1" containsMixedTypes="1" count="27">
        <m/>
        <n v="0"/>
        <s v="16万元/年，3月-9月、9月-12月分8个月收取，每月收取20000元"/>
        <s v="按实"/>
        <n v="0.035"/>
        <n v="15000"/>
        <n v="0.01"/>
        <s v="排烟机清洗费：按实"/>
        <s v="排烟机清洗费：0"/>
        <s v="水费、电费、燃气费、保洁费自行承担"/>
        <s v="固定租金2万元/学期，3月打款至公司"/>
        <s v="固定租金2万元/学期，3、4、5、6每月扣5000元"/>
        <s v="固定租金1.5万元/学期，3、4、5、6每月扣3750元"/>
        <s v="固定租金2.25万元/学期，3、4、5、6每月扣5625元"/>
        <s v="固定租金0.5万元/学期，3、4、5、6、7每月扣1000元"/>
        <n v="30000"/>
        <n v="0.002"/>
        <s v="10万/年，2月不收取，其他月份收取1万"/>
        <s v="餐损50元/月，7月按实际经营天数结算"/>
        <s v="9万/年，8个月扣除，每个月扣除11250元，1、2、7月不收"/>
        <s v="4万/半年，4个月收取，每月10000元（7月除外）"/>
        <s v="6万/年，8个月扣除，每月7500元，1、7、8月不收"/>
        <s v="7万/年，8个月收取，每月8750元，1、7、8月不收"/>
        <s v="代垫税费6％"/>
        <s v="餐具折旧费500元/月，1、2、7、8月份按实际运营天数结算"/>
        <s v="餐具折旧费1000元/月，1、2、7、8月份按实际运营天数结算"/>
        <s v="餐具折旧费1000元/月，1、2、7、8月份按实际运营天水谷结算"/>
      </sharedItems>
    </cacheField>
    <cacheField name="其他费用1金额" numFmtId="0">
      <sharedItems containsString="0" containsBlank="1" containsNumber="1" minValue="0" maxValue="20000" count="22">
        <n v="0"/>
        <n v="4151.112"/>
        <n v="392.13475"/>
        <n v="15000"/>
        <n v="859.3351"/>
        <n v="20000"/>
        <m/>
        <n v="208.01952"/>
        <n v="34.2438"/>
        <n v="43.5054"/>
        <n v="40.0064"/>
        <n v="66.73858"/>
        <n v="50"/>
        <n v="11250"/>
        <n v="10000"/>
        <n v="7500"/>
        <n v="8750"/>
        <n v="4617.79245283019"/>
        <n v="1387.24528301887"/>
        <n v="3818.20754716981"/>
        <n v="500"/>
        <n v="1000"/>
      </sharedItems>
    </cacheField>
    <cacheField name="其他费用1项目填写当月实际金额" numFmtId="0">
      <sharedItems containsString="0" containsBlank="1" containsNumber="1" minValue="0" maxValue="20000" count="17">
        <m/>
        <n v="0"/>
        <n v="4543.25"/>
        <n v="15000"/>
        <n v="859.34"/>
        <n v="20000"/>
        <n v="392.34"/>
        <n v="176"/>
        <n v="11250"/>
        <n v="10000"/>
        <n v="7500"/>
        <n v="8750"/>
        <n v="4617.79245283019"/>
        <n v="1387.24528301887"/>
        <n v="3818.20754716981"/>
        <n v="500"/>
        <n v="1000"/>
      </sharedItems>
    </cacheField>
    <cacheField name="其他费用1差异" numFmtId="0">
      <sharedItems containsString="0" containsBlank="1" containsNumber="1" minValue="-4543.25" maxValue="4151.112" count="13">
        <n v="0"/>
        <n v="-4543.25"/>
        <n v="4151.112"/>
        <n v="392.13475"/>
        <n v="-0.00490000000002055"/>
        <n v="-184.32048"/>
        <n v="34.2438"/>
        <n v="43.5054"/>
        <n v="40.0064"/>
        <n v="66.73858"/>
        <n v="50"/>
        <n v="-126"/>
        <m/>
      </sharedItems>
    </cacheField>
    <cacheField name="其他费用2" numFmtId="0">
      <sharedItems containsBlank="1" containsNumber="1" containsMixedTypes="1" count="5">
        <m/>
        <n v="0"/>
        <s v="按实"/>
        <s v="6万（含）以下29%，6万以上28%"/>
        <n v="0.01"/>
      </sharedItems>
    </cacheField>
    <cacheField name="其他费用2金额 " numFmtId="0">
      <sharedItems containsString="0" containsBlank="1" containsNumber="1" minValue="0" maxValue="15601.28" count="5">
        <n v="0"/>
        <m/>
        <n v="830.27"/>
        <n v="15601.28"/>
        <n v="3000"/>
      </sharedItems>
    </cacheField>
    <cacheField name="其他费用2项目填写当月实际金额" numFmtId="0">
      <sharedItems containsString="0" containsBlank="1" containsNumber="1" minValue="0" maxValue="15601.28" count="5">
        <m/>
        <n v="0"/>
        <n v="830.27"/>
        <n v="15601.28"/>
        <n v="3000"/>
      </sharedItems>
    </cacheField>
    <cacheField name="其他费用2差异" numFmtId="0">
      <sharedItems containsString="0" containsBlank="1" containsNumber="1" containsInteger="1" minValue="0" maxValue="0" count="2">
        <n v="0"/>
        <m/>
      </sharedItems>
    </cacheField>
    <cacheField name="原材料比例" numFmtId="0">
      <sharedItems containsBlank="1" containsNumber="1" containsInteger="1" containsMixedTypes="1" count="5">
        <n v="0"/>
        <s v="按实"/>
        <m/>
        <s v=" 按实"/>
        <s v="按实结算"/>
      </sharedItems>
    </cacheField>
    <cacheField name="原材料金额" numFmtId="0">
      <sharedItems containsString="0" containsBlank="1" containsNumber="1" minValue="0" maxValue="160180" count="65">
        <n v="0"/>
        <n v="1554.2"/>
        <n v="99898.24"/>
        <n v="36324"/>
        <n v="20099.98"/>
        <n v="40922.01"/>
        <m/>
        <n v="30158.93"/>
        <n v="12049.233884017"/>
        <n v="5553.95086324367"/>
        <n v="5366.75141390986"/>
        <n v="2170.30915479769"/>
        <n v="3107.27519099341"/>
        <n v="318.205801688822"/>
        <n v="7396.06147294493"/>
        <n v="4937.76019150859"/>
        <n v="696.771371206729"/>
        <n v="10798.7753220454"/>
        <n v="6200.85157684527"/>
        <n v="7310.72375679856"/>
        <n v="138459.51"/>
        <n v="4117"/>
        <n v="472"/>
        <n v="147"/>
        <n v="1443.78"/>
        <n v="2300"/>
        <n v="17714.14"/>
        <n v="107259.41"/>
        <n v="524.5"/>
        <n v="583.1"/>
        <n v="172.8"/>
        <n v="257.34"/>
        <n v="575"/>
        <n v="425"/>
        <n v="38.4"/>
        <n v="147162.42"/>
        <n v="54725.15"/>
        <n v="27141.5"/>
        <n v="36356.41"/>
        <n v="105898.2"/>
        <n v="27164.54"/>
        <n v="120224"/>
        <n v="160180"/>
        <n v="123692.08"/>
        <n v="108379.57"/>
        <n v="125048.41"/>
        <n v="62294.72"/>
        <n v="66161.76"/>
        <n v="133275.73"/>
        <n v="30538.35"/>
        <n v="4566.48"/>
        <n v="23491.4"/>
        <n v="27715.58"/>
        <n v="31098.12"/>
        <n v="4732.92"/>
        <n v="2666.75"/>
        <n v="2529.95"/>
        <n v="2125.43"/>
        <n v="1359.45"/>
        <n v="5266.4"/>
        <n v="9596.75"/>
        <n v="1349.5"/>
        <n v="5144.6"/>
        <n v="7873.79"/>
        <n v="1374.2894"/>
      </sharedItems>
    </cacheField>
    <cacheField name="原材料项目填写当月实际金额" numFmtId="0">
      <sharedItems containsString="0" containsBlank="1" containsNumber="1" minValue="0" maxValue="160180" count="65">
        <m/>
        <n v="1554.2"/>
        <n v="99898.24"/>
        <n v="36324"/>
        <n v="20099.98"/>
        <n v="0"/>
        <n v="40922.01"/>
        <n v="30158.93"/>
        <n v="12049.233884017"/>
        <n v="5553.95086324367"/>
        <n v="5366.75141390986"/>
        <n v="2170.30915479769"/>
        <n v="3107.27519099341"/>
        <n v="318.205801688822"/>
        <n v="7396.06147294493"/>
        <n v="4937.76019150859"/>
        <n v="696.771371206729"/>
        <n v="10798.7753220454"/>
        <n v="6200.85157684527"/>
        <n v="7310.72375679856"/>
        <n v="138459.51"/>
        <n v="4117"/>
        <n v="472"/>
        <n v="147"/>
        <n v="1443.78"/>
        <n v="2300"/>
        <n v="17714.14"/>
        <n v="107259.41"/>
        <n v="524.5"/>
        <n v="583.1"/>
        <n v="172.8"/>
        <n v="257.34"/>
        <n v="575"/>
        <n v="425"/>
        <n v="38.4"/>
        <n v="147162.42"/>
        <n v="54725.15"/>
        <n v="27141.5"/>
        <n v="36356.41"/>
        <n v="105898.2"/>
        <n v="27164.54"/>
        <n v="120224"/>
        <n v="160180"/>
        <n v="123692.08"/>
        <n v="108379.57"/>
        <n v="125048.41"/>
        <n v="62294.72"/>
        <n v="66161.76"/>
        <n v="133275.73"/>
        <n v="30538.35"/>
        <n v="4566.48"/>
        <n v="23491.4"/>
        <n v="27715.58"/>
        <n v="31098.12"/>
        <n v="4732.92"/>
        <n v="2666.75"/>
        <n v="2529.95"/>
        <n v="2125.43"/>
        <n v="1359.45"/>
        <n v="5266.4"/>
        <n v="9596.75"/>
        <n v="1349.5"/>
        <n v="5144.6"/>
        <n v="7873.79"/>
        <n v="1374.2894"/>
      </sharedItems>
    </cacheField>
    <cacheField name="原材料差异" numFmtId="0">
      <sharedItems containsString="0" containsBlank="1" containsNumber="1" containsInteger="1" minValue="0" maxValue="0" count="2">
        <n v="0"/>
        <m/>
      </sharedItems>
    </cacheField>
    <cacheField name="成本费用合计金额" numFmtId="0">
      <sharedItems containsString="0" containsBlank="1" containsNumber="1" minValue="0" maxValue="361341.6882" count="283">
        <n v="0"/>
        <n v="4805.84"/>
        <n v="4336.8"/>
        <n v="21943.89"/>
        <n v="403.4745"/>
        <n v="144626.8089"/>
        <n v="962.136"/>
        <n v="3309.4037"/>
        <n v="3213.55"/>
        <n v="4478.82"/>
        <n v="14401.59"/>
        <n v="2034.555"/>
        <n v="274.92"/>
        <n v="2220.87"/>
        <n v="2794.27"/>
        <n v="7410.778"/>
        <n v="4803.555"/>
        <n v="3312.15"/>
        <n v="2818.235"/>
        <n v="8045.3"/>
        <n v="6429.65"/>
        <n v="7211.78"/>
        <n v="36324"/>
        <n v="58295.4"/>
        <n v="20755.56"/>
        <n v="1960.67375"/>
        <n v="13615.15"/>
        <n v="287"/>
        <n v="217"/>
        <n v="455"/>
        <n v="763"/>
        <n v="15140.25"/>
        <n v="77082.3208"/>
        <n v="23548.67"/>
        <n v="10351.87"/>
        <n v="228"/>
        <n v="1741.59"/>
        <n v="56"/>
        <n v="1726.59"/>
        <n v="1769.59"/>
        <n v="43"/>
        <n v="8136.89047968266"/>
        <n v="8928.2756"/>
        <n v="7329.25784420309"/>
        <n v="10202.8152"/>
        <n v="41752.4194"/>
        <n v="21389.283884017"/>
        <n v="13313.9608632437"/>
        <n v="14128.5354139099"/>
        <n v="6896.00915479769"/>
        <n v="8738.36519099341"/>
        <n v="1809.65580168882"/>
        <n v="20121.4914729449"/>
        <n v="13088.7801915086"/>
        <n v="4863.70137120673"/>
        <n v="23088.3813220454"/>
        <n v="22744.6590768453"/>
        <n v="19787.6837567986"/>
        <n v="287439.8644"/>
        <n v="4815.625"/>
        <n v="8551.9"/>
        <n v="10594.696"/>
        <n v="3260.0043"/>
        <n v="24434.76"/>
        <n v="6345.808"/>
        <n v="7653.7664"/>
        <n v="15610.7"/>
        <n v="6620.124"/>
        <n v="3951.7884"/>
        <n v="1246.63"/>
        <n v="3520.89"/>
        <n v="2448.26"/>
        <n v="2347.26"/>
        <n v="15199.695"/>
        <n v="1920.59"/>
        <n v="989.898"/>
        <n v="4109.79"/>
        <n v="1676.03"/>
        <n v="2609.7331"/>
        <n v="4373.12075"/>
        <n v="25986.61375"/>
        <n v="197191.4828"/>
        <n v="4082.4445"/>
        <n v="3734.659"/>
        <n v="4466.539"/>
        <n v="3220.2055"/>
        <n v="1676.88"/>
        <n v="1324.68"/>
        <n v="746.896"/>
        <n v="4219.957"/>
        <n v="3475.232"/>
        <n v="3881.1414"/>
        <n v="3284.872"/>
        <n v="2378.606"/>
        <n v="4839.054"/>
        <n v="1109.923"/>
        <n v="5062.949"/>
        <n v="5088.2274"/>
        <n v="7089.47"/>
        <n v="352.144"/>
        <n v="2037.54"/>
        <n v="1533.585"/>
        <n v="6302.4"/>
        <n v="153.5"/>
        <n v="1218.61"/>
        <n v="186.025"/>
        <n v="2674.92"/>
        <n v="3331.51"/>
        <n v="678.1"/>
        <n v="269638.155"/>
        <n v="30388.041"/>
        <n v="6078.7962"/>
        <n v="78632.04"/>
        <n v="2644.7"/>
        <n v="3500.7"/>
        <n v="6648.296"/>
        <n v="5389"/>
        <n v="2554.72"/>
        <n v="2935.146"/>
        <n v="5761.26"/>
        <n v="6196.85"/>
        <n v="3734.48"/>
        <n v="5428.2"/>
        <n v="10121.08"/>
        <n v="3739.44"/>
        <n v="1936.026"/>
        <n v="1794.47"/>
        <n v="4131.1"/>
        <n v="17488.5"/>
        <n v="3706.22"/>
        <n v="5989.48"/>
        <n v="6780.31"/>
        <n v="4382.71"/>
        <n v="6720.84"/>
        <n v="4040.5"/>
        <n v="4785.508"/>
        <n v="1613.8"/>
        <n v="1674.3"/>
        <n v="5607.952"/>
        <n v="147538.30872"/>
        <n v="2944.9668"/>
        <n v="3741.4644"/>
        <n v="3440.5504"/>
        <n v="5739.51788"/>
        <n v="2007.86"/>
        <n v="27209.4196"/>
        <n v="2143.3221"/>
        <n v="9101.9878"/>
        <n v="4244.7608"/>
        <n v="1869.266"/>
        <n v="1739.3544"/>
        <n v="109.978"/>
        <n v="346.5249"/>
        <n v="1531.7484"/>
        <n v="8649.74"/>
        <n v="9319.93"/>
        <n v="42041.8698"/>
        <n v="1897.242"/>
        <n v="880.27"/>
        <n v="1159.25"/>
        <n v="6665.026"/>
        <n v="3693.6344"/>
        <n v="352.47"/>
        <n v="23610.346"/>
        <n v="66.53"/>
        <n v="6744.505"/>
        <n v="3066.377"/>
        <n v="2357.965"/>
        <n v="3667.2599"/>
        <n v="12833.4"/>
        <n v="4049.08"/>
        <n v="10000"/>
        <n v="7500"/>
        <n v="8750"/>
        <n v="2237.08"/>
        <n v="237740.9152"/>
        <n v="418.3888"/>
        <n v="5688.553"/>
        <n v="9024.3925"/>
        <n v="7867.71"/>
        <n v="9741.5734"/>
        <n v="8979.14"/>
        <n v="1360.801"/>
        <n v="9000.02"/>
        <n v="4211.3526"/>
        <n v="5262.3936"/>
        <n v="1875.9432"/>
        <n v="9951.9912"/>
        <n v="79148.59625"/>
        <n v="4296.722"/>
        <n v="1008.641"/>
        <n v="1398.293"/>
        <n v="235889.912"/>
        <n v="8619.6088"/>
        <n v="1364.96"/>
        <n v="4708.89"/>
        <n v="2492.1"/>
        <n v="5445.4434"/>
        <n v="11966.178"/>
        <n v="6914.32"/>
        <n v="8578.88"/>
        <n v="1951.2"/>
        <n v="7559.2"/>
        <n v="5075.5734"/>
        <n v="3134.666"/>
        <n v="316371.1563"/>
        <n v="18151.3063"/>
        <n v="7690.59"/>
        <n v="10402.026"/>
        <n v="3888.124"/>
        <n v="261.0673"/>
        <n v="12785.0582"/>
        <n v="12926.2728"/>
        <n v="4242.998"/>
        <n v="4092.446"/>
        <n v="1831.2516"/>
        <n v="20000"/>
        <n v="3908.5"/>
        <n v="13221.494"/>
        <n v="4647.9654"/>
        <n v="23191.61"/>
        <n v="4442.88"/>
        <n v="7711.1456"/>
        <n v="176104.77"/>
        <n v="21637.9737"/>
        <n v="3297.4656"/>
        <n v="5129.28"/>
        <n v="12567.646"/>
        <n v="4951.05"/>
        <n v="2224.53"/>
        <n v="172023.071"/>
        <n v="361341.6882"/>
        <n v="7346.3367"/>
        <n v="288659.28"/>
        <n v="272267.86"/>
        <n v="10645"/>
        <n v="10500.5"/>
        <n v="226747.7221"/>
        <n v="4545.018"/>
        <n v="5159.462"/>
        <n v="4493.7837"/>
        <n v="1304.79"/>
        <n v="5312.011"/>
        <n v="4062.168"/>
        <n v="1678.77"/>
        <n v="5357.22"/>
        <n v="3737.8105"/>
        <n v="7542.4583"/>
        <n v="10481.08"/>
        <n v="9616.08"/>
        <n v="43292.9694444444"/>
        <n v="2690.21537037037"/>
        <n v="1204.84037037037"/>
        <n v="608.190740740741"/>
        <n v="386.29037037037"/>
        <n v="3896.31814814815"/>
        <n v="1062.90611111111"/>
        <n v="104.140740740741"/>
        <n v="55235.5824528302"/>
        <n v="12335.6452830189"/>
        <n v="46324.2575471698"/>
        <n v="91980.0316"/>
        <n v="74521.7182"/>
        <n v="10288.564"/>
        <n v="11149.406"/>
        <n v="16058.2772"/>
        <n v="12575.4774"/>
        <n v="6001.035"/>
        <n v="16698.8658"/>
        <n v="28096.902"/>
        <n v="17967.6004"/>
        <n v="18692.142"/>
        <n v="14420.971"/>
        <n v="312"/>
        <n v="1938.6812"/>
        <n v="8522.45"/>
        <n v="1000"/>
        <n v="16435.2396"/>
        <n v="1992.48"/>
        <n v="10204.824"/>
        <m/>
        <n v="1430.0514"/>
        <n v="3885.56"/>
      </sharedItems>
    </cacheField>
    <cacheField name="项目填写成本费用合计" numFmtId="0">
      <sharedItems containsString="0" containsBlank="1" containsNumber="1" minValue="0" maxValue="412642.3" count="124">
        <n v="0"/>
        <n v="31086.53"/>
        <n v="144922.1574"/>
        <n v="1070.262"/>
        <n v="3309.4037"/>
        <n v="3213.55"/>
        <n v="4478.82"/>
        <n v="14401.59"/>
        <n v="2034.555"/>
        <n v="274.92"/>
        <n v="2220.87"/>
        <n v="2794.27"/>
        <n v="7410.778"/>
        <n v="4803.555"/>
        <n v="3312.15"/>
        <n v="2818.235"/>
        <n v="8045.3"/>
        <n v="6429.65"/>
        <n v="7211.78"/>
        <n v="36324"/>
        <n v="81011.5"/>
        <n v="15477.4"/>
        <n v="15000"/>
        <n v="77082.33"/>
        <n v="23548.67"/>
        <n v="10351.87"/>
        <n v="228"/>
        <n v="1741.59"/>
        <n v="56"/>
        <n v="1726.59"/>
        <n v="1769.59"/>
        <n v="43"/>
        <n v="8136.89047968266"/>
        <n v="8928.2756"/>
        <n v="7329.2578442031"/>
        <n v="10202.8152"/>
        <n v="41752.4194"/>
        <n v="21389.283884017"/>
        <n v="13313.9608632437"/>
        <n v="14128.5354139099"/>
        <n v="6896.00915479769"/>
        <n v="8738.36519099341"/>
        <n v="1809.65580168882"/>
        <n v="20121.4914729449"/>
        <n v="13088.7801915086"/>
        <n v="4863.70137120673"/>
        <n v="23088.3813220454"/>
        <n v="22744.6590768453"/>
        <n v="19787.6837567986"/>
        <n v="379279.04"/>
        <n v="1246.63"/>
        <n v="3520.89"/>
        <n v="2448.26"/>
        <n v="2347.26"/>
        <n v="15199.6925"/>
        <n v="1920.595"/>
        <n v="989.903"/>
        <n v="4109.795"/>
        <n v="1676.03"/>
        <n v="2609.73135"/>
        <n v="4373.12075"/>
        <n v="25986.61375"/>
        <n v="260919.86"/>
        <n v="352.14"/>
        <n v="2037.54"/>
        <n v="1533.59"/>
        <n v="6302.4"/>
        <n v="153.5"/>
        <n v="1218.62"/>
        <n v="186.03"/>
        <n v="2674.92"/>
        <n v="3331.52"/>
        <n v="678.11"/>
        <n v="257138.21"/>
        <n v="183532.72"/>
        <n v="77257.26"/>
        <n v="163404.65"/>
        <n v="2007.86"/>
        <n v="27141.5"/>
        <n v="649.74"/>
        <n v="38474.8"/>
        <n v="178929.22"/>
        <n v="830.27"/>
        <n v="23672.72"/>
        <n v="12833.4"/>
        <n v="10000"/>
        <n v="7500"/>
        <n v="8750"/>
        <n v="311123.36"/>
        <n v="80551.53"/>
        <n v="303700.7"/>
        <n v="412642.3"/>
        <n v="233228.3713"/>
        <n v="221831.0163"/>
        <n v="368688.03"/>
        <n v="288659.28"/>
        <n v="293413.36"/>
        <n v="269941.21"/>
        <n v="10481.08"/>
        <n v="9616.08"/>
        <n v="40503.09"/>
        <n v="55235.5824528302"/>
        <n v="12335.6452830189"/>
        <n v="46324.2575471698"/>
        <n v="91980.0316"/>
        <n v="74521.7182"/>
        <n v="10288.564"/>
        <n v="11149.406"/>
        <n v="16058.2772"/>
        <n v="12575.4774"/>
        <n v="6001.035"/>
        <n v="16698.8658"/>
        <n v="28096.902"/>
        <n v="17967.6004"/>
        <n v="18692.142"/>
        <n v="14420.971"/>
        <n v="312"/>
        <n v="790.1"/>
        <n v="9671.0312"/>
        <n v="1000"/>
        <n v="16435.2396"/>
        <n v="1992.48"/>
        <n v="10204.824"/>
        <m/>
      </sharedItems>
    </cacheField>
    <cacheField name="差异合计" numFmtId="0">
      <sharedItems containsString="0" containsBlank="1" containsNumber="1" minValue="-177453.9238" maxValue="30388.041" count="202">
        <n v="0"/>
        <n v="4805.84"/>
        <n v="4336.8"/>
        <n v="-9142.64"/>
        <n v="403.4745"/>
        <n v="-295.348499999993"/>
        <n v="-108.126"/>
        <n v="-22716.1"/>
        <n v="20755.56"/>
        <n v="1960.67375"/>
        <n v="-1862.25"/>
        <n v="287"/>
        <n v="217"/>
        <n v="455"/>
        <n v="763"/>
        <n v="140.25"/>
        <n v="-0.00919999998586718"/>
        <n v="-91839.1756"/>
        <n v="4815.625"/>
        <n v="8551.9"/>
        <n v="10594.696"/>
        <n v="3260.0043"/>
        <n v="24434.76"/>
        <n v="6345.808"/>
        <n v="7653.7664"/>
        <n v="15610.7"/>
        <n v="6620.124"/>
        <n v="3951.7884"/>
        <n v="0.00249999999869033"/>
        <n v="-0.00499999999988177"/>
        <n v="-0.00499999999919964"/>
        <n v="0.00175000000035652"/>
        <n v="-63728.3772"/>
        <n v="4082.4445"/>
        <n v="3734.659"/>
        <n v="4466.539"/>
        <n v="3220.2055"/>
        <n v="1676.88"/>
        <n v="1324.68"/>
        <n v="746.896"/>
        <n v="4219.957"/>
        <n v="3475.232"/>
        <n v="3881.1414"/>
        <n v="3284.872"/>
        <n v="2378.606"/>
        <n v="4839.054"/>
        <n v="1109.923"/>
        <n v="5062.949"/>
        <n v="5088.2274"/>
        <n v="7089.47"/>
        <n v="0.0040000000000191"/>
        <n v="-0.00500000000010914"/>
        <n v="-0.00999999999999091"/>
        <n v="-0.00500000000002387"/>
        <n v="-0.00999999999976353"/>
        <n v="12499.945"/>
        <n v="30388.041"/>
        <n v="-177453.9238"/>
        <n v="1374.78"/>
        <n v="2644.7"/>
        <n v="3500.7"/>
        <n v="6648.296"/>
        <n v="5389"/>
        <n v="2554.72"/>
        <n v="2935.146"/>
        <n v="5761.26"/>
        <n v="6196.85"/>
        <n v="3734.48"/>
        <n v="5428.2"/>
        <n v="10121.08"/>
        <n v="3739.44"/>
        <n v="1936.026"/>
        <n v="1794.47"/>
        <n v="4131.1"/>
        <n v="17488.5"/>
        <n v="3706.22"/>
        <n v="5989.48"/>
        <n v="6780.31"/>
        <n v="4382.71"/>
        <n v="6720.84"/>
        <n v="4040.5"/>
        <n v="4785.508"/>
        <n v="1613.8"/>
        <n v="1674.3"/>
        <n v="5607.952"/>
        <n v="-15866.34128"/>
        <n v="2944.9668"/>
        <n v="3741.4644"/>
        <n v="3440.5504"/>
        <n v="5739.51788"/>
        <n v="67.9196000000011"/>
        <n v="2143.3221"/>
        <n v="9101.9878"/>
        <n v="4244.7608"/>
        <n v="1869.266"/>
        <n v="1739.3544"/>
        <n v="109.978"/>
        <n v="346.5249"/>
        <n v="1531.7484"/>
        <n v="8000"/>
        <n v="-29154.87"/>
        <n v="-136887.3502"/>
        <n v="1897.242"/>
        <n v="50"/>
        <n v="1159.25"/>
        <n v="6665.026"/>
        <n v="3693.6344"/>
        <n v="352.47"/>
        <n v="-62.3739999999998"/>
        <n v="66.53"/>
        <n v="6744.505"/>
        <n v="3066.377"/>
        <n v="2357.965"/>
        <n v="3667.2599"/>
        <n v="4049.08"/>
        <n v="2237.08"/>
        <n v="-73382.4448"/>
        <n v="418.3888"/>
        <n v="5688.553"/>
        <n v="9024.3925"/>
        <n v="7867.71"/>
        <n v="9741.5734"/>
        <n v="8979.14"/>
        <n v="1360.801"/>
        <n v="9000.02"/>
        <n v="4211.3526"/>
        <n v="5262.3936"/>
        <n v="1875.9432"/>
        <n v="9951.9912"/>
        <n v="-1402.93375"/>
        <n v="4296.722"/>
        <n v="1008.641"/>
        <n v="1398.293"/>
        <n v="-67810.788"/>
        <n v="8619.6088"/>
        <n v="1364.96"/>
        <n v="4708.89"/>
        <n v="2492.1"/>
        <n v="5445.4434"/>
        <n v="11966.178"/>
        <n v="6914.32"/>
        <n v="8578.88"/>
        <n v="1951.2"/>
        <n v="7559.2"/>
        <n v="5075.5734"/>
        <n v="3134.666"/>
        <n v="-96271.1437"/>
        <n v="18151.3063"/>
        <n v="7690.59"/>
        <n v="10402.026"/>
        <n v="3888.124"/>
        <n v="261.0673"/>
        <n v="12785.0582"/>
        <n v="12926.2728"/>
        <n v="4242.998"/>
        <n v="4092.446"/>
        <n v="1831.2516"/>
        <n v="20000"/>
        <n v="3908.5"/>
        <n v="13221.494"/>
        <n v="4647.9654"/>
        <n v="23191.61"/>
        <n v="4442.88"/>
        <n v="7711.1456"/>
        <n v="-57123.6013"/>
        <n v="21637.9737"/>
        <n v="3297.4656"/>
        <n v="5129.28"/>
        <n v="12567.646"/>
        <n v="4951.05"/>
        <n v="2224.53"/>
        <n v="-49807.9453"/>
        <n v="-7346.34180000005"/>
        <n v="7346.3367"/>
        <n v="-21145.5"/>
        <n v="10645"/>
        <n v="10500.5"/>
        <n v="-43193.4879"/>
        <n v="4545.018"/>
        <n v="5159.462"/>
        <n v="4493.7837"/>
        <n v="1304.79"/>
        <n v="5312.011"/>
        <n v="4062.168"/>
        <n v="1678.77"/>
        <n v="5357.22"/>
        <n v="3737.8105"/>
        <n v="7542.4583"/>
        <n v="2789.87944444444"/>
        <n v="2690.21537037037"/>
        <n v="1204.84037037037"/>
        <n v="608.190740740741"/>
        <n v="386.29037037037"/>
        <n v="3896.31814814815"/>
        <n v="1062.90611111111"/>
        <n v="104.140740740741"/>
        <n v="-2.91038304567337e-11"/>
        <n v="1148.5812"/>
        <n v="-1148.5812"/>
        <m/>
        <n v="1430.0514"/>
        <n v="3885.56"/>
      </sharedItems>
    </cacheField>
  </cacheFields>
</pivotCacheDefinition>
</file>

<file path=xl/pivotCache/pivotCacheRecords1.xml><?xml version="1.0" encoding="utf-8"?>
<pivotCacheRecords xmlns="http://schemas.openxmlformats.org/spreadsheetml/2006/main" xmlns:r="http://schemas.openxmlformats.org/officeDocument/2006/relationships" count="452">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1"/>
    <x v="0"/>
    <x v="1"/>
    <x v="1"/>
    <x v="1"/>
    <x v="1"/>
    <x v="1"/>
    <x v="1"/>
    <x v="1"/>
    <x v="1"/>
    <x v="0"/>
    <x v="0"/>
    <x v="0"/>
    <x v="1"/>
    <x v="1"/>
    <x v="0"/>
    <x v="0"/>
    <x v="0"/>
    <x v="1"/>
    <x v="0"/>
    <x v="0"/>
    <x v="0"/>
    <x v="0"/>
    <x v="0"/>
    <x v="0"/>
    <x v="0"/>
    <x v="1"/>
    <x v="0"/>
    <x v="0"/>
    <x v="0"/>
    <x v="1"/>
    <x v="0"/>
    <x v="0"/>
    <x v="0"/>
    <x v="1"/>
    <x v="0"/>
    <x v="0"/>
    <x v="0"/>
    <x v="1"/>
    <x v="0"/>
    <x v="0"/>
    <x v="0"/>
    <x v="1"/>
    <x v="0"/>
    <x v="0"/>
    <x v="0"/>
    <x v="1"/>
    <x v="0"/>
    <x v="0"/>
    <x v="0"/>
    <x v="1"/>
    <x v="0"/>
    <x v="0"/>
    <x v="0"/>
    <x v="1"/>
    <x v="0"/>
    <x v="0"/>
    <x v="0"/>
    <x v="1"/>
    <x v="0"/>
    <x v="0"/>
    <x v="0"/>
    <x v="1"/>
    <x v="0"/>
    <x v="0"/>
    <x v="0"/>
    <x v="0"/>
    <x v="0"/>
    <x v="0"/>
  </r>
  <r>
    <x v="2"/>
    <x v="2"/>
    <x v="0"/>
    <x v="1"/>
    <x v="1"/>
    <x v="1"/>
    <x v="1"/>
    <x v="2"/>
    <x v="2"/>
    <x v="2"/>
    <x v="2"/>
    <x v="0"/>
    <x v="0"/>
    <x v="0"/>
    <x v="2"/>
    <x v="1"/>
    <x v="1"/>
    <x v="0"/>
    <x v="1"/>
    <x v="1"/>
    <x v="1"/>
    <x v="0"/>
    <x v="1"/>
    <x v="0"/>
    <x v="0"/>
    <x v="0"/>
    <x v="0"/>
    <x v="1"/>
    <x v="1"/>
    <x v="0"/>
    <x v="1"/>
    <x v="1"/>
    <x v="1"/>
    <x v="0"/>
    <x v="1"/>
    <x v="1"/>
    <x v="1"/>
    <x v="0"/>
    <x v="1"/>
    <x v="1"/>
    <x v="1"/>
    <x v="0"/>
    <x v="1"/>
    <x v="1"/>
    <x v="1"/>
    <x v="0"/>
    <x v="1"/>
    <x v="1"/>
    <x v="1"/>
    <x v="0"/>
    <x v="1"/>
    <x v="1"/>
    <x v="0"/>
    <x v="0"/>
    <x v="0"/>
    <x v="1"/>
    <x v="0"/>
    <x v="0"/>
    <x v="0"/>
    <x v="1"/>
    <x v="0"/>
    <x v="0"/>
    <x v="0"/>
    <x v="1"/>
    <x v="0"/>
    <x v="0"/>
    <x v="0"/>
    <x v="1"/>
    <x v="0"/>
    <x v="1"/>
  </r>
  <r>
    <x v="3"/>
    <x v="3"/>
    <x v="0"/>
    <x v="1"/>
    <x v="1"/>
    <x v="1"/>
    <x v="1"/>
    <x v="3"/>
    <x v="3"/>
    <x v="3"/>
    <x v="3"/>
    <x v="0"/>
    <x v="0"/>
    <x v="0"/>
    <x v="1"/>
    <x v="1"/>
    <x v="2"/>
    <x v="0"/>
    <x v="2"/>
    <x v="1"/>
    <x v="2"/>
    <x v="0"/>
    <x v="2"/>
    <x v="0"/>
    <x v="0"/>
    <x v="0"/>
    <x v="0"/>
    <x v="1"/>
    <x v="2"/>
    <x v="0"/>
    <x v="2"/>
    <x v="1"/>
    <x v="2"/>
    <x v="0"/>
    <x v="2"/>
    <x v="1"/>
    <x v="2"/>
    <x v="0"/>
    <x v="2"/>
    <x v="1"/>
    <x v="2"/>
    <x v="0"/>
    <x v="2"/>
    <x v="1"/>
    <x v="2"/>
    <x v="0"/>
    <x v="2"/>
    <x v="1"/>
    <x v="2"/>
    <x v="0"/>
    <x v="2"/>
    <x v="1"/>
    <x v="0"/>
    <x v="0"/>
    <x v="0"/>
    <x v="1"/>
    <x v="0"/>
    <x v="0"/>
    <x v="0"/>
    <x v="1"/>
    <x v="0"/>
    <x v="0"/>
    <x v="0"/>
    <x v="1"/>
    <x v="0"/>
    <x v="0"/>
    <x v="0"/>
    <x v="2"/>
    <x v="0"/>
    <x v="2"/>
  </r>
  <r>
    <x v="4"/>
    <x v="4"/>
    <x v="0"/>
    <x v="1"/>
    <x v="1"/>
    <x v="1"/>
    <x v="1"/>
    <x v="4"/>
    <x v="4"/>
    <x v="4"/>
    <x v="4"/>
    <x v="0"/>
    <x v="0"/>
    <x v="1"/>
    <x v="1"/>
    <x v="1"/>
    <x v="3"/>
    <x v="1"/>
    <x v="3"/>
    <x v="1"/>
    <x v="3"/>
    <x v="1"/>
    <x v="3"/>
    <x v="0"/>
    <x v="0"/>
    <x v="1"/>
    <x v="0"/>
    <x v="1"/>
    <x v="3"/>
    <x v="1"/>
    <x v="3"/>
    <x v="1"/>
    <x v="3"/>
    <x v="1"/>
    <x v="3"/>
    <x v="1"/>
    <x v="3"/>
    <x v="1"/>
    <x v="3"/>
    <x v="1"/>
    <x v="3"/>
    <x v="1"/>
    <x v="3"/>
    <x v="1"/>
    <x v="3"/>
    <x v="1"/>
    <x v="3"/>
    <x v="1"/>
    <x v="3"/>
    <x v="1"/>
    <x v="3"/>
    <x v="1"/>
    <x v="1"/>
    <x v="1"/>
    <x v="0"/>
    <x v="1"/>
    <x v="0"/>
    <x v="1"/>
    <x v="0"/>
    <x v="1"/>
    <x v="0"/>
    <x v="1"/>
    <x v="0"/>
    <x v="1"/>
    <x v="1"/>
    <x v="1"/>
    <x v="0"/>
    <x v="3"/>
    <x v="1"/>
    <x v="3"/>
  </r>
  <r>
    <x v="5"/>
    <x v="5"/>
    <x v="0"/>
    <x v="2"/>
    <x v="2"/>
    <x v="2"/>
    <x v="1"/>
    <x v="2"/>
    <x v="5"/>
    <x v="5"/>
    <x v="5"/>
    <x v="0"/>
    <x v="0"/>
    <x v="0"/>
    <x v="3"/>
    <x v="2"/>
    <x v="4"/>
    <x v="0"/>
    <x v="4"/>
    <x v="2"/>
    <x v="4"/>
    <x v="0"/>
    <x v="4"/>
    <x v="0"/>
    <x v="0"/>
    <x v="0"/>
    <x v="0"/>
    <x v="2"/>
    <x v="4"/>
    <x v="0"/>
    <x v="4"/>
    <x v="2"/>
    <x v="4"/>
    <x v="0"/>
    <x v="4"/>
    <x v="0"/>
    <x v="0"/>
    <x v="0"/>
    <x v="0"/>
    <x v="2"/>
    <x v="4"/>
    <x v="0"/>
    <x v="4"/>
    <x v="0"/>
    <x v="0"/>
    <x v="0"/>
    <x v="0"/>
    <x v="2"/>
    <x v="4"/>
    <x v="0"/>
    <x v="4"/>
    <x v="1"/>
    <x v="0"/>
    <x v="0"/>
    <x v="0"/>
    <x v="1"/>
    <x v="0"/>
    <x v="0"/>
    <x v="0"/>
    <x v="1"/>
    <x v="0"/>
    <x v="0"/>
    <x v="0"/>
    <x v="1"/>
    <x v="0"/>
    <x v="0"/>
    <x v="0"/>
    <x v="4"/>
    <x v="0"/>
    <x v="4"/>
  </r>
  <r>
    <x v="6"/>
    <x v="6"/>
    <x v="0"/>
    <x v="2"/>
    <x v="2"/>
    <x v="2"/>
    <x v="1"/>
    <x v="5"/>
    <x v="6"/>
    <x v="6"/>
    <x v="6"/>
    <x v="0"/>
    <x v="0"/>
    <x v="0"/>
    <x v="4"/>
    <x v="0"/>
    <x v="0"/>
    <x v="0"/>
    <x v="0"/>
    <x v="0"/>
    <x v="0"/>
    <x v="0"/>
    <x v="0"/>
    <x v="0"/>
    <x v="0"/>
    <x v="0"/>
    <x v="0"/>
    <x v="0"/>
    <x v="0"/>
    <x v="0"/>
    <x v="0"/>
    <x v="0"/>
    <x v="0"/>
    <x v="0"/>
    <x v="0"/>
    <x v="0"/>
    <x v="0"/>
    <x v="0"/>
    <x v="0"/>
    <x v="0"/>
    <x v="0"/>
    <x v="0"/>
    <x v="0"/>
    <x v="0"/>
    <x v="0"/>
    <x v="0"/>
    <x v="0"/>
    <x v="0"/>
    <x v="0"/>
    <x v="0"/>
    <x v="0"/>
    <x v="1"/>
    <x v="0"/>
    <x v="0"/>
    <x v="0"/>
    <x v="2"/>
    <x v="1"/>
    <x v="2"/>
    <x v="0"/>
    <x v="1"/>
    <x v="0"/>
    <x v="0"/>
    <x v="0"/>
    <x v="1"/>
    <x v="0"/>
    <x v="0"/>
    <x v="0"/>
    <x v="5"/>
    <x v="2"/>
    <x v="0"/>
  </r>
  <r>
    <x v="7"/>
    <x v="7"/>
    <x v="0"/>
    <x v="2"/>
    <x v="2"/>
    <x v="2"/>
    <x v="1"/>
    <x v="3"/>
    <x v="7"/>
    <x v="7"/>
    <x v="7"/>
    <x v="0"/>
    <x v="0"/>
    <x v="0"/>
    <x v="5"/>
    <x v="2"/>
    <x v="5"/>
    <x v="0"/>
    <x v="5"/>
    <x v="2"/>
    <x v="5"/>
    <x v="0"/>
    <x v="5"/>
    <x v="0"/>
    <x v="0"/>
    <x v="0"/>
    <x v="0"/>
    <x v="2"/>
    <x v="5"/>
    <x v="0"/>
    <x v="5"/>
    <x v="2"/>
    <x v="5"/>
    <x v="0"/>
    <x v="5"/>
    <x v="0"/>
    <x v="0"/>
    <x v="0"/>
    <x v="0"/>
    <x v="2"/>
    <x v="5"/>
    <x v="0"/>
    <x v="5"/>
    <x v="0"/>
    <x v="0"/>
    <x v="0"/>
    <x v="0"/>
    <x v="2"/>
    <x v="5"/>
    <x v="0"/>
    <x v="5"/>
    <x v="1"/>
    <x v="0"/>
    <x v="0"/>
    <x v="0"/>
    <x v="1"/>
    <x v="0"/>
    <x v="0"/>
    <x v="0"/>
    <x v="1"/>
    <x v="0"/>
    <x v="0"/>
    <x v="0"/>
    <x v="1"/>
    <x v="0"/>
    <x v="0"/>
    <x v="0"/>
    <x v="6"/>
    <x v="0"/>
    <x v="5"/>
  </r>
  <r>
    <x v="8"/>
    <x v="8"/>
    <x v="0"/>
    <x v="2"/>
    <x v="2"/>
    <x v="2"/>
    <x v="1"/>
    <x v="4"/>
    <x v="8"/>
    <x v="8"/>
    <x v="8"/>
    <x v="0"/>
    <x v="0"/>
    <x v="2"/>
    <x v="6"/>
    <x v="2"/>
    <x v="6"/>
    <x v="0"/>
    <x v="6"/>
    <x v="2"/>
    <x v="6"/>
    <x v="2"/>
    <x v="6"/>
    <x v="0"/>
    <x v="0"/>
    <x v="1"/>
    <x v="0"/>
    <x v="2"/>
    <x v="6"/>
    <x v="2"/>
    <x v="6"/>
    <x v="2"/>
    <x v="6"/>
    <x v="2"/>
    <x v="6"/>
    <x v="0"/>
    <x v="0"/>
    <x v="2"/>
    <x v="0"/>
    <x v="2"/>
    <x v="6"/>
    <x v="2"/>
    <x v="6"/>
    <x v="0"/>
    <x v="0"/>
    <x v="2"/>
    <x v="0"/>
    <x v="2"/>
    <x v="6"/>
    <x v="2"/>
    <x v="6"/>
    <x v="1"/>
    <x v="2"/>
    <x v="2"/>
    <x v="0"/>
    <x v="1"/>
    <x v="0"/>
    <x v="1"/>
    <x v="0"/>
    <x v="1"/>
    <x v="0"/>
    <x v="1"/>
    <x v="0"/>
    <x v="1"/>
    <x v="2"/>
    <x v="2"/>
    <x v="0"/>
    <x v="7"/>
    <x v="3"/>
    <x v="6"/>
  </r>
  <r>
    <x v="9"/>
    <x v="9"/>
    <x v="0"/>
    <x v="2"/>
    <x v="2"/>
    <x v="2"/>
    <x v="1"/>
    <x v="1"/>
    <x v="9"/>
    <x v="9"/>
    <x v="9"/>
    <x v="0"/>
    <x v="0"/>
    <x v="0"/>
    <x v="7"/>
    <x v="2"/>
    <x v="7"/>
    <x v="2"/>
    <x v="7"/>
    <x v="2"/>
    <x v="7"/>
    <x v="0"/>
    <x v="7"/>
    <x v="0"/>
    <x v="0"/>
    <x v="0"/>
    <x v="0"/>
    <x v="2"/>
    <x v="7"/>
    <x v="0"/>
    <x v="7"/>
    <x v="2"/>
    <x v="7"/>
    <x v="0"/>
    <x v="7"/>
    <x v="0"/>
    <x v="0"/>
    <x v="0"/>
    <x v="0"/>
    <x v="2"/>
    <x v="7"/>
    <x v="0"/>
    <x v="7"/>
    <x v="0"/>
    <x v="0"/>
    <x v="0"/>
    <x v="0"/>
    <x v="0"/>
    <x v="0"/>
    <x v="0"/>
    <x v="0"/>
    <x v="1"/>
    <x v="0"/>
    <x v="0"/>
    <x v="0"/>
    <x v="1"/>
    <x v="0"/>
    <x v="0"/>
    <x v="0"/>
    <x v="1"/>
    <x v="0"/>
    <x v="0"/>
    <x v="0"/>
    <x v="1"/>
    <x v="0"/>
    <x v="0"/>
    <x v="0"/>
    <x v="8"/>
    <x v="4"/>
    <x v="7"/>
  </r>
  <r>
    <x v="10"/>
    <x v="10"/>
    <x v="0"/>
    <x v="3"/>
    <x v="3"/>
    <x v="1"/>
    <x v="2"/>
    <x v="0"/>
    <x v="0"/>
    <x v="0"/>
    <x v="1"/>
    <x v="0"/>
    <x v="0"/>
    <x v="0"/>
    <x v="8"/>
    <x v="0"/>
    <x v="0"/>
    <x v="0"/>
    <x v="0"/>
    <x v="3"/>
    <x v="0"/>
    <x v="0"/>
    <x v="0"/>
    <x v="1"/>
    <x v="0"/>
    <x v="0"/>
    <x v="0"/>
    <x v="3"/>
    <x v="0"/>
    <x v="0"/>
    <x v="0"/>
    <x v="0"/>
    <x v="0"/>
    <x v="0"/>
    <x v="0"/>
    <x v="0"/>
    <x v="0"/>
    <x v="0"/>
    <x v="0"/>
    <x v="0"/>
    <x v="0"/>
    <x v="0"/>
    <x v="0"/>
    <x v="2"/>
    <x v="0"/>
    <x v="0"/>
    <x v="0"/>
    <x v="3"/>
    <x v="0"/>
    <x v="0"/>
    <x v="0"/>
    <x v="2"/>
    <x v="0"/>
    <x v="0"/>
    <x v="0"/>
    <x v="0"/>
    <x v="0"/>
    <x v="0"/>
    <x v="0"/>
    <x v="0"/>
    <x v="0"/>
    <x v="0"/>
    <x v="0"/>
    <x v="2"/>
    <x v="0"/>
    <x v="0"/>
    <x v="0"/>
    <x v="0"/>
    <x v="0"/>
    <x v="0"/>
  </r>
  <r>
    <x v="11"/>
    <x v="11"/>
    <x v="0"/>
    <x v="3"/>
    <x v="3"/>
    <x v="1"/>
    <x v="2"/>
    <x v="0"/>
    <x v="10"/>
    <x v="10"/>
    <x v="10"/>
    <x v="0"/>
    <x v="0"/>
    <x v="0"/>
    <x v="9"/>
    <x v="3"/>
    <x v="8"/>
    <x v="3"/>
    <x v="0"/>
    <x v="0"/>
    <x v="0"/>
    <x v="0"/>
    <x v="0"/>
    <x v="0"/>
    <x v="0"/>
    <x v="0"/>
    <x v="0"/>
    <x v="4"/>
    <x v="8"/>
    <x v="3"/>
    <x v="0"/>
    <x v="2"/>
    <x v="8"/>
    <x v="3"/>
    <x v="0"/>
    <x v="2"/>
    <x v="4"/>
    <x v="3"/>
    <x v="0"/>
    <x v="0"/>
    <x v="0"/>
    <x v="0"/>
    <x v="0"/>
    <x v="3"/>
    <x v="4"/>
    <x v="3"/>
    <x v="0"/>
    <x v="4"/>
    <x v="7"/>
    <x v="3"/>
    <x v="0"/>
    <x v="1"/>
    <x v="0"/>
    <x v="0"/>
    <x v="0"/>
    <x v="3"/>
    <x v="0"/>
    <x v="0"/>
    <x v="0"/>
    <x v="2"/>
    <x v="0"/>
    <x v="0"/>
    <x v="0"/>
    <x v="1"/>
    <x v="0"/>
    <x v="0"/>
    <x v="0"/>
    <x v="9"/>
    <x v="5"/>
    <x v="0"/>
  </r>
  <r>
    <x v="12"/>
    <x v="12"/>
    <x v="0"/>
    <x v="3"/>
    <x v="3"/>
    <x v="1"/>
    <x v="2"/>
    <x v="0"/>
    <x v="11"/>
    <x v="11"/>
    <x v="11"/>
    <x v="0"/>
    <x v="0"/>
    <x v="0"/>
    <x v="10"/>
    <x v="3"/>
    <x v="9"/>
    <x v="4"/>
    <x v="0"/>
    <x v="0"/>
    <x v="0"/>
    <x v="0"/>
    <x v="0"/>
    <x v="0"/>
    <x v="0"/>
    <x v="0"/>
    <x v="0"/>
    <x v="4"/>
    <x v="9"/>
    <x v="4"/>
    <x v="0"/>
    <x v="2"/>
    <x v="9"/>
    <x v="4"/>
    <x v="0"/>
    <x v="2"/>
    <x v="5"/>
    <x v="4"/>
    <x v="0"/>
    <x v="0"/>
    <x v="0"/>
    <x v="0"/>
    <x v="0"/>
    <x v="3"/>
    <x v="5"/>
    <x v="4"/>
    <x v="0"/>
    <x v="4"/>
    <x v="8"/>
    <x v="4"/>
    <x v="0"/>
    <x v="1"/>
    <x v="0"/>
    <x v="0"/>
    <x v="0"/>
    <x v="3"/>
    <x v="0"/>
    <x v="0"/>
    <x v="0"/>
    <x v="2"/>
    <x v="0"/>
    <x v="0"/>
    <x v="0"/>
    <x v="1"/>
    <x v="0"/>
    <x v="0"/>
    <x v="0"/>
    <x v="10"/>
    <x v="6"/>
    <x v="0"/>
  </r>
  <r>
    <x v="13"/>
    <x v="13"/>
    <x v="0"/>
    <x v="3"/>
    <x v="3"/>
    <x v="1"/>
    <x v="2"/>
    <x v="0"/>
    <x v="12"/>
    <x v="12"/>
    <x v="12"/>
    <x v="0"/>
    <x v="0"/>
    <x v="0"/>
    <x v="11"/>
    <x v="3"/>
    <x v="10"/>
    <x v="5"/>
    <x v="0"/>
    <x v="0"/>
    <x v="0"/>
    <x v="0"/>
    <x v="0"/>
    <x v="0"/>
    <x v="0"/>
    <x v="0"/>
    <x v="0"/>
    <x v="4"/>
    <x v="10"/>
    <x v="5"/>
    <x v="0"/>
    <x v="2"/>
    <x v="10"/>
    <x v="5"/>
    <x v="0"/>
    <x v="2"/>
    <x v="6"/>
    <x v="5"/>
    <x v="0"/>
    <x v="0"/>
    <x v="0"/>
    <x v="0"/>
    <x v="0"/>
    <x v="3"/>
    <x v="6"/>
    <x v="5"/>
    <x v="0"/>
    <x v="4"/>
    <x v="9"/>
    <x v="5"/>
    <x v="0"/>
    <x v="1"/>
    <x v="0"/>
    <x v="0"/>
    <x v="0"/>
    <x v="3"/>
    <x v="0"/>
    <x v="0"/>
    <x v="0"/>
    <x v="2"/>
    <x v="0"/>
    <x v="0"/>
    <x v="0"/>
    <x v="1"/>
    <x v="0"/>
    <x v="0"/>
    <x v="0"/>
    <x v="11"/>
    <x v="7"/>
    <x v="0"/>
  </r>
  <r>
    <x v="14"/>
    <x v="14"/>
    <x v="0"/>
    <x v="3"/>
    <x v="3"/>
    <x v="1"/>
    <x v="2"/>
    <x v="0"/>
    <x v="13"/>
    <x v="13"/>
    <x v="13"/>
    <x v="0"/>
    <x v="0"/>
    <x v="0"/>
    <x v="12"/>
    <x v="4"/>
    <x v="11"/>
    <x v="6"/>
    <x v="0"/>
    <x v="0"/>
    <x v="0"/>
    <x v="0"/>
    <x v="0"/>
    <x v="0"/>
    <x v="0"/>
    <x v="0"/>
    <x v="0"/>
    <x v="5"/>
    <x v="11"/>
    <x v="6"/>
    <x v="0"/>
    <x v="2"/>
    <x v="11"/>
    <x v="6"/>
    <x v="0"/>
    <x v="3"/>
    <x v="7"/>
    <x v="6"/>
    <x v="0"/>
    <x v="0"/>
    <x v="0"/>
    <x v="0"/>
    <x v="0"/>
    <x v="3"/>
    <x v="7"/>
    <x v="6"/>
    <x v="0"/>
    <x v="4"/>
    <x v="10"/>
    <x v="6"/>
    <x v="0"/>
    <x v="1"/>
    <x v="0"/>
    <x v="0"/>
    <x v="0"/>
    <x v="3"/>
    <x v="0"/>
    <x v="0"/>
    <x v="0"/>
    <x v="2"/>
    <x v="0"/>
    <x v="0"/>
    <x v="0"/>
    <x v="1"/>
    <x v="0"/>
    <x v="0"/>
    <x v="0"/>
    <x v="12"/>
    <x v="8"/>
    <x v="0"/>
  </r>
  <r>
    <x v="15"/>
    <x v="15"/>
    <x v="0"/>
    <x v="3"/>
    <x v="3"/>
    <x v="1"/>
    <x v="2"/>
    <x v="0"/>
    <x v="14"/>
    <x v="14"/>
    <x v="14"/>
    <x v="0"/>
    <x v="0"/>
    <x v="0"/>
    <x v="13"/>
    <x v="3"/>
    <x v="12"/>
    <x v="7"/>
    <x v="0"/>
    <x v="0"/>
    <x v="0"/>
    <x v="0"/>
    <x v="0"/>
    <x v="0"/>
    <x v="0"/>
    <x v="0"/>
    <x v="0"/>
    <x v="4"/>
    <x v="12"/>
    <x v="7"/>
    <x v="0"/>
    <x v="2"/>
    <x v="12"/>
    <x v="7"/>
    <x v="0"/>
    <x v="2"/>
    <x v="8"/>
    <x v="7"/>
    <x v="0"/>
    <x v="0"/>
    <x v="0"/>
    <x v="0"/>
    <x v="0"/>
    <x v="3"/>
    <x v="8"/>
    <x v="7"/>
    <x v="0"/>
    <x v="4"/>
    <x v="11"/>
    <x v="7"/>
    <x v="0"/>
    <x v="1"/>
    <x v="0"/>
    <x v="0"/>
    <x v="0"/>
    <x v="3"/>
    <x v="0"/>
    <x v="0"/>
    <x v="0"/>
    <x v="2"/>
    <x v="0"/>
    <x v="0"/>
    <x v="0"/>
    <x v="1"/>
    <x v="0"/>
    <x v="0"/>
    <x v="0"/>
    <x v="13"/>
    <x v="9"/>
    <x v="0"/>
  </r>
  <r>
    <x v="16"/>
    <x v="16"/>
    <x v="0"/>
    <x v="3"/>
    <x v="3"/>
    <x v="1"/>
    <x v="2"/>
    <x v="0"/>
    <x v="15"/>
    <x v="14"/>
    <x v="15"/>
    <x v="0"/>
    <x v="0"/>
    <x v="0"/>
    <x v="14"/>
    <x v="3"/>
    <x v="13"/>
    <x v="8"/>
    <x v="0"/>
    <x v="0"/>
    <x v="0"/>
    <x v="0"/>
    <x v="0"/>
    <x v="0"/>
    <x v="0"/>
    <x v="0"/>
    <x v="0"/>
    <x v="4"/>
    <x v="13"/>
    <x v="8"/>
    <x v="0"/>
    <x v="2"/>
    <x v="13"/>
    <x v="8"/>
    <x v="0"/>
    <x v="2"/>
    <x v="9"/>
    <x v="8"/>
    <x v="0"/>
    <x v="0"/>
    <x v="0"/>
    <x v="0"/>
    <x v="0"/>
    <x v="3"/>
    <x v="9"/>
    <x v="8"/>
    <x v="0"/>
    <x v="4"/>
    <x v="12"/>
    <x v="8"/>
    <x v="0"/>
    <x v="1"/>
    <x v="0"/>
    <x v="0"/>
    <x v="0"/>
    <x v="3"/>
    <x v="0"/>
    <x v="0"/>
    <x v="0"/>
    <x v="2"/>
    <x v="0"/>
    <x v="0"/>
    <x v="0"/>
    <x v="1"/>
    <x v="0"/>
    <x v="0"/>
    <x v="0"/>
    <x v="14"/>
    <x v="10"/>
    <x v="0"/>
  </r>
  <r>
    <x v="17"/>
    <x v="17"/>
    <x v="0"/>
    <x v="3"/>
    <x v="3"/>
    <x v="1"/>
    <x v="2"/>
    <x v="0"/>
    <x v="16"/>
    <x v="10"/>
    <x v="16"/>
    <x v="0"/>
    <x v="0"/>
    <x v="0"/>
    <x v="15"/>
    <x v="0"/>
    <x v="0"/>
    <x v="9"/>
    <x v="0"/>
    <x v="0"/>
    <x v="0"/>
    <x v="0"/>
    <x v="0"/>
    <x v="0"/>
    <x v="0"/>
    <x v="0"/>
    <x v="0"/>
    <x v="0"/>
    <x v="0"/>
    <x v="9"/>
    <x v="0"/>
    <x v="0"/>
    <x v="0"/>
    <x v="0"/>
    <x v="0"/>
    <x v="0"/>
    <x v="0"/>
    <x v="2"/>
    <x v="0"/>
    <x v="0"/>
    <x v="0"/>
    <x v="0"/>
    <x v="0"/>
    <x v="0"/>
    <x v="0"/>
    <x v="2"/>
    <x v="0"/>
    <x v="5"/>
    <x v="13"/>
    <x v="9"/>
    <x v="0"/>
    <x v="1"/>
    <x v="0"/>
    <x v="0"/>
    <x v="0"/>
    <x v="3"/>
    <x v="0"/>
    <x v="0"/>
    <x v="0"/>
    <x v="2"/>
    <x v="0"/>
    <x v="0"/>
    <x v="0"/>
    <x v="1"/>
    <x v="0"/>
    <x v="0"/>
    <x v="0"/>
    <x v="15"/>
    <x v="11"/>
    <x v="0"/>
  </r>
  <r>
    <x v="18"/>
    <x v="18"/>
    <x v="0"/>
    <x v="3"/>
    <x v="3"/>
    <x v="1"/>
    <x v="2"/>
    <x v="0"/>
    <x v="17"/>
    <x v="15"/>
    <x v="17"/>
    <x v="0"/>
    <x v="0"/>
    <x v="0"/>
    <x v="16"/>
    <x v="5"/>
    <x v="0"/>
    <x v="9"/>
    <x v="0"/>
    <x v="0"/>
    <x v="0"/>
    <x v="0"/>
    <x v="0"/>
    <x v="0"/>
    <x v="0"/>
    <x v="0"/>
    <x v="0"/>
    <x v="0"/>
    <x v="0"/>
    <x v="9"/>
    <x v="0"/>
    <x v="0"/>
    <x v="0"/>
    <x v="0"/>
    <x v="0"/>
    <x v="0"/>
    <x v="0"/>
    <x v="2"/>
    <x v="0"/>
    <x v="0"/>
    <x v="0"/>
    <x v="0"/>
    <x v="0"/>
    <x v="4"/>
    <x v="10"/>
    <x v="9"/>
    <x v="0"/>
    <x v="6"/>
    <x v="14"/>
    <x v="10"/>
    <x v="0"/>
    <x v="1"/>
    <x v="0"/>
    <x v="0"/>
    <x v="0"/>
    <x v="3"/>
    <x v="0"/>
    <x v="0"/>
    <x v="0"/>
    <x v="2"/>
    <x v="0"/>
    <x v="0"/>
    <x v="0"/>
    <x v="1"/>
    <x v="0"/>
    <x v="0"/>
    <x v="0"/>
    <x v="16"/>
    <x v="12"/>
    <x v="0"/>
  </r>
  <r>
    <x v="19"/>
    <x v="19"/>
    <x v="0"/>
    <x v="3"/>
    <x v="3"/>
    <x v="1"/>
    <x v="2"/>
    <x v="0"/>
    <x v="18"/>
    <x v="10"/>
    <x v="18"/>
    <x v="0"/>
    <x v="0"/>
    <x v="0"/>
    <x v="17"/>
    <x v="3"/>
    <x v="14"/>
    <x v="10"/>
    <x v="0"/>
    <x v="0"/>
    <x v="0"/>
    <x v="0"/>
    <x v="0"/>
    <x v="0"/>
    <x v="0"/>
    <x v="0"/>
    <x v="0"/>
    <x v="4"/>
    <x v="14"/>
    <x v="10"/>
    <x v="0"/>
    <x v="2"/>
    <x v="14"/>
    <x v="9"/>
    <x v="0"/>
    <x v="2"/>
    <x v="10"/>
    <x v="9"/>
    <x v="0"/>
    <x v="0"/>
    <x v="0"/>
    <x v="0"/>
    <x v="0"/>
    <x v="3"/>
    <x v="11"/>
    <x v="10"/>
    <x v="0"/>
    <x v="4"/>
    <x v="15"/>
    <x v="11"/>
    <x v="0"/>
    <x v="1"/>
    <x v="0"/>
    <x v="0"/>
    <x v="0"/>
    <x v="3"/>
    <x v="0"/>
    <x v="0"/>
    <x v="0"/>
    <x v="2"/>
    <x v="0"/>
    <x v="0"/>
    <x v="0"/>
    <x v="1"/>
    <x v="0"/>
    <x v="0"/>
    <x v="0"/>
    <x v="17"/>
    <x v="13"/>
    <x v="0"/>
  </r>
  <r>
    <x v="20"/>
    <x v="20"/>
    <x v="0"/>
    <x v="3"/>
    <x v="3"/>
    <x v="1"/>
    <x v="2"/>
    <x v="0"/>
    <x v="19"/>
    <x v="16"/>
    <x v="19"/>
    <x v="0"/>
    <x v="0"/>
    <x v="0"/>
    <x v="18"/>
    <x v="3"/>
    <x v="15"/>
    <x v="11"/>
    <x v="0"/>
    <x v="0"/>
    <x v="0"/>
    <x v="0"/>
    <x v="0"/>
    <x v="0"/>
    <x v="0"/>
    <x v="0"/>
    <x v="0"/>
    <x v="4"/>
    <x v="15"/>
    <x v="11"/>
    <x v="0"/>
    <x v="2"/>
    <x v="15"/>
    <x v="10"/>
    <x v="0"/>
    <x v="2"/>
    <x v="11"/>
    <x v="10"/>
    <x v="0"/>
    <x v="0"/>
    <x v="0"/>
    <x v="0"/>
    <x v="0"/>
    <x v="3"/>
    <x v="12"/>
    <x v="11"/>
    <x v="0"/>
    <x v="4"/>
    <x v="16"/>
    <x v="12"/>
    <x v="0"/>
    <x v="1"/>
    <x v="0"/>
    <x v="0"/>
    <x v="0"/>
    <x v="3"/>
    <x v="0"/>
    <x v="0"/>
    <x v="0"/>
    <x v="2"/>
    <x v="0"/>
    <x v="0"/>
    <x v="0"/>
    <x v="1"/>
    <x v="0"/>
    <x v="0"/>
    <x v="0"/>
    <x v="18"/>
    <x v="14"/>
    <x v="0"/>
  </r>
  <r>
    <x v="21"/>
    <x v="21"/>
    <x v="0"/>
    <x v="3"/>
    <x v="3"/>
    <x v="1"/>
    <x v="2"/>
    <x v="0"/>
    <x v="20"/>
    <x v="17"/>
    <x v="20"/>
    <x v="0"/>
    <x v="0"/>
    <x v="0"/>
    <x v="19"/>
    <x v="3"/>
    <x v="16"/>
    <x v="12"/>
    <x v="0"/>
    <x v="0"/>
    <x v="0"/>
    <x v="0"/>
    <x v="0"/>
    <x v="0"/>
    <x v="0"/>
    <x v="0"/>
    <x v="0"/>
    <x v="4"/>
    <x v="16"/>
    <x v="12"/>
    <x v="0"/>
    <x v="2"/>
    <x v="16"/>
    <x v="11"/>
    <x v="0"/>
    <x v="2"/>
    <x v="12"/>
    <x v="11"/>
    <x v="0"/>
    <x v="0"/>
    <x v="0"/>
    <x v="0"/>
    <x v="0"/>
    <x v="3"/>
    <x v="13"/>
    <x v="12"/>
    <x v="0"/>
    <x v="4"/>
    <x v="17"/>
    <x v="13"/>
    <x v="0"/>
    <x v="1"/>
    <x v="0"/>
    <x v="0"/>
    <x v="0"/>
    <x v="3"/>
    <x v="0"/>
    <x v="0"/>
    <x v="0"/>
    <x v="2"/>
    <x v="0"/>
    <x v="0"/>
    <x v="0"/>
    <x v="1"/>
    <x v="0"/>
    <x v="0"/>
    <x v="0"/>
    <x v="19"/>
    <x v="15"/>
    <x v="0"/>
  </r>
  <r>
    <x v="22"/>
    <x v="22"/>
    <x v="0"/>
    <x v="3"/>
    <x v="3"/>
    <x v="1"/>
    <x v="2"/>
    <x v="0"/>
    <x v="21"/>
    <x v="18"/>
    <x v="21"/>
    <x v="0"/>
    <x v="0"/>
    <x v="0"/>
    <x v="20"/>
    <x v="3"/>
    <x v="17"/>
    <x v="13"/>
    <x v="0"/>
    <x v="0"/>
    <x v="0"/>
    <x v="0"/>
    <x v="0"/>
    <x v="0"/>
    <x v="0"/>
    <x v="0"/>
    <x v="0"/>
    <x v="4"/>
    <x v="17"/>
    <x v="13"/>
    <x v="0"/>
    <x v="2"/>
    <x v="17"/>
    <x v="12"/>
    <x v="0"/>
    <x v="2"/>
    <x v="13"/>
    <x v="12"/>
    <x v="0"/>
    <x v="0"/>
    <x v="0"/>
    <x v="0"/>
    <x v="0"/>
    <x v="3"/>
    <x v="14"/>
    <x v="13"/>
    <x v="0"/>
    <x v="4"/>
    <x v="18"/>
    <x v="14"/>
    <x v="0"/>
    <x v="1"/>
    <x v="0"/>
    <x v="0"/>
    <x v="0"/>
    <x v="3"/>
    <x v="0"/>
    <x v="0"/>
    <x v="0"/>
    <x v="2"/>
    <x v="0"/>
    <x v="0"/>
    <x v="0"/>
    <x v="1"/>
    <x v="0"/>
    <x v="0"/>
    <x v="0"/>
    <x v="20"/>
    <x v="16"/>
    <x v="0"/>
  </r>
  <r>
    <x v="23"/>
    <x v="23"/>
    <x v="0"/>
    <x v="3"/>
    <x v="3"/>
    <x v="1"/>
    <x v="2"/>
    <x v="0"/>
    <x v="22"/>
    <x v="19"/>
    <x v="22"/>
    <x v="0"/>
    <x v="0"/>
    <x v="0"/>
    <x v="21"/>
    <x v="3"/>
    <x v="18"/>
    <x v="14"/>
    <x v="0"/>
    <x v="0"/>
    <x v="0"/>
    <x v="0"/>
    <x v="0"/>
    <x v="0"/>
    <x v="0"/>
    <x v="0"/>
    <x v="0"/>
    <x v="4"/>
    <x v="18"/>
    <x v="14"/>
    <x v="0"/>
    <x v="2"/>
    <x v="18"/>
    <x v="13"/>
    <x v="0"/>
    <x v="2"/>
    <x v="14"/>
    <x v="13"/>
    <x v="0"/>
    <x v="0"/>
    <x v="0"/>
    <x v="0"/>
    <x v="0"/>
    <x v="3"/>
    <x v="15"/>
    <x v="14"/>
    <x v="0"/>
    <x v="4"/>
    <x v="19"/>
    <x v="15"/>
    <x v="0"/>
    <x v="1"/>
    <x v="0"/>
    <x v="0"/>
    <x v="0"/>
    <x v="3"/>
    <x v="0"/>
    <x v="0"/>
    <x v="0"/>
    <x v="2"/>
    <x v="0"/>
    <x v="0"/>
    <x v="0"/>
    <x v="1"/>
    <x v="0"/>
    <x v="0"/>
    <x v="0"/>
    <x v="21"/>
    <x v="17"/>
    <x v="0"/>
  </r>
  <r>
    <x v="24"/>
    <x v="24"/>
    <x v="0"/>
    <x v="3"/>
    <x v="3"/>
    <x v="1"/>
    <x v="2"/>
    <x v="0"/>
    <x v="23"/>
    <x v="20"/>
    <x v="23"/>
    <x v="0"/>
    <x v="0"/>
    <x v="0"/>
    <x v="20"/>
    <x v="3"/>
    <x v="19"/>
    <x v="15"/>
    <x v="0"/>
    <x v="0"/>
    <x v="0"/>
    <x v="0"/>
    <x v="0"/>
    <x v="0"/>
    <x v="0"/>
    <x v="0"/>
    <x v="0"/>
    <x v="4"/>
    <x v="19"/>
    <x v="15"/>
    <x v="0"/>
    <x v="2"/>
    <x v="19"/>
    <x v="14"/>
    <x v="0"/>
    <x v="2"/>
    <x v="15"/>
    <x v="14"/>
    <x v="0"/>
    <x v="0"/>
    <x v="0"/>
    <x v="0"/>
    <x v="0"/>
    <x v="3"/>
    <x v="16"/>
    <x v="15"/>
    <x v="0"/>
    <x v="4"/>
    <x v="20"/>
    <x v="16"/>
    <x v="0"/>
    <x v="1"/>
    <x v="0"/>
    <x v="0"/>
    <x v="0"/>
    <x v="3"/>
    <x v="0"/>
    <x v="0"/>
    <x v="0"/>
    <x v="2"/>
    <x v="0"/>
    <x v="0"/>
    <x v="0"/>
    <x v="1"/>
    <x v="0"/>
    <x v="0"/>
    <x v="0"/>
    <x v="22"/>
    <x v="18"/>
    <x v="0"/>
  </r>
  <r>
    <x v="25"/>
    <x v="25"/>
    <x v="0"/>
    <x v="3"/>
    <x v="3"/>
    <x v="1"/>
    <x v="2"/>
    <x v="0"/>
    <x v="24"/>
    <x v="21"/>
    <x v="24"/>
    <x v="0"/>
    <x v="0"/>
    <x v="0"/>
    <x v="22"/>
    <x v="3"/>
    <x v="20"/>
    <x v="16"/>
    <x v="0"/>
    <x v="0"/>
    <x v="0"/>
    <x v="0"/>
    <x v="0"/>
    <x v="0"/>
    <x v="0"/>
    <x v="0"/>
    <x v="0"/>
    <x v="4"/>
    <x v="20"/>
    <x v="16"/>
    <x v="0"/>
    <x v="2"/>
    <x v="20"/>
    <x v="15"/>
    <x v="0"/>
    <x v="2"/>
    <x v="16"/>
    <x v="15"/>
    <x v="0"/>
    <x v="0"/>
    <x v="0"/>
    <x v="0"/>
    <x v="0"/>
    <x v="3"/>
    <x v="17"/>
    <x v="16"/>
    <x v="0"/>
    <x v="4"/>
    <x v="21"/>
    <x v="17"/>
    <x v="0"/>
    <x v="1"/>
    <x v="0"/>
    <x v="0"/>
    <x v="0"/>
    <x v="3"/>
    <x v="0"/>
    <x v="0"/>
    <x v="0"/>
    <x v="2"/>
    <x v="0"/>
    <x v="0"/>
    <x v="0"/>
    <x v="1"/>
    <x v="0"/>
    <x v="0"/>
    <x v="0"/>
    <x v="23"/>
    <x v="19"/>
    <x v="0"/>
  </r>
  <r>
    <x v="26"/>
    <x v="26"/>
    <x v="0"/>
    <x v="3"/>
    <x v="3"/>
    <x v="1"/>
    <x v="2"/>
    <x v="0"/>
    <x v="25"/>
    <x v="22"/>
    <x v="1"/>
    <x v="0"/>
    <x v="0"/>
    <x v="0"/>
    <x v="23"/>
    <x v="3"/>
    <x v="0"/>
    <x v="0"/>
    <x v="0"/>
    <x v="0"/>
    <x v="0"/>
    <x v="0"/>
    <x v="0"/>
    <x v="0"/>
    <x v="0"/>
    <x v="0"/>
    <x v="0"/>
    <x v="4"/>
    <x v="0"/>
    <x v="9"/>
    <x v="0"/>
    <x v="2"/>
    <x v="0"/>
    <x v="16"/>
    <x v="0"/>
    <x v="2"/>
    <x v="0"/>
    <x v="2"/>
    <x v="0"/>
    <x v="0"/>
    <x v="0"/>
    <x v="0"/>
    <x v="0"/>
    <x v="3"/>
    <x v="0"/>
    <x v="2"/>
    <x v="0"/>
    <x v="4"/>
    <x v="0"/>
    <x v="18"/>
    <x v="0"/>
    <x v="1"/>
    <x v="0"/>
    <x v="0"/>
    <x v="0"/>
    <x v="3"/>
    <x v="0"/>
    <x v="0"/>
    <x v="0"/>
    <x v="2"/>
    <x v="0"/>
    <x v="0"/>
    <x v="0"/>
    <x v="1"/>
    <x v="0"/>
    <x v="0"/>
    <x v="0"/>
    <x v="0"/>
    <x v="0"/>
    <x v="0"/>
  </r>
  <r>
    <x v="27"/>
    <x v="27"/>
    <x v="0"/>
    <x v="3"/>
    <x v="3"/>
    <x v="1"/>
    <x v="2"/>
    <x v="0"/>
    <x v="26"/>
    <x v="23"/>
    <x v="1"/>
    <x v="0"/>
    <x v="0"/>
    <x v="3"/>
    <x v="24"/>
    <x v="4"/>
    <x v="0"/>
    <x v="0"/>
    <x v="0"/>
    <x v="0"/>
    <x v="0"/>
    <x v="0"/>
    <x v="0"/>
    <x v="0"/>
    <x v="0"/>
    <x v="0"/>
    <x v="0"/>
    <x v="4"/>
    <x v="0"/>
    <x v="9"/>
    <x v="0"/>
    <x v="2"/>
    <x v="0"/>
    <x v="16"/>
    <x v="0"/>
    <x v="3"/>
    <x v="0"/>
    <x v="2"/>
    <x v="0"/>
    <x v="0"/>
    <x v="0"/>
    <x v="0"/>
    <x v="0"/>
    <x v="3"/>
    <x v="0"/>
    <x v="2"/>
    <x v="0"/>
    <x v="4"/>
    <x v="0"/>
    <x v="18"/>
    <x v="0"/>
    <x v="1"/>
    <x v="0"/>
    <x v="0"/>
    <x v="0"/>
    <x v="3"/>
    <x v="0"/>
    <x v="0"/>
    <x v="0"/>
    <x v="2"/>
    <x v="0"/>
    <x v="0"/>
    <x v="0"/>
    <x v="1"/>
    <x v="3"/>
    <x v="3"/>
    <x v="0"/>
    <x v="24"/>
    <x v="20"/>
    <x v="0"/>
  </r>
  <r>
    <x v="28"/>
    <x v="28"/>
    <x v="1"/>
    <x v="4"/>
    <x v="4"/>
    <x v="2"/>
    <x v="3"/>
    <x v="0"/>
    <x v="27"/>
    <x v="24"/>
    <x v="25"/>
    <x v="0"/>
    <x v="0"/>
    <x v="4"/>
    <x v="25"/>
    <x v="6"/>
    <x v="21"/>
    <x v="17"/>
    <x v="8"/>
    <x v="4"/>
    <x v="0"/>
    <x v="0"/>
    <x v="0"/>
    <x v="2"/>
    <x v="1"/>
    <x v="2"/>
    <x v="1"/>
    <x v="0"/>
    <x v="0"/>
    <x v="0"/>
    <x v="0"/>
    <x v="0"/>
    <x v="0"/>
    <x v="0"/>
    <x v="0"/>
    <x v="0"/>
    <x v="0"/>
    <x v="0"/>
    <x v="0"/>
    <x v="0"/>
    <x v="0"/>
    <x v="0"/>
    <x v="0"/>
    <x v="5"/>
    <x v="18"/>
    <x v="17"/>
    <x v="0"/>
    <x v="7"/>
    <x v="22"/>
    <x v="19"/>
    <x v="0"/>
    <x v="1"/>
    <x v="0"/>
    <x v="0"/>
    <x v="0"/>
    <x v="4"/>
    <x v="2"/>
    <x v="3"/>
    <x v="1"/>
    <x v="1"/>
    <x v="0"/>
    <x v="0"/>
    <x v="0"/>
    <x v="1"/>
    <x v="4"/>
    <x v="4"/>
    <x v="0"/>
    <x v="25"/>
    <x v="21"/>
    <x v="8"/>
  </r>
  <r>
    <x v="29"/>
    <x v="29"/>
    <x v="1"/>
    <x v="4"/>
    <x v="4"/>
    <x v="2"/>
    <x v="3"/>
    <x v="0"/>
    <x v="28"/>
    <x v="25"/>
    <x v="26"/>
    <x v="0"/>
    <x v="0"/>
    <x v="0"/>
    <x v="26"/>
    <x v="6"/>
    <x v="22"/>
    <x v="0"/>
    <x v="9"/>
    <x v="4"/>
    <x v="0"/>
    <x v="0"/>
    <x v="0"/>
    <x v="2"/>
    <x v="2"/>
    <x v="0"/>
    <x v="2"/>
    <x v="0"/>
    <x v="0"/>
    <x v="0"/>
    <x v="0"/>
    <x v="0"/>
    <x v="0"/>
    <x v="0"/>
    <x v="0"/>
    <x v="0"/>
    <x v="0"/>
    <x v="0"/>
    <x v="0"/>
    <x v="0"/>
    <x v="0"/>
    <x v="0"/>
    <x v="0"/>
    <x v="5"/>
    <x v="0"/>
    <x v="0"/>
    <x v="0"/>
    <x v="7"/>
    <x v="0"/>
    <x v="0"/>
    <x v="0"/>
    <x v="1"/>
    <x v="0"/>
    <x v="0"/>
    <x v="0"/>
    <x v="4"/>
    <x v="3"/>
    <x v="0"/>
    <x v="2"/>
    <x v="1"/>
    <x v="0"/>
    <x v="0"/>
    <x v="0"/>
    <x v="1"/>
    <x v="0"/>
    <x v="0"/>
    <x v="0"/>
    <x v="26"/>
    <x v="0"/>
    <x v="9"/>
  </r>
  <r>
    <x v="30"/>
    <x v="30"/>
    <x v="1"/>
    <x v="4"/>
    <x v="4"/>
    <x v="2"/>
    <x v="3"/>
    <x v="0"/>
    <x v="29"/>
    <x v="26"/>
    <x v="27"/>
    <x v="0"/>
    <x v="0"/>
    <x v="0"/>
    <x v="27"/>
    <x v="6"/>
    <x v="23"/>
    <x v="0"/>
    <x v="10"/>
    <x v="4"/>
    <x v="0"/>
    <x v="0"/>
    <x v="0"/>
    <x v="2"/>
    <x v="3"/>
    <x v="0"/>
    <x v="3"/>
    <x v="0"/>
    <x v="0"/>
    <x v="0"/>
    <x v="0"/>
    <x v="0"/>
    <x v="0"/>
    <x v="0"/>
    <x v="0"/>
    <x v="0"/>
    <x v="0"/>
    <x v="0"/>
    <x v="0"/>
    <x v="0"/>
    <x v="0"/>
    <x v="0"/>
    <x v="0"/>
    <x v="5"/>
    <x v="0"/>
    <x v="0"/>
    <x v="0"/>
    <x v="7"/>
    <x v="0"/>
    <x v="0"/>
    <x v="0"/>
    <x v="1"/>
    <x v="0"/>
    <x v="0"/>
    <x v="0"/>
    <x v="4"/>
    <x v="4"/>
    <x v="0"/>
    <x v="3"/>
    <x v="1"/>
    <x v="0"/>
    <x v="0"/>
    <x v="0"/>
    <x v="1"/>
    <x v="0"/>
    <x v="0"/>
    <x v="0"/>
    <x v="27"/>
    <x v="0"/>
    <x v="10"/>
  </r>
  <r>
    <x v="31"/>
    <x v="31"/>
    <x v="1"/>
    <x v="4"/>
    <x v="4"/>
    <x v="2"/>
    <x v="3"/>
    <x v="0"/>
    <x v="30"/>
    <x v="27"/>
    <x v="28"/>
    <x v="0"/>
    <x v="0"/>
    <x v="0"/>
    <x v="28"/>
    <x v="6"/>
    <x v="24"/>
    <x v="0"/>
    <x v="11"/>
    <x v="4"/>
    <x v="0"/>
    <x v="0"/>
    <x v="0"/>
    <x v="2"/>
    <x v="4"/>
    <x v="0"/>
    <x v="4"/>
    <x v="0"/>
    <x v="0"/>
    <x v="0"/>
    <x v="0"/>
    <x v="0"/>
    <x v="0"/>
    <x v="0"/>
    <x v="0"/>
    <x v="0"/>
    <x v="0"/>
    <x v="0"/>
    <x v="0"/>
    <x v="0"/>
    <x v="0"/>
    <x v="0"/>
    <x v="0"/>
    <x v="5"/>
    <x v="0"/>
    <x v="0"/>
    <x v="0"/>
    <x v="7"/>
    <x v="0"/>
    <x v="0"/>
    <x v="0"/>
    <x v="1"/>
    <x v="0"/>
    <x v="0"/>
    <x v="0"/>
    <x v="4"/>
    <x v="5"/>
    <x v="0"/>
    <x v="4"/>
    <x v="1"/>
    <x v="0"/>
    <x v="0"/>
    <x v="0"/>
    <x v="1"/>
    <x v="0"/>
    <x v="0"/>
    <x v="0"/>
    <x v="28"/>
    <x v="0"/>
    <x v="11"/>
  </r>
  <r>
    <x v="32"/>
    <x v="32"/>
    <x v="1"/>
    <x v="4"/>
    <x v="4"/>
    <x v="2"/>
    <x v="3"/>
    <x v="0"/>
    <x v="31"/>
    <x v="26"/>
    <x v="29"/>
    <x v="0"/>
    <x v="0"/>
    <x v="0"/>
    <x v="29"/>
    <x v="6"/>
    <x v="25"/>
    <x v="0"/>
    <x v="12"/>
    <x v="4"/>
    <x v="0"/>
    <x v="0"/>
    <x v="0"/>
    <x v="2"/>
    <x v="5"/>
    <x v="0"/>
    <x v="5"/>
    <x v="0"/>
    <x v="0"/>
    <x v="0"/>
    <x v="0"/>
    <x v="0"/>
    <x v="0"/>
    <x v="0"/>
    <x v="0"/>
    <x v="0"/>
    <x v="0"/>
    <x v="0"/>
    <x v="0"/>
    <x v="0"/>
    <x v="0"/>
    <x v="0"/>
    <x v="0"/>
    <x v="5"/>
    <x v="0"/>
    <x v="0"/>
    <x v="0"/>
    <x v="7"/>
    <x v="0"/>
    <x v="0"/>
    <x v="0"/>
    <x v="1"/>
    <x v="0"/>
    <x v="0"/>
    <x v="0"/>
    <x v="4"/>
    <x v="6"/>
    <x v="0"/>
    <x v="5"/>
    <x v="1"/>
    <x v="0"/>
    <x v="0"/>
    <x v="0"/>
    <x v="1"/>
    <x v="0"/>
    <x v="0"/>
    <x v="0"/>
    <x v="29"/>
    <x v="0"/>
    <x v="12"/>
  </r>
  <r>
    <x v="33"/>
    <x v="33"/>
    <x v="1"/>
    <x v="4"/>
    <x v="4"/>
    <x v="2"/>
    <x v="3"/>
    <x v="0"/>
    <x v="32"/>
    <x v="28"/>
    <x v="30"/>
    <x v="0"/>
    <x v="0"/>
    <x v="0"/>
    <x v="30"/>
    <x v="6"/>
    <x v="26"/>
    <x v="0"/>
    <x v="13"/>
    <x v="4"/>
    <x v="0"/>
    <x v="0"/>
    <x v="0"/>
    <x v="2"/>
    <x v="6"/>
    <x v="0"/>
    <x v="6"/>
    <x v="0"/>
    <x v="0"/>
    <x v="0"/>
    <x v="0"/>
    <x v="0"/>
    <x v="0"/>
    <x v="0"/>
    <x v="0"/>
    <x v="0"/>
    <x v="0"/>
    <x v="0"/>
    <x v="0"/>
    <x v="0"/>
    <x v="0"/>
    <x v="0"/>
    <x v="0"/>
    <x v="5"/>
    <x v="0"/>
    <x v="0"/>
    <x v="0"/>
    <x v="7"/>
    <x v="0"/>
    <x v="0"/>
    <x v="0"/>
    <x v="1"/>
    <x v="0"/>
    <x v="0"/>
    <x v="0"/>
    <x v="4"/>
    <x v="7"/>
    <x v="0"/>
    <x v="6"/>
    <x v="1"/>
    <x v="0"/>
    <x v="0"/>
    <x v="0"/>
    <x v="1"/>
    <x v="0"/>
    <x v="0"/>
    <x v="0"/>
    <x v="30"/>
    <x v="0"/>
    <x v="13"/>
  </r>
  <r>
    <x v="34"/>
    <x v="34"/>
    <x v="1"/>
    <x v="5"/>
    <x v="5"/>
    <x v="2"/>
    <x v="3"/>
    <x v="0"/>
    <x v="33"/>
    <x v="29"/>
    <x v="31"/>
    <x v="0"/>
    <x v="0"/>
    <x v="5"/>
    <x v="31"/>
    <x v="7"/>
    <x v="27"/>
    <x v="18"/>
    <x v="14"/>
    <x v="0"/>
    <x v="0"/>
    <x v="0"/>
    <x v="0"/>
    <x v="2"/>
    <x v="7"/>
    <x v="3"/>
    <x v="7"/>
    <x v="0"/>
    <x v="0"/>
    <x v="0"/>
    <x v="0"/>
    <x v="0"/>
    <x v="0"/>
    <x v="0"/>
    <x v="0"/>
    <x v="0"/>
    <x v="0"/>
    <x v="0"/>
    <x v="0"/>
    <x v="0"/>
    <x v="0"/>
    <x v="0"/>
    <x v="0"/>
    <x v="6"/>
    <x v="19"/>
    <x v="18"/>
    <x v="4"/>
    <x v="4"/>
    <x v="23"/>
    <x v="20"/>
    <x v="7"/>
    <x v="3"/>
    <x v="3"/>
    <x v="3"/>
    <x v="1"/>
    <x v="1"/>
    <x v="0"/>
    <x v="0"/>
    <x v="0"/>
    <x v="1"/>
    <x v="0"/>
    <x v="0"/>
    <x v="0"/>
    <x v="1"/>
    <x v="5"/>
    <x v="5"/>
    <x v="0"/>
    <x v="31"/>
    <x v="22"/>
    <x v="14"/>
  </r>
  <r>
    <x v="35"/>
    <x v="35"/>
    <x v="1"/>
    <x v="5"/>
    <x v="5"/>
    <x v="2"/>
    <x v="3"/>
    <x v="0"/>
    <x v="34"/>
    <x v="30"/>
    <x v="32"/>
    <x v="0"/>
    <x v="0"/>
    <x v="0"/>
    <x v="32"/>
    <x v="7"/>
    <x v="28"/>
    <x v="0"/>
    <x v="15"/>
    <x v="0"/>
    <x v="0"/>
    <x v="0"/>
    <x v="0"/>
    <x v="2"/>
    <x v="8"/>
    <x v="0"/>
    <x v="8"/>
    <x v="0"/>
    <x v="0"/>
    <x v="0"/>
    <x v="0"/>
    <x v="0"/>
    <x v="0"/>
    <x v="0"/>
    <x v="0"/>
    <x v="0"/>
    <x v="0"/>
    <x v="0"/>
    <x v="0"/>
    <x v="0"/>
    <x v="0"/>
    <x v="0"/>
    <x v="0"/>
    <x v="6"/>
    <x v="20"/>
    <x v="0"/>
    <x v="5"/>
    <x v="4"/>
    <x v="24"/>
    <x v="0"/>
    <x v="8"/>
    <x v="3"/>
    <x v="4"/>
    <x v="0"/>
    <x v="2"/>
    <x v="1"/>
    <x v="0"/>
    <x v="0"/>
    <x v="0"/>
    <x v="1"/>
    <x v="0"/>
    <x v="0"/>
    <x v="0"/>
    <x v="1"/>
    <x v="0"/>
    <x v="0"/>
    <x v="0"/>
    <x v="32"/>
    <x v="0"/>
    <x v="15"/>
  </r>
  <r>
    <x v="36"/>
    <x v="36"/>
    <x v="1"/>
    <x v="5"/>
    <x v="5"/>
    <x v="2"/>
    <x v="3"/>
    <x v="0"/>
    <x v="35"/>
    <x v="31"/>
    <x v="33"/>
    <x v="0"/>
    <x v="0"/>
    <x v="0"/>
    <x v="33"/>
    <x v="7"/>
    <x v="29"/>
    <x v="0"/>
    <x v="16"/>
    <x v="0"/>
    <x v="0"/>
    <x v="0"/>
    <x v="0"/>
    <x v="2"/>
    <x v="9"/>
    <x v="0"/>
    <x v="9"/>
    <x v="0"/>
    <x v="0"/>
    <x v="0"/>
    <x v="0"/>
    <x v="0"/>
    <x v="0"/>
    <x v="0"/>
    <x v="0"/>
    <x v="0"/>
    <x v="0"/>
    <x v="0"/>
    <x v="0"/>
    <x v="0"/>
    <x v="0"/>
    <x v="0"/>
    <x v="0"/>
    <x v="6"/>
    <x v="21"/>
    <x v="0"/>
    <x v="6"/>
    <x v="4"/>
    <x v="25"/>
    <x v="0"/>
    <x v="9"/>
    <x v="3"/>
    <x v="5"/>
    <x v="0"/>
    <x v="3"/>
    <x v="1"/>
    <x v="0"/>
    <x v="0"/>
    <x v="0"/>
    <x v="1"/>
    <x v="0"/>
    <x v="0"/>
    <x v="0"/>
    <x v="1"/>
    <x v="0"/>
    <x v="0"/>
    <x v="0"/>
    <x v="33"/>
    <x v="0"/>
    <x v="16"/>
  </r>
  <r>
    <x v="37"/>
    <x v="37"/>
    <x v="1"/>
    <x v="5"/>
    <x v="5"/>
    <x v="2"/>
    <x v="3"/>
    <x v="0"/>
    <x v="36"/>
    <x v="32"/>
    <x v="34"/>
    <x v="0"/>
    <x v="0"/>
    <x v="0"/>
    <x v="34"/>
    <x v="7"/>
    <x v="30"/>
    <x v="0"/>
    <x v="17"/>
    <x v="0"/>
    <x v="0"/>
    <x v="0"/>
    <x v="0"/>
    <x v="2"/>
    <x v="10"/>
    <x v="0"/>
    <x v="10"/>
    <x v="0"/>
    <x v="0"/>
    <x v="0"/>
    <x v="0"/>
    <x v="0"/>
    <x v="0"/>
    <x v="0"/>
    <x v="0"/>
    <x v="0"/>
    <x v="0"/>
    <x v="0"/>
    <x v="0"/>
    <x v="0"/>
    <x v="0"/>
    <x v="0"/>
    <x v="0"/>
    <x v="6"/>
    <x v="22"/>
    <x v="0"/>
    <x v="7"/>
    <x v="4"/>
    <x v="26"/>
    <x v="0"/>
    <x v="10"/>
    <x v="3"/>
    <x v="6"/>
    <x v="0"/>
    <x v="4"/>
    <x v="1"/>
    <x v="0"/>
    <x v="0"/>
    <x v="0"/>
    <x v="1"/>
    <x v="0"/>
    <x v="0"/>
    <x v="0"/>
    <x v="1"/>
    <x v="0"/>
    <x v="0"/>
    <x v="0"/>
    <x v="34"/>
    <x v="0"/>
    <x v="17"/>
  </r>
  <r>
    <x v="38"/>
    <x v="38"/>
    <x v="1"/>
    <x v="5"/>
    <x v="5"/>
    <x v="2"/>
    <x v="3"/>
    <x v="0"/>
    <x v="37"/>
    <x v="33"/>
    <x v="35"/>
    <x v="0"/>
    <x v="0"/>
    <x v="0"/>
    <x v="35"/>
    <x v="7"/>
    <x v="31"/>
    <x v="0"/>
    <x v="18"/>
    <x v="0"/>
    <x v="0"/>
    <x v="0"/>
    <x v="0"/>
    <x v="2"/>
    <x v="11"/>
    <x v="0"/>
    <x v="11"/>
    <x v="0"/>
    <x v="0"/>
    <x v="0"/>
    <x v="0"/>
    <x v="0"/>
    <x v="0"/>
    <x v="0"/>
    <x v="0"/>
    <x v="0"/>
    <x v="0"/>
    <x v="0"/>
    <x v="0"/>
    <x v="0"/>
    <x v="0"/>
    <x v="0"/>
    <x v="0"/>
    <x v="6"/>
    <x v="23"/>
    <x v="0"/>
    <x v="8"/>
    <x v="4"/>
    <x v="27"/>
    <x v="0"/>
    <x v="11"/>
    <x v="3"/>
    <x v="7"/>
    <x v="0"/>
    <x v="5"/>
    <x v="1"/>
    <x v="0"/>
    <x v="0"/>
    <x v="0"/>
    <x v="1"/>
    <x v="0"/>
    <x v="0"/>
    <x v="0"/>
    <x v="1"/>
    <x v="0"/>
    <x v="0"/>
    <x v="0"/>
    <x v="35"/>
    <x v="0"/>
    <x v="18"/>
  </r>
  <r>
    <x v="39"/>
    <x v="39"/>
    <x v="1"/>
    <x v="5"/>
    <x v="5"/>
    <x v="2"/>
    <x v="3"/>
    <x v="0"/>
    <x v="38"/>
    <x v="34"/>
    <x v="36"/>
    <x v="0"/>
    <x v="0"/>
    <x v="0"/>
    <x v="36"/>
    <x v="0"/>
    <x v="0"/>
    <x v="0"/>
    <x v="0"/>
    <x v="0"/>
    <x v="0"/>
    <x v="0"/>
    <x v="0"/>
    <x v="0"/>
    <x v="0"/>
    <x v="0"/>
    <x v="0"/>
    <x v="0"/>
    <x v="0"/>
    <x v="0"/>
    <x v="0"/>
    <x v="0"/>
    <x v="0"/>
    <x v="0"/>
    <x v="0"/>
    <x v="0"/>
    <x v="0"/>
    <x v="0"/>
    <x v="0"/>
    <x v="0"/>
    <x v="0"/>
    <x v="0"/>
    <x v="0"/>
    <x v="3"/>
    <x v="24"/>
    <x v="0"/>
    <x v="9"/>
    <x v="1"/>
    <x v="28"/>
    <x v="0"/>
    <x v="12"/>
    <x v="4"/>
    <x v="8"/>
    <x v="0"/>
    <x v="6"/>
    <x v="5"/>
    <x v="8"/>
    <x v="4"/>
    <x v="0"/>
    <x v="1"/>
    <x v="0"/>
    <x v="0"/>
    <x v="0"/>
    <x v="1"/>
    <x v="0"/>
    <x v="0"/>
    <x v="0"/>
    <x v="36"/>
    <x v="23"/>
    <x v="19"/>
  </r>
  <r>
    <x v="40"/>
    <x v="40"/>
    <x v="1"/>
    <x v="6"/>
    <x v="6"/>
    <x v="2"/>
    <x v="3"/>
    <x v="1"/>
    <x v="39"/>
    <x v="29"/>
    <x v="37"/>
    <x v="0"/>
    <x v="0"/>
    <x v="6"/>
    <x v="37"/>
    <x v="8"/>
    <x v="32"/>
    <x v="19"/>
    <x v="19"/>
    <x v="0"/>
    <x v="0"/>
    <x v="0"/>
    <x v="0"/>
    <x v="2"/>
    <x v="12"/>
    <x v="4"/>
    <x v="12"/>
    <x v="0"/>
    <x v="0"/>
    <x v="0"/>
    <x v="0"/>
    <x v="0"/>
    <x v="0"/>
    <x v="0"/>
    <x v="0"/>
    <x v="0"/>
    <x v="0"/>
    <x v="0"/>
    <x v="0"/>
    <x v="0"/>
    <x v="0"/>
    <x v="0"/>
    <x v="0"/>
    <x v="7"/>
    <x v="25"/>
    <x v="19"/>
    <x v="10"/>
    <x v="0"/>
    <x v="0"/>
    <x v="0"/>
    <x v="0"/>
    <x v="1"/>
    <x v="0"/>
    <x v="0"/>
    <x v="0"/>
    <x v="6"/>
    <x v="9"/>
    <x v="5"/>
    <x v="7"/>
    <x v="1"/>
    <x v="0"/>
    <x v="0"/>
    <x v="0"/>
    <x v="1"/>
    <x v="6"/>
    <x v="6"/>
    <x v="0"/>
    <x v="37"/>
    <x v="24"/>
    <x v="20"/>
  </r>
  <r>
    <x v="41"/>
    <x v="41"/>
    <x v="1"/>
    <x v="6"/>
    <x v="6"/>
    <x v="2"/>
    <x v="3"/>
    <x v="2"/>
    <x v="40"/>
    <x v="26"/>
    <x v="1"/>
    <x v="0"/>
    <x v="0"/>
    <x v="0"/>
    <x v="38"/>
    <x v="8"/>
    <x v="0"/>
    <x v="0"/>
    <x v="0"/>
    <x v="0"/>
    <x v="0"/>
    <x v="0"/>
    <x v="0"/>
    <x v="2"/>
    <x v="0"/>
    <x v="0"/>
    <x v="0"/>
    <x v="0"/>
    <x v="0"/>
    <x v="0"/>
    <x v="0"/>
    <x v="0"/>
    <x v="0"/>
    <x v="0"/>
    <x v="0"/>
    <x v="0"/>
    <x v="0"/>
    <x v="0"/>
    <x v="0"/>
    <x v="0"/>
    <x v="0"/>
    <x v="0"/>
    <x v="0"/>
    <x v="7"/>
    <x v="0"/>
    <x v="0"/>
    <x v="0"/>
    <x v="0"/>
    <x v="0"/>
    <x v="0"/>
    <x v="0"/>
    <x v="1"/>
    <x v="0"/>
    <x v="0"/>
    <x v="0"/>
    <x v="6"/>
    <x v="0"/>
    <x v="0"/>
    <x v="0"/>
    <x v="1"/>
    <x v="0"/>
    <x v="0"/>
    <x v="0"/>
    <x v="1"/>
    <x v="0"/>
    <x v="0"/>
    <x v="0"/>
    <x v="0"/>
    <x v="0"/>
    <x v="0"/>
  </r>
  <r>
    <x v="42"/>
    <x v="42"/>
    <x v="1"/>
    <x v="7"/>
    <x v="7"/>
    <x v="2"/>
    <x v="3"/>
    <x v="0"/>
    <x v="41"/>
    <x v="35"/>
    <x v="38"/>
    <x v="0"/>
    <x v="0"/>
    <x v="7"/>
    <x v="39"/>
    <x v="9"/>
    <x v="33"/>
    <x v="20"/>
    <x v="20"/>
    <x v="5"/>
    <x v="8"/>
    <x v="3"/>
    <x v="0"/>
    <x v="0"/>
    <x v="0"/>
    <x v="0"/>
    <x v="0"/>
    <x v="6"/>
    <x v="21"/>
    <x v="17"/>
    <x v="0"/>
    <x v="3"/>
    <x v="0"/>
    <x v="0"/>
    <x v="0"/>
    <x v="0"/>
    <x v="0"/>
    <x v="0"/>
    <x v="0"/>
    <x v="0"/>
    <x v="0"/>
    <x v="0"/>
    <x v="0"/>
    <x v="0"/>
    <x v="0"/>
    <x v="0"/>
    <x v="0"/>
    <x v="5"/>
    <x v="29"/>
    <x v="21"/>
    <x v="0"/>
    <x v="1"/>
    <x v="0"/>
    <x v="0"/>
    <x v="0"/>
    <x v="7"/>
    <x v="0"/>
    <x v="0"/>
    <x v="0"/>
    <x v="1"/>
    <x v="0"/>
    <x v="0"/>
    <x v="0"/>
    <x v="1"/>
    <x v="7"/>
    <x v="7"/>
    <x v="0"/>
    <x v="38"/>
    <x v="25"/>
    <x v="21"/>
  </r>
  <r>
    <x v="43"/>
    <x v="43"/>
    <x v="1"/>
    <x v="7"/>
    <x v="7"/>
    <x v="2"/>
    <x v="3"/>
    <x v="2"/>
    <x v="42"/>
    <x v="36"/>
    <x v="39"/>
    <x v="0"/>
    <x v="0"/>
    <x v="8"/>
    <x v="40"/>
    <x v="10"/>
    <x v="34"/>
    <x v="21"/>
    <x v="21"/>
    <x v="0"/>
    <x v="0"/>
    <x v="0"/>
    <x v="0"/>
    <x v="0"/>
    <x v="0"/>
    <x v="0"/>
    <x v="0"/>
    <x v="0"/>
    <x v="0"/>
    <x v="0"/>
    <x v="0"/>
    <x v="0"/>
    <x v="0"/>
    <x v="0"/>
    <x v="0"/>
    <x v="0"/>
    <x v="0"/>
    <x v="0"/>
    <x v="0"/>
    <x v="0"/>
    <x v="0"/>
    <x v="0"/>
    <x v="0"/>
    <x v="0"/>
    <x v="0"/>
    <x v="0"/>
    <x v="0"/>
    <x v="0"/>
    <x v="0"/>
    <x v="0"/>
    <x v="0"/>
    <x v="1"/>
    <x v="0"/>
    <x v="0"/>
    <x v="0"/>
    <x v="8"/>
    <x v="0"/>
    <x v="0"/>
    <x v="0"/>
    <x v="1"/>
    <x v="0"/>
    <x v="0"/>
    <x v="0"/>
    <x v="1"/>
    <x v="8"/>
    <x v="8"/>
    <x v="0"/>
    <x v="39"/>
    <x v="26"/>
    <x v="22"/>
  </r>
  <r>
    <x v="44"/>
    <x v="44"/>
    <x v="1"/>
    <x v="7"/>
    <x v="7"/>
    <x v="2"/>
    <x v="3"/>
    <x v="3"/>
    <x v="43"/>
    <x v="37"/>
    <x v="1"/>
    <x v="0"/>
    <x v="0"/>
    <x v="0"/>
    <x v="40"/>
    <x v="11"/>
    <x v="0"/>
    <x v="0"/>
    <x v="0"/>
    <x v="0"/>
    <x v="0"/>
    <x v="0"/>
    <x v="0"/>
    <x v="0"/>
    <x v="0"/>
    <x v="0"/>
    <x v="0"/>
    <x v="0"/>
    <x v="0"/>
    <x v="0"/>
    <x v="0"/>
    <x v="0"/>
    <x v="0"/>
    <x v="0"/>
    <x v="0"/>
    <x v="0"/>
    <x v="0"/>
    <x v="0"/>
    <x v="0"/>
    <x v="0"/>
    <x v="0"/>
    <x v="0"/>
    <x v="0"/>
    <x v="0"/>
    <x v="0"/>
    <x v="0"/>
    <x v="0"/>
    <x v="0"/>
    <x v="0"/>
    <x v="0"/>
    <x v="0"/>
    <x v="1"/>
    <x v="0"/>
    <x v="0"/>
    <x v="0"/>
    <x v="1"/>
    <x v="0"/>
    <x v="0"/>
    <x v="0"/>
    <x v="1"/>
    <x v="0"/>
    <x v="0"/>
    <x v="0"/>
    <x v="1"/>
    <x v="0"/>
    <x v="0"/>
    <x v="0"/>
    <x v="0"/>
    <x v="0"/>
    <x v="0"/>
  </r>
  <r>
    <x v="45"/>
    <x v="45"/>
    <x v="1"/>
    <x v="7"/>
    <x v="7"/>
    <x v="2"/>
    <x v="3"/>
    <x v="4"/>
    <x v="44"/>
    <x v="38"/>
    <x v="40"/>
    <x v="0"/>
    <x v="0"/>
    <x v="0"/>
    <x v="40"/>
    <x v="12"/>
    <x v="35"/>
    <x v="0"/>
    <x v="22"/>
    <x v="0"/>
    <x v="0"/>
    <x v="0"/>
    <x v="0"/>
    <x v="0"/>
    <x v="0"/>
    <x v="0"/>
    <x v="0"/>
    <x v="0"/>
    <x v="0"/>
    <x v="0"/>
    <x v="0"/>
    <x v="0"/>
    <x v="0"/>
    <x v="0"/>
    <x v="0"/>
    <x v="0"/>
    <x v="0"/>
    <x v="0"/>
    <x v="0"/>
    <x v="0"/>
    <x v="0"/>
    <x v="0"/>
    <x v="0"/>
    <x v="0"/>
    <x v="0"/>
    <x v="0"/>
    <x v="0"/>
    <x v="0"/>
    <x v="0"/>
    <x v="0"/>
    <x v="0"/>
    <x v="1"/>
    <x v="0"/>
    <x v="0"/>
    <x v="0"/>
    <x v="1"/>
    <x v="0"/>
    <x v="0"/>
    <x v="0"/>
    <x v="1"/>
    <x v="0"/>
    <x v="0"/>
    <x v="0"/>
    <x v="1"/>
    <x v="0"/>
    <x v="0"/>
    <x v="0"/>
    <x v="40"/>
    <x v="0"/>
    <x v="23"/>
  </r>
  <r>
    <x v="46"/>
    <x v="46"/>
    <x v="1"/>
    <x v="7"/>
    <x v="7"/>
    <x v="2"/>
    <x v="3"/>
    <x v="5"/>
    <x v="45"/>
    <x v="39"/>
    <x v="41"/>
    <x v="0"/>
    <x v="0"/>
    <x v="0"/>
    <x v="40"/>
    <x v="11"/>
    <x v="36"/>
    <x v="0"/>
    <x v="23"/>
    <x v="0"/>
    <x v="0"/>
    <x v="0"/>
    <x v="0"/>
    <x v="0"/>
    <x v="0"/>
    <x v="0"/>
    <x v="0"/>
    <x v="0"/>
    <x v="0"/>
    <x v="0"/>
    <x v="0"/>
    <x v="0"/>
    <x v="0"/>
    <x v="0"/>
    <x v="0"/>
    <x v="0"/>
    <x v="0"/>
    <x v="0"/>
    <x v="0"/>
    <x v="0"/>
    <x v="0"/>
    <x v="0"/>
    <x v="0"/>
    <x v="0"/>
    <x v="0"/>
    <x v="0"/>
    <x v="0"/>
    <x v="0"/>
    <x v="0"/>
    <x v="0"/>
    <x v="0"/>
    <x v="1"/>
    <x v="0"/>
    <x v="0"/>
    <x v="0"/>
    <x v="1"/>
    <x v="0"/>
    <x v="0"/>
    <x v="0"/>
    <x v="1"/>
    <x v="0"/>
    <x v="0"/>
    <x v="0"/>
    <x v="1"/>
    <x v="0"/>
    <x v="0"/>
    <x v="0"/>
    <x v="41"/>
    <x v="0"/>
    <x v="24"/>
  </r>
  <r>
    <x v="47"/>
    <x v="47"/>
    <x v="1"/>
    <x v="7"/>
    <x v="7"/>
    <x v="2"/>
    <x v="3"/>
    <x v="6"/>
    <x v="46"/>
    <x v="40"/>
    <x v="42"/>
    <x v="0"/>
    <x v="0"/>
    <x v="0"/>
    <x v="40"/>
    <x v="11"/>
    <x v="37"/>
    <x v="0"/>
    <x v="24"/>
    <x v="0"/>
    <x v="0"/>
    <x v="0"/>
    <x v="0"/>
    <x v="0"/>
    <x v="0"/>
    <x v="0"/>
    <x v="0"/>
    <x v="0"/>
    <x v="0"/>
    <x v="0"/>
    <x v="0"/>
    <x v="0"/>
    <x v="0"/>
    <x v="0"/>
    <x v="0"/>
    <x v="0"/>
    <x v="0"/>
    <x v="0"/>
    <x v="0"/>
    <x v="0"/>
    <x v="0"/>
    <x v="0"/>
    <x v="0"/>
    <x v="0"/>
    <x v="0"/>
    <x v="0"/>
    <x v="0"/>
    <x v="0"/>
    <x v="0"/>
    <x v="0"/>
    <x v="0"/>
    <x v="1"/>
    <x v="0"/>
    <x v="0"/>
    <x v="0"/>
    <x v="1"/>
    <x v="0"/>
    <x v="0"/>
    <x v="0"/>
    <x v="1"/>
    <x v="0"/>
    <x v="0"/>
    <x v="0"/>
    <x v="1"/>
    <x v="0"/>
    <x v="0"/>
    <x v="0"/>
    <x v="42"/>
    <x v="0"/>
    <x v="25"/>
  </r>
  <r>
    <x v="48"/>
    <x v="48"/>
    <x v="1"/>
    <x v="7"/>
    <x v="7"/>
    <x v="2"/>
    <x v="3"/>
    <x v="7"/>
    <x v="47"/>
    <x v="41"/>
    <x v="43"/>
    <x v="0"/>
    <x v="0"/>
    <x v="0"/>
    <x v="40"/>
    <x v="11"/>
    <x v="38"/>
    <x v="0"/>
    <x v="25"/>
    <x v="0"/>
    <x v="0"/>
    <x v="0"/>
    <x v="0"/>
    <x v="0"/>
    <x v="0"/>
    <x v="0"/>
    <x v="0"/>
    <x v="0"/>
    <x v="0"/>
    <x v="0"/>
    <x v="0"/>
    <x v="0"/>
    <x v="0"/>
    <x v="0"/>
    <x v="0"/>
    <x v="0"/>
    <x v="0"/>
    <x v="0"/>
    <x v="0"/>
    <x v="0"/>
    <x v="0"/>
    <x v="0"/>
    <x v="0"/>
    <x v="0"/>
    <x v="0"/>
    <x v="0"/>
    <x v="0"/>
    <x v="0"/>
    <x v="0"/>
    <x v="0"/>
    <x v="0"/>
    <x v="1"/>
    <x v="0"/>
    <x v="0"/>
    <x v="0"/>
    <x v="1"/>
    <x v="0"/>
    <x v="0"/>
    <x v="0"/>
    <x v="1"/>
    <x v="0"/>
    <x v="0"/>
    <x v="0"/>
    <x v="1"/>
    <x v="0"/>
    <x v="0"/>
    <x v="0"/>
    <x v="43"/>
    <x v="0"/>
    <x v="26"/>
  </r>
  <r>
    <x v="49"/>
    <x v="49"/>
    <x v="1"/>
    <x v="7"/>
    <x v="7"/>
    <x v="2"/>
    <x v="3"/>
    <x v="8"/>
    <x v="48"/>
    <x v="42"/>
    <x v="44"/>
    <x v="0"/>
    <x v="0"/>
    <x v="0"/>
    <x v="40"/>
    <x v="13"/>
    <x v="39"/>
    <x v="0"/>
    <x v="26"/>
    <x v="0"/>
    <x v="0"/>
    <x v="0"/>
    <x v="0"/>
    <x v="0"/>
    <x v="0"/>
    <x v="0"/>
    <x v="0"/>
    <x v="0"/>
    <x v="0"/>
    <x v="0"/>
    <x v="0"/>
    <x v="0"/>
    <x v="0"/>
    <x v="0"/>
    <x v="0"/>
    <x v="0"/>
    <x v="0"/>
    <x v="0"/>
    <x v="0"/>
    <x v="0"/>
    <x v="0"/>
    <x v="0"/>
    <x v="0"/>
    <x v="0"/>
    <x v="0"/>
    <x v="0"/>
    <x v="0"/>
    <x v="0"/>
    <x v="0"/>
    <x v="0"/>
    <x v="0"/>
    <x v="1"/>
    <x v="0"/>
    <x v="0"/>
    <x v="0"/>
    <x v="1"/>
    <x v="0"/>
    <x v="0"/>
    <x v="0"/>
    <x v="1"/>
    <x v="0"/>
    <x v="0"/>
    <x v="0"/>
    <x v="1"/>
    <x v="0"/>
    <x v="0"/>
    <x v="0"/>
    <x v="44"/>
    <x v="0"/>
    <x v="27"/>
  </r>
  <r>
    <x v="50"/>
    <x v="50"/>
    <x v="1"/>
    <x v="7"/>
    <x v="7"/>
    <x v="2"/>
    <x v="3"/>
    <x v="9"/>
    <x v="49"/>
    <x v="43"/>
    <x v="1"/>
    <x v="0"/>
    <x v="0"/>
    <x v="0"/>
    <x v="40"/>
    <x v="4"/>
    <x v="0"/>
    <x v="0"/>
    <x v="0"/>
    <x v="0"/>
    <x v="0"/>
    <x v="0"/>
    <x v="0"/>
    <x v="0"/>
    <x v="0"/>
    <x v="0"/>
    <x v="0"/>
    <x v="0"/>
    <x v="0"/>
    <x v="0"/>
    <x v="0"/>
    <x v="0"/>
    <x v="0"/>
    <x v="0"/>
    <x v="0"/>
    <x v="0"/>
    <x v="0"/>
    <x v="0"/>
    <x v="0"/>
    <x v="0"/>
    <x v="0"/>
    <x v="0"/>
    <x v="0"/>
    <x v="0"/>
    <x v="0"/>
    <x v="0"/>
    <x v="0"/>
    <x v="0"/>
    <x v="30"/>
    <x v="22"/>
    <x v="0"/>
    <x v="1"/>
    <x v="0"/>
    <x v="0"/>
    <x v="0"/>
    <x v="9"/>
    <x v="0"/>
    <x v="0"/>
    <x v="0"/>
    <x v="1"/>
    <x v="0"/>
    <x v="0"/>
    <x v="0"/>
    <x v="1"/>
    <x v="0"/>
    <x v="0"/>
    <x v="0"/>
    <x v="45"/>
    <x v="27"/>
    <x v="0"/>
  </r>
  <r>
    <x v="51"/>
    <x v="51"/>
    <x v="1"/>
    <x v="8"/>
    <x v="8"/>
    <x v="2"/>
    <x v="2"/>
    <x v="1"/>
    <x v="50"/>
    <x v="44"/>
    <x v="45"/>
    <x v="0"/>
    <x v="0"/>
    <x v="0"/>
    <x v="41"/>
    <x v="14"/>
    <x v="40"/>
    <x v="22"/>
    <x v="0"/>
    <x v="0"/>
    <x v="0"/>
    <x v="0"/>
    <x v="0"/>
    <x v="0"/>
    <x v="0"/>
    <x v="0"/>
    <x v="0"/>
    <x v="0"/>
    <x v="0"/>
    <x v="0"/>
    <x v="0"/>
    <x v="0"/>
    <x v="0"/>
    <x v="0"/>
    <x v="0"/>
    <x v="0"/>
    <x v="0"/>
    <x v="0"/>
    <x v="0"/>
    <x v="0"/>
    <x v="0"/>
    <x v="0"/>
    <x v="0"/>
    <x v="3"/>
    <x v="26"/>
    <x v="20"/>
    <x v="0"/>
    <x v="2"/>
    <x v="31"/>
    <x v="23"/>
    <x v="0"/>
    <x v="5"/>
    <x v="0"/>
    <x v="0"/>
    <x v="0"/>
    <x v="1"/>
    <x v="0"/>
    <x v="0"/>
    <x v="0"/>
    <x v="1"/>
    <x v="0"/>
    <x v="0"/>
    <x v="0"/>
    <x v="3"/>
    <x v="0"/>
    <x v="0"/>
    <x v="0"/>
    <x v="46"/>
    <x v="28"/>
    <x v="0"/>
  </r>
  <r>
    <x v="52"/>
    <x v="52"/>
    <x v="1"/>
    <x v="8"/>
    <x v="8"/>
    <x v="2"/>
    <x v="2"/>
    <x v="2"/>
    <x v="51"/>
    <x v="45"/>
    <x v="46"/>
    <x v="0"/>
    <x v="0"/>
    <x v="0"/>
    <x v="42"/>
    <x v="15"/>
    <x v="41"/>
    <x v="23"/>
    <x v="0"/>
    <x v="0"/>
    <x v="0"/>
    <x v="0"/>
    <x v="0"/>
    <x v="0"/>
    <x v="0"/>
    <x v="0"/>
    <x v="0"/>
    <x v="0"/>
    <x v="0"/>
    <x v="0"/>
    <x v="0"/>
    <x v="0"/>
    <x v="0"/>
    <x v="0"/>
    <x v="0"/>
    <x v="0"/>
    <x v="0"/>
    <x v="0"/>
    <x v="0"/>
    <x v="0"/>
    <x v="0"/>
    <x v="0"/>
    <x v="0"/>
    <x v="7"/>
    <x v="27"/>
    <x v="21"/>
    <x v="0"/>
    <x v="8"/>
    <x v="32"/>
    <x v="24"/>
    <x v="0"/>
    <x v="5"/>
    <x v="0"/>
    <x v="0"/>
    <x v="0"/>
    <x v="1"/>
    <x v="0"/>
    <x v="0"/>
    <x v="0"/>
    <x v="1"/>
    <x v="0"/>
    <x v="0"/>
    <x v="0"/>
    <x v="3"/>
    <x v="0"/>
    <x v="0"/>
    <x v="0"/>
    <x v="47"/>
    <x v="29"/>
    <x v="0"/>
  </r>
  <r>
    <x v="53"/>
    <x v="53"/>
    <x v="1"/>
    <x v="8"/>
    <x v="8"/>
    <x v="2"/>
    <x v="2"/>
    <x v="3"/>
    <x v="52"/>
    <x v="46"/>
    <x v="47"/>
    <x v="0"/>
    <x v="0"/>
    <x v="0"/>
    <x v="41"/>
    <x v="15"/>
    <x v="42"/>
    <x v="24"/>
    <x v="0"/>
    <x v="0"/>
    <x v="0"/>
    <x v="0"/>
    <x v="0"/>
    <x v="0"/>
    <x v="0"/>
    <x v="0"/>
    <x v="0"/>
    <x v="0"/>
    <x v="0"/>
    <x v="0"/>
    <x v="0"/>
    <x v="0"/>
    <x v="0"/>
    <x v="0"/>
    <x v="0"/>
    <x v="0"/>
    <x v="0"/>
    <x v="0"/>
    <x v="0"/>
    <x v="0"/>
    <x v="0"/>
    <x v="0"/>
    <x v="0"/>
    <x v="3"/>
    <x v="28"/>
    <x v="22"/>
    <x v="0"/>
    <x v="8"/>
    <x v="33"/>
    <x v="25"/>
    <x v="0"/>
    <x v="5"/>
    <x v="0"/>
    <x v="0"/>
    <x v="0"/>
    <x v="1"/>
    <x v="0"/>
    <x v="0"/>
    <x v="0"/>
    <x v="1"/>
    <x v="0"/>
    <x v="0"/>
    <x v="0"/>
    <x v="3"/>
    <x v="0"/>
    <x v="0"/>
    <x v="0"/>
    <x v="48"/>
    <x v="30"/>
    <x v="0"/>
  </r>
  <r>
    <x v="54"/>
    <x v="54"/>
    <x v="1"/>
    <x v="8"/>
    <x v="8"/>
    <x v="2"/>
    <x v="2"/>
    <x v="4"/>
    <x v="53"/>
    <x v="47"/>
    <x v="48"/>
    <x v="0"/>
    <x v="0"/>
    <x v="0"/>
    <x v="41"/>
    <x v="14"/>
    <x v="43"/>
    <x v="25"/>
    <x v="0"/>
    <x v="0"/>
    <x v="0"/>
    <x v="0"/>
    <x v="0"/>
    <x v="0"/>
    <x v="0"/>
    <x v="0"/>
    <x v="0"/>
    <x v="0"/>
    <x v="0"/>
    <x v="0"/>
    <x v="0"/>
    <x v="0"/>
    <x v="0"/>
    <x v="0"/>
    <x v="0"/>
    <x v="0"/>
    <x v="0"/>
    <x v="0"/>
    <x v="0"/>
    <x v="0"/>
    <x v="0"/>
    <x v="0"/>
    <x v="0"/>
    <x v="3"/>
    <x v="29"/>
    <x v="23"/>
    <x v="0"/>
    <x v="2"/>
    <x v="34"/>
    <x v="26"/>
    <x v="0"/>
    <x v="5"/>
    <x v="0"/>
    <x v="0"/>
    <x v="0"/>
    <x v="1"/>
    <x v="0"/>
    <x v="0"/>
    <x v="0"/>
    <x v="1"/>
    <x v="0"/>
    <x v="0"/>
    <x v="0"/>
    <x v="3"/>
    <x v="0"/>
    <x v="0"/>
    <x v="0"/>
    <x v="49"/>
    <x v="31"/>
    <x v="0"/>
  </r>
  <r>
    <x v="55"/>
    <x v="55"/>
    <x v="1"/>
    <x v="8"/>
    <x v="8"/>
    <x v="2"/>
    <x v="2"/>
    <x v="10"/>
    <x v="54"/>
    <x v="48"/>
    <x v="49"/>
    <x v="0"/>
    <x v="0"/>
    <x v="0"/>
    <x v="41"/>
    <x v="14"/>
    <x v="44"/>
    <x v="26"/>
    <x v="0"/>
    <x v="0"/>
    <x v="0"/>
    <x v="0"/>
    <x v="0"/>
    <x v="0"/>
    <x v="0"/>
    <x v="0"/>
    <x v="0"/>
    <x v="0"/>
    <x v="0"/>
    <x v="0"/>
    <x v="0"/>
    <x v="0"/>
    <x v="0"/>
    <x v="0"/>
    <x v="0"/>
    <x v="0"/>
    <x v="0"/>
    <x v="0"/>
    <x v="0"/>
    <x v="0"/>
    <x v="0"/>
    <x v="0"/>
    <x v="0"/>
    <x v="3"/>
    <x v="30"/>
    <x v="24"/>
    <x v="0"/>
    <x v="2"/>
    <x v="35"/>
    <x v="27"/>
    <x v="0"/>
    <x v="5"/>
    <x v="0"/>
    <x v="0"/>
    <x v="0"/>
    <x v="1"/>
    <x v="0"/>
    <x v="0"/>
    <x v="0"/>
    <x v="1"/>
    <x v="0"/>
    <x v="0"/>
    <x v="0"/>
    <x v="3"/>
    <x v="0"/>
    <x v="0"/>
    <x v="0"/>
    <x v="50"/>
    <x v="32"/>
    <x v="0"/>
  </r>
  <r>
    <x v="56"/>
    <x v="56"/>
    <x v="1"/>
    <x v="8"/>
    <x v="8"/>
    <x v="2"/>
    <x v="2"/>
    <x v="5"/>
    <x v="55"/>
    <x v="49"/>
    <x v="50"/>
    <x v="0"/>
    <x v="0"/>
    <x v="0"/>
    <x v="41"/>
    <x v="14"/>
    <x v="45"/>
    <x v="27"/>
    <x v="0"/>
    <x v="0"/>
    <x v="0"/>
    <x v="0"/>
    <x v="0"/>
    <x v="0"/>
    <x v="0"/>
    <x v="0"/>
    <x v="0"/>
    <x v="0"/>
    <x v="0"/>
    <x v="0"/>
    <x v="0"/>
    <x v="0"/>
    <x v="0"/>
    <x v="0"/>
    <x v="0"/>
    <x v="0"/>
    <x v="0"/>
    <x v="0"/>
    <x v="0"/>
    <x v="0"/>
    <x v="0"/>
    <x v="0"/>
    <x v="0"/>
    <x v="3"/>
    <x v="31"/>
    <x v="25"/>
    <x v="0"/>
    <x v="2"/>
    <x v="36"/>
    <x v="28"/>
    <x v="0"/>
    <x v="5"/>
    <x v="0"/>
    <x v="0"/>
    <x v="0"/>
    <x v="1"/>
    <x v="0"/>
    <x v="0"/>
    <x v="0"/>
    <x v="1"/>
    <x v="0"/>
    <x v="0"/>
    <x v="0"/>
    <x v="3"/>
    <x v="0"/>
    <x v="0"/>
    <x v="0"/>
    <x v="51"/>
    <x v="33"/>
    <x v="0"/>
  </r>
  <r>
    <x v="57"/>
    <x v="57"/>
    <x v="1"/>
    <x v="8"/>
    <x v="8"/>
    <x v="2"/>
    <x v="2"/>
    <x v="6"/>
    <x v="56"/>
    <x v="50"/>
    <x v="51"/>
    <x v="0"/>
    <x v="0"/>
    <x v="0"/>
    <x v="41"/>
    <x v="15"/>
    <x v="46"/>
    <x v="28"/>
    <x v="0"/>
    <x v="0"/>
    <x v="0"/>
    <x v="0"/>
    <x v="0"/>
    <x v="0"/>
    <x v="0"/>
    <x v="0"/>
    <x v="0"/>
    <x v="0"/>
    <x v="0"/>
    <x v="0"/>
    <x v="0"/>
    <x v="0"/>
    <x v="0"/>
    <x v="0"/>
    <x v="0"/>
    <x v="0"/>
    <x v="0"/>
    <x v="0"/>
    <x v="0"/>
    <x v="0"/>
    <x v="0"/>
    <x v="0"/>
    <x v="0"/>
    <x v="3"/>
    <x v="32"/>
    <x v="26"/>
    <x v="0"/>
    <x v="8"/>
    <x v="37"/>
    <x v="29"/>
    <x v="0"/>
    <x v="5"/>
    <x v="0"/>
    <x v="0"/>
    <x v="0"/>
    <x v="1"/>
    <x v="0"/>
    <x v="0"/>
    <x v="0"/>
    <x v="1"/>
    <x v="0"/>
    <x v="0"/>
    <x v="0"/>
    <x v="3"/>
    <x v="0"/>
    <x v="0"/>
    <x v="0"/>
    <x v="52"/>
    <x v="34"/>
    <x v="0"/>
  </r>
  <r>
    <x v="58"/>
    <x v="58"/>
    <x v="1"/>
    <x v="8"/>
    <x v="8"/>
    <x v="2"/>
    <x v="2"/>
    <x v="7"/>
    <x v="57"/>
    <x v="51"/>
    <x v="52"/>
    <x v="0"/>
    <x v="0"/>
    <x v="0"/>
    <x v="41"/>
    <x v="14"/>
    <x v="47"/>
    <x v="29"/>
    <x v="0"/>
    <x v="0"/>
    <x v="0"/>
    <x v="0"/>
    <x v="0"/>
    <x v="0"/>
    <x v="0"/>
    <x v="0"/>
    <x v="0"/>
    <x v="0"/>
    <x v="0"/>
    <x v="0"/>
    <x v="0"/>
    <x v="0"/>
    <x v="0"/>
    <x v="0"/>
    <x v="0"/>
    <x v="0"/>
    <x v="0"/>
    <x v="0"/>
    <x v="0"/>
    <x v="0"/>
    <x v="0"/>
    <x v="0"/>
    <x v="0"/>
    <x v="3"/>
    <x v="33"/>
    <x v="27"/>
    <x v="0"/>
    <x v="2"/>
    <x v="38"/>
    <x v="30"/>
    <x v="0"/>
    <x v="5"/>
    <x v="0"/>
    <x v="0"/>
    <x v="0"/>
    <x v="1"/>
    <x v="0"/>
    <x v="0"/>
    <x v="0"/>
    <x v="1"/>
    <x v="0"/>
    <x v="0"/>
    <x v="0"/>
    <x v="3"/>
    <x v="0"/>
    <x v="0"/>
    <x v="0"/>
    <x v="53"/>
    <x v="35"/>
    <x v="0"/>
  </r>
  <r>
    <x v="59"/>
    <x v="59"/>
    <x v="1"/>
    <x v="8"/>
    <x v="8"/>
    <x v="2"/>
    <x v="2"/>
    <x v="8"/>
    <x v="58"/>
    <x v="52"/>
    <x v="53"/>
    <x v="0"/>
    <x v="0"/>
    <x v="0"/>
    <x v="43"/>
    <x v="14"/>
    <x v="48"/>
    <x v="30"/>
    <x v="0"/>
    <x v="0"/>
    <x v="0"/>
    <x v="0"/>
    <x v="0"/>
    <x v="0"/>
    <x v="0"/>
    <x v="0"/>
    <x v="0"/>
    <x v="0"/>
    <x v="0"/>
    <x v="0"/>
    <x v="0"/>
    <x v="0"/>
    <x v="0"/>
    <x v="0"/>
    <x v="0"/>
    <x v="0"/>
    <x v="0"/>
    <x v="0"/>
    <x v="0"/>
    <x v="0"/>
    <x v="0"/>
    <x v="0"/>
    <x v="0"/>
    <x v="3"/>
    <x v="34"/>
    <x v="28"/>
    <x v="0"/>
    <x v="2"/>
    <x v="39"/>
    <x v="31"/>
    <x v="0"/>
    <x v="5"/>
    <x v="0"/>
    <x v="0"/>
    <x v="0"/>
    <x v="1"/>
    <x v="0"/>
    <x v="0"/>
    <x v="0"/>
    <x v="1"/>
    <x v="0"/>
    <x v="0"/>
    <x v="0"/>
    <x v="3"/>
    <x v="0"/>
    <x v="0"/>
    <x v="0"/>
    <x v="54"/>
    <x v="36"/>
    <x v="0"/>
  </r>
  <r>
    <x v="60"/>
    <x v="60"/>
    <x v="1"/>
    <x v="8"/>
    <x v="8"/>
    <x v="2"/>
    <x v="2"/>
    <x v="11"/>
    <x v="59"/>
    <x v="53"/>
    <x v="54"/>
    <x v="0"/>
    <x v="0"/>
    <x v="9"/>
    <x v="44"/>
    <x v="15"/>
    <x v="49"/>
    <x v="31"/>
    <x v="0"/>
    <x v="0"/>
    <x v="0"/>
    <x v="0"/>
    <x v="0"/>
    <x v="0"/>
    <x v="0"/>
    <x v="0"/>
    <x v="0"/>
    <x v="0"/>
    <x v="0"/>
    <x v="0"/>
    <x v="0"/>
    <x v="0"/>
    <x v="0"/>
    <x v="0"/>
    <x v="0"/>
    <x v="0"/>
    <x v="0"/>
    <x v="0"/>
    <x v="0"/>
    <x v="0"/>
    <x v="0"/>
    <x v="0"/>
    <x v="0"/>
    <x v="0"/>
    <x v="0"/>
    <x v="0"/>
    <x v="0"/>
    <x v="5"/>
    <x v="40"/>
    <x v="32"/>
    <x v="0"/>
    <x v="5"/>
    <x v="0"/>
    <x v="0"/>
    <x v="0"/>
    <x v="1"/>
    <x v="0"/>
    <x v="0"/>
    <x v="0"/>
    <x v="1"/>
    <x v="0"/>
    <x v="0"/>
    <x v="0"/>
    <x v="3"/>
    <x v="9"/>
    <x v="9"/>
    <x v="0"/>
    <x v="55"/>
    <x v="37"/>
    <x v="0"/>
  </r>
  <r>
    <x v="61"/>
    <x v="61"/>
    <x v="1"/>
    <x v="9"/>
    <x v="9"/>
    <x v="2"/>
    <x v="2"/>
    <x v="2"/>
    <x v="60"/>
    <x v="54"/>
    <x v="55"/>
    <x v="0"/>
    <x v="0"/>
    <x v="0"/>
    <x v="45"/>
    <x v="6"/>
    <x v="50"/>
    <x v="32"/>
    <x v="0"/>
    <x v="1"/>
    <x v="9"/>
    <x v="4"/>
    <x v="0"/>
    <x v="3"/>
    <x v="0"/>
    <x v="0"/>
    <x v="0"/>
    <x v="7"/>
    <x v="22"/>
    <x v="18"/>
    <x v="8"/>
    <x v="4"/>
    <x v="21"/>
    <x v="17"/>
    <x v="0"/>
    <x v="1"/>
    <x v="17"/>
    <x v="16"/>
    <x v="4"/>
    <x v="1"/>
    <x v="8"/>
    <x v="3"/>
    <x v="0"/>
    <x v="8"/>
    <x v="35"/>
    <x v="29"/>
    <x v="0"/>
    <x v="5"/>
    <x v="41"/>
    <x v="33"/>
    <x v="0"/>
    <x v="1"/>
    <x v="0"/>
    <x v="0"/>
    <x v="0"/>
    <x v="1"/>
    <x v="0"/>
    <x v="0"/>
    <x v="0"/>
    <x v="1"/>
    <x v="0"/>
    <x v="0"/>
    <x v="0"/>
    <x v="1"/>
    <x v="0"/>
    <x v="0"/>
    <x v="0"/>
    <x v="56"/>
    <x v="38"/>
    <x v="0"/>
  </r>
  <r>
    <x v="62"/>
    <x v="62"/>
    <x v="1"/>
    <x v="9"/>
    <x v="9"/>
    <x v="2"/>
    <x v="2"/>
    <x v="3"/>
    <x v="61"/>
    <x v="55"/>
    <x v="56"/>
    <x v="0"/>
    <x v="0"/>
    <x v="0"/>
    <x v="46"/>
    <x v="6"/>
    <x v="51"/>
    <x v="33"/>
    <x v="0"/>
    <x v="1"/>
    <x v="10"/>
    <x v="5"/>
    <x v="0"/>
    <x v="3"/>
    <x v="0"/>
    <x v="0"/>
    <x v="0"/>
    <x v="7"/>
    <x v="23"/>
    <x v="19"/>
    <x v="9"/>
    <x v="4"/>
    <x v="22"/>
    <x v="18"/>
    <x v="0"/>
    <x v="1"/>
    <x v="18"/>
    <x v="17"/>
    <x v="5"/>
    <x v="1"/>
    <x v="9"/>
    <x v="4"/>
    <x v="0"/>
    <x v="3"/>
    <x v="36"/>
    <x v="30"/>
    <x v="0"/>
    <x v="8"/>
    <x v="42"/>
    <x v="34"/>
    <x v="13"/>
    <x v="1"/>
    <x v="0"/>
    <x v="0"/>
    <x v="0"/>
    <x v="1"/>
    <x v="0"/>
    <x v="0"/>
    <x v="0"/>
    <x v="1"/>
    <x v="0"/>
    <x v="0"/>
    <x v="0"/>
    <x v="1"/>
    <x v="0"/>
    <x v="0"/>
    <x v="0"/>
    <x v="57"/>
    <x v="39"/>
    <x v="0"/>
  </r>
  <r>
    <x v="63"/>
    <x v="63"/>
    <x v="1"/>
    <x v="9"/>
    <x v="9"/>
    <x v="2"/>
    <x v="2"/>
    <x v="10"/>
    <x v="9"/>
    <x v="56"/>
    <x v="57"/>
    <x v="0"/>
    <x v="0"/>
    <x v="0"/>
    <x v="47"/>
    <x v="16"/>
    <x v="52"/>
    <x v="34"/>
    <x v="0"/>
    <x v="1"/>
    <x v="11"/>
    <x v="6"/>
    <x v="0"/>
    <x v="3"/>
    <x v="0"/>
    <x v="0"/>
    <x v="0"/>
    <x v="7"/>
    <x v="24"/>
    <x v="20"/>
    <x v="10"/>
    <x v="4"/>
    <x v="23"/>
    <x v="19"/>
    <x v="0"/>
    <x v="1"/>
    <x v="19"/>
    <x v="18"/>
    <x v="6"/>
    <x v="3"/>
    <x v="10"/>
    <x v="5"/>
    <x v="0"/>
    <x v="8"/>
    <x v="35"/>
    <x v="29"/>
    <x v="0"/>
    <x v="5"/>
    <x v="43"/>
    <x v="35"/>
    <x v="0"/>
    <x v="1"/>
    <x v="0"/>
    <x v="0"/>
    <x v="0"/>
    <x v="1"/>
    <x v="0"/>
    <x v="0"/>
    <x v="0"/>
    <x v="1"/>
    <x v="0"/>
    <x v="0"/>
    <x v="0"/>
    <x v="1"/>
    <x v="0"/>
    <x v="0"/>
    <x v="0"/>
    <x v="58"/>
    <x v="40"/>
    <x v="0"/>
  </r>
  <r>
    <x v="64"/>
    <x v="64"/>
    <x v="1"/>
    <x v="9"/>
    <x v="9"/>
    <x v="2"/>
    <x v="2"/>
    <x v="6"/>
    <x v="62"/>
    <x v="57"/>
    <x v="58"/>
    <x v="0"/>
    <x v="0"/>
    <x v="0"/>
    <x v="28"/>
    <x v="6"/>
    <x v="53"/>
    <x v="35"/>
    <x v="0"/>
    <x v="1"/>
    <x v="12"/>
    <x v="7"/>
    <x v="0"/>
    <x v="3"/>
    <x v="0"/>
    <x v="0"/>
    <x v="0"/>
    <x v="7"/>
    <x v="25"/>
    <x v="21"/>
    <x v="11"/>
    <x v="4"/>
    <x v="24"/>
    <x v="20"/>
    <x v="0"/>
    <x v="1"/>
    <x v="20"/>
    <x v="19"/>
    <x v="7"/>
    <x v="1"/>
    <x v="11"/>
    <x v="6"/>
    <x v="0"/>
    <x v="8"/>
    <x v="35"/>
    <x v="29"/>
    <x v="0"/>
    <x v="5"/>
    <x v="44"/>
    <x v="36"/>
    <x v="0"/>
    <x v="1"/>
    <x v="0"/>
    <x v="0"/>
    <x v="0"/>
    <x v="1"/>
    <x v="0"/>
    <x v="0"/>
    <x v="0"/>
    <x v="1"/>
    <x v="0"/>
    <x v="0"/>
    <x v="0"/>
    <x v="1"/>
    <x v="0"/>
    <x v="0"/>
    <x v="0"/>
    <x v="59"/>
    <x v="41"/>
    <x v="0"/>
  </r>
  <r>
    <x v="65"/>
    <x v="65"/>
    <x v="1"/>
    <x v="9"/>
    <x v="9"/>
    <x v="2"/>
    <x v="2"/>
    <x v="11"/>
    <x v="42"/>
    <x v="58"/>
    <x v="59"/>
    <x v="0"/>
    <x v="0"/>
    <x v="0"/>
    <x v="48"/>
    <x v="6"/>
    <x v="54"/>
    <x v="36"/>
    <x v="0"/>
    <x v="1"/>
    <x v="13"/>
    <x v="8"/>
    <x v="0"/>
    <x v="3"/>
    <x v="0"/>
    <x v="0"/>
    <x v="0"/>
    <x v="7"/>
    <x v="26"/>
    <x v="22"/>
    <x v="12"/>
    <x v="4"/>
    <x v="25"/>
    <x v="21"/>
    <x v="0"/>
    <x v="1"/>
    <x v="21"/>
    <x v="20"/>
    <x v="8"/>
    <x v="1"/>
    <x v="12"/>
    <x v="7"/>
    <x v="0"/>
    <x v="3"/>
    <x v="37"/>
    <x v="31"/>
    <x v="0"/>
    <x v="9"/>
    <x v="45"/>
    <x v="37"/>
    <x v="14"/>
    <x v="1"/>
    <x v="0"/>
    <x v="0"/>
    <x v="0"/>
    <x v="1"/>
    <x v="0"/>
    <x v="0"/>
    <x v="0"/>
    <x v="1"/>
    <x v="0"/>
    <x v="0"/>
    <x v="0"/>
    <x v="1"/>
    <x v="0"/>
    <x v="0"/>
    <x v="0"/>
    <x v="60"/>
    <x v="42"/>
    <x v="0"/>
  </r>
  <r>
    <x v="66"/>
    <x v="66"/>
    <x v="1"/>
    <x v="9"/>
    <x v="9"/>
    <x v="2"/>
    <x v="2"/>
    <x v="9"/>
    <x v="63"/>
    <x v="59"/>
    <x v="60"/>
    <x v="0"/>
    <x v="0"/>
    <x v="10"/>
    <x v="49"/>
    <x v="6"/>
    <x v="55"/>
    <x v="37"/>
    <x v="0"/>
    <x v="1"/>
    <x v="14"/>
    <x v="9"/>
    <x v="0"/>
    <x v="3"/>
    <x v="0"/>
    <x v="0"/>
    <x v="0"/>
    <x v="7"/>
    <x v="27"/>
    <x v="23"/>
    <x v="13"/>
    <x v="4"/>
    <x v="26"/>
    <x v="22"/>
    <x v="0"/>
    <x v="1"/>
    <x v="22"/>
    <x v="21"/>
    <x v="9"/>
    <x v="1"/>
    <x v="13"/>
    <x v="8"/>
    <x v="0"/>
    <x v="1"/>
    <x v="38"/>
    <x v="32"/>
    <x v="0"/>
    <x v="2"/>
    <x v="46"/>
    <x v="38"/>
    <x v="15"/>
    <x v="1"/>
    <x v="9"/>
    <x v="4"/>
    <x v="0"/>
    <x v="1"/>
    <x v="0"/>
    <x v="0"/>
    <x v="0"/>
    <x v="1"/>
    <x v="0"/>
    <x v="0"/>
    <x v="0"/>
    <x v="1"/>
    <x v="10"/>
    <x v="10"/>
    <x v="0"/>
    <x v="61"/>
    <x v="43"/>
    <x v="28"/>
  </r>
  <r>
    <x v="67"/>
    <x v="67"/>
    <x v="1"/>
    <x v="10"/>
    <x v="10"/>
    <x v="2"/>
    <x v="2"/>
    <x v="1"/>
    <x v="64"/>
    <x v="60"/>
    <x v="61"/>
    <x v="0"/>
    <x v="0"/>
    <x v="0"/>
    <x v="50"/>
    <x v="15"/>
    <x v="56"/>
    <x v="38"/>
    <x v="0"/>
    <x v="0"/>
    <x v="0"/>
    <x v="0"/>
    <x v="0"/>
    <x v="0"/>
    <x v="0"/>
    <x v="0"/>
    <x v="0"/>
    <x v="0"/>
    <x v="0"/>
    <x v="0"/>
    <x v="0"/>
    <x v="0"/>
    <x v="0"/>
    <x v="0"/>
    <x v="0"/>
    <x v="4"/>
    <x v="0"/>
    <x v="0"/>
    <x v="0"/>
    <x v="4"/>
    <x v="14"/>
    <x v="9"/>
    <x v="0"/>
    <x v="3"/>
    <x v="39"/>
    <x v="33"/>
    <x v="0"/>
    <x v="2"/>
    <x v="47"/>
    <x v="39"/>
    <x v="0"/>
    <x v="5"/>
    <x v="0"/>
    <x v="0"/>
    <x v="0"/>
    <x v="1"/>
    <x v="0"/>
    <x v="0"/>
    <x v="0"/>
    <x v="1"/>
    <x v="0"/>
    <x v="0"/>
    <x v="0"/>
    <x v="3"/>
    <x v="0"/>
    <x v="0"/>
    <x v="0"/>
    <x v="62"/>
    <x v="44"/>
    <x v="0"/>
  </r>
  <r>
    <x v="68"/>
    <x v="68"/>
    <x v="1"/>
    <x v="10"/>
    <x v="10"/>
    <x v="2"/>
    <x v="2"/>
    <x v="2"/>
    <x v="65"/>
    <x v="60"/>
    <x v="62"/>
    <x v="0"/>
    <x v="0"/>
    <x v="0"/>
    <x v="51"/>
    <x v="17"/>
    <x v="57"/>
    <x v="39"/>
    <x v="0"/>
    <x v="0"/>
    <x v="0"/>
    <x v="0"/>
    <x v="0"/>
    <x v="0"/>
    <x v="0"/>
    <x v="0"/>
    <x v="0"/>
    <x v="0"/>
    <x v="0"/>
    <x v="0"/>
    <x v="0"/>
    <x v="0"/>
    <x v="0"/>
    <x v="0"/>
    <x v="0"/>
    <x v="4"/>
    <x v="0"/>
    <x v="0"/>
    <x v="0"/>
    <x v="4"/>
    <x v="14"/>
    <x v="9"/>
    <x v="0"/>
    <x v="3"/>
    <x v="40"/>
    <x v="34"/>
    <x v="0"/>
    <x v="2"/>
    <x v="48"/>
    <x v="40"/>
    <x v="0"/>
    <x v="5"/>
    <x v="0"/>
    <x v="0"/>
    <x v="0"/>
    <x v="1"/>
    <x v="0"/>
    <x v="0"/>
    <x v="0"/>
    <x v="1"/>
    <x v="0"/>
    <x v="0"/>
    <x v="0"/>
    <x v="3"/>
    <x v="0"/>
    <x v="0"/>
    <x v="0"/>
    <x v="63"/>
    <x v="45"/>
    <x v="0"/>
  </r>
  <r>
    <x v="69"/>
    <x v="69"/>
    <x v="1"/>
    <x v="10"/>
    <x v="10"/>
    <x v="2"/>
    <x v="2"/>
    <x v="3"/>
    <x v="51"/>
    <x v="61"/>
    <x v="63"/>
    <x v="0"/>
    <x v="0"/>
    <x v="0"/>
    <x v="52"/>
    <x v="18"/>
    <x v="58"/>
    <x v="40"/>
    <x v="0"/>
    <x v="0"/>
    <x v="0"/>
    <x v="0"/>
    <x v="0"/>
    <x v="0"/>
    <x v="0"/>
    <x v="0"/>
    <x v="0"/>
    <x v="0"/>
    <x v="0"/>
    <x v="0"/>
    <x v="0"/>
    <x v="0"/>
    <x v="0"/>
    <x v="0"/>
    <x v="0"/>
    <x v="4"/>
    <x v="0"/>
    <x v="0"/>
    <x v="0"/>
    <x v="4"/>
    <x v="14"/>
    <x v="9"/>
    <x v="0"/>
    <x v="3"/>
    <x v="41"/>
    <x v="35"/>
    <x v="0"/>
    <x v="2"/>
    <x v="49"/>
    <x v="41"/>
    <x v="0"/>
    <x v="5"/>
    <x v="0"/>
    <x v="0"/>
    <x v="0"/>
    <x v="1"/>
    <x v="0"/>
    <x v="0"/>
    <x v="0"/>
    <x v="1"/>
    <x v="0"/>
    <x v="0"/>
    <x v="0"/>
    <x v="3"/>
    <x v="0"/>
    <x v="0"/>
    <x v="0"/>
    <x v="64"/>
    <x v="46"/>
    <x v="0"/>
  </r>
  <r>
    <x v="70"/>
    <x v="70"/>
    <x v="1"/>
    <x v="10"/>
    <x v="10"/>
    <x v="2"/>
    <x v="2"/>
    <x v="4"/>
    <x v="66"/>
    <x v="62"/>
    <x v="64"/>
    <x v="0"/>
    <x v="0"/>
    <x v="0"/>
    <x v="53"/>
    <x v="14"/>
    <x v="59"/>
    <x v="41"/>
    <x v="0"/>
    <x v="0"/>
    <x v="0"/>
    <x v="0"/>
    <x v="0"/>
    <x v="0"/>
    <x v="0"/>
    <x v="0"/>
    <x v="0"/>
    <x v="0"/>
    <x v="0"/>
    <x v="0"/>
    <x v="0"/>
    <x v="0"/>
    <x v="0"/>
    <x v="0"/>
    <x v="0"/>
    <x v="4"/>
    <x v="0"/>
    <x v="0"/>
    <x v="0"/>
    <x v="4"/>
    <x v="14"/>
    <x v="9"/>
    <x v="0"/>
    <x v="3"/>
    <x v="42"/>
    <x v="36"/>
    <x v="0"/>
    <x v="2"/>
    <x v="50"/>
    <x v="42"/>
    <x v="0"/>
    <x v="5"/>
    <x v="0"/>
    <x v="0"/>
    <x v="0"/>
    <x v="1"/>
    <x v="0"/>
    <x v="0"/>
    <x v="0"/>
    <x v="1"/>
    <x v="0"/>
    <x v="0"/>
    <x v="0"/>
    <x v="3"/>
    <x v="0"/>
    <x v="0"/>
    <x v="0"/>
    <x v="65"/>
    <x v="47"/>
    <x v="0"/>
  </r>
  <r>
    <x v="71"/>
    <x v="71"/>
    <x v="1"/>
    <x v="10"/>
    <x v="10"/>
    <x v="2"/>
    <x v="2"/>
    <x v="10"/>
    <x v="67"/>
    <x v="62"/>
    <x v="65"/>
    <x v="0"/>
    <x v="0"/>
    <x v="0"/>
    <x v="54"/>
    <x v="14"/>
    <x v="60"/>
    <x v="42"/>
    <x v="0"/>
    <x v="0"/>
    <x v="0"/>
    <x v="0"/>
    <x v="0"/>
    <x v="0"/>
    <x v="0"/>
    <x v="0"/>
    <x v="0"/>
    <x v="0"/>
    <x v="0"/>
    <x v="0"/>
    <x v="0"/>
    <x v="0"/>
    <x v="0"/>
    <x v="0"/>
    <x v="0"/>
    <x v="4"/>
    <x v="0"/>
    <x v="0"/>
    <x v="0"/>
    <x v="4"/>
    <x v="14"/>
    <x v="9"/>
    <x v="0"/>
    <x v="3"/>
    <x v="43"/>
    <x v="37"/>
    <x v="0"/>
    <x v="2"/>
    <x v="51"/>
    <x v="43"/>
    <x v="0"/>
    <x v="5"/>
    <x v="0"/>
    <x v="0"/>
    <x v="0"/>
    <x v="1"/>
    <x v="0"/>
    <x v="0"/>
    <x v="0"/>
    <x v="1"/>
    <x v="0"/>
    <x v="0"/>
    <x v="0"/>
    <x v="3"/>
    <x v="0"/>
    <x v="0"/>
    <x v="0"/>
    <x v="66"/>
    <x v="48"/>
    <x v="0"/>
  </r>
  <r>
    <x v="72"/>
    <x v="72"/>
    <x v="1"/>
    <x v="10"/>
    <x v="10"/>
    <x v="2"/>
    <x v="2"/>
    <x v="5"/>
    <x v="68"/>
    <x v="63"/>
    <x v="66"/>
    <x v="0"/>
    <x v="0"/>
    <x v="0"/>
    <x v="55"/>
    <x v="19"/>
    <x v="61"/>
    <x v="43"/>
    <x v="0"/>
    <x v="0"/>
    <x v="0"/>
    <x v="0"/>
    <x v="0"/>
    <x v="0"/>
    <x v="0"/>
    <x v="0"/>
    <x v="0"/>
    <x v="0"/>
    <x v="0"/>
    <x v="0"/>
    <x v="0"/>
    <x v="0"/>
    <x v="0"/>
    <x v="0"/>
    <x v="0"/>
    <x v="4"/>
    <x v="0"/>
    <x v="0"/>
    <x v="0"/>
    <x v="4"/>
    <x v="14"/>
    <x v="9"/>
    <x v="0"/>
    <x v="3"/>
    <x v="44"/>
    <x v="38"/>
    <x v="0"/>
    <x v="2"/>
    <x v="52"/>
    <x v="44"/>
    <x v="0"/>
    <x v="5"/>
    <x v="0"/>
    <x v="0"/>
    <x v="0"/>
    <x v="1"/>
    <x v="0"/>
    <x v="0"/>
    <x v="0"/>
    <x v="1"/>
    <x v="0"/>
    <x v="0"/>
    <x v="0"/>
    <x v="3"/>
    <x v="0"/>
    <x v="0"/>
    <x v="0"/>
    <x v="67"/>
    <x v="49"/>
    <x v="0"/>
  </r>
  <r>
    <x v="73"/>
    <x v="73"/>
    <x v="1"/>
    <x v="10"/>
    <x v="10"/>
    <x v="2"/>
    <x v="2"/>
    <x v="6"/>
    <x v="69"/>
    <x v="63"/>
    <x v="67"/>
    <x v="0"/>
    <x v="0"/>
    <x v="0"/>
    <x v="53"/>
    <x v="19"/>
    <x v="62"/>
    <x v="44"/>
    <x v="0"/>
    <x v="0"/>
    <x v="0"/>
    <x v="0"/>
    <x v="0"/>
    <x v="0"/>
    <x v="0"/>
    <x v="0"/>
    <x v="0"/>
    <x v="0"/>
    <x v="0"/>
    <x v="0"/>
    <x v="0"/>
    <x v="0"/>
    <x v="0"/>
    <x v="0"/>
    <x v="0"/>
    <x v="4"/>
    <x v="0"/>
    <x v="0"/>
    <x v="0"/>
    <x v="4"/>
    <x v="14"/>
    <x v="9"/>
    <x v="0"/>
    <x v="3"/>
    <x v="45"/>
    <x v="39"/>
    <x v="0"/>
    <x v="2"/>
    <x v="53"/>
    <x v="45"/>
    <x v="0"/>
    <x v="5"/>
    <x v="0"/>
    <x v="0"/>
    <x v="0"/>
    <x v="1"/>
    <x v="0"/>
    <x v="0"/>
    <x v="0"/>
    <x v="1"/>
    <x v="0"/>
    <x v="0"/>
    <x v="0"/>
    <x v="3"/>
    <x v="0"/>
    <x v="0"/>
    <x v="0"/>
    <x v="68"/>
    <x v="50"/>
    <x v="0"/>
  </r>
  <r>
    <x v="74"/>
    <x v="74"/>
    <x v="1"/>
    <x v="10"/>
    <x v="10"/>
    <x v="2"/>
    <x v="2"/>
    <x v="7"/>
    <x v="70"/>
    <x v="44"/>
    <x v="68"/>
    <x v="0"/>
    <x v="0"/>
    <x v="0"/>
    <x v="42"/>
    <x v="19"/>
    <x v="63"/>
    <x v="45"/>
    <x v="0"/>
    <x v="0"/>
    <x v="0"/>
    <x v="0"/>
    <x v="0"/>
    <x v="0"/>
    <x v="0"/>
    <x v="0"/>
    <x v="0"/>
    <x v="0"/>
    <x v="0"/>
    <x v="0"/>
    <x v="0"/>
    <x v="0"/>
    <x v="0"/>
    <x v="0"/>
    <x v="0"/>
    <x v="4"/>
    <x v="0"/>
    <x v="0"/>
    <x v="0"/>
    <x v="4"/>
    <x v="14"/>
    <x v="9"/>
    <x v="0"/>
    <x v="3"/>
    <x v="46"/>
    <x v="40"/>
    <x v="0"/>
    <x v="2"/>
    <x v="54"/>
    <x v="46"/>
    <x v="0"/>
    <x v="5"/>
    <x v="0"/>
    <x v="0"/>
    <x v="0"/>
    <x v="1"/>
    <x v="0"/>
    <x v="0"/>
    <x v="0"/>
    <x v="1"/>
    <x v="0"/>
    <x v="0"/>
    <x v="0"/>
    <x v="3"/>
    <x v="0"/>
    <x v="0"/>
    <x v="0"/>
    <x v="69"/>
    <x v="51"/>
    <x v="0"/>
  </r>
  <r>
    <x v="75"/>
    <x v="75"/>
    <x v="1"/>
    <x v="10"/>
    <x v="10"/>
    <x v="2"/>
    <x v="2"/>
    <x v="8"/>
    <x v="71"/>
    <x v="61"/>
    <x v="69"/>
    <x v="0"/>
    <x v="0"/>
    <x v="0"/>
    <x v="42"/>
    <x v="19"/>
    <x v="64"/>
    <x v="46"/>
    <x v="0"/>
    <x v="0"/>
    <x v="0"/>
    <x v="0"/>
    <x v="0"/>
    <x v="0"/>
    <x v="0"/>
    <x v="0"/>
    <x v="0"/>
    <x v="0"/>
    <x v="0"/>
    <x v="0"/>
    <x v="0"/>
    <x v="0"/>
    <x v="0"/>
    <x v="0"/>
    <x v="0"/>
    <x v="4"/>
    <x v="0"/>
    <x v="0"/>
    <x v="0"/>
    <x v="4"/>
    <x v="14"/>
    <x v="9"/>
    <x v="0"/>
    <x v="3"/>
    <x v="47"/>
    <x v="41"/>
    <x v="0"/>
    <x v="2"/>
    <x v="55"/>
    <x v="47"/>
    <x v="0"/>
    <x v="5"/>
    <x v="0"/>
    <x v="0"/>
    <x v="0"/>
    <x v="1"/>
    <x v="0"/>
    <x v="0"/>
    <x v="0"/>
    <x v="1"/>
    <x v="0"/>
    <x v="0"/>
    <x v="0"/>
    <x v="3"/>
    <x v="0"/>
    <x v="0"/>
    <x v="0"/>
    <x v="70"/>
    <x v="52"/>
    <x v="0"/>
  </r>
  <r>
    <x v="76"/>
    <x v="76"/>
    <x v="1"/>
    <x v="10"/>
    <x v="10"/>
    <x v="2"/>
    <x v="2"/>
    <x v="11"/>
    <x v="72"/>
    <x v="64"/>
    <x v="70"/>
    <x v="0"/>
    <x v="0"/>
    <x v="0"/>
    <x v="56"/>
    <x v="18"/>
    <x v="65"/>
    <x v="47"/>
    <x v="0"/>
    <x v="0"/>
    <x v="0"/>
    <x v="0"/>
    <x v="0"/>
    <x v="0"/>
    <x v="0"/>
    <x v="0"/>
    <x v="0"/>
    <x v="0"/>
    <x v="0"/>
    <x v="0"/>
    <x v="0"/>
    <x v="0"/>
    <x v="0"/>
    <x v="0"/>
    <x v="0"/>
    <x v="4"/>
    <x v="0"/>
    <x v="0"/>
    <x v="0"/>
    <x v="4"/>
    <x v="14"/>
    <x v="9"/>
    <x v="0"/>
    <x v="3"/>
    <x v="48"/>
    <x v="42"/>
    <x v="0"/>
    <x v="2"/>
    <x v="56"/>
    <x v="48"/>
    <x v="0"/>
    <x v="5"/>
    <x v="0"/>
    <x v="0"/>
    <x v="0"/>
    <x v="1"/>
    <x v="0"/>
    <x v="0"/>
    <x v="0"/>
    <x v="1"/>
    <x v="0"/>
    <x v="0"/>
    <x v="0"/>
    <x v="3"/>
    <x v="0"/>
    <x v="0"/>
    <x v="0"/>
    <x v="71"/>
    <x v="53"/>
    <x v="0"/>
  </r>
  <r>
    <x v="77"/>
    <x v="77"/>
    <x v="1"/>
    <x v="10"/>
    <x v="10"/>
    <x v="2"/>
    <x v="2"/>
    <x v="9"/>
    <x v="73"/>
    <x v="65"/>
    <x v="71"/>
    <x v="0"/>
    <x v="0"/>
    <x v="0"/>
    <x v="53"/>
    <x v="20"/>
    <x v="66"/>
    <x v="48"/>
    <x v="0"/>
    <x v="0"/>
    <x v="0"/>
    <x v="0"/>
    <x v="0"/>
    <x v="0"/>
    <x v="0"/>
    <x v="0"/>
    <x v="0"/>
    <x v="0"/>
    <x v="0"/>
    <x v="0"/>
    <x v="0"/>
    <x v="0"/>
    <x v="0"/>
    <x v="0"/>
    <x v="0"/>
    <x v="4"/>
    <x v="0"/>
    <x v="0"/>
    <x v="0"/>
    <x v="4"/>
    <x v="14"/>
    <x v="9"/>
    <x v="0"/>
    <x v="3"/>
    <x v="49"/>
    <x v="43"/>
    <x v="0"/>
    <x v="2"/>
    <x v="57"/>
    <x v="49"/>
    <x v="0"/>
    <x v="5"/>
    <x v="0"/>
    <x v="0"/>
    <x v="0"/>
    <x v="1"/>
    <x v="0"/>
    <x v="0"/>
    <x v="0"/>
    <x v="1"/>
    <x v="0"/>
    <x v="0"/>
    <x v="0"/>
    <x v="3"/>
    <x v="0"/>
    <x v="0"/>
    <x v="0"/>
    <x v="72"/>
    <x v="54"/>
    <x v="0"/>
  </r>
  <r>
    <x v="78"/>
    <x v="78"/>
    <x v="1"/>
    <x v="10"/>
    <x v="10"/>
    <x v="2"/>
    <x v="2"/>
    <x v="12"/>
    <x v="74"/>
    <x v="66"/>
    <x v="72"/>
    <x v="0"/>
    <x v="0"/>
    <x v="11"/>
    <x v="42"/>
    <x v="19"/>
    <x v="67"/>
    <x v="49"/>
    <x v="0"/>
    <x v="0"/>
    <x v="0"/>
    <x v="0"/>
    <x v="0"/>
    <x v="0"/>
    <x v="0"/>
    <x v="0"/>
    <x v="0"/>
    <x v="0"/>
    <x v="0"/>
    <x v="0"/>
    <x v="0"/>
    <x v="0"/>
    <x v="0"/>
    <x v="0"/>
    <x v="0"/>
    <x v="4"/>
    <x v="0"/>
    <x v="0"/>
    <x v="0"/>
    <x v="4"/>
    <x v="14"/>
    <x v="9"/>
    <x v="0"/>
    <x v="3"/>
    <x v="50"/>
    <x v="44"/>
    <x v="0"/>
    <x v="2"/>
    <x v="58"/>
    <x v="50"/>
    <x v="0"/>
    <x v="5"/>
    <x v="10"/>
    <x v="5"/>
    <x v="0"/>
    <x v="1"/>
    <x v="0"/>
    <x v="0"/>
    <x v="0"/>
    <x v="1"/>
    <x v="0"/>
    <x v="0"/>
    <x v="0"/>
    <x v="3"/>
    <x v="11"/>
    <x v="11"/>
    <x v="0"/>
    <x v="73"/>
    <x v="55"/>
    <x v="0"/>
  </r>
  <r>
    <x v="79"/>
    <x v="79"/>
    <x v="1"/>
    <x v="11"/>
    <x v="11"/>
    <x v="0"/>
    <x v="4"/>
    <x v="0"/>
    <x v="0"/>
    <x v="0"/>
    <x v="73"/>
    <x v="0"/>
    <x v="0"/>
    <x v="0"/>
    <x v="57"/>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80"/>
    <x v="80"/>
    <x v="1"/>
    <x v="12"/>
    <x v="12"/>
    <x v="0"/>
    <x v="4"/>
    <x v="0"/>
    <x v="0"/>
    <x v="0"/>
    <x v="74"/>
    <x v="0"/>
    <x v="0"/>
    <x v="0"/>
    <x v="58"/>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81"/>
    <x v="81"/>
    <x v="1"/>
    <x v="13"/>
    <x v="13"/>
    <x v="0"/>
    <x v="4"/>
    <x v="0"/>
    <x v="0"/>
    <x v="0"/>
    <x v="75"/>
    <x v="0"/>
    <x v="0"/>
    <x v="0"/>
    <x v="59"/>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82"/>
    <x v="82"/>
    <x v="1"/>
    <x v="14"/>
    <x v="14"/>
    <x v="0"/>
    <x v="4"/>
    <x v="0"/>
    <x v="0"/>
    <x v="0"/>
    <x v="76"/>
    <x v="0"/>
    <x v="0"/>
    <x v="0"/>
    <x v="6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83"/>
    <x v="83"/>
    <x v="1"/>
    <x v="15"/>
    <x v="15"/>
    <x v="0"/>
    <x v="4"/>
    <x v="0"/>
    <x v="0"/>
    <x v="0"/>
    <x v="77"/>
    <x v="0"/>
    <x v="0"/>
    <x v="0"/>
    <x v="61"/>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84"/>
    <x v="84"/>
    <x v="1"/>
    <x v="16"/>
    <x v="16"/>
    <x v="0"/>
    <x v="4"/>
    <x v="0"/>
    <x v="0"/>
    <x v="0"/>
    <x v="78"/>
    <x v="0"/>
    <x v="0"/>
    <x v="0"/>
    <x v="62"/>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85"/>
    <x v="85"/>
    <x v="1"/>
    <x v="17"/>
    <x v="17"/>
    <x v="0"/>
    <x v="4"/>
    <x v="0"/>
    <x v="0"/>
    <x v="0"/>
    <x v="79"/>
    <x v="0"/>
    <x v="0"/>
    <x v="0"/>
    <x v="63"/>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86"/>
    <x v="86"/>
    <x v="1"/>
    <x v="18"/>
    <x v="18"/>
    <x v="0"/>
    <x v="0"/>
    <x v="0"/>
    <x v="0"/>
    <x v="0"/>
    <x v="80"/>
    <x v="0"/>
    <x v="0"/>
    <x v="0"/>
    <x v="8"/>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87"/>
    <x v="87"/>
    <x v="1"/>
    <x v="19"/>
    <x v="19"/>
    <x v="1"/>
    <x v="0"/>
    <x v="0"/>
    <x v="75"/>
    <x v="67"/>
    <x v="81"/>
    <x v="0"/>
    <x v="0"/>
    <x v="12"/>
    <x v="46"/>
    <x v="21"/>
    <x v="68"/>
    <x v="50"/>
    <x v="27"/>
    <x v="0"/>
    <x v="0"/>
    <x v="10"/>
    <x v="0"/>
    <x v="2"/>
    <x v="13"/>
    <x v="5"/>
    <x v="13"/>
    <x v="0"/>
    <x v="0"/>
    <x v="9"/>
    <x v="0"/>
    <x v="0"/>
    <x v="0"/>
    <x v="16"/>
    <x v="0"/>
    <x v="0"/>
    <x v="0"/>
    <x v="2"/>
    <x v="0"/>
    <x v="0"/>
    <x v="0"/>
    <x v="10"/>
    <x v="0"/>
    <x v="1"/>
    <x v="51"/>
    <x v="45"/>
    <x v="11"/>
    <x v="2"/>
    <x v="59"/>
    <x v="51"/>
    <x v="16"/>
    <x v="0"/>
    <x v="0"/>
    <x v="6"/>
    <x v="0"/>
    <x v="0"/>
    <x v="0"/>
    <x v="1"/>
    <x v="0"/>
    <x v="0"/>
    <x v="0"/>
    <x v="1"/>
    <x v="0"/>
    <x v="1"/>
    <x v="12"/>
    <x v="12"/>
    <x v="0"/>
    <x v="74"/>
    <x v="56"/>
    <x v="29"/>
  </r>
  <r>
    <x v="88"/>
    <x v="88"/>
    <x v="1"/>
    <x v="19"/>
    <x v="19"/>
    <x v="1"/>
    <x v="0"/>
    <x v="0"/>
    <x v="76"/>
    <x v="68"/>
    <x v="82"/>
    <x v="0"/>
    <x v="0"/>
    <x v="0"/>
    <x v="64"/>
    <x v="22"/>
    <x v="69"/>
    <x v="0"/>
    <x v="28"/>
    <x v="0"/>
    <x v="0"/>
    <x v="0"/>
    <x v="0"/>
    <x v="2"/>
    <x v="14"/>
    <x v="0"/>
    <x v="14"/>
    <x v="0"/>
    <x v="0"/>
    <x v="0"/>
    <x v="0"/>
    <x v="0"/>
    <x v="0"/>
    <x v="0"/>
    <x v="0"/>
    <x v="0"/>
    <x v="0"/>
    <x v="0"/>
    <x v="0"/>
    <x v="0"/>
    <x v="0"/>
    <x v="0"/>
    <x v="0"/>
    <x v="1"/>
    <x v="52"/>
    <x v="0"/>
    <x v="12"/>
    <x v="2"/>
    <x v="60"/>
    <x v="0"/>
    <x v="17"/>
    <x v="0"/>
    <x v="0"/>
    <x v="0"/>
    <x v="0"/>
    <x v="0"/>
    <x v="0"/>
    <x v="0"/>
    <x v="0"/>
    <x v="0"/>
    <x v="0"/>
    <x v="0"/>
    <x v="0"/>
    <x v="1"/>
    <x v="0"/>
    <x v="0"/>
    <x v="0"/>
    <x v="75"/>
    <x v="0"/>
    <x v="30"/>
  </r>
  <r>
    <x v="89"/>
    <x v="89"/>
    <x v="1"/>
    <x v="19"/>
    <x v="19"/>
    <x v="1"/>
    <x v="0"/>
    <x v="0"/>
    <x v="33"/>
    <x v="69"/>
    <x v="83"/>
    <x v="0"/>
    <x v="0"/>
    <x v="0"/>
    <x v="2"/>
    <x v="15"/>
    <x v="70"/>
    <x v="0"/>
    <x v="29"/>
    <x v="0"/>
    <x v="0"/>
    <x v="0"/>
    <x v="0"/>
    <x v="2"/>
    <x v="15"/>
    <x v="0"/>
    <x v="15"/>
    <x v="0"/>
    <x v="0"/>
    <x v="0"/>
    <x v="0"/>
    <x v="0"/>
    <x v="0"/>
    <x v="0"/>
    <x v="0"/>
    <x v="0"/>
    <x v="0"/>
    <x v="0"/>
    <x v="0"/>
    <x v="0"/>
    <x v="0"/>
    <x v="0"/>
    <x v="0"/>
    <x v="1"/>
    <x v="53"/>
    <x v="0"/>
    <x v="13"/>
    <x v="2"/>
    <x v="61"/>
    <x v="0"/>
    <x v="18"/>
    <x v="0"/>
    <x v="0"/>
    <x v="0"/>
    <x v="0"/>
    <x v="0"/>
    <x v="0"/>
    <x v="0"/>
    <x v="0"/>
    <x v="0"/>
    <x v="0"/>
    <x v="0"/>
    <x v="0"/>
    <x v="1"/>
    <x v="0"/>
    <x v="0"/>
    <x v="0"/>
    <x v="76"/>
    <x v="0"/>
    <x v="31"/>
  </r>
  <r>
    <x v="90"/>
    <x v="90"/>
    <x v="1"/>
    <x v="19"/>
    <x v="19"/>
    <x v="1"/>
    <x v="0"/>
    <x v="0"/>
    <x v="77"/>
    <x v="70"/>
    <x v="84"/>
    <x v="0"/>
    <x v="0"/>
    <x v="0"/>
    <x v="41"/>
    <x v="2"/>
    <x v="71"/>
    <x v="0"/>
    <x v="30"/>
    <x v="0"/>
    <x v="0"/>
    <x v="0"/>
    <x v="0"/>
    <x v="2"/>
    <x v="16"/>
    <x v="0"/>
    <x v="16"/>
    <x v="0"/>
    <x v="0"/>
    <x v="0"/>
    <x v="0"/>
    <x v="0"/>
    <x v="0"/>
    <x v="0"/>
    <x v="0"/>
    <x v="0"/>
    <x v="0"/>
    <x v="0"/>
    <x v="0"/>
    <x v="0"/>
    <x v="0"/>
    <x v="0"/>
    <x v="0"/>
    <x v="1"/>
    <x v="54"/>
    <x v="0"/>
    <x v="14"/>
    <x v="2"/>
    <x v="62"/>
    <x v="0"/>
    <x v="19"/>
    <x v="0"/>
    <x v="0"/>
    <x v="0"/>
    <x v="0"/>
    <x v="0"/>
    <x v="0"/>
    <x v="0"/>
    <x v="0"/>
    <x v="0"/>
    <x v="0"/>
    <x v="0"/>
    <x v="0"/>
    <x v="1"/>
    <x v="0"/>
    <x v="0"/>
    <x v="0"/>
    <x v="77"/>
    <x v="0"/>
    <x v="32"/>
  </r>
  <r>
    <x v="91"/>
    <x v="91"/>
    <x v="1"/>
    <x v="19"/>
    <x v="19"/>
    <x v="1"/>
    <x v="0"/>
    <x v="0"/>
    <x v="78"/>
    <x v="71"/>
    <x v="85"/>
    <x v="0"/>
    <x v="0"/>
    <x v="0"/>
    <x v="47"/>
    <x v="23"/>
    <x v="72"/>
    <x v="0"/>
    <x v="31"/>
    <x v="0"/>
    <x v="0"/>
    <x v="0"/>
    <x v="0"/>
    <x v="2"/>
    <x v="17"/>
    <x v="0"/>
    <x v="17"/>
    <x v="0"/>
    <x v="0"/>
    <x v="0"/>
    <x v="0"/>
    <x v="0"/>
    <x v="0"/>
    <x v="0"/>
    <x v="0"/>
    <x v="0"/>
    <x v="0"/>
    <x v="0"/>
    <x v="0"/>
    <x v="0"/>
    <x v="0"/>
    <x v="0"/>
    <x v="0"/>
    <x v="1"/>
    <x v="55"/>
    <x v="0"/>
    <x v="15"/>
    <x v="10"/>
    <x v="63"/>
    <x v="0"/>
    <x v="20"/>
    <x v="0"/>
    <x v="0"/>
    <x v="0"/>
    <x v="0"/>
    <x v="0"/>
    <x v="0"/>
    <x v="0"/>
    <x v="0"/>
    <x v="0"/>
    <x v="0"/>
    <x v="0"/>
    <x v="0"/>
    <x v="1"/>
    <x v="0"/>
    <x v="0"/>
    <x v="0"/>
    <x v="78"/>
    <x v="0"/>
    <x v="33"/>
  </r>
  <r>
    <x v="92"/>
    <x v="92"/>
    <x v="1"/>
    <x v="19"/>
    <x v="19"/>
    <x v="1"/>
    <x v="0"/>
    <x v="0"/>
    <x v="79"/>
    <x v="72"/>
    <x v="86"/>
    <x v="0"/>
    <x v="0"/>
    <x v="0"/>
    <x v="44"/>
    <x v="15"/>
    <x v="73"/>
    <x v="0"/>
    <x v="32"/>
    <x v="0"/>
    <x v="0"/>
    <x v="0"/>
    <x v="0"/>
    <x v="2"/>
    <x v="18"/>
    <x v="0"/>
    <x v="18"/>
    <x v="0"/>
    <x v="0"/>
    <x v="0"/>
    <x v="0"/>
    <x v="0"/>
    <x v="0"/>
    <x v="0"/>
    <x v="0"/>
    <x v="0"/>
    <x v="0"/>
    <x v="0"/>
    <x v="0"/>
    <x v="0"/>
    <x v="0"/>
    <x v="0"/>
    <x v="0"/>
    <x v="1"/>
    <x v="56"/>
    <x v="0"/>
    <x v="16"/>
    <x v="2"/>
    <x v="64"/>
    <x v="0"/>
    <x v="21"/>
    <x v="0"/>
    <x v="0"/>
    <x v="0"/>
    <x v="0"/>
    <x v="0"/>
    <x v="0"/>
    <x v="0"/>
    <x v="0"/>
    <x v="0"/>
    <x v="0"/>
    <x v="0"/>
    <x v="0"/>
    <x v="1"/>
    <x v="0"/>
    <x v="0"/>
    <x v="0"/>
    <x v="79"/>
    <x v="0"/>
    <x v="34"/>
  </r>
  <r>
    <x v="93"/>
    <x v="93"/>
    <x v="1"/>
    <x v="19"/>
    <x v="19"/>
    <x v="1"/>
    <x v="0"/>
    <x v="0"/>
    <x v="80"/>
    <x v="70"/>
    <x v="1"/>
    <x v="0"/>
    <x v="0"/>
    <x v="0"/>
    <x v="47"/>
    <x v="15"/>
    <x v="0"/>
    <x v="0"/>
    <x v="0"/>
    <x v="0"/>
    <x v="0"/>
    <x v="0"/>
    <x v="0"/>
    <x v="2"/>
    <x v="0"/>
    <x v="0"/>
    <x v="0"/>
    <x v="0"/>
    <x v="0"/>
    <x v="0"/>
    <x v="0"/>
    <x v="0"/>
    <x v="0"/>
    <x v="0"/>
    <x v="0"/>
    <x v="0"/>
    <x v="0"/>
    <x v="0"/>
    <x v="0"/>
    <x v="0"/>
    <x v="0"/>
    <x v="0"/>
    <x v="0"/>
    <x v="1"/>
    <x v="0"/>
    <x v="0"/>
    <x v="0"/>
    <x v="2"/>
    <x v="0"/>
    <x v="0"/>
    <x v="0"/>
    <x v="0"/>
    <x v="0"/>
    <x v="0"/>
    <x v="0"/>
    <x v="0"/>
    <x v="0"/>
    <x v="0"/>
    <x v="0"/>
    <x v="0"/>
    <x v="0"/>
    <x v="0"/>
    <x v="0"/>
    <x v="1"/>
    <x v="0"/>
    <x v="0"/>
    <x v="0"/>
    <x v="0"/>
    <x v="0"/>
    <x v="0"/>
  </r>
  <r>
    <x v="94"/>
    <x v="94"/>
    <x v="1"/>
    <x v="19"/>
    <x v="19"/>
    <x v="1"/>
    <x v="0"/>
    <x v="0"/>
    <x v="81"/>
    <x v="73"/>
    <x v="87"/>
    <x v="0"/>
    <x v="0"/>
    <x v="0"/>
    <x v="65"/>
    <x v="15"/>
    <x v="74"/>
    <x v="0"/>
    <x v="33"/>
    <x v="0"/>
    <x v="0"/>
    <x v="0"/>
    <x v="0"/>
    <x v="2"/>
    <x v="19"/>
    <x v="0"/>
    <x v="19"/>
    <x v="0"/>
    <x v="0"/>
    <x v="0"/>
    <x v="0"/>
    <x v="0"/>
    <x v="0"/>
    <x v="0"/>
    <x v="0"/>
    <x v="0"/>
    <x v="0"/>
    <x v="0"/>
    <x v="0"/>
    <x v="0"/>
    <x v="0"/>
    <x v="0"/>
    <x v="0"/>
    <x v="1"/>
    <x v="57"/>
    <x v="0"/>
    <x v="17"/>
    <x v="2"/>
    <x v="65"/>
    <x v="0"/>
    <x v="22"/>
    <x v="0"/>
    <x v="0"/>
    <x v="0"/>
    <x v="0"/>
    <x v="0"/>
    <x v="0"/>
    <x v="0"/>
    <x v="0"/>
    <x v="0"/>
    <x v="0"/>
    <x v="0"/>
    <x v="0"/>
    <x v="1"/>
    <x v="0"/>
    <x v="0"/>
    <x v="0"/>
    <x v="80"/>
    <x v="0"/>
    <x v="35"/>
  </r>
  <r>
    <x v="95"/>
    <x v="95"/>
    <x v="1"/>
    <x v="19"/>
    <x v="19"/>
    <x v="1"/>
    <x v="0"/>
    <x v="0"/>
    <x v="27"/>
    <x v="74"/>
    <x v="88"/>
    <x v="0"/>
    <x v="0"/>
    <x v="0"/>
    <x v="66"/>
    <x v="15"/>
    <x v="75"/>
    <x v="0"/>
    <x v="34"/>
    <x v="0"/>
    <x v="0"/>
    <x v="0"/>
    <x v="0"/>
    <x v="2"/>
    <x v="20"/>
    <x v="0"/>
    <x v="20"/>
    <x v="0"/>
    <x v="0"/>
    <x v="0"/>
    <x v="0"/>
    <x v="0"/>
    <x v="0"/>
    <x v="0"/>
    <x v="0"/>
    <x v="0"/>
    <x v="0"/>
    <x v="0"/>
    <x v="0"/>
    <x v="0"/>
    <x v="0"/>
    <x v="0"/>
    <x v="0"/>
    <x v="1"/>
    <x v="58"/>
    <x v="0"/>
    <x v="18"/>
    <x v="2"/>
    <x v="66"/>
    <x v="0"/>
    <x v="23"/>
    <x v="0"/>
    <x v="0"/>
    <x v="0"/>
    <x v="0"/>
    <x v="0"/>
    <x v="0"/>
    <x v="0"/>
    <x v="0"/>
    <x v="0"/>
    <x v="0"/>
    <x v="0"/>
    <x v="0"/>
    <x v="1"/>
    <x v="0"/>
    <x v="0"/>
    <x v="0"/>
    <x v="81"/>
    <x v="0"/>
    <x v="36"/>
  </r>
  <r>
    <x v="96"/>
    <x v="96"/>
    <x v="1"/>
    <x v="19"/>
    <x v="19"/>
    <x v="1"/>
    <x v="0"/>
    <x v="0"/>
    <x v="42"/>
    <x v="75"/>
    <x v="89"/>
    <x v="0"/>
    <x v="0"/>
    <x v="0"/>
    <x v="46"/>
    <x v="15"/>
    <x v="76"/>
    <x v="0"/>
    <x v="35"/>
    <x v="0"/>
    <x v="0"/>
    <x v="0"/>
    <x v="0"/>
    <x v="2"/>
    <x v="21"/>
    <x v="0"/>
    <x v="21"/>
    <x v="0"/>
    <x v="0"/>
    <x v="0"/>
    <x v="0"/>
    <x v="0"/>
    <x v="0"/>
    <x v="0"/>
    <x v="0"/>
    <x v="0"/>
    <x v="0"/>
    <x v="0"/>
    <x v="0"/>
    <x v="0"/>
    <x v="0"/>
    <x v="0"/>
    <x v="0"/>
    <x v="1"/>
    <x v="59"/>
    <x v="0"/>
    <x v="19"/>
    <x v="2"/>
    <x v="67"/>
    <x v="0"/>
    <x v="24"/>
    <x v="0"/>
    <x v="0"/>
    <x v="0"/>
    <x v="0"/>
    <x v="0"/>
    <x v="0"/>
    <x v="0"/>
    <x v="0"/>
    <x v="0"/>
    <x v="0"/>
    <x v="0"/>
    <x v="0"/>
    <x v="1"/>
    <x v="0"/>
    <x v="0"/>
    <x v="0"/>
    <x v="82"/>
    <x v="0"/>
    <x v="37"/>
  </r>
  <r>
    <x v="97"/>
    <x v="97"/>
    <x v="1"/>
    <x v="19"/>
    <x v="19"/>
    <x v="1"/>
    <x v="0"/>
    <x v="0"/>
    <x v="82"/>
    <x v="76"/>
    <x v="90"/>
    <x v="0"/>
    <x v="0"/>
    <x v="0"/>
    <x v="66"/>
    <x v="15"/>
    <x v="77"/>
    <x v="0"/>
    <x v="36"/>
    <x v="0"/>
    <x v="0"/>
    <x v="0"/>
    <x v="0"/>
    <x v="2"/>
    <x v="22"/>
    <x v="0"/>
    <x v="22"/>
    <x v="0"/>
    <x v="0"/>
    <x v="0"/>
    <x v="0"/>
    <x v="0"/>
    <x v="0"/>
    <x v="0"/>
    <x v="0"/>
    <x v="0"/>
    <x v="0"/>
    <x v="0"/>
    <x v="0"/>
    <x v="0"/>
    <x v="0"/>
    <x v="0"/>
    <x v="0"/>
    <x v="1"/>
    <x v="60"/>
    <x v="0"/>
    <x v="20"/>
    <x v="2"/>
    <x v="68"/>
    <x v="0"/>
    <x v="25"/>
    <x v="0"/>
    <x v="0"/>
    <x v="0"/>
    <x v="0"/>
    <x v="0"/>
    <x v="0"/>
    <x v="0"/>
    <x v="0"/>
    <x v="0"/>
    <x v="0"/>
    <x v="0"/>
    <x v="0"/>
    <x v="1"/>
    <x v="0"/>
    <x v="0"/>
    <x v="0"/>
    <x v="83"/>
    <x v="0"/>
    <x v="38"/>
  </r>
  <r>
    <x v="98"/>
    <x v="98"/>
    <x v="1"/>
    <x v="19"/>
    <x v="19"/>
    <x v="1"/>
    <x v="0"/>
    <x v="0"/>
    <x v="83"/>
    <x v="77"/>
    <x v="91"/>
    <x v="0"/>
    <x v="0"/>
    <x v="0"/>
    <x v="65"/>
    <x v="15"/>
    <x v="78"/>
    <x v="0"/>
    <x v="37"/>
    <x v="0"/>
    <x v="0"/>
    <x v="0"/>
    <x v="0"/>
    <x v="2"/>
    <x v="23"/>
    <x v="0"/>
    <x v="23"/>
    <x v="0"/>
    <x v="0"/>
    <x v="0"/>
    <x v="0"/>
    <x v="0"/>
    <x v="0"/>
    <x v="0"/>
    <x v="0"/>
    <x v="0"/>
    <x v="0"/>
    <x v="0"/>
    <x v="0"/>
    <x v="0"/>
    <x v="0"/>
    <x v="0"/>
    <x v="0"/>
    <x v="1"/>
    <x v="61"/>
    <x v="0"/>
    <x v="21"/>
    <x v="2"/>
    <x v="69"/>
    <x v="0"/>
    <x v="26"/>
    <x v="0"/>
    <x v="0"/>
    <x v="0"/>
    <x v="0"/>
    <x v="0"/>
    <x v="0"/>
    <x v="0"/>
    <x v="0"/>
    <x v="0"/>
    <x v="0"/>
    <x v="0"/>
    <x v="0"/>
    <x v="1"/>
    <x v="0"/>
    <x v="0"/>
    <x v="0"/>
    <x v="84"/>
    <x v="0"/>
    <x v="39"/>
  </r>
  <r>
    <x v="99"/>
    <x v="99"/>
    <x v="1"/>
    <x v="20"/>
    <x v="20"/>
    <x v="0"/>
    <x v="0"/>
    <x v="0"/>
    <x v="0"/>
    <x v="0"/>
    <x v="92"/>
    <x v="0"/>
    <x v="0"/>
    <x v="0"/>
    <x v="67"/>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00"/>
    <x v="100"/>
    <x v="1"/>
    <x v="21"/>
    <x v="21"/>
    <x v="0"/>
    <x v="0"/>
    <x v="0"/>
    <x v="0"/>
    <x v="0"/>
    <x v="93"/>
    <x v="0"/>
    <x v="0"/>
    <x v="0"/>
    <x v="68"/>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01"/>
    <x v="101"/>
    <x v="2"/>
    <x v="22"/>
    <x v="22"/>
    <x v="0"/>
    <x v="2"/>
    <x v="0"/>
    <x v="0"/>
    <x v="0"/>
    <x v="94"/>
    <x v="0"/>
    <x v="0"/>
    <x v="0"/>
    <x v="8"/>
    <x v="0"/>
    <x v="0"/>
    <x v="0"/>
    <x v="0"/>
    <x v="3"/>
    <x v="0"/>
    <x v="0"/>
    <x v="0"/>
    <x v="1"/>
    <x v="0"/>
    <x v="0"/>
    <x v="0"/>
    <x v="3"/>
    <x v="0"/>
    <x v="0"/>
    <x v="0"/>
    <x v="0"/>
    <x v="0"/>
    <x v="0"/>
    <x v="0"/>
    <x v="0"/>
    <x v="0"/>
    <x v="0"/>
    <x v="0"/>
    <x v="0"/>
    <x v="0"/>
    <x v="0"/>
    <x v="0"/>
    <x v="0"/>
    <x v="0"/>
    <x v="0"/>
    <x v="0"/>
    <x v="0"/>
    <x v="0"/>
    <x v="0"/>
    <x v="0"/>
    <x v="0"/>
    <x v="0"/>
    <x v="0"/>
    <x v="0"/>
    <x v="0"/>
    <x v="0"/>
    <x v="0"/>
    <x v="0"/>
    <x v="0"/>
    <x v="0"/>
    <x v="0"/>
    <x v="0"/>
    <x v="0"/>
    <x v="0"/>
    <x v="0"/>
    <x v="0"/>
    <x v="0"/>
    <x v="0"/>
    <x v="0"/>
  </r>
  <r>
    <x v="102"/>
    <x v="102"/>
    <x v="2"/>
    <x v="22"/>
    <x v="22"/>
    <x v="0"/>
    <x v="2"/>
    <x v="1"/>
    <x v="84"/>
    <x v="78"/>
    <x v="95"/>
    <x v="0"/>
    <x v="0"/>
    <x v="0"/>
    <x v="69"/>
    <x v="24"/>
    <x v="79"/>
    <x v="51"/>
    <x v="0"/>
    <x v="0"/>
    <x v="0"/>
    <x v="0"/>
    <x v="0"/>
    <x v="0"/>
    <x v="0"/>
    <x v="0"/>
    <x v="0"/>
    <x v="8"/>
    <x v="28"/>
    <x v="0"/>
    <x v="14"/>
    <x v="2"/>
    <x v="27"/>
    <x v="23"/>
    <x v="0"/>
    <x v="0"/>
    <x v="0"/>
    <x v="0"/>
    <x v="0"/>
    <x v="0"/>
    <x v="0"/>
    <x v="0"/>
    <x v="0"/>
    <x v="8"/>
    <x v="0"/>
    <x v="0"/>
    <x v="0"/>
    <x v="0"/>
    <x v="0"/>
    <x v="0"/>
    <x v="0"/>
    <x v="6"/>
    <x v="0"/>
    <x v="0"/>
    <x v="0"/>
    <x v="1"/>
    <x v="0"/>
    <x v="0"/>
    <x v="0"/>
    <x v="1"/>
    <x v="0"/>
    <x v="0"/>
    <x v="0"/>
    <x v="1"/>
    <x v="0"/>
    <x v="0"/>
    <x v="0"/>
    <x v="85"/>
    <x v="57"/>
    <x v="40"/>
  </r>
  <r>
    <x v="103"/>
    <x v="103"/>
    <x v="2"/>
    <x v="22"/>
    <x v="22"/>
    <x v="0"/>
    <x v="2"/>
    <x v="2"/>
    <x v="85"/>
    <x v="79"/>
    <x v="96"/>
    <x v="0"/>
    <x v="0"/>
    <x v="0"/>
    <x v="49"/>
    <x v="2"/>
    <x v="80"/>
    <x v="52"/>
    <x v="0"/>
    <x v="0"/>
    <x v="0"/>
    <x v="0"/>
    <x v="0"/>
    <x v="0"/>
    <x v="0"/>
    <x v="0"/>
    <x v="0"/>
    <x v="9"/>
    <x v="29"/>
    <x v="0"/>
    <x v="15"/>
    <x v="2"/>
    <x v="28"/>
    <x v="24"/>
    <x v="0"/>
    <x v="0"/>
    <x v="0"/>
    <x v="0"/>
    <x v="0"/>
    <x v="0"/>
    <x v="0"/>
    <x v="0"/>
    <x v="0"/>
    <x v="8"/>
    <x v="0"/>
    <x v="0"/>
    <x v="0"/>
    <x v="0"/>
    <x v="0"/>
    <x v="0"/>
    <x v="0"/>
    <x v="6"/>
    <x v="0"/>
    <x v="0"/>
    <x v="0"/>
    <x v="1"/>
    <x v="0"/>
    <x v="0"/>
    <x v="0"/>
    <x v="1"/>
    <x v="0"/>
    <x v="0"/>
    <x v="0"/>
    <x v="1"/>
    <x v="0"/>
    <x v="0"/>
    <x v="0"/>
    <x v="86"/>
    <x v="58"/>
    <x v="41"/>
  </r>
  <r>
    <x v="104"/>
    <x v="104"/>
    <x v="2"/>
    <x v="22"/>
    <x v="22"/>
    <x v="0"/>
    <x v="2"/>
    <x v="3"/>
    <x v="86"/>
    <x v="80"/>
    <x v="97"/>
    <x v="0"/>
    <x v="0"/>
    <x v="0"/>
    <x v="70"/>
    <x v="2"/>
    <x v="81"/>
    <x v="53"/>
    <x v="0"/>
    <x v="0"/>
    <x v="0"/>
    <x v="0"/>
    <x v="0"/>
    <x v="0"/>
    <x v="0"/>
    <x v="0"/>
    <x v="0"/>
    <x v="10"/>
    <x v="30"/>
    <x v="0"/>
    <x v="16"/>
    <x v="2"/>
    <x v="29"/>
    <x v="25"/>
    <x v="0"/>
    <x v="0"/>
    <x v="0"/>
    <x v="0"/>
    <x v="0"/>
    <x v="0"/>
    <x v="0"/>
    <x v="0"/>
    <x v="0"/>
    <x v="8"/>
    <x v="0"/>
    <x v="0"/>
    <x v="0"/>
    <x v="0"/>
    <x v="0"/>
    <x v="0"/>
    <x v="0"/>
    <x v="6"/>
    <x v="0"/>
    <x v="0"/>
    <x v="0"/>
    <x v="1"/>
    <x v="0"/>
    <x v="0"/>
    <x v="0"/>
    <x v="1"/>
    <x v="0"/>
    <x v="0"/>
    <x v="0"/>
    <x v="1"/>
    <x v="0"/>
    <x v="0"/>
    <x v="0"/>
    <x v="87"/>
    <x v="59"/>
    <x v="42"/>
  </r>
  <r>
    <x v="105"/>
    <x v="105"/>
    <x v="2"/>
    <x v="22"/>
    <x v="22"/>
    <x v="0"/>
    <x v="2"/>
    <x v="4"/>
    <x v="87"/>
    <x v="81"/>
    <x v="98"/>
    <x v="0"/>
    <x v="0"/>
    <x v="0"/>
    <x v="71"/>
    <x v="2"/>
    <x v="82"/>
    <x v="54"/>
    <x v="0"/>
    <x v="0"/>
    <x v="0"/>
    <x v="0"/>
    <x v="0"/>
    <x v="0"/>
    <x v="0"/>
    <x v="0"/>
    <x v="0"/>
    <x v="11"/>
    <x v="31"/>
    <x v="0"/>
    <x v="17"/>
    <x v="2"/>
    <x v="30"/>
    <x v="26"/>
    <x v="0"/>
    <x v="0"/>
    <x v="0"/>
    <x v="0"/>
    <x v="0"/>
    <x v="0"/>
    <x v="0"/>
    <x v="0"/>
    <x v="0"/>
    <x v="8"/>
    <x v="0"/>
    <x v="0"/>
    <x v="0"/>
    <x v="0"/>
    <x v="0"/>
    <x v="0"/>
    <x v="0"/>
    <x v="6"/>
    <x v="0"/>
    <x v="0"/>
    <x v="0"/>
    <x v="1"/>
    <x v="0"/>
    <x v="0"/>
    <x v="0"/>
    <x v="1"/>
    <x v="0"/>
    <x v="0"/>
    <x v="0"/>
    <x v="1"/>
    <x v="0"/>
    <x v="0"/>
    <x v="0"/>
    <x v="88"/>
    <x v="60"/>
    <x v="43"/>
  </r>
  <r>
    <x v="106"/>
    <x v="106"/>
    <x v="2"/>
    <x v="22"/>
    <x v="22"/>
    <x v="0"/>
    <x v="2"/>
    <x v="10"/>
    <x v="88"/>
    <x v="82"/>
    <x v="99"/>
    <x v="0"/>
    <x v="0"/>
    <x v="0"/>
    <x v="72"/>
    <x v="2"/>
    <x v="83"/>
    <x v="55"/>
    <x v="0"/>
    <x v="0"/>
    <x v="0"/>
    <x v="0"/>
    <x v="0"/>
    <x v="0"/>
    <x v="0"/>
    <x v="0"/>
    <x v="0"/>
    <x v="12"/>
    <x v="32"/>
    <x v="0"/>
    <x v="18"/>
    <x v="2"/>
    <x v="31"/>
    <x v="27"/>
    <x v="0"/>
    <x v="0"/>
    <x v="0"/>
    <x v="0"/>
    <x v="0"/>
    <x v="0"/>
    <x v="0"/>
    <x v="0"/>
    <x v="0"/>
    <x v="8"/>
    <x v="0"/>
    <x v="0"/>
    <x v="0"/>
    <x v="0"/>
    <x v="0"/>
    <x v="0"/>
    <x v="0"/>
    <x v="6"/>
    <x v="0"/>
    <x v="0"/>
    <x v="0"/>
    <x v="1"/>
    <x v="0"/>
    <x v="0"/>
    <x v="0"/>
    <x v="1"/>
    <x v="0"/>
    <x v="0"/>
    <x v="0"/>
    <x v="1"/>
    <x v="0"/>
    <x v="0"/>
    <x v="0"/>
    <x v="89"/>
    <x v="61"/>
    <x v="44"/>
  </r>
  <r>
    <x v="107"/>
    <x v="107"/>
    <x v="2"/>
    <x v="22"/>
    <x v="22"/>
    <x v="0"/>
    <x v="2"/>
    <x v="5"/>
    <x v="89"/>
    <x v="83"/>
    <x v="100"/>
    <x v="0"/>
    <x v="0"/>
    <x v="0"/>
    <x v="49"/>
    <x v="24"/>
    <x v="84"/>
    <x v="56"/>
    <x v="0"/>
    <x v="0"/>
    <x v="0"/>
    <x v="0"/>
    <x v="0"/>
    <x v="0"/>
    <x v="0"/>
    <x v="0"/>
    <x v="0"/>
    <x v="13"/>
    <x v="33"/>
    <x v="0"/>
    <x v="19"/>
    <x v="2"/>
    <x v="32"/>
    <x v="28"/>
    <x v="0"/>
    <x v="0"/>
    <x v="0"/>
    <x v="0"/>
    <x v="0"/>
    <x v="0"/>
    <x v="0"/>
    <x v="0"/>
    <x v="0"/>
    <x v="8"/>
    <x v="0"/>
    <x v="0"/>
    <x v="0"/>
    <x v="0"/>
    <x v="0"/>
    <x v="0"/>
    <x v="0"/>
    <x v="6"/>
    <x v="0"/>
    <x v="0"/>
    <x v="0"/>
    <x v="1"/>
    <x v="0"/>
    <x v="0"/>
    <x v="0"/>
    <x v="1"/>
    <x v="0"/>
    <x v="0"/>
    <x v="0"/>
    <x v="1"/>
    <x v="0"/>
    <x v="0"/>
    <x v="0"/>
    <x v="90"/>
    <x v="62"/>
    <x v="45"/>
  </r>
  <r>
    <x v="108"/>
    <x v="108"/>
    <x v="2"/>
    <x v="22"/>
    <x v="22"/>
    <x v="0"/>
    <x v="2"/>
    <x v="6"/>
    <x v="27"/>
    <x v="84"/>
    <x v="101"/>
    <x v="0"/>
    <x v="0"/>
    <x v="13"/>
    <x v="71"/>
    <x v="24"/>
    <x v="85"/>
    <x v="57"/>
    <x v="0"/>
    <x v="0"/>
    <x v="0"/>
    <x v="0"/>
    <x v="0"/>
    <x v="0"/>
    <x v="0"/>
    <x v="0"/>
    <x v="0"/>
    <x v="14"/>
    <x v="28"/>
    <x v="24"/>
    <x v="20"/>
    <x v="2"/>
    <x v="33"/>
    <x v="29"/>
    <x v="0"/>
    <x v="0"/>
    <x v="0"/>
    <x v="0"/>
    <x v="0"/>
    <x v="0"/>
    <x v="0"/>
    <x v="0"/>
    <x v="0"/>
    <x v="8"/>
    <x v="62"/>
    <x v="46"/>
    <x v="0"/>
    <x v="0"/>
    <x v="0"/>
    <x v="0"/>
    <x v="0"/>
    <x v="6"/>
    <x v="11"/>
    <x v="7"/>
    <x v="0"/>
    <x v="1"/>
    <x v="0"/>
    <x v="0"/>
    <x v="0"/>
    <x v="1"/>
    <x v="0"/>
    <x v="0"/>
    <x v="0"/>
    <x v="1"/>
    <x v="0"/>
    <x v="0"/>
    <x v="0"/>
    <x v="91"/>
    <x v="63"/>
    <x v="46"/>
  </r>
  <r>
    <x v="109"/>
    <x v="109"/>
    <x v="2"/>
    <x v="23"/>
    <x v="23"/>
    <x v="2"/>
    <x v="2"/>
    <x v="1"/>
    <x v="90"/>
    <x v="85"/>
    <x v="102"/>
    <x v="0"/>
    <x v="0"/>
    <x v="0"/>
    <x v="8"/>
    <x v="9"/>
    <x v="86"/>
    <x v="0"/>
    <x v="38"/>
    <x v="0"/>
    <x v="0"/>
    <x v="0"/>
    <x v="0"/>
    <x v="0"/>
    <x v="0"/>
    <x v="0"/>
    <x v="0"/>
    <x v="0"/>
    <x v="0"/>
    <x v="0"/>
    <x v="0"/>
    <x v="0"/>
    <x v="0"/>
    <x v="0"/>
    <x v="0"/>
    <x v="0"/>
    <x v="0"/>
    <x v="0"/>
    <x v="0"/>
    <x v="0"/>
    <x v="0"/>
    <x v="0"/>
    <x v="0"/>
    <x v="9"/>
    <x v="63"/>
    <x v="0"/>
    <x v="22"/>
    <x v="4"/>
    <x v="70"/>
    <x v="0"/>
    <x v="27"/>
    <x v="1"/>
    <x v="0"/>
    <x v="0"/>
    <x v="0"/>
    <x v="10"/>
    <x v="0"/>
    <x v="0"/>
    <x v="0"/>
    <x v="1"/>
    <x v="0"/>
    <x v="0"/>
    <x v="0"/>
    <x v="1"/>
    <x v="0"/>
    <x v="0"/>
    <x v="0"/>
    <x v="92"/>
    <x v="0"/>
    <x v="47"/>
  </r>
  <r>
    <x v="110"/>
    <x v="110"/>
    <x v="2"/>
    <x v="23"/>
    <x v="23"/>
    <x v="2"/>
    <x v="2"/>
    <x v="2"/>
    <x v="91"/>
    <x v="86"/>
    <x v="103"/>
    <x v="0"/>
    <x v="0"/>
    <x v="0"/>
    <x v="8"/>
    <x v="25"/>
    <x v="87"/>
    <x v="0"/>
    <x v="39"/>
    <x v="0"/>
    <x v="0"/>
    <x v="0"/>
    <x v="0"/>
    <x v="0"/>
    <x v="0"/>
    <x v="0"/>
    <x v="0"/>
    <x v="0"/>
    <x v="0"/>
    <x v="0"/>
    <x v="0"/>
    <x v="0"/>
    <x v="0"/>
    <x v="0"/>
    <x v="0"/>
    <x v="0"/>
    <x v="0"/>
    <x v="0"/>
    <x v="0"/>
    <x v="0"/>
    <x v="0"/>
    <x v="0"/>
    <x v="0"/>
    <x v="9"/>
    <x v="64"/>
    <x v="0"/>
    <x v="23"/>
    <x v="11"/>
    <x v="71"/>
    <x v="0"/>
    <x v="28"/>
    <x v="1"/>
    <x v="0"/>
    <x v="0"/>
    <x v="0"/>
    <x v="11"/>
    <x v="0"/>
    <x v="0"/>
    <x v="0"/>
    <x v="1"/>
    <x v="0"/>
    <x v="0"/>
    <x v="0"/>
    <x v="1"/>
    <x v="0"/>
    <x v="0"/>
    <x v="0"/>
    <x v="93"/>
    <x v="0"/>
    <x v="48"/>
  </r>
  <r>
    <x v="111"/>
    <x v="111"/>
    <x v="2"/>
    <x v="23"/>
    <x v="23"/>
    <x v="2"/>
    <x v="2"/>
    <x v="3"/>
    <x v="92"/>
    <x v="87"/>
    <x v="104"/>
    <x v="0"/>
    <x v="0"/>
    <x v="0"/>
    <x v="8"/>
    <x v="25"/>
    <x v="88"/>
    <x v="0"/>
    <x v="40"/>
    <x v="0"/>
    <x v="0"/>
    <x v="0"/>
    <x v="0"/>
    <x v="0"/>
    <x v="0"/>
    <x v="0"/>
    <x v="0"/>
    <x v="0"/>
    <x v="0"/>
    <x v="0"/>
    <x v="0"/>
    <x v="0"/>
    <x v="0"/>
    <x v="0"/>
    <x v="0"/>
    <x v="0"/>
    <x v="0"/>
    <x v="0"/>
    <x v="0"/>
    <x v="0"/>
    <x v="0"/>
    <x v="0"/>
    <x v="0"/>
    <x v="9"/>
    <x v="65"/>
    <x v="0"/>
    <x v="24"/>
    <x v="11"/>
    <x v="72"/>
    <x v="0"/>
    <x v="29"/>
    <x v="1"/>
    <x v="0"/>
    <x v="0"/>
    <x v="0"/>
    <x v="12"/>
    <x v="0"/>
    <x v="0"/>
    <x v="0"/>
    <x v="1"/>
    <x v="0"/>
    <x v="0"/>
    <x v="0"/>
    <x v="1"/>
    <x v="0"/>
    <x v="0"/>
    <x v="0"/>
    <x v="94"/>
    <x v="0"/>
    <x v="49"/>
  </r>
  <r>
    <x v="112"/>
    <x v="112"/>
    <x v="2"/>
    <x v="23"/>
    <x v="23"/>
    <x v="2"/>
    <x v="2"/>
    <x v="4"/>
    <x v="93"/>
    <x v="88"/>
    <x v="105"/>
    <x v="0"/>
    <x v="0"/>
    <x v="0"/>
    <x v="8"/>
    <x v="25"/>
    <x v="89"/>
    <x v="0"/>
    <x v="41"/>
    <x v="0"/>
    <x v="0"/>
    <x v="0"/>
    <x v="0"/>
    <x v="0"/>
    <x v="0"/>
    <x v="0"/>
    <x v="0"/>
    <x v="0"/>
    <x v="0"/>
    <x v="0"/>
    <x v="0"/>
    <x v="0"/>
    <x v="0"/>
    <x v="0"/>
    <x v="0"/>
    <x v="0"/>
    <x v="0"/>
    <x v="0"/>
    <x v="0"/>
    <x v="0"/>
    <x v="0"/>
    <x v="0"/>
    <x v="0"/>
    <x v="9"/>
    <x v="66"/>
    <x v="0"/>
    <x v="25"/>
    <x v="11"/>
    <x v="73"/>
    <x v="0"/>
    <x v="30"/>
    <x v="1"/>
    <x v="0"/>
    <x v="0"/>
    <x v="0"/>
    <x v="11"/>
    <x v="0"/>
    <x v="0"/>
    <x v="0"/>
    <x v="1"/>
    <x v="0"/>
    <x v="0"/>
    <x v="0"/>
    <x v="1"/>
    <x v="0"/>
    <x v="0"/>
    <x v="0"/>
    <x v="95"/>
    <x v="0"/>
    <x v="50"/>
  </r>
  <r>
    <x v="113"/>
    <x v="113"/>
    <x v="2"/>
    <x v="23"/>
    <x v="23"/>
    <x v="2"/>
    <x v="2"/>
    <x v="10"/>
    <x v="94"/>
    <x v="89"/>
    <x v="106"/>
    <x v="0"/>
    <x v="0"/>
    <x v="0"/>
    <x v="8"/>
    <x v="0"/>
    <x v="0"/>
    <x v="0"/>
    <x v="0"/>
    <x v="0"/>
    <x v="0"/>
    <x v="0"/>
    <x v="0"/>
    <x v="0"/>
    <x v="0"/>
    <x v="0"/>
    <x v="0"/>
    <x v="0"/>
    <x v="0"/>
    <x v="0"/>
    <x v="0"/>
    <x v="0"/>
    <x v="0"/>
    <x v="0"/>
    <x v="0"/>
    <x v="0"/>
    <x v="0"/>
    <x v="0"/>
    <x v="0"/>
    <x v="0"/>
    <x v="0"/>
    <x v="0"/>
    <x v="0"/>
    <x v="9"/>
    <x v="67"/>
    <x v="0"/>
    <x v="26"/>
    <x v="12"/>
    <x v="74"/>
    <x v="0"/>
    <x v="31"/>
    <x v="1"/>
    <x v="0"/>
    <x v="0"/>
    <x v="0"/>
    <x v="11"/>
    <x v="0"/>
    <x v="0"/>
    <x v="0"/>
    <x v="1"/>
    <x v="0"/>
    <x v="0"/>
    <x v="0"/>
    <x v="1"/>
    <x v="0"/>
    <x v="0"/>
    <x v="0"/>
    <x v="96"/>
    <x v="0"/>
    <x v="51"/>
  </r>
  <r>
    <x v="114"/>
    <x v="114"/>
    <x v="2"/>
    <x v="23"/>
    <x v="23"/>
    <x v="2"/>
    <x v="2"/>
    <x v="5"/>
    <x v="95"/>
    <x v="90"/>
    <x v="107"/>
    <x v="0"/>
    <x v="0"/>
    <x v="0"/>
    <x v="8"/>
    <x v="25"/>
    <x v="90"/>
    <x v="0"/>
    <x v="42"/>
    <x v="0"/>
    <x v="0"/>
    <x v="0"/>
    <x v="0"/>
    <x v="0"/>
    <x v="0"/>
    <x v="0"/>
    <x v="0"/>
    <x v="0"/>
    <x v="0"/>
    <x v="0"/>
    <x v="0"/>
    <x v="0"/>
    <x v="0"/>
    <x v="0"/>
    <x v="0"/>
    <x v="0"/>
    <x v="0"/>
    <x v="0"/>
    <x v="0"/>
    <x v="0"/>
    <x v="0"/>
    <x v="0"/>
    <x v="0"/>
    <x v="9"/>
    <x v="68"/>
    <x v="0"/>
    <x v="27"/>
    <x v="11"/>
    <x v="75"/>
    <x v="0"/>
    <x v="32"/>
    <x v="1"/>
    <x v="0"/>
    <x v="0"/>
    <x v="0"/>
    <x v="13"/>
    <x v="0"/>
    <x v="0"/>
    <x v="0"/>
    <x v="1"/>
    <x v="0"/>
    <x v="0"/>
    <x v="0"/>
    <x v="1"/>
    <x v="0"/>
    <x v="0"/>
    <x v="0"/>
    <x v="97"/>
    <x v="0"/>
    <x v="52"/>
  </r>
  <r>
    <x v="115"/>
    <x v="115"/>
    <x v="2"/>
    <x v="23"/>
    <x v="23"/>
    <x v="2"/>
    <x v="2"/>
    <x v="6"/>
    <x v="41"/>
    <x v="91"/>
    <x v="1"/>
    <x v="0"/>
    <x v="0"/>
    <x v="0"/>
    <x v="8"/>
    <x v="25"/>
    <x v="0"/>
    <x v="0"/>
    <x v="0"/>
    <x v="0"/>
    <x v="0"/>
    <x v="0"/>
    <x v="0"/>
    <x v="0"/>
    <x v="0"/>
    <x v="0"/>
    <x v="0"/>
    <x v="0"/>
    <x v="0"/>
    <x v="0"/>
    <x v="0"/>
    <x v="0"/>
    <x v="0"/>
    <x v="0"/>
    <x v="0"/>
    <x v="0"/>
    <x v="0"/>
    <x v="0"/>
    <x v="0"/>
    <x v="0"/>
    <x v="0"/>
    <x v="0"/>
    <x v="0"/>
    <x v="9"/>
    <x v="0"/>
    <x v="0"/>
    <x v="0"/>
    <x v="11"/>
    <x v="0"/>
    <x v="0"/>
    <x v="0"/>
    <x v="1"/>
    <x v="0"/>
    <x v="0"/>
    <x v="0"/>
    <x v="1"/>
    <x v="0"/>
    <x v="0"/>
    <x v="0"/>
    <x v="1"/>
    <x v="0"/>
    <x v="0"/>
    <x v="0"/>
    <x v="1"/>
    <x v="0"/>
    <x v="0"/>
    <x v="0"/>
    <x v="0"/>
    <x v="0"/>
    <x v="0"/>
  </r>
  <r>
    <x v="116"/>
    <x v="116"/>
    <x v="2"/>
    <x v="23"/>
    <x v="23"/>
    <x v="2"/>
    <x v="2"/>
    <x v="7"/>
    <x v="96"/>
    <x v="91"/>
    <x v="1"/>
    <x v="0"/>
    <x v="0"/>
    <x v="14"/>
    <x v="8"/>
    <x v="0"/>
    <x v="0"/>
    <x v="58"/>
    <x v="43"/>
    <x v="0"/>
    <x v="0"/>
    <x v="0"/>
    <x v="0"/>
    <x v="0"/>
    <x v="0"/>
    <x v="0"/>
    <x v="0"/>
    <x v="0"/>
    <x v="0"/>
    <x v="0"/>
    <x v="0"/>
    <x v="0"/>
    <x v="0"/>
    <x v="0"/>
    <x v="0"/>
    <x v="0"/>
    <x v="0"/>
    <x v="0"/>
    <x v="0"/>
    <x v="0"/>
    <x v="0"/>
    <x v="0"/>
    <x v="0"/>
    <x v="9"/>
    <x v="0"/>
    <x v="47"/>
    <x v="28"/>
    <x v="13"/>
    <x v="0"/>
    <x v="52"/>
    <x v="33"/>
    <x v="1"/>
    <x v="0"/>
    <x v="0"/>
    <x v="0"/>
    <x v="14"/>
    <x v="0"/>
    <x v="0"/>
    <x v="0"/>
    <x v="1"/>
    <x v="0"/>
    <x v="0"/>
    <x v="0"/>
    <x v="1"/>
    <x v="13"/>
    <x v="13"/>
    <x v="0"/>
    <x v="98"/>
    <x v="64"/>
    <x v="53"/>
  </r>
  <r>
    <x v="117"/>
    <x v="117"/>
    <x v="2"/>
    <x v="24"/>
    <x v="24"/>
    <x v="0"/>
    <x v="0"/>
    <x v="0"/>
    <x v="0"/>
    <x v="0"/>
    <x v="108"/>
    <x v="0"/>
    <x v="0"/>
    <x v="0"/>
    <x v="73"/>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18"/>
    <x v="118"/>
    <x v="2"/>
    <x v="25"/>
    <x v="25"/>
    <x v="2"/>
    <x v="0"/>
    <x v="0"/>
    <x v="27"/>
    <x v="92"/>
    <x v="109"/>
    <x v="0"/>
    <x v="0"/>
    <x v="15"/>
    <x v="74"/>
    <x v="15"/>
    <x v="91"/>
    <x v="59"/>
    <x v="44"/>
    <x v="0"/>
    <x v="0"/>
    <x v="10"/>
    <x v="0"/>
    <x v="1"/>
    <x v="0"/>
    <x v="0"/>
    <x v="0"/>
    <x v="0"/>
    <x v="0"/>
    <x v="9"/>
    <x v="0"/>
    <x v="0"/>
    <x v="0"/>
    <x v="16"/>
    <x v="0"/>
    <x v="0"/>
    <x v="0"/>
    <x v="2"/>
    <x v="0"/>
    <x v="0"/>
    <x v="0"/>
    <x v="10"/>
    <x v="0"/>
    <x v="2"/>
    <x v="69"/>
    <x v="48"/>
    <x v="0"/>
    <x v="3"/>
    <x v="76"/>
    <x v="53"/>
    <x v="0"/>
    <x v="0"/>
    <x v="0"/>
    <x v="6"/>
    <x v="0"/>
    <x v="0"/>
    <x v="0"/>
    <x v="1"/>
    <x v="0"/>
    <x v="0"/>
    <x v="0"/>
    <x v="1"/>
    <x v="0"/>
    <x v="1"/>
    <x v="14"/>
    <x v="14"/>
    <x v="0"/>
    <x v="99"/>
    <x v="65"/>
    <x v="54"/>
  </r>
  <r>
    <x v="119"/>
    <x v="119"/>
    <x v="2"/>
    <x v="25"/>
    <x v="25"/>
    <x v="2"/>
    <x v="0"/>
    <x v="0"/>
    <x v="97"/>
    <x v="93"/>
    <x v="110"/>
    <x v="0"/>
    <x v="0"/>
    <x v="0"/>
    <x v="75"/>
    <x v="17"/>
    <x v="92"/>
    <x v="0"/>
    <x v="45"/>
    <x v="0"/>
    <x v="0"/>
    <x v="0"/>
    <x v="0"/>
    <x v="1"/>
    <x v="0"/>
    <x v="0"/>
    <x v="0"/>
    <x v="0"/>
    <x v="0"/>
    <x v="0"/>
    <x v="0"/>
    <x v="0"/>
    <x v="0"/>
    <x v="0"/>
    <x v="0"/>
    <x v="0"/>
    <x v="0"/>
    <x v="0"/>
    <x v="0"/>
    <x v="0"/>
    <x v="0"/>
    <x v="0"/>
    <x v="0"/>
    <x v="2"/>
    <x v="70"/>
    <x v="0"/>
    <x v="0"/>
    <x v="3"/>
    <x v="0"/>
    <x v="0"/>
    <x v="0"/>
    <x v="0"/>
    <x v="0"/>
    <x v="0"/>
    <x v="0"/>
    <x v="0"/>
    <x v="0"/>
    <x v="0"/>
    <x v="0"/>
    <x v="0"/>
    <x v="0"/>
    <x v="0"/>
    <x v="0"/>
    <x v="1"/>
    <x v="0"/>
    <x v="0"/>
    <x v="0"/>
    <x v="100"/>
    <x v="0"/>
    <x v="55"/>
  </r>
  <r>
    <x v="120"/>
    <x v="120"/>
    <x v="2"/>
    <x v="25"/>
    <x v="25"/>
    <x v="2"/>
    <x v="0"/>
    <x v="0"/>
    <x v="98"/>
    <x v="94"/>
    <x v="111"/>
    <x v="0"/>
    <x v="0"/>
    <x v="0"/>
    <x v="10"/>
    <x v="17"/>
    <x v="93"/>
    <x v="0"/>
    <x v="46"/>
    <x v="0"/>
    <x v="0"/>
    <x v="0"/>
    <x v="0"/>
    <x v="1"/>
    <x v="0"/>
    <x v="0"/>
    <x v="0"/>
    <x v="0"/>
    <x v="0"/>
    <x v="0"/>
    <x v="0"/>
    <x v="0"/>
    <x v="0"/>
    <x v="0"/>
    <x v="0"/>
    <x v="0"/>
    <x v="0"/>
    <x v="0"/>
    <x v="0"/>
    <x v="0"/>
    <x v="0"/>
    <x v="0"/>
    <x v="0"/>
    <x v="2"/>
    <x v="70"/>
    <x v="0"/>
    <x v="0"/>
    <x v="3"/>
    <x v="0"/>
    <x v="0"/>
    <x v="0"/>
    <x v="0"/>
    <x v="0"/>
    <x v="0"/>
    <x v="0"/>
    <x v="0"/>
    <x v="0"/>
    <x v="0"/>
    <x v="0"/>
    <x v="0"/>
    <x v="0"/>
    <x v="0"/>
    <x v="0"/>
    <x v="1"/>
    <x v="0"/>
    <x v="0"/>
    <x v="0"/>
    <x v="101"/>
    <x v="0"/>
    <x v="56"/>
  </r>
  <r>
    <x v="121"/>
    <x v="121"/>
    <x v="2"/>
    <x v="25"/>
    <x v="25"/>
    <x v="2"/>
    <x v="0"/>
    <x v="0"/>
    <x v="99"/>
    <x v="95"/>
    <x v="112"/>
    <x v="0"/>
    <x v="0"/>
    <x v="0"/>
    <x v="76"/>
    <x v="17"/>
    <x v="94"/>
    <x v="0"/>
    <x v="47"/>
    <x v="0"/>
    <x v="0"/>
    <x v="0"/>
    <x v="0"/>
    <x v="1"/>
    <x v="0"/>
    <x v="0"/>
    <x v="0"/>
    <x v="0"/>
    <x v="0"/>
    <x v="0"/>
    <x v="0"/>
    <x v="0"/>
    <x v="0"/>
    <x v="0"/>
    <x v="0"/>
    <x v="0"/>
    <x v="0"/>
    <x v="0"/>
    <x v="0"/>
    <x v="0"/>
    <x v="0"/>
    <x v="0"/>
    <x v="0"/>
    <x v="2"/>
    <x v="70"/>
    <x v="0"/>
    <x v="0"/>
    <x v="3"/>
    <x v="0"/>
    <x v="0"/>
    <x v="0"/>
    <x v="0"/>
    <x v="0"/>
    <x v="0"/>
    <x v="0"/>
    <x v="0"/>
    <x v="0"/>
    <x v="0"/>
    <x v="0"/>
    <x v="0"/>
    <x v="0"/>
    <x v="0"/>
    <x v="0"/>
    <x v="1"/>
    <x v="0"/>
    <x v="0"/>
    <x v="0"/>
    <x v="102"/>
    <x v="0"/>
    <x v="57"/>
  </r>
  <r>
    <x v="122"/>
    <x v="122"/>
    <x v="2"/>
    <x v="25"/>
    <x v="25"/>
    <x v="2"/>
    <x v="0"/>
    <x v="0"/>
    <x v="84"/>
    <x v="96"/>
    <x v="113"/>
    <x v="0"/>
    <x v="0"/>
    <x v="0"/>
    <x v="77"/>
    <x v="17"/>
    <x v="95"/>
    <x v="0"/>
    <x v="48"/>
    <x v="0"/>
    <x v="0"/>
    <x v="0"/>
    <x v="0"/>
    <x v="1"/>
    <x v="0"/>
    <x v="0"/>
    <x v="0"/>
    <x v="0"/>
    <x v="0"/>
    <x v="0"/>
    <x v="0"/>
    <x v="0"/>
    <x v="0"/>
    <x v="0"/>
    <x v="0"/>
    <x v="0"/>
    <x v="0"/>
    <x v="0"/>
    <x v="0"/>
    <x v="0"/>
    <x v="0"/>
    <x v="0"/>
    <x v="0"/>
    <x v="2"/>
    <x v="70"/>
    <x v="0"/>
    <x v="0"/>
    <x v="3"/>
    <x v="0"/>
    <x v="0"/>
    <x v="0"/>
    <x v="0"/>
    <x v="0"/>
    <x v="0"/>
    <x v="0"/>
    <x v="0"/>
    <x v="0"/>
    <x v="0"/>
    <x v="0"/>
    <x v="0"/>
    <x v="0"/>
    <x v="0"/>
    <x v="0"/>
    <x v="1"/>
    <x v="0"/>
    <x v="0"/>
    <x v="0"/>
    <x v="103"/>
    <x v="0"/>
    <x v="58"/>
  </r>
  <r>
    <x v="123"/>
    <x v="123"/>
    <x v="2"/>
    <x v="25"/>
    <x v="25"/>
    <x v="2"/>
    <x v="0"/>
    <x v="0"/>
    <x v="100"/>
    <x v="97"/>
    <x v="114"/>
    <x v="0"/>
    <x v="0"/>
    <x v="0"/>
    <x v="77"/>
    <x v="17"/>
    <x v="96"/>
    <x v="0"/>
    <x v="49"/>
    <x v="0"/>
    <x v="0"/>
    <x v="0"/>
    <x v="0"/>
    <x v="1"/>
    <x v="0"/>
    <x v="0"/>
    <x v="0"/>
    <x v="0"/>
    <x v="0"/>
    <x v="0"/>
    <x v="0"/>
    <x v="0"/>
    <x v="0"/>
    <x v="0"/>
    <x v="0"/>
    <x v="0"/>
    <x v="0"/>
    <x v="0"/>
    <x v="0"/>
    <x v="0"/>
    <x v="0"/>
    <x v="0"/>
    <x v="0"/>
    <x v="2"/>
    <x v="70"/>
    <x v="0"/>
    <x v="0"/>
    <x v="3"/>
    <x v="0"/>
    <x v="0"/>
    <x v="0"/>
    <x v="0"/>
    <x v="0"/>
    <x v="0"/>
    <x v="0"/>
    <x v="0"/>
    <x v="0"/>
    <x v="0"/>
    <x v="0"/>
    <x v="0"/>
    <x v="0"/>
    <x v="0"/>
    <x v="0"/>
    <x v="1"/>
    <x v="0"/>
    <x v="0"/>
    <x v="0"/>
    <x v="104"/>
    <x v="0"/>
    <x v="59"/>
  </r>
  <r>
    <x v="124"/>
    <x v="124"/>
    <x v="2"/>
    <x v="25"/>
    <x v="25"/>
    <x v="2"/>
    <x v="0"/>
    <x v="0"/>
    <x v="101"/>
    <x v="98"/>
    <x v="115"/>
    <x v="0"/>
    <x v="0"/>
    <x v="0"/>
    <x v="76"/>
    <x v="26"/>
    <x v="97"/>
    <x v="0"/>
    <x v="50"/>
    <x v="0"/>
    <x v="0"/>
    <x v="0"/>
    <x v="0"/>
    <x v="1"/>
    <x v="0"/>
    <x v="0"/>
    <x v="0"/>
    <x v="0"/>
    <x v="0"/>
    <x v="0"/>
    <x v="0"/>
    <x v="0"/>
    <x v="0"/>
    <x v="0"/>
    <x v="0"/>
    <x v="0"/>
    <x v="0"/>
    <x v="0"/>
    <x v="0"/>
    <x v="0"/>
    <x v="0"/>
    <x v="0"/>
    <x v="0"/>
    <x v="2"/>
    <x v="70"/>
    <x v="0"/>
    <x v="0"/>
    <x v="3"/>
    <x v="0"/>
    <x v="0"/>
    <x v="0"/>
    <x v="0"/>
    <x v="0"/>
    <x v="0"/>
    <x v="0"/>
    <x v="0"/>
    <x v="0"/>
    <x v="0"/>
    <x v="0"/>
    <x v="0"/>
    <x v="0"/>
    <x v="0"/>
    <x v="0"/>
    <x v="1"/>
    <x v="0"/>
    <x v="0"/>
    <x v="0"/>
    <x v="105"/>
    <x v="0"/>
    <x v="60"/>
  </r>
  <r>
    <x v="125"/>
    <x v="125"/>
    <x v="2"/>
    <x v="25"/>
    <x v="25"/>
    <x v="2"/>
    <x v="0"/>
    <x v="0"/>
    <x v="102"/>
    <x v="99"/>
    <x v="116"/>
    <x v="0"/>
    <x v="0"/>
    <x v="0"/>
    <x v="74"/>
    <x v="17"/>
    <x v="98"/>
    <x v="0"/>
    <x v="51"/>
    <x v="0"/>
    <x v="0"/>
    <x v="0"/>
    <x v="0"/>
    <x v="1"/>
    <x v="0"/>
    <x v="0"/>
    <x v="0"/>
    <x v="0"/>
    <x v="0"/>
    <x v="0"/>
    <x v="0"/>
    <x v="0"/>
    <x v="0"/>
    <x v="0"/>
    <x v="0"/>
    <x v="0"/>
    <x v="0"/>
    <x v="0"/>
    <x v="0"/>
    <x v="0"/>
    <x v="0"/>
    <x v="0"/>
    <x v="0"/>
    <x v="2"/>
    <x v="70"/>
    <x v="0"/>
    <x v="0"/>
    <x v="3"/>
    <x v="0"/>
    <x v="0"/>
    <x v="0"/>
    <x v="0"/>
    <x v="0"/>
    <x v="0"/>
    <x v="0"/>
    <x v="0"/>
    <x v="0"/>
    <x v="0"/>
    <x v="0"/>
    <x v="0"/>
    <x v="0"/>
    <x v="0"/>
    <x v="0"/>
    <x v="1"/>
    <x v="0"/>
    <x v="0"/>
    <x v="0"/>
    <x v="106"/>
    <x v="0"/>
    <x v="61"/>
  </r>
  <r>
    <x v="126"/>
    <x v="126"/>
    <x v="2"/>
    <x v="25"/>
    <x v="25"/>
    <x v="2"/>
    <x v="0"/>
    <x v="0"/>
    <x v="103"/>
    <x v="100"/>
    <x v="117"/>
    <x v="0"/>
    <x v="0"/>
    <x v="0"/>
    <x v="78"/>
    <x v="26"/>
    <x v="99"/>
    <x v="0"/>
    <x v="52"/>
    <x v="0"/>
    <x v="0"/>
    <x v="0"/>
    <x v="0"/>
    <x v="1"/>
    <x v="0"/>
    <x v="0"/>
    <x v="0"/>
    <x v="0"/>
    <x v="0"/>
    <x v="0"/>
    <x v="0"/>
    <x v="0"/>
    <x v="0"/>
    <x v="0"/>
    <x v="0"/>
    <x v="0"/>
    <x v="0"/>
    <x v="0"/>
    <x v="0"/>
    <x v="0"/>
    <x v="0"/>
    <x v="0"/>
    <x v="0"/>
    <x v="2"/>
    <x v="70"/>
    <x v="0"/>
    <x v="0"/>
    <x v="3"/>
    <x v="0"/>
    <x v="0"/>
    <x v="0"/>
    <x v="0"/>
    <x v="0"/>
    <x v="0"/>
    <x v="0"/>
    <x v="0"/>
    <x v="0"/>
    <x v="0"/>
    <x v="0"/>
    <x v="0"/>
    <x v="0"/>
    <x v="0"/>
    <x v="0"/>
    <x v="1"/>
    <x v="0"/>
    <x v="0"/>
    <x v="0"/>
    <x v="107"/>
    <x v="0"/>
    <x v="62"/>
  </r>
  <r>
    <x v="127"/>
    <x v="127"/>
    <x v="2"/>
    <x v="25"/>
    <x v="25"/>
    <x v="2"/>
    <x v="0"/>
    <x v="0"/>
    <x v="87"/>
    <x v="101"/>
    <x v="118"/>
    <x v="0"/>
    <x v="0"/>
    <x v="0"/>
    <x v="76"/>
    <x v="17"/>
    <x v="100"/>
    <x v="0"/>
    <x v="53"/>
    <x v="0"/>
    <x v="0"/>
    <x v="0"/>
    <x v="0"/>
    <x v="1"/>
    <x v="0"/>
    <x v="0"/>
    <x v="0"/>
    <x v="0"/>
    <x v="0"/>
    <x v="0"/>
    <x v="0"/>
    <x v="0"/>
    <x v="0"/>
    <x v="0"/>
    <x v="0"/>
    <x v="0"/>
    <x v="0"/>
    <x v="0"/>
    <x v="0"/>
    <x v="0"/>
    <x v="0"/>
    <x v="0"/>
    <x v="0"/>
    <x v="2"/>
    <x v="70"/>
    <x v="0"/>
    <x v="0"/>
    <x v="3"/>
    <x v="0"/>
    <x v="0"/>
    <x v="0"/>
    <x v="0"/>
    <x v="0"/>
    <x v="0"/>
    <x v="0"/>
    <x v="0"/>
    <x v="0"/>
    <x v="0"/>
    <x v="0"/>
    <x v="0"/>
    <x v="0"/>
    <x v="0"/>
    <x v="0"/>
    <x v="1"/>
    <x v="0"/>
    <x v="0"/>
    <x v="0"/>
    <x v="108"/>
    <x v="0"/>
    <x v="63"/>
  </r>
  <r>
    <x v="128"/>
    <x v="128"/>
    <x v="2"/>
    <x v="25"/>
    <x v="25"/>
    <x v="2"/>
    <x v="0"/>
    <x v="0"/>
    <x v="9"/>
    <x v="102"/>
    <x v="119"/>
    <x v="0"/>
    <x v="0"/>
    <x v="0"/>
    <x v="79"/>
    <x v="26"/>
    <x v="101"/>
    <x v="0"/>
    <x v="54"/>
    <x v="0"/>
    <x v="0"/>
    <x v="0"/>
    <x v="0"/>
    <x v="1"/>
    <x v="0"/>
    <x v="0"/>
    <x v="0"/>
    <x v="0"/>
    <x v="0"/>
    <x v="0"/>
    <x v="0"/>
    <x v="0"/>
    <x v="0"/>
    <x v="0"/>
    <x v="0"/>
    <x v="0"/>
    <x v="0"/>
    <x v="0"/>
    <x v="0"/>
    <x v="0"/>
    <x v="0"/>
    <x v="0"/>
    <x v="0"/>
    <x v="2"/>
    <x v="70"/>
    <x v="0"/>
    <x v="0"/>
    <x v="3"/>
    <x v="0"/>
    <x v="0"/>
    <x v="0"/>
    <x v="0"/>
    <x v="0"/>
    <x v="0"/>
    <x v="0"/>
    <x v="0"/>
    <x v="0"/>
    <x v="0"/>
    <x v="0"/>
    <x v="0"/>
    <x v="0"/>
    <x v="0"/>
    <x v="0"/>
    <x v="1"/>
    <x v="0"/>
    <x v="0"/>
    <x v="0"/>
    <x v="109"/>
    <x v="0"/>
    <x v="64"/>
  </r>
  <r>
    <x v="129"/>
    <x v="129"/>
    <x v="2"/>
    <x v="25"/>
    <x v="25"/>
    <x v="2"/>
    <x v="0"/>
    <x v="0"/>
    <x v="41"/>
    <x v="103"/>
    <x v="120"/>
    <x v="0"/>
    <x v="0"/>
    <x v="0"/>
    <x v="80"/>
    <x v="26"/>
    <x v="102"/>
    <x v="0"/>
    <x v="55"/>
    <x v="0"/>
    <x v="0"/>
    <x v="0"/>
    <x v="0"/>
    <x v="1"/>
    <x v="0"/>
    <x v="0"/>
    <x v="0"/>
    <x v="0"/>
    <x v="0"/>
    <x v="0"/>
    <x v="0"/>
    <x v="0"/>
    <x v="0"/>
    <x v="0"/>
    <x v="0"/>
    <x v="0"/>
    <x v="0"/>
    <x v="0"/>
    <x v="0"/>
    <x v="0"/>
    <x v="0"/>
    <x v="0"/>
    <x v="0"/>
    <x v="2"/>
    <x v="70"/>
    <x v="0"/>
    <x v="0"/>
    <x v="3"/>
    <x v="0"/>
    <x v="0"/>
    <x v="0"/>
    <x v="0"/>
    <x v="0"/>
    <x v="0"/>
    <x v="0"/>
    <x v="0"/>
    <x v="0"/>
    <x v="0"/>
    <x v="0"/>
    <x v="0"/>
    <x v="0"/>
    <x v="0"/>
    <x v="0"/>
    <x v="1"/>
    <x v="0"/>
    <x v="0"/>
    <x v="0"/>
    <x v="110"/>
    <x v="0"/>
    <x v="65"/>
  </r>
  <r>
    <x v="130"/>
    <x v="130"/>
    <x v="2"/>
    <x v="25"/>
    <x v="25"/>
    <x v="2"/>
    <x v="0"/>
    <x v="0"/>
    <x v="104"/>
    <x v="103"/>
    <x v="1"/>
    <x v="0"/>
    <x v="0"/>
    <x v="0"/>
    <x v="74"/>
    <x v="22"/>
    <x v="0"/>
    <x v="0"/>
    <x v="0"/>
    <x v="0"/>
    <x v="0"/>
    <x v="0"/>
    <x v="0"/>
    <x v="1"/>
    <x v="0"/>
    <x v="0"/>
    <x v="0"/>
    <x v="0"/>
    <x v="0"/>
    <x v="0"/>
    <x v="0"/>
    <x v="0"/>
    <x v="0"/>
    <x v="0"/>
    <x v="0"/>
    <x v="0"/>
    <x v="0"/>
    <x v="0"/>
    <x v="0"/>
    <x v="0"/>
    <x v="0"/>
    <x v="0"/>
    <x v="0"/>
    <x v="2"/>
    <x v="70"/>
    <x v="0"/>
    <x v="0"/>
    <x v="3"/>
    <x v="0"/>
    <x v="0"/>
    <x v="0"/>
    <x v="0"/>
    <x v="0"/>
    <x v="0"/>
    <x v="0"/>
    <x v="0"/>
    <x v="0"/>
    <x v="0"/>
    <x v="0"/>
    <x v="0"/>
    <x v="0"/>
    <x v="0"/>
    <x v="0"/>
    <x v="1"/>
    <x v="0"/>
    <x v="0"/>
    <x v="0"/>
    <x v="0"/>
    <x v="0"/>
    <x v="0"/>
  </r>
  <r>
    <x v="131"/>
    <x v="131"/>
    <x v="2"/>
    <x v="25"/>
    <x v="25"/>
    <x v="2"/>
    <x v="0"/>
    <x v="0"/>
    <x v="105"/>
    <x v="104"/>
    <x v="121"/>
    <x v="0"/>
    <x v="0"/>
    <x v="0"/>
    <x v="78"/>
    <x v="17"/>
    <x v="103"/>
    <x v="0"/>
    <x v="56"/>
    <x v="0"/>
    <x v="0"/>
    <x v="0"/>
    <x v="0"/>
    <x v="1"/>
    <x v="0"/>
    <x v="0"/>
    <x v="0"/>
    <x v="0"/>
    <x v="0"/>
    <x v="0"/>
    <x v="0"/>
    <x v="0"/>
    <x v="0"/>
    <x v="0"/>
    <x v="0"/>
    <x v="0"/>
    <x v="0"/>
    <x v="0"/>
    <x v="0"/>
    <x v="0"/>
    <x v="0"/>
    <x v="0"/>
    <x v="0"/>
    <x v="2"/>
    <x v="70"/>
    <x v="0"/>
    <x v="0"/>
    <x v="3"/>
    <x v="0"/>
    <x v="0"/>
    <x v="0"/>
    <x v="0"/>
    <x v="0"/>
    <x v="0"/>
    <x v="0"/>
    <x v="0"/>
    <x v="0"/>
    <x v="0"/>
    <x v="0"/>
    <x v="0"/>
    <x v="0"/>
    <x v="0"/>
    <x v="0"/>
    <x v="1"/>
    <x v="0"/>
    <x v="0"/>
    <x v="0"/>
    <x v="111"/>
    <x v="0"/>
    <x v="66"/>
  </r>
  <r>
    <x v="132"/>
    <x v="132"/>
    <x v="2"/>
    <x v="25"/>
    <x v="25"/>
    <x v="2"/>
    <x v="0"/>
    <x v="0"/>
    <x v="106"/>
    <x v="105"/>
    <x v="122"/>
    <x v="0"/>
    <x v="0"/>
    <x v="0"/>
    <x v="77"/>
    <x v="17"/>
    <x v="104"/>
    <x v="0"/>
    <x v="57"/>
    <x v="0"/>
    <x v="0"/>
    <x v="0"/>
    <x v="0"/>
    <x v="1"/>
    <x v="0"/>
    <x v="0"/>
    <x v="0"/>
    <x v="0"/>
    <x v="0"/>
    <x v="0"/>
    <x v="0"/>
    <x v="0"/>
    <x v="0"/>
    <x v="0"/>
    <x v="0"/>
    <x v="0"/>
    <x v="0"/>
    <x v="0"/>
    <x v="0"/>
    <x v="0"/>
    <x v="0"/>
    <x v="0"/>
    <x v="0"/>
    <x v="2"/>
    <x v="70"/>
    <x v="0"/>
    <x v="0"/>
    <x v="3"/>
    <x v="0"/>
    <x v="0"/>
    <x v="0"/>
    <x v="0"/>
    <x v="0"/>
    <x v="0"/>
    <x v="0"/>
    <x v="0"/>
    <x v="0"/>
    <x v="0"/>
    <x v="0"/>
    <x v="0"/>
    <x v="0"/>
    <x v="0"/>
    <x v="0"/>
    <x v="1"/>
    <x v="0"/>
    <x v="0"/>
    <x v="0"/>
    <x v="112"/>
    <x v="0"/>
    <x v="67"/>
  </r>
  <r>
    <x v="133"/>
    <x v="133"/>
    <x v="2"/>
    <x v="25"/>
    <x v="25"/>
    <x v="2"/>
    <x v="0"/>
    <x v="0"/>
    <x v="107"/>
    <x v="106"/>
    <x v="123"/>
    <x v="0"/>
    <x v="0"/>
    <x v="0"/>
    <x v="77"/>
    <x v="21"/>
    <x v="105"/>
    <x v="0"/>
    <x v="58"/>
    <x v="0"/>
    <x v="0"/>
    <x v="0"/>
    <x v="0"/>
    <x v="1"/>
    <x v="0"/>
    <x v="0"/>
    <x v="0"/>
    <x v="0"/>
    <x v="0"/>
    <x v="0"/>
    <x v="0"/>
    <x v="0"/>
    <x v="0"/>
    <x v="0"/>
    <x v="0"/>
    <x v="0"/>
    <x v="0"/>
    <x v="0"/>
    <x v="0"/>
    <x v="0"/>
    <x v="0"/>
    <x v="0"/>
    <x v="0"/>
    <x v="2"/>
    <x v="70"/>
    <x v="0"/>
    <x v="0"/>
    <x v="3"/>
    <x v="0"/>
    <x v="0"/>
    <x v="0"/>
    <x v="0"/>
    <x v="0"/>
    <x v="0"/>
    <x v="0"/>
    <x v="0"/>
    <x v="0"/>
    <x v="0"/>
    <x v="0"/>
    <x v="0"/>
    <x v="0"/>
    <x v="0"/>
    <x v="0"/>
    <x v="1"/>
    <x v="0"/>
    <x v="0"/>
    <x v="0"/>
    <x v="113"/>
    <x v="0"/>
    <x v="68"/>
  </r>
  <r>
    <x v="134"/>
    <x v="134"/>
    <x v="2"/>
    <x v="25"/>
    <x v="25"/>
    <x v="2"/>
    <x v="0"/>
    <x v="0"/>
    <x v="108"/>
    <x v="107"/>
    <x v="124"/>
    <x v="0"/>
    <x v="0"/>
    <x v="0"/>
    <x v="81"/>
    <x v="22"/>
    <x v="106"/>
    <x v="0"/>
    <x v="59"/>
    <x v="0"/>
    <x v="0"/>
    <x v="0"/>
    <x v="0"/>
    <x v="1"/>
    <x v="0"/>
    <x v="0"/>
    <x v="0"/>
    <x v="0"/>
    <x v="0"/>
    <x v="0"/>
    <x v="0"/>
    <x v="0"/>
    <x v="0"/>
    <x v="0"/>
    <x v="0"/>
    <x v="0"/>
    <x v="0"/>
    <x v="0"/>
    <x v="0"/>
    <x v="0"/>
    <x v="0"/>
    <x v="0"/>
    <x v="0"/>
    <x v="2"/>
    <x v="70"/>
    <x v="0"/>
    <x v="0"/>
    <x v="3"/>
    <x v="0"/>
    <x v="0"/>
    <x v="0"/>
    <x v="0"/>
    <x v="0"/>
    <x v="0"/>
    <x v="0"/>
    <x v="0"/>
    <x v="0"/>
    <x v="0"/>
    <x v="0"/>
    <x v="0"/>
    <x v="0"/>
    <x v="0"/>
    <x v="0"/>
    <x v="1"/>
    <x v="0"/>
    <x v="0"/>
    <x v="0"/>
    <x v="114"/>
    <x v="0"/>
    <x v="69"/>
  </r>
  <r>
    <x v="135"/>
    <x v="135"/>
    <x v="2"/>
    <x v="25"/>
    <x v="25"/>
    <x v="2"/>
    <x v="0"/>
    <x v="0"/>
    <x v="109"/>
    <x v="108"/>
    <x v="125"/>
    <x v="0"/>
    <x v="0"/>
    <x v="0"/>
    <x v="82"/>
    <x v="17"/>
    <x v="107"/>
    <x v="0"/>
    <x v="60"/>
    <x v="0"/>
    <x v="0"/>
    <x v="0"/>
    <x v="0"/>
    <x v="1"/>
    <x v="0"/>
    <x v="0"/>
    <x v="0"/>
    <x v="0"/>
    <x v="0"/>
    <x v="0"/>
    <x v="0"/>
    <x v="0"/>
    <x v="0"/>
    <x v="0"/>
    <x v="0"/>
    <x v="0"/>
    <x v="0"/>
    <x v="0"/>
    <x v="0"/>
    <x v="0"/>
    <x v="0"/>
    <x v="0"/>
    <x v="0"/>
    <x v="2"/>
    <x v="70"/>
    <x v="0"/>
    <x v="0"/>
    <x v="3"/>
    <x v="0"/>
    <x v="0"/>
    <x v="0"/>
    <x v="0"/>
    <x v="0"/>
    <x v="0"/>
    <x v="0"/>
    <x v="0"/>
    <x v="0"/>
    <x v="0"/>
    <x v="0"/>
    <x v="0"/>
    <x v="0"/>
    <x v="0"/>
    <x v="0"/>
    <x v="1"/>
    <x v="0"/>
    <x v="0"/>
    <x v="0"/>
    <x v="115"/>
    <x v="0"/>
    <x v="70"/>
  </r>
  <r>
    <x v="136"/>
    <x v="136"/>
    <x v="2"/>
    <x v="25"/>
    <x v="25"/>
    <x v="2"/>
    <x v="0"/>
    <x v="0"/>
    <x v="110"/>
    <x v="109"/>
    <x v="126"/>
    <x v="0"/>
    <x v="0"/>
    <x v="0"/>
    <x v="83"/>
    <x v="17"/>
    <x v="108"/>
    <x v="0"/>
    <x v="61"/>
    <x v="0"/>
    <x v="0"/>
    <x v="0"/>
    <x v="0"/>
    <x v="1"/>
    <x v="0"/>
    <x v="0"/>
    <x v="0"/>
    <x v="0"/>
    <x v="0"/>
    <x v="0"/>
    <x v="0"/>
    <x v="0"/>
    <x v="0"/>
    <x v="0"/>
    <x v="0"/>
    <x v="0"/>
    <x v="0"/>
    <x v="0"/>
    <x v="0"/>
    <x v="0"/>
    <x v="0"/>
    <x v="0"/>
    <x v="0"/>
    <x v="2"/>
    <x v="70"/>
    <x v="0"/>
    <x v="0"/>
    <x v="3"/>
    <x v="0"/>
    <x v="0"/>
    <x v="0"/>
    <x v="0"/>
    <x v="0"/>
    <x v="0"/>
    <x v="0"/>
    <x v="0"/>
    <x v="0"/>
    <x v="0"/>
    <x v="0"/>
    <x v="0"/>
    <x v="0"/>
    <x v="0"/>
    <x v="0"/>
    <x v="1"/>
    <x v="0"/>
    <x v="0"/>
    <x v="0"/>
    <x v="116"/>
    <x v="0"/>
    <x v="71"/>
  </r>
  <r>
    <x v="137"/>
    <x v="137"/>
    <x v="2"/>
    <x v="25"/>
    <x v="25"/>
    <x v="2"/>
    <x v="0"/>
    <x v="0"/>
    <x v="111"/>
    <x v="110"/>
    <x v="127"/>
    <x v="0"/>
    <x v="0"/>
    <x v="0"/>
    <x v="84"/>
    <x v="15"/>
    <x v="109"/>
    <x v="0"/>
    <x v="62"/>
    <x v="0"/>
    <x v="0"/>
    <x v="0"/>
    <x v="0"/>
    <x v="1"/>
    <x v="0"/>
    <x v="0"/>
    <x v="0"/>
    <x v="0"/>
    <x v="0"/>
    <x v="0"/>
    <x v="0"/>
    <x v="0"/>
    <x v="0"/>
    <x v="0"/>
    <x v="0"/>
    <x v="0"/>
    <x v="0"/>
    <x v="0"/>
    <x v="0"/>
    <x v="0"/>
    <x v="0"/>
    <x v="0"/>
    <x v="0"/>
    <x v="2"/>
    <x v="70"/>
    <x v="0"/>
    <x v="0"/>
    <x v="3"/>
    <x v="0"/>
    <x v="0"/>
    <x v="0"/>
    <x v="0"/>
    <x v="0"/>
    <x v="0"/>
    <x v="0"/>
    <x v="0"/>
    <x v="0"/>
    <x v="0"/>
    <x v="0"/>
    <x v="0"/>
    <x v="0"/>
    <x v="0"/>
    <x v="0"/>
    <x v="1"/>
    <x v="0"/>
    <x v="0"/>
    <x v="0"/>
    <x v="117"/>
    <x v="0"/>
    <x v="72"/>
  </r>
  <r>
    <x v="138"/>
    <x v="138"/>
    <x v="2"/>
    <x v="25"/>
    <x v="25"/>
    <x v="2"/>
    <x v="0"/>
    <x v="0"/>
    <x v="6"/>
    <x v="111"/>
    <x v="128"/>
    <x v="0"/>
    <x v="0"/>
    <x v="0"/>
    <x v="85"/>
    <x v="17"/>
    <x v="110"/>
    <x v="0"/>
    <x v="63"/>
    <x v="0"/>
    <x v="0"/>
    <x v="0"/>
    <x v="0"/>
    <x v="1"/>
    <x v="0"/>
    <x v="0"/>
    <x v="0"/>
    <x v="0"/>
    <x v="0"/>
    <x v="0"/>
    <x v="0"/>
    <x v="0"/>
    <x v="0"/>
    <x v="0"/>
    <x v="0"/>
    <x v="0"/>
    <x v="0"/>
    <x v="0"/>
    <x v="0"/>
    <x v="0"/>
    <x v="0"/>
    <x v="0"/>
    <x v="0"/>
    <x v="2"/>
    <x v="70"/>
    <x v="0"/>
    <x v="0"/>
    <x v="3"/>
    <x v="0"/>
    <x v="0"/>
    <x v="0"/>
    <x v="0"/>
    <x v="0"/>
    <x v="0"/>
    <x v="0"/>
    <x v="0"/>
    <x v="0"/>
    <x v="0"/>
    <x v="0"/>
    <x v="0"/>
    <x v="0"/>
    <x v="0"/>
    <x v="0"/>
    <x v="1"/>
    <x v="0"/>
    <x v="0"/>
    <x v="0"/>
    <x v="118"/>
    <x v="0"/>
    <x v="73"/>
  </r>
  <r>
    <x v="139"/>
    <x v="139"/>
    <x v="2"/>
    <x v="26"/>
    <x v="26"/>
    <x v="2"/>
    <x v="5"/>
    <x v="1"/>
    <x v="112"/>
    <x v="112"/>
    <x v="129"/>
    <x v="0"/>
    <x v="0"/>
    <x v="16"/>
    <x v="8"/>
    <x v="16"/>
    <x v="111"/>
    <x v="60"/>
    <x v="0"/>
    <x v="0"/>
    <x v="0"/>
    <x v="10"/>
    <x v="0"/>
    <x v="0"/>
    <x v="0"/>
    <x v="1"/>
    <x v="0"/>
    <x v="0"/>
    <x v="0"/>
    <x v="9"/>
    <x v="0"/>
    <x v="0"/>
    <x v="0"/>
    <x v="16"/>
    <x v="0"/>
    <x v="0"/>
    <x v="0"/>
    <x v="2"/>
    <x v="0"/>
    <x v="0"/>
    <x v="0"/>
    <x v="10"/>
    <x v="0"/>
    <x v="0"/>
    <x v="0"/>
    <x v="2"/>
    <x v="0"/>
    <x v="4"/>
    <x v="77"/>
    <x v="54"/>
    <x v="0"/>
    <x v="1"/>
    <x v="0"/>
    <x v="6"/>
    <x v="0"/>
    <x v="15"/>
    <x v="10"/>
    <x v="0"/>
    <x v="0"/>
    <x v="1"/>
    <x v="1"/>
    <x v="0"/>
    <x v="0"/>
    <x v="1"/>
    <x v="15"/>
    <x v="15"/>
    <x v="0"/>
    <x v="119"/>
    <x v="66"/>
    <x v="0"/>
  </r>
  <r>
    <x v="140"/>
    <x v="140"/>
    <x v="2"/>
    <x v="26"/>
    <x v="26"/>
    <x v="2"/>
    <x v="5"/>
    <x v="2"/>
    <x v="113"/>
    <x v="113"/>
    <x v="130"/>
    <x v="0"/>
    <x v="0"/>
    <x v="0"/>
    <x v="8"/>
    <x v="17"/>
    <x v="112"/>
    <x v="61"/>
    <x v="64"/>
    <x v="0"/>
    <x v="0"/>
    <x v="10"/>
    <x v="0"/>
    <x v="0"/>
    <x v="0"/>
    <x v="1"/>
    <x v="0"/>
    <x v="0"/>
    <x v="0"/>
    <x v="9"/>
    <x v="0"/>
    <x v="0"/>
    <x v="0"/>
    <x v="16"/>
    <x v="0"/>
    <x v="0"/>
    <x v="0"/>
    <x v="2"/>
    <x v="0"/>
    <x v="0"/>
    <x v="0"/>
    <x v="10"/>
    <x v="0"/>
    <x v="0"/>
    <x v="0"/>
    <x v="2"/>
    <x v="0"/>
    <x v="4"/>
    <x v="78"/>
    <x v="55"/>
    <x v="34"/>
    <x v="1"/>
    <x v="0"/>
    <x v="6"/>
    <x v="0"/>
    <x v="1"/>
    <x v="0"/>
    <x v="1"/>
    <x v="0"/>
    <x v="1"/>
    <x v="0"/>
    <x v="1"/>
    <x v="0"/>
    <x v="1"/>
    <x v="16"/>
    <x v="16"/>
    <x v="0"/>
    <x v="120"/>
    <x v="67"/>
    <x v="74"/>
  </r>
  <r>
    <x v="141"/>
    <x v="141"/>
    <x v="2"/>
    <x v="26"/>
    <x v="26"/>
    <x v="2"/>
    <x v="5"/>
    <x v="3"/>
    <x v="114"/>
    <x v="114"/>
    <x v="131"/>
    <x v="0"/>
    <x v="0"/>
    <x v="16"/>
    <x v="8"/>
    <x v="27"/>
    <x v="113"/>
    <x v="62"/>
    <x v="65"/>
    <x v="0"/>
    <x v="0"/>
    <x v="10"/>
    <x v="0"/>
    <x v="0"/>
    <x v="0"/>
    <x v="1"/>
    <x v="0"/>
    <x v="0"/>
    <x v="0"/>
    <x v="9"/>
    <x v="0"/>
    <x v="0"/>
    <x v="0"/>
    <x v="16"/>
    <x v="0"/>
    <x v="0"/>
    <x v="0"/>
    <x v="2"/>
    <x v="0"/>
    <x v="0"/>
    <x v="0"/>
    <x v="10"/>
    <x v="0"/>
    <x v="9"/>
    <x v="71"/>
    <x v="49"/>
    <x v="29"/>
    <x v="4"/>
    <x v="79"/>
    <x v="56"/>
    <x v="35"/>
    <x v="1"/>
    <x v="0"/>
    <x v="6"/>
    <x v="0"/>
    <x v="1"/>
    <x v="0"/>
    <x v="1"/>
    <x v="0"/>
    <x v="1"/>
    <x v="1"/>
    <x v="0"/>
    <x v="0"/>
    <x v="1"/>
    <x v="17"/>
    <x v="17"/>
    <x v="0"/>
    <x v="121"/>
    <x v="68"/>
    <x v="75"/>
  </r>
  <r>
    <x v="142"/>
    <x v="142"/>
    <x v="2"/>
    <x v="26"/>
    <x v="26"/>
    <x v="2"/>
    <x v="5"/>
    <x v="4"/>
    <x v="41"/>
    <x v="115"/>
    <x v="132"/>
    <x v="0"/>
    <x v="0"/>
    <x v="17"/>
    <x v="8"/>
    <x v="28"/>
    <x v="114"/>
    <x v="63"/>
    <x v="66"/>
    <x v="0"/>
    <x v="0"/>
    <x v="10"/>
    <x v="0"/>
    <x v="0"/>
    <x v="0"/>
    <x v="1"/>
    <x v="0"/>
    <x v="0"/>
    <x v="0"/>
    <x v="9"/>
    <x v="0"/>
    <x v="0"/>
    <x v="0"/>
    <x v="16"/>
    <x v="0"/>
    <x v="0"/>
    <x v="0"/>
    <x v="2"/>
    <x v="0"/>
    <x v="0"/>
    <x v="0"/>
    <x v="10"/>
    <x v="0"/>
    <x v="9"/>
    <x v="72"/>
    <x v="50"/>
    <x v="30"/>
    <x v="4"/>
    <x v="80"/>
    <x v="57"/>
    <x v="36"/>
    <x v="1"/>
    <x v="12"/>
    <x v="8"/>
    <x v="0"/>
    <x v="1"/>
    <x v="0"/>
    <x v="1"/>
    <x v="0"/>
    <x v="1"/>
    <x v="1"/>
    <x v="0"/>
    <x v="0"/>
    <x v="1"/>
    <x v="18"/>
    <x v="18"/>
    <x v="0"/>
    <x v="122"/>
    <x v="69"/>
    <x v="76"/>
  </r>
  <r>
    <x v="143"/>
    <x v="143"/>
    <x v="2"/>
    <x v="26"/>
    <x v="26"/>
    <x v="2"/>
    <x v="5"/>
    <x v="10"/>
    <x v="115"/>
    <x v="116"/>
    <x v="133"/>
    <x v="0"/>
    <x v="0"/>
    <x v="18"/>
    <x v="8"/>
    <x v="29"/>
    <x v="115"/>
    <x v="64"/>
    <x v="67"/>
    <x v="0"/>
    <x v="0"/>
    <x v="10"/>
    <x v="0"/>
    <x v="0"/>
    <x v="0"/>
    <x v="1"/>
    <x v="0"/>
    <x v="0"/>
    <x v="0"/>
    <x v="9"/>
    <x v="0"/>
    <x v="0"/>
    <x v="0"/>
    <x v="16"/>
    <x v="0"/>
    <x v="0"/>
    <x v="0"/>
    <x v="2"/>
    <x v="0"/>
    <x v="0"/>
    <x v="0"/>
    <x v="10"/>
    <x v="0"/>
    <x v="9"/>
    <x v="73"/>
    <x v="51"/>
    <x v="31"/>
    <x v="4"/>
    <x v="81"/>
    <x v="58"/>
    <x v="0"/>
    <x v="1"/>
    <x v="13"/>
    <x v="0"/>
    <x v="0"/>
    <x v="1"/>
    <x v="0"/>
    <x v="1"/>
    <x v="0"/>
    <x v="1"/>
    <x v="0"/>
    <x v="1"/>
    <x v="0"/>
    <x v="1"/>
    <x v="19"/>
    <x v="19"/>
    <x v="0"/>
    <x v="123"/>
    <x v="70"/>
    <x v="77"/>
  </r>
  <r>
    <x v="144"/>
    <x v="144"/>
    <x v="2"/>
    <x v="26"/>
    <x v="26"/>
    <x v="2"/>
    <x v="5"/>
    <x v="5"/>
    <x v="79"/>
    <x v="117"/>
    <x v="134"/>
    <x v="0"/>
    <x v="0"/>
    <x v="19"/>
    <x v="8"/>
    <x v="29"/>
    <x v="116"/>
    <x v="65"/>
    <x v="68"/>
    <x v="0"/>
    <x v="0"/>
    <x v="10"/>
    <x v="0"/>
    <x v="0"/>
    <x v="0"/>
    <x v="1"/>
    <x v="0"/>
    <x v="0"/>
    <x v="0"/>
    <x v="9"/>
    <x v="0"/>
    <x v="0"/>
    <x v="0"/>
    <x v="16"/>
    <x v="0"/>
    <x v="0"/>
    <x v="0"/>
    <x v="2"/>
    <x v="0"/>
    <x v="0"/>
    <x v="0"/>
    <x v="10"/>
    <x v="0"/>
    <x v="9"/>
    <x v="74"/>
    <x v="52"/>
    <x v="31"/>
    <x v="4"/>
    <x v="82"/>
    <x v="59"/>
    <x v="0"/>
    <x v="1"/>
    <x v="0"/>
    <x v="6"/>
    <x v="0"/>
    <x v="1"/>
    <x v="0"/>
    <x v="1"/>
    <x v="0"/>
    <x v="1"/>
    <x v="0"/>
    <x v="1"/>
    <x v="0"/>
    <x v="1"/>
    <x v="20"/>
    <x v="20"/>
    <x v="0"/>
    <x v="124"/>
    <x v="71"/>
    <x v="78"/>
  </r>
  <r>
    <x v="145"/>
    <x v="145"/>
    <x v="2"/>
    <x v="26"/>
    <x v="26"/>
    <x v="2"/>
    <x v="5"/>
    <x v="6"/>
    <x v="87"/>
    <x v="118"/>
    <x v="1"/>
    <x v="0"/>
    <x v="0"/>
    <x v="0"/>
    <x v="8"/>
    <x v="30"/>
    <x v="0"/>
    <x v="0"/>
    <x v="0"/>
    <x v="0"/>
    <x v="0"/>
    <x v="10"/>
    <x v="0"/>
    <x v="0"/>
    <x v="0"/>
    <x v="1"/>
    <x v="0"/>
    <x v="0"/>
    <x v="0"/>
    <x v="9"/>
    <x v="0"/>
    <x v="0"/>
    <x v="0"/>
    <x v="16"/>
    <x v="0"/>
    <x v="0"/>
    <x v="0"/>
    <x v="2"/>
    <x v="0"/>
    <x v="0"/>
    <x v="0"/>
    <x v="10"/>
    <x v="0"/>
    <x v="9"/>
    <x v="0"/>
    <x v="0"/>
    <x v="0"/>
    <x v="4"/>
    <x v="0"/>
    <x v="0"/>
    <x v="0"/>
    <x v="1"/>
    <x v="0"/>
    <x v="6"/>
    <x v="0"/>
    <x v="1"/>
    <x v="0"/>
    <x v="1"/>
    <x v="0"/>
    <x v="1"/>
    <x v="0"/>
    <x v="1"/>
    <x v="0"/>
    <x v="1"/>
    <x v="21"/>
    <x v="0"/>
    <x v="0"/>
    <x v="0"/>
    <x v="0"/>
    <x v="0"/>
  </r>
  <r>
    <x v="146"/>
    <x v="146"/>
    <x v="2"/>
    <x v="26"/>
    <x v="26"/>
    <x v="2"/>
    <x v="5"/>
    <x v="7"/>
    <x v="116"/>
    <x v="38"/>
    <x v="135"/>
    <x v="0"/>
    <x v="0"/>
    <x v="16"/>
    <x v="8"/>
    <x v="30"/>
    <x v="117"/>
    <x v="66"/>
    <x v="69"/>
    <x v="0"/>
    <x v="0"/>
    <x v="10"/>
    <x v="0"/>
    <x v="0"/>
    <x v="0"/>
    <x v="1"/>
    <x v="0"/>
    <x v="0"/>
    <x v="0"/>
    <x v="9"/>
    <x v="0"/>
    <x v="0"/>
    <x v="0"/>
    <x v="16"/>
    <x v="0"/>
    <x v="0"/>
    <x v="0"/>
    <x v="2"/>
    <x v="0"/>
    <x v="0"/>
    <x v="0"/>
    <x v="10"/>
    <x v="0"/>
    <x v="9"/>
    <x v="75"/>
    <x v="53"/>
    <x v="32"/>
    <x v="4"/>
    <x v="83"/>
    <x v="60"/>
    <x v="0"/>
    <x v="1"/>
    <x v="0"/>
    <x v="6"/>
    <x v="0"/>
    <x v="1"/>
    <x v="0"/>
    <x v="1"/>
    <x v="0"/>
    <x v="1"/>
    <x v="0"/>
    <x v="1"/>
    <x v="0"/>
    <x v="1"/>
    <x v="22"/>
    <x v="21"/>
    <x v="0"/>
    <x v="125"/>
    <x v="72"/>
    <x v="0"/>
  </r>
  <r>
    <x v="147"/>
    <x v="147"/>
    <x v="2"/>
    <x v="26"/>
    <x v="26"/>
    <x v="2"/>
    <x v="5"/>
    <x v="8"/>
    <x v="117"/>
    <x v="119"/>
    <x v="136"/>
    <x v="0"/>
    <x v="0"/>
    <x v="16"/>
    <x v="8"/>
    <x v="31"/>
    <x v="118"/>
    <x v="67"/>
    <x v="68"/>
    <x v="0"/>
    <x v="0"/>
    <x v="10"/>
    <x v="0"/>
    <x v="0"/>
    <x v="0"/>
    <x v="1"/>
    <x v="0"/>
    <x v="0"/>
    <x v="0"/>
    <x v="9"/>
    <x v="0"/>
    <x v="0"/>
    <x v="0"/>
    <x v="16"/>
    <x v="0"/>
    <x v="0"/>
    <x v="0"/>
    <x v="2"/>
    <x v="0"/>
    <x v="0"/>
    <x v="0"/>
    <x v="10"/>
    <x v="0"/>
    <x v="9"/>
    <x v="76"/>
    <x v="54"/>
    <x v="31"/>
    <x v="4"/>
    <x v="84"/>
    <x v="61"/>
    <x v="0"/>
    <x v="1"/>
    <x v="0"/>
    <x v="6"/>
    <x v="0"/>
    <x v="1"/>
    <x v="0"/>
    <x v="1"/>
    <x v="0"/>
    <x v="1"/>
    <x v="0"/>
    <x v="1"/>
    <x v="0"/>
    <x v="1"/>
    <x v="23"/>
    <x v="22"/>
    <x v="0"/>
    <x v="126"/>
    <x v="73"/>
    <x v="77"/>
  </r>
  <r>
    <x v="148"/>
    <x v="148"/>
    <x v="2"/>
    <x v="26"/>
    <x v="26"/>
    <x v="2"/>
    <x v="5"/>
    <x v="11"/>
    <x v="94"/>
    <x v="120"/>
    <x v="137"/>
    <x v="0"/>
    <x v="0"/>
    <x v="19"/>
    <x v="8"/>
    <x v="17"/>
    <x v="119"/>
    <x v="68"/>
    <x v="68"/>
    <x v="0"/>
    <x v="0"/>
    <x v="10"/>
    <x v="0"/>
    <x v="0"/>
    <x v="0"/>
    <x v="1"/>
    <x v="0"/>
    <x v="0"/>
    <x v="0"/>
    <x v="9"/>
    <x v="0"/>
    <x v="0"/>
    <x v="0"/>
    <x v="16"/>
    <x v="0"/>
    <x v="0"/>
    <x v="0"/>
    <x v="2"/>
    <x v="0"/>
    <x v="0"/>
    <x v="0"/>
    <x v="10"/>
    <x v="0"/>
    <x v="0"/>
    <x v="0"/>
    <x v="2"/>
    <x v="0"/>
    <x v="4"/>
    <x v="85"/>
    <x v="62"/>
    <x v="0"/>
    <x v="1"/>
    <x v="0"/>
    <x v="6"/>
    <x v="0"/>
    <x v="1"/>
    <x v="0"/>
    <x v="1"/>
    <x v="0"/>
    <x v="1"/>
    <x v="0"/>
    <x v="1"/>
    <x v="0"/>
    <x v="1"/>
    <x v="16"/>
    <x v="16"/>
    <x v="0"/>
    <x v="127"/>
    <x v="74"/>
    <x v="79"/>
  </r>
  <r>
    <x v="149"/>
    <x v="149"/>
    <x v="2"/>
    <x v="26"/>
    <x v="26"/>
    <x v="2"/>
    <x v="5"/>
    <x v="9"/>
    <x v="27"/>
    <x v="121"/>
    <x v="138"/>
    <x v="0"/>
    <x v="0"/>
    <x v="16"/>
    <x v="8"/>
    <x v="32"/>
    <x v="120"/>
    <x v="69"/>
    <x v="70"/>
    <x v="0"/>
    <x v="0"/>
    <x v="10"/>
    <x v="0"/>
    <x v="0"/>
    <x v="0"/>
    <x v="1"/>
    <x v="0"/>
    <x v="0"/>
    <x v="0"/>
    <x v="9"/>
    <x v="0"/>
    <x v="0"/>
    <x v="0"/>
    <x v="16"/>
    <x v="0"/>
    <x v="0"/>
    <x v="0"/>
    <x v="2"/>
    <x v="0"/>
    <x v="0"/>
    <x v="0"/>
    <x v="10"/>
    <x v="0"/>
    <x v="9"/>
    <x v="77"/>
    <x v="55"/>
    <x v="33"/>
    <x v="4"/>
    <x v="86"/>
    <x v="63"/>
    <x v="37"/>
    <x v="1"/>
    <x v="0"/>
    <x v="6"/>
    <x v="0"/>
    <x v="1"/>
    <x v="0"/>
    <x v="1"/>
    <x v="0"/>
    <x v="1"/>
    <x v="0"/>
    <x v="1"/>
    <x v="0"/>
    <x v="1"/>
    <x v="24"/>
    <x v="23"/>
    <x v="0"/>
    <x v="128"/>
    <x v="75"/>
    <x v="80"/>
  </r>
  <r>
    <x v="150"/>
    <x v="150"/>
    <x v="2"/>
    <x v="26"/>
    <x v="26"/>
    <x v="2"/>
    <x v="5"/>
    <x v="12"/>
    <x v="118"/>
    <x v="122"/>
    <x v="139"/>
    <x v="0"/>
    <x v="0"/>
    <x v="16"/>
    <x v="8"/>
    <x v="32"/>
    <x v="121"/>
    <x v="70"/>
    <x v="71"/>
    <x v="0"/>
    <x v="0"/>
    <x v="10"/>
    <x v="0"/>
    <x v="0"/>
    <x v="0"/>
    <x v="1"/>
    <x v="0"/>
    <x v="0"/>
    <x v="0"/>
    <x v="9"/>
    <x v="0"/>
    <x v="0"/>
    <x v="0"/>
    <x v="16"/>
    <x v="0"/>
    <x v="0"/>
    <x v="0"/>
    <x v="2"/>
    <x v="0"/>
    <x v="0"/>
    <x v="0"/>
    <x v="10"/>
    <x v="0"/>
    <x v="9"/>
    <x v="78"/>
    <x v="56"/>
    <x v="34"/>
    <x v="4"/>
    <x v="87"/>
    <x v="64"/>
    <x v="38"/>
    <x v="1"/>
    <x v="0"/>
    <x v="6"/>
    <x v="0"/>
    <x v="1"/>
    <x v="0"/>
    <x v="1"/>
    <x v="0"/>
    <x v="1"/>
    <x v="0"/>
    <x v="1"/>
    <x v="0"/>
    <x v="1"/>
    <x v="25"/>
    <x v="24"/>
    <x v="0"/>
    <x v="129"/>
    <x v="76"/>
    <x v="81"/>
  </r>
  <r>
    <x v="151"/>
    <x v="151"/>
    <x v="2"/>
    <x v="26"/>
    <x v="26"/>
    <x v="2"/>
    <x v="5"/>
    <x v="13"/>
    <x v="119"/>
    <x v="123"/>
    <x v="140"/>
    <x v="0"/>
    <x v="0"/>
    <x v="20"/>
    <x v="8"/>
    <x v="32"/>
    <x v="122"/>
    <x v="71"/>
    <x v="67"/>
    <x v="0"/>
    <x v="0"/>
    <x v="10"/>
    <x v="0"/>
    <x v="0"/>
    <x v="0"/>
    <x v="1"/>
    <x v="0"/>
    <x v="0"/>
    <x v="0"/>
    <x v="9"/>
    <x v="0"/>
    <x v="0"/>
    <x v="0"/>
    <x v="16"/>
    <x v="0"/>
    <x v="0"/>
    <x v="0"/>
    <x v="2"/>
    <x v="0"/>
    <x v="0"/>
    <x v="0"/>
    <x v="10"/>
    <x v="0"/>
    <x v="9"/>
    <x v="79"/>
    <x v="57"/>
    <x v="35"/>
    <x v="4"/>
    <x v="88"/>
    <x v="65"/>
    <x v="0"/>
    <x v="1"/>
    <x v="0"/>
    <x v="6"/>
    <x v="0"/>
    <x v="1"/>
    <x v="0"/>
    <x v="1"/>
    <x v="0"/>
    <x v="1"/>
    <x v="0"/>
    <x v="1"/>
    <x v="0"/>
    <x v="1"/>
    <x v="26"/>
    <x v="25"/>
    <x v="0"/>
    <x v="130"/>
    <x v="77"/>
    <x v="82"/>
  </r>
  <r>
    <x v="152"/>
    <x v="152"/>
    <x v="2"/>
    <x v="26"/>
    <x v="26"/>
    <x v="2"/>
    <x v="5"/>
    <x v="14"/>
    <x v="93"/>
    <x v="124"/>
    <x v="141"/>
    <x v="0"/>
    <x v="0"/>
    <x v="16"/>
    <x v="8"/>
    <x v="27"/>
    <x v="123"/>
    <x v="72"/>
    <x v="72"/>
    <x v="0"/>
    <x v="0"/>
    <x v="10"/>
    <x v="0"/>
    <x v="0"/>
    <x v="0"/>
    <x v="1"/>
    <x v="0"/>
    <x v="0"/>
    <x v="0"/>
    <x v="9"/>
    <x v="0"/>
    <x v="0"/>
    <x v="0"/>
    <x v="16"/>
    <x v="0"/>
    <x v="0"/>
    <x v="0"/>
    <x v="2"/>
    <x v="0"/>
    <x v="0"/>
    <x v="0"/>
    <x v="10"/>
    <x v="0"/>
    <x v="9"/>
    <x v="80"/>
    <x v="58"/>
    <x v="36"/>
    <x v="4"/>
    <x v="89"/>
    <x v="66"/>
    <x v="0"/>
    <x v="1"/>
    <x v="0"/>
    <x v="6"/>
    <x v="0"/>
    <x v="1"/>
    <x v="0"/>
    <x v="1"/>
    <x v="0"/>
    <x v="1"/>
    <x v="1"/>
    <x v="0"/>
    <x v="0"/>
    <x v="1"/>
    <x v="27"/>
    <x v="26"/>
    <x v="0"/>
    <x v="131"/>
    <x v="78"/>
    <x v="77"/>
  </r>
  <r>
    <x v="153"/>
    <x v="153"/>
    <x v="2"/>
    <x v="26"/>
    <x v="26"/>
    <x v="2"/>
    <x v="5"/>
    <x v="15"/>
    <x v="120"/>
    <x v="125"/>
    <x v="142"/>
    <x v="0"/>
    <x v="0"/>
    <x v="16"/>
    <x v="8"/>
    <x v="27"/>
    <x v="124"/>
    <x v="73"/>
    <x v="73"/>
    <x v="0"/>
    <x v="0"/>
    <x v="10"/>
    <x v="0"/>
    <x v="0"/>
    <x v="0"/>
    <x v="1"/>
    <x v="0"/>
    <x v="0"/>
    <x v="0"/>
    <x v="9"/>
    <x v="0"/>
    <x v="0"/>
    <x v="0"/>
    <x v="16"/>
    <x v="0"/>
    <x v="0"/>
    <x v="0"/>
    <x v="2"/>
    <x v="0"/>
    <x v="0"/>
    <x v="0"/>
    <x v="10"/>
    <x v="0"/>
    <x v="9"/>
    <x v="81"/>
    <x v="59"/>
    <x v="37"/>
    <x v="4"/>
    <x v="90"/>
    <x v="67"/>
    <x v="39"/>
    <x v="1"/>
    <x v="0"/>
    <x v="6"/>
    <x v="0"/>
    <x v="1"/>
    <x v="0"/>
    <x v="1"/>
    <x v="0"/>
    <x v="1"/>
    <x v="0"/>
    <x v="1"/>
    <x v="0"/>
    <x v="1"/>
    <x v="28"/>
    <x v="27"/>
    <x v="0"/>
    <x v="132"/>
    <x v="79"/>
    <x v="83"/>
  </r>
  <r>
    <x v="154"/>
    <x v="154"/>
    <x v="2"/>
    <x v="26"/>
    <x v="26"/>
    <x v="2"/>
    <x v="5"/>
    <x v="16"/>
    <x v="23"/>
    <x v="86"/>
    <x v="143"/>
    <x v="0"/>
    <x v="0"/>
    <x v="14"/>
    <x v="8"/>
    <x v="29"/>
    <x v="125"/>
    <x v="74"/>
    <x v="74"/>
    <x v="0"/>
    <x v="0"/>
    <x v="10"/>
    <x v="0"/>
    <x v="0"/>
    <x v="0"/>
    <x v="1"/>
    <x v="0"/>
    <x v="0"/>
    <x v="0"/>
    <x v="9"/>
    <x v="0"/>
    <x v="0"/>
    <x v="0"/>
    <x v="16"/>
    <x v="0"/>
    <x v="0"/>
    <x v="0"/>
    <x v="2"/>
    <x v="0"/>
    <x v="0"/>
    <x v="0"/>
    <x v="10"/>
    <x v="0"/>
    <x v="9"/>
    <x v="82"/>
    <x v="60"/>
    <x v="38"/>
    <x v="4"/>
    <x v="91"/>
    <x v="68"/>
    <x v="37"/>
    <x v="1"/>
    <x v="13"/>
    <x v="0"/>
    <x v="0"/>
    <x v="1"/>
    <x v="0"/>
    <x v="1"/>
    <x v="0"/>
    <x v="1"/>
    <x v="0"/>
    <x v="1"/>
    <x v="0"/>
    <x v="1"/>
    <x v="29"/>
    <x v="28"/>
    <x v="0"/>
    <x v="133"/>
    <x v="80"/>
    <x v="84"/>
  </r>
  <r>
    <x v="155"/>
    <x v="155"/>
    <x v="2"/>
    <x v="26"/>
    <x v="26"/>
    <x v="2"/>
    <x v="5"/>
    <x v="17"/>
    <x v="34"/>
    <x v="126"/>
    <x v="144"/>
    <x v="0"/>
    <x v="0"/>
    <x v="19"/>
    <x v="8"/>
    <x v="29"/>
    <x v="126"/>
    <x v="75"/>
    <x v="75"/>
    <x v="0"/>
    <x v="0"/>
    <x v="10"/>
    <x v="0"/>
    <x v="0"/>
    <x v="0"/>
    <x v="1"/>
    <x v="0"/>
    <x v="0"/>
    <x v="0"/>
    <x v="9"/>
    <x v="0"/>
    <x v="0"/>
    <x v="0"/>
    <x v="16"/>
    <x v="0"/>
    <x v="0"/>
    <x v="0"/>
    <x v="2"/>
    <x v="0"/>
    <x v="0"/>
    <x v="0"/>
    <x v="10"/>
    <x v="0"/>
    <x v="9"/>
    <x v="83"/>
    <x v="61"/>
    <x v="39"/>
    <x v="4"/>
    <x v="92"/>
    <x v="69"/>
    <x v="0"/>
    <x v="1"/>
    <x v="0"/>
    <x v="6"/>
    <x v="0"/>
    <x v="1"/>
    <x v="0"/>
    <x v="1"/>
    <x v="0"/>
    <x v="1"/>
    <x v="0"/>
    <x v="1"/>
    <x v="0"/>
    <x v="1"/>
    <x v="30"/>
    <x v="29"/>
    <x v="1"/>
    <x v="134"/>
    <x v="81"/>
    <x v="85"/>
  </r>
  <r>
    <x v="156"/>
    <x v="156"/>
    <x v="2"/>
    <x v="26"/>
    <x v="26"/>
    <x v="2"/>
    <x v="5"/>
    <x v="18"/>
    <x v="121"/>
    <x v="127"/>
    <x v="1"/>
    <x v="0"/>
    <x v="0"/>
    <x v="14"/>
    <x v="8"/>
    <x v="28"/>
    <x v="0"/>
    <x v="0"/>
    <x v="0"/>
    <x v="0"/>
    <x v="0"/>
    <x v="10"/>
    <x v="0"/>
    <x v="0"/>
    <x v="0"/>
    <x v="1"/>
    <x v="0"/>
    <x v="0"/>
    <x v="0"/>
    <x v="9"/>
    <x v="0"/>
    <x v="0"/>
    <x v="0"/>
    <x v="16"/>
    <x v="0"/>
    <x v="0"/>
    <x v="0"/>
    <x v="2"/>
    <x v="0"/>
    <x v="0"/>
    <x v="0"/>
    <x v="10"/>
    <x v="0"/>
    <x v="9"/>
    <x v="0"/>
    <x v="0"/>
    <x v="0"/>
    <x v="4"/>
    <x v="0"/>
    <x v="18"/>
    <x v="0"/>
    <x v="1"/>
    <x v="0"/>
    <x v="6"/>
    <x v="0"/>
    <x v="1"/>
    <x v="0"/>
    <x v="1"/>
    <x v="0"/>
    <x v="1"/>
    <x v="0"/>
    <x v="1"/>
    <x v="0"/>
    <x v="1"/>
    <x v="0"/>
    <x v="30"/>
    <x v="0"/>
    <x v="0"/>
    <x v="0"/>
    <x v="0"/>
  </r>
  <r>
    <x v="157"/>
    <x v="157"/>
    <x v="2"/>
    <x v="27"/>
    <x v="27"/>
    <x v="2"/>
    <x v="3"/>
    <x v="0"/>
    <x v="114"/>
    <x v="128"/>
    <x v="145"/>
    <x v="0"/>
    <x v="0"/>
    <x v="21"/>
    <x v="86"/>
    <x v="22"/>
    <x v="127"/>
    <x v="0"/>
    <x v="76"/>
    <x v="1"/>
    <x v="15"/>
    <x v="0"/>
    <x v="8"/>
    <x v="0"/>
    <x v="0"/>
    <x v="0"/>
    <x v="0"/>
    <x v="15"/>
    <x v="34"/>
    <x v="0"/>
    <x v="21"/>
    <x v="1"/>
    <x v="34"/>
    <x v="0"/>
    <x v="8"/>
    <x v="1"/>
    <x v="23"/>
    <x v="0"/>
    <x v="10"/>
    <x v="3"/>
    <x v="15"/>
    <x v="0"/>
    <x v="8"/>
    <x v="0"/>
    <x v="0"/>
    <x v="0"/>
    <x v="0"/>
    <x v="0"/>
    <x v="0"/>
    <x v="0"/>
    <x v="0"/>
    <x v="1"/>
    <x v="0"/>
    <x v="0"/>
    <x v="0"/>
    <x v="1"/>
    <x v="0"/>
    <x v="0"/>
    <x v="0"/>
    <x v="1"/>
    <x v="0"/>
    <x v="0"/>
    <x v="0"/>
    <x v="1"/>
    <x v="31"/>
    <x v="31"/>
    <x v="0"/>
    <x v="135"/>
    <x v="82"/>
    <x v="86"/>
  </r>
  <r>
    <x v="158"/>
    <x v="158"/>
    <x v="2"/>
    <x v="27"/>
    <x v="27"/>
    <x v="2"/>
    <x v="3"/>
    <x v="0"/>
    <x v="122"/>
    <x v="129"/>
    <x v="146"/>
    <x v="0"/>
    <x v="0"/>
    <x v="0"/>
    <x v="87"/>
    <x v="33"/>
    <x v="128"/>
    <x v="0"/>
    <x v="77"/>
    <x v="1"/>
    <x v="16"/>
    <x v="0"/>
    <x v="9"/>
    <x v="0"/>
    <x v="0"/>
    <x v="0"/>
    <x v="0"/>
    <x v="15"/>
    <x v="35"/>
    <x v="0"/>
    <x v="22"/>
    <x v="1"/>
    <x v="35"/>
    <x v="0"/>
    <x v="9"/>
    <x v="1"/>
    <x v="24"/>
    <x v="0"/>
    <x v="11"/>
    <x v="3"/>
    <x v="16"/>
    <x v="0"/>
    <x v="9"/>
    <x v="0"/>
    <x v="0"/>
    <x v="0"/>
    <x v="0"/>
    <x v="0"/>
    <x v="0"/>
    <x v="0"/>
    <x v="0"/>
    <x v="1"/>
    <x v="0"/>
    <x v="0"/>
    <x v="0"/>
    <x v="1"/>
    <x v="0"/>
    <x v="0"/>
    <x v="0"/>
    <x v="1"/>
    <x v="0"/>
    <x v="0"/>
    <x v="0"/>
    <x v="1"/>
    <x v="0"/>
    <x v="0"/>
    <x v="0"/>
    <x v="136"/>
    <x v="0"/>
    <x v="87"/>
  </r>
  <r>
    <x v="159"/>
    <x v="159"/>
    <x v="2"/>
    <x v="27"/>
    <x v="27"/>
    <x v="2"/>
    <x v="3"/>
    <x v="0"/>
    <x v="123"/>
    <x v="130"/>
    <x v="147"/>
    <x v="0"/>
    <x v="0"/>
    <x v="0"/>
    <x v="88"/>
    <x v="33"/>
    <x v="129"/>
    <x v="76"/>
    <x v="78"/>
    <x v="1"/>
    <x v="17"/>
    <x v="11"/>
    <x v="10"/>
    <x v="0"/>
    <x v="0"/>
    <x v="0"/>
    <x v="0"/>
    <x v="15"/>
    <x v="36"/>
    <x v="25"/>
    <x v="23"/>
    <x v="1"/>
    <x v="36"/>
    <x v="30"/>
    <x v="10"/>
    <x v="1"/>
    <x v="25"/>
    <x v="22"/>
    <x v="12"/>
    <x v="3"/>
    <x v="17"/>
    <x v="11"/>
    <x v="10"/>
    <x v="0"/>
    <x v="0"/>
    <x v="0"/>
    <x v="0"/>
    <x v="0"/>
    <x v="0"/>
    <x v="0"/>
    <x v="0"/>
    <x v="1"/>
    <x v="0"/>
    <x v="0"/>
    <x v="0"/>
    <x v="1"/>
    <x v="0"/>
    <x v="0"/>
    <x v="0"/>
    <x v="1"/>
    <x v="0"/>
    <x v="0"/>
    <x v="0"/>
    <x v="1"/>
    <x v="0"/>
    <x v="0"/>
    <x v="0"/>
    <x v="137"/>
    <x v="83"/>
    <x v="88"/>
  </r>
  <r>
    <x v="160"/>
    <x v="160"/>
    <x v="2"/>
    <x v="27"/>
    <x v="27"/>
    <x v="2"/>
    <x v="3"/>
    <x v="0"/>
    <x v="124"/>
    <x v="131"/>
    <x v="148"/>
    <x v="0"/>
    <x v="0"/>
    <x v="0"/>
    <x v="89"/>
    <x v="2"/>
    <x v="130"/>
    <x v="0"/>
    <x v="79"/>
    <x v="1"/>
    <x v="18"/>
    <x v="0"/>
    <x v="11"/>
    <x v="0"/>
    <x v="0"/>
    <x v="0"/>
    <x v="0"/>
    <x v="15"/>
    <x v="37"/>
    <x v="0"/>
    <x v="24"/>
    <x v="1"/>
    <x v="37"/>
    <x v="0"/>
    <x v="11"/>
    <x v="1"/>
    <x v="26"/>
    <x v="0"/>
    <x v="13"/>
    <x v="3"/>
    <x v="18"/>
    <x v="0"/>
    <x v="11"/>
    <x v="8"/>
    <x v="84"/>
    <x v="62"/>
    <x v="0"/>
    <x v="5"/>
    <x v="93"/>
    <x v="70"/>
    <x v="0"/>
    <x v="1"/>
    <x v="14"/>
    <x v="9"/>
    <x v="0"/>
    <x v="1"/>
    <x v="0"/>
    <x v="0"/>
    <x v="0"/>
    <x v="1"/>
    <x v="0"/>
    <x v="0"/>
    <x v="0"/>
    <x v="1"/>
    <x v="0"/>
    <x v="0"/>
    <x v="0"/>
    <x v="138"/>
    <x v="84"/>
    <x v="89"/>
  </r>
  <r>
    <x v="161"/>
    <x v="161"/>
    <x v="2"/>
    <x v="27"/>
    <x v="27"/>
    <x v="2"/>
    <x v="3"/>
    <x v="0"/>
    <x v="125"/>
    <x v="132"/>
    <x v="149"/>
    <x v="0"/>
    <x v="0"/>
    <x v="0"/>
    <x v="55"/>
    <x v="2"/>
    <x v="131"/>
    <x v="0"/>
    <x v="80"/>
    <x v="1"/>
    <x v="19"/>
    <x v="0"/>
    <x v="12"/>
    <x v="0"/>
    <x v="0"/>
    <x v="0"/>
    <x v="0"/>
    <x v="15"/>
    <x v="38"/>
    <x v="0"/>
    <x v="25"/>
    <x v="1"/>
    <x v="38"/>
    <x v="0"/>
    <x v="12"/>
    <x v="1"/>
    <x v="27"/>
    <x v="0"/>
    <x v="14"/>
    <x v="3"/>
    <x v="19"/>
    <x v="0"/>
    <x v="12"/>
    <x v="8"/>
    <x v="0"/>
    <x v="0"/>
    <x v="0"/>
    <x v="5"/>
    <x v="0"/>
    <x v="0"/>
    <x v="0"/>
    <x v="1"/>
    <x v="0"/>
    <x v="0"/>
    <x v="0"/>
    <x v="1"/>
    <x v="0"/>
    <x v="0"/>
    <x v="0"/>
    <x v="1"/>
    <x v="0"/>
    <x v="0"/>
    <x v="0"/>
    <x v="1"/>
    <x v="0"/>
    <x v="0"/>
    <x v="0"/>
    <x v="139"/>
    <x v="0"/>
    <x v="90"/>
  </r>
  <r>
    <x v="162"/>
    <x v="162"/>
    <x v="2"/>
    <x v="27"/>
    <x v="27"/>
    <x v="2"/>
    <x v="3"/>
    <x v="0"/>
    <x v="126"/>
    <x v="133"/>
    <x v="150"/>
    <x v="0"/>
    <x v="0"/>
    <x v="0"/>
    <x v="43"/>
    <x v="2"/>
    <x v="132"/>
    <x v="0"/>
    <x v="81"/>
    <x v="1"/>
    <x v="20"/>
    <x v="0"/>
    <x v="13"/>
    <x v="0"/>
    <x v="0"/>
    <x v="0"/>
    <x v="0"/>
    <x v="15"/>
    <x v="39"/>
    <x v="0"/>
    <x v="26"/>
    <x v="1"/>
    <x v="39"/>
    <x v="0"/>
    <x v="13"/>
    <x v="1"/>
    <x v="28"/>
    <x v="0"/>
    <x v="15"/>
    <x v="3"/>
    <x v="20"/>
    <x v="0"/>
    <x v="13"/>
    <x v="8"/>
    <x v="0"/>
    <x v="0"/>
    <x v="0"/>
    <x v="5"/>
    <x v="0"/>
    <x v="0"/>
    <x v="0"/>
    <x v="1"/>
    <x v="0"/>
    <x v="0"/>
    <x v="0"/>
    <x v="1"/>
    <x v="0"/>
    <x v="0"/>
    <x v="0"/>
    <x v="1"/>
    <x v="0"/>
    <x v="0"/>
    <x v="0"/>
    <x v="1"/>
    <x v="0"/>
    <x v="0"/>
    <x v="0"/>
    <x v="140"/>
    <x v="0"/>
    <x v="91"/>
  </r>
  <r>
    <x v="163"/>
    <x v="163"/>
    <x v="2"/>
    <x v="27"/>
    <x v="27"/>
    <x v="2"/>
    <x v="3"/>
    <x v="0"/>
    <x v="127"/>
    <x v="134"/>
    <x v="151"/>
    <x v="0"/>
    <x v="0"/>
    <x v="0"/>
    <x v="83"/>
    <x v="2"/>
    <x v="133"/>
    <x v="0"/>
    <x v="82"/>
    <x v="1"/>
    <x v="21"/>
    <x v="0"/>
    <x v="14"/>
    <x v="0"/>
    <x v="0"/>
    <x v="0"/>
    <x v="0"/>
    <x v="15"/>
    <x v="40"/>
    <x v="0"/>
    <x v="27"/>
    <x v="1"/>
    <x v="40"/>
    <x v="0"/>
    <x v="14"/>
    <x v="1"/>
    <x v="29"/>
    <x v="0"/>
    <x v="16"/>
    <x v="3"/>
    <x v="21"/>
    <x v="0"/>
    <x v="14"/>
    <x v="8"/>
    <x v="0"/>
    <x v="0"/>
    <x v="0"/>
    <x v="5"/>
    <x v="0"/>
    <x v="0"/>
    <x v="0"/>
    <x v="1"/>
    <x v="0"/>
    <x v="0"/>
    <x v="0"/>
    <x v="1"/>
    <x v="0"/>
    <x v="0"/>
    <x v="0"/>
    <x v="1"/>
    <x v="0"/>
    <x v="0"/>
    <x v="0"/>
    <x v="1"/>
    <x v="0"/>
    <x v="0"/>
    <x v="0"/>
    <x v="141"/>
    <x v="0"/>
    <x v="92"/>
  </r>
  <r>
    <x v="164"/>
    <x v="164"/>
    <x v="2"/>
    <x v="27"/>
    <x v="27"/>
    <x v="2"/>
    <x v="3"/>
    <x v="0"/>
    <x v="101"/>
    <x v="135"/>
    <x v="152"/>
    <x v="0"/>
    <x v="0"/>
    <x v="0"/>
    <x v="85"/>
    <x v="2"/>
    <x v="134"/>
    <x v="0"/>
    <x v="83"/>
    <x v="1"/>
    <x v="22"/>
    <x v="0"/>
    <x v="15"/>
    <x v="0"/>
    <x v="0"/>
    <x v="0"/>
    <x v="0"/>
    <x v="15"/>
    <x v="41"/>
    <x v="0"/>
    <x v="28"/>
    <x v="1"/>
    <x v="41"/>
    <x v="0"/>
    <x v="15"/>
    <x v="1"/>
    <x v="30"/>
    <x v="0"/>
    <x v="17"/>
    <x v="3"/>
    <x v="22"/>
    <x v="0"/>
    <x v="15"/>
    <x v="8"/>
    <x v="0"/>
    <x v="0"/>
    <x v="0"/>
    <x v="5"/>
    <x v="0"/>
    <x v="0"/>
    <x v="0"/>
    <x v="1"/>
    <x v="0"/>
    <x v="0"/>
    <x v="0"/>
    <x v="1"/>
    <x v="0"/>
    <x v="0"/>
    <x v="0"/>
    <x v="1"/>
    <x v="0"/>
    <x v="0"/>
    <x v="0"/>
    <x v="1"/>
    <x v="0"/>
    <x v="0"/>
    <x v="0"/>
    <x v="142"/>
    <x v="0"/>
    <x v="93"/>
  </r>
  <r>
    <x v="165"/>
    <x v="165"/>
    <x v="2"/>
    <x v="27"/>
    <x v="27"/>
    <x v="2"/>
    <x v="3"/>
    <x v="0"/>
    <x v="128"/>
    <x v="136"/>
    <x v="153"/>
    <x v="0"/>
    <x v="0"/>
    <x v="0"/>
    <x v="90"/>
    <x v="2"/>
    <x v="135"/>
    <x v="0"/>
    <x v="84"/>
    <x v="1"/>
    <x v="23"/>
    <x v="0"/>
    <x v="16"/>
    <x v="0"/>
    <x v="0"/>
    <x v="0"/>
    <x v="0"/>
    <x v="15"/>
    <x v="42"/>
    <x v="0"/>
    <x v="29"/>
    <x v="1"/>
    <x v="42"/>
    <x v="0"/>
    <x v="16"/>
    <x v="1"/>
    <x v="31"/>
    <x v="0"/>
    <x v="18"/>
    <x v="3"/>
    <x v="23"/>
    <x v="0"/>
    <x v="16"/>
    <x v="8"/>
    <x v="0"/>
    <x v="0"/>
    <x v="0"/>
    <x v="5"/>
    <x v="0"/>
    <x v="0"/>
    <x v="0"/>
    <x v="1"/>
    <x v="0"/>
    <x v="0"/>
    <x v="0"/>
    <x v="1"/>
    <x v="0"/>
    <x v="0"/>
    <x v="0"/>
    <x v="1"/>
    <x v="0"/>
    <x v="0"/>
    <x v="0"/>
    <x v="1"/>
    <x v="0"/>
    <x v="0"/>
    <x v="0"/>
    <x v="143"/>
    <x v="0"/>
    <x v="94"/>
  </r>
  <r>
    <x v="166"/>
    <x v="166"/>
    <x v="2"/>
    <x v="27"/>
    <x v="27"/>
    <x v="2"/>
    <x v="3"/>
    <x v="0"/>
    <x v="129"/>
    <x v="137"/>
    <x v="154"/>
    <x v="0"/>
    <x v="0"/>
    <x v="0"/>
    <x v="91"/>
    <x v="2"/>
    <x v="136"/>
    <x v="0"/>
    <x v="85"/>
    <x v="1"/>
    <x v="24"/>
    <x v="0"/>
    <x v="17"/>
    <x v="0"/>
    <x v="0"/>
    <x v="0"/>
    <x v="0"/>
    <x v="15"/>
    <x v="43"/>
    <x v="0"/>
    <x v="30"/>
    <x v="1"/>
    <x v="43"/>
    <x v="0"/>
    <x v="17"/>
    <x v="1"/>
    <x v="32"/>
    <x v="0"/>
    <x v="19"/>
    <x v="3"/>
    <x v="24"/>
    <x v="0"/>
    <x v="17"/>
    <x v="8"/>
    <x v="0"/>
    <x v="0"/>
    <x v="0"/>
    <x v="5"/>
    <x v="0"/>
    <x v="0"/>
    <x v="0"/>
    <x v="1"/>
    <x v="0"/>
    <x v="0"/>
    <x v="0"/>
    <x v="1"/>
    <x v="0"/>
    <x v="0"/>
    <x v="0"/>
    <x v="1"/>
    <x v="0"/>
    <x v="0"/>
    <x v="0"/>
    <x v="1"/>
    <x v="0"/>
    <x v="0"/>
    <x v="0"/>
    <x v="144"/>
    <x v="0"/>
    <x v="95"/>
  </r>
  <r>
    <x v="167"/>
    <x v="167"/>
    <x v="2"/>
    <x v="27"/>
    <x v="27"/>
    <x v="2"/>
    <x v="3"/>
    <x v="0"/>
    <x v="130"/>
    <x v="138"/>
    <x v="155"/>
    <x v="0"/>
    <x v="0"/>
    <x v="0"/>
    <x v="85"/>
    <x v="2"/>
    <x v="137"/>
    <x v="0"/>
    <x v="86"/>
    <x v="1"/>
    <x v="25"/>
    <x v="0"/>
    <x v="18"/>
    <x v="0"/>
    <x v="0"/>
    <x v="0"/>
    <x v="0"/>
    <x v="15"/>
    <x v="44"/>
    <x v="0"/>
    <x v="31"/>
    <x v="1"/>
    <x v="44"/>
    <x v="0"/>
    <x v="18"/>
    <x v="1"/>
    <x v="33"/>
    <x v="0"/>
    <x v="20"/>
    <x v="3"/>
    <x v="25"/>
    <x v="0"/>
    <x v="18"/>
    <x v="8"/>
    <x v="0"/>
    <x v="0"/>
    <x v="0"/>
    <x v="5"/>
    <x v="0"/>
    <x v="0"/>
    <x v="0"/>
    <x v="1"/>
    <x v="0"/>
    <x v="0"/>
    <x v="0"/>
    <x v="1"/>
    <x v="0"/>
    <x v="0"/>
    <x v="0"/>
    <x v="1"/>
    <x v="0"/>
    <x v="0"/>
    <x v="0"/>
    <x v="1"/>
    <x v="0"/>
    <x v="0"/>
    <x v="0"/>
    <x v="145"/>
    <x v="0"/>
    <x v="96"/>
  </r>
  <r>
    <x v="168"/>
    <x v="168"/>
    <x v="2"/>
    <x v="27"/>
    <x v="27"/>
    <x v="2"/>
    <x v="3"/>
    <x v="0"/>
    <x v="131"/>
    <x v="139"/>
    <x v="156"/>
    <x v="0"/>
    <x v="0"/>
    <x v="0"/>
    <x v="92"/>
    <x v="2"/>
    <x v="138"/>
    <x v="0"/>
    <x v="87"/>
    <x v="1"/>
    <x v="26"/>
    <x v="0"/>
    <x v="19"/>
    <x v="0"/>
    <x v="0"/>
    <x v="0"/>
    <x v="0"/>
    <x v="15"/>
    <x v="45"/>
    <x v="0"/>
    <x v="32"/>
    <x v="1"/>
    <x v="45"/>
    <x v="0"/>
    <x v="19"/>
    <x v="1"/>
    <x v="34"/>
    <x v="0"/>
    <x v="21"/>
    <x v="3"/>
    <x v="26"/>
    <x v="0"/>
    <x v="19"/>
    <x v="8"/>
    <x v="0"/>
    <x v="0"/>
    <x v="0"/>
    <x v="5"/>
    <x v="0"/>
    <x v="0"/>
    <x v="0"/>
    <x v="1"/>
    <x v="0"/>
    <x v="0"/>
    <x v="0"/>
    <x v="1"/>
    <x v="0"/>
    <x v="0"/>
    <x v="0"/>
    <x v="1"/>
    <x v="0"/>
    <x v="0"/>
    <x v="0"/>
    <x v="1"/>
    <x v="0"/>
    <x v="0"/>
    <x v="0"/>
    <x v="146"/>
    <x v="0"/>
    <x v="97"/>
  </r>
  <r>
    <x v="169"/>
    <x v="169"/>
    <x v="2"/>
    <x v="27"/>
    <x v="27"/>
    <x v="2"/>
    <x v="3"/>
    <x v="0"/>
    <x v="119"/>
    <x v="135"/>
    <x v="157"/>
    <x v="0"/>
    <x v="0"/>
    <x v="0"/>
    <x v="93"/>
    <x v="2"/>
    <x v="139"/>
    <x v="0"/>
    <x v="88"/>
    <x v="1"/>
    <x v="27"/>
    <x v="0"/>
    <x v="20"/>
    <x v="0"/>
    <x v="0"/>
    <x v="0"/>
    <x v="0"/>
    <x v="15"/>
    <x v="46"/>
    <x v="0"/>
    <x v="33"/>
    <x v="1"/>
    <x v="46"/>
    <x v="0"/>
    <x v="20"/>
    <x v="1"/>
    <x v="35"/>
    <x v="0"/>
    <x v="22"/>
    <x v="3"/>
    <x v="27"/>
    <x v="0"/>
    <x v="20"/>
    <x v="8"/>
    <x v="0"/>
    <x v="0"/>
    <x v="0"/>
    <x v="5"/>
    <x v="0"/>
    <x v="0"/>
    <x v="0"/>
    <x v="1"/>
    <x v="0"/>
    <x v="0"/>
    <x v="0"/>
    <x v="1"/>
    <x v="0"/>
    <x v="0"/>
    <x v="0"/>
    <x v="1"/>
    <x v="0"/>
    <x v="0"/>
    <x v="0"/>
    <x v="1"/>
    <x v="0"/>
    <x v="0"/>
    <x v="0"/>
    <x v="147"/>
    <x v="0"/>
    <x v="98"/>
  </r>
  <r>
    <x v="170"/>
    <x v="170"/>
    <x v="2"/>
    <x v="27"/>
    <x v="27"/>
    <x v="2"/>
    <x v="3"/>
    <x v="0"/>
    <x v="132"/>
    <x v="140"/>
    <x v="158"/>
    <x v="0"/>
    <x v="0"/>
    <x v="0"/>
    <x v="94"/>
    <x v="2"/>
    <x v="140"/>
    <x v="0"/>
    <x v="89"/>
    <x v="1"/>
    <x v="28"/>
    <x v="0"/>
    <x v="21"/>
    <x v="0"/>
    <x v="0"/>
    <x v="0"/>
    <x v="0"/>
    <x v="15"/>
    <x v="47"/>
    <x v="0"/>
    <x v="34"/>
    <x v="1"/>
    <x v="47"/>
    <x v="0"/>
    <x v="21"/>
    <x v="1"/>
    <x v="36"/>
    <x v="0"/>
    <x v="23"/>
    <x v="3"/>
    <x v="28"/>
    <x v="0"/>
    <x v="21"/>
    <x v="8"/>
    <x v="0"/>
    <x v="0"/>
    <x v="0"/>
    <x v="5"/>
    <x v="0"/>
    <x v="0"/>
    <x v="0"/>
    <x v="1"/>
    <x v="0"/>
    <x v="0"/>
    <x v="0"/>
    <x v="1"/>
    <x v="0"/>
    <x v="0"/>
    <x v="0"/>
    <x v="1"/>
    <x v="0"/>
    <x v="0"/>
    <x v="0"/>
    <x v="1"/>
    <x v="0"/>
    <x v="0"/>
    <x v="0"/>
    <x v="148"/>
    <x v="0"/>
    <x v="99"/>
  </r>
  <r>
    <x v="171"/>
    <x v="171"/>
    <x v="2"/>
    <x v="27"/>
    <x v="27"/>
    <x v="2"/>
    <x v="3"/>
    <x v="0"/>
    <x v="133"/>
    <x v="141"/>
    <x v="159"/>
    <x v="0"/>
    <x v="0"/>
    <x v="0"/>
    <x v="95"/>
    <x v="2"/>
    <x v="141"/>
    <x v="0"/>
    <x v="90"/>
    <x v="1"/>
    <x v="29"/>
    <x v="0"/>
    <x v="22"/>
    <x v="0"/>
    <x v="0"/>
    <x v="0"/>
    <x v="0"/>
    <x v="15"/>
    <x v="48"/>
    <x v="0"/>
    <x v="35"/>
    <x v="1"/>
    <x v="48"/>
    <x v="0"/>
    <x v="22"/>
    <x v="1"/>
    <x v="37"/>
    <x v="0"/>
    <x v="24"/>
    <x v="3"/>
    <x v="29"/>
    <x v="0"/>
    <x v="22"/>
    <x v="8"/>
    <x v="0"/>
    <x v="0"/>
    <x v="0"/>
    <x v="5"/>
    <x v="0"/>
    <x v="0"/>
    <x v="0"/>
    <x v="1"/>
    <x v="0"/>
    <x v="0"/>
    <x v="0"/>
    <x v="1"/>
    <x v="0"/>
    <x v="0"/>
    <x v="0"/>
    <x v="1"/>
    <x v="0"/>
    <x v="0"/>
    <x v="0"/>
    <x v="1"/>
    <x v="0"/>
    <x v="0"/>
    <x v="0"/>
    <x v="149"/>
    <x v="0"/>
    <x v="100"/>
  </r>
  <r>
    <x v="172"/>
    <x v="172"/>
    <x v="2"/>
    <x v="27"/>
    <x v="27"/>
    <x v="2"/>
    <x v="3"/>
    <x v="0"/>
    <x v="134"/>
    <x v="142"/>
    <x v="160"/>
    <x v="0"/>
    <x v="0"/>
    <x v="0"/>
    <x v="96"/>
    <x v="2"/>
    <x v="142"/>
    <x v="0"/>
    <x v="91"/>
    <x v="1"/>
    <x v="30"/>
    <x v="0"/>
    <x v="23"/>
    <x v="0"/>
    <x v="0"/>
    <x v="0"/>
    <x v="0"/>
    <x v="15"/>
    <x v="49"/>
    <x v="0"/>
    <x v="36"/>
    <x v="1"/>
    <x v="49"/>
    <x v="0"/>
    <x v="23"/>
    <x v="1"/>
    <x v="38"/>
    <x v="0"/>
    <x v="25"/>
    <x v="3"/>
    <x v="30"/>
    <x v="0"/>
    <x v="23"/>
    <x v="8"/>
    <x v="0"/>
    <x v="0"/>
    <x v="0"/>
    <x v="5"/>
    <x v="0"/>
    <x v="0"/>
    <x v="0"/>
    <x v="1"/>
    <x v="0"/>
    <x v="0"/>
    <x v="0"/>
    <x v="1"/>
    <x v="0"/>
    <x v="0"/>
    <x v="0"/>
    <x v="1"/>
    <x v="0"/>
    <x v="0"/>
    <x v="0"/>
    <x v="1"/>
    <x v="0"/>
    <x v="0"/>
    <x v="0"/>
    <x v="150"/>
    <x v="0"/>
    <x v="101"/>
  </r>
  <r>
    <x v="173"/>
    <x v="173"/>
    <x v="2"/>
    <x v="27"/>
    <x v="27"/>
    <x v="2"/>
    <x v="3"/>
    <x v="19"/>
    <x v="35"/>
    <x v="143"/>
    <x v="161"/>
    <x v="0"/>
    <x v="0"/>
    <x v="0"/>
    <x v="40"/>
    <x v="2"/>
    <x v="143"/>
    <x v="0"/>
    <x v="92"/>
    <x v="1"/>
    <x v="31"/>
    <x v="0"/>
    <x v="24"/>
    <x v="0"/>
    <x v="0"/>
    <x v="0"/>
    <x v="0"/>
    <x v="15"/>
    <x v="50"/>
    <x v="0"/>
    <x v="37"/>
    <x v="1"/>
    <x v="50"/>
    <x v="0"/>
    <x v="24"/>
    <x v="1"/>
    <x v="39"/>
    <x v="0"/>
    <x v="26"/>
    <x v="3"/>
    <x v="31"/>
    <x v="0"/>
    <x v="24"/>
    <x v="8"/>
    <x v="0"/>
    <x v="0"/>
    <x v="0"/>
    <x v="5"/>
    <x v="0"/>
    <x v="0"/>
    <x v="0"/>
    <x v="1"/>
    <x v="0"/>
    <x v="0"/>
    <x v="0"/>
    <x v="1"/>
    <x v="0"/>
    <x v="0"/>
    <x v="0"/>
    <x v="1"/>
    <x v="0"/>
    <x v="0"/>
    <x v="0"/>
    <x v="1"/>
    <x v="0"/>
    <x v="0"/>
    <x v="0"/>
    <x v="151"/>
    <x v="0"/>
    <x v="102"/>
  </r>
  <r>
    <x v="174"/>
    <x v="174"/>
    <x v="2"/>
    <x v="27"/>
    <x v="27"/>
    <x v="2"/>
    <x v="3"/>
    <x v="0"/>
    <x v="135"/>
    <x v="144"/>
    <x v="162"/>
    <x v="0"/>
    <x v="0"/>
    <x v="0"/>
    <x v="97"/>
    <x v="2"/>
    <x v="144"/>
    <x v="0"/>
    <x v="93"/>
    <x v="1"/>
    <x v="32"/>
    <x v="0"/>
    <x v="25"/>
    <x v="0"/>
    <x v="0"/>
    <x v="0"/>
    <x v="0"/>
    <x v="15"/>
    <x v="51"/>
    <x v="0"/>
    <x v="38"/>
    <x v="1"/>
    <x v="51"/>
    <x v="0"/>
    <x v="25"/>
    <x v="1"/>
    <x v="40"/>
    <x v="0"/>
    <x v="27"/>
    <x v="3"/>
    <x v="32"/>
    <x v="0"/>
    <x v="25"/>
    <x v="8"/>
    <x v="0"/>
    <x v="0"/>
    <x v="0"/>
    <x v="5"/>
    <x v="0"/>
    <x v="0"/>
    <x v="0"/>
    <x v="1"/>
    <x v="0"/>
    <x v="0"/>
    <x v="0"/>
    <x v="1"/>
    <x v="0"/>
    <x v="0"/>
    <x v="0"/>
    <x v="1"/>
    <x v="0"/>
    <x v="0"/>
    <x v="0"/>
    <x v="1"/>
    <x v="0"/>
    <x v="0"/>
    <x v="0"/>
    <x v="152"/>
    <x v="0"/>
    <x v="103"/>
  </r>
  <r>
    <x v="175"/>
    <x v="175"/>
    <x v="2"/>
    <x v="27"/>
    <x v="27"/>
    <x v="2"/>
    <x v="3"/>
    <x v="0"/>
    <x v="136"/>
    <x v="145"/>
    <x v="1"/>
    <x v="0"/>
    <x v="0"/>
    <x v="0"/>
    <x v="55"/>
    <x v="2"/>
    <x v="0"/>
    <x v="0"/>
    <x v="0"/>
    <x v="1"/>
    <x v="0"/>
    <x v="0"/>
    <x v="0"/>
    <x v="0"/>
    <x v="0"/>
    <x v="0"/>
    <x v="0"/>
    <x v="15"/>
    <x v="0"/>
    <x v="0"/>
    <x v="0"/>
    <x v="1"/>
    <x v="0"/>
    <x v="0"/>
    <x v="0"/>
    <x v="1"/>
    <x v="0"/>
    <x v="0"/>
    <x v="0"/>
    <x v="3"/>
    <x v="0"/>
    <x v="0"/>
    <x v="0"/>
    <x v="8"/>
    <x v="0"/>
    <x v="0"/>
    <x v="0"/>
    <x v="5"/>
    <x v="0"/>
    <x v="0"/>
    <x v="0"/>
    <x v="1"/>
    <x v="0"/>
    <x v="0"/>
    <x v="0"/>
    <x v="1"/>
    <x v="0"/>
    <x v="0"/>
    <x v="0"/>
    <x v="1"/>
    <x v="0"/>
    <x v="0"/>
    <x v="0"/>
    <x v="1"/>
    <x v="0"/>
    <x v="0"/>
    <x v="0"/>
    <x v="0"/>
    <x v="0"/>
    <x v="0"/>
  </r>
  <r>
    <x v="176"/>
    <x v="176"/>
    <x v="2"/>
    <x v="27"/>
    <x v="27"/>
    <x v="2"/>
    <x v="3"/>
    <x v="0"/>
    <x v="42"/>
    <x v="146"/>
    <x v="163"/>
    <x v="0"/>
    <x v="0"/>
    <x v="0"/>
    <x v="84"/>
    <x v="2"/>
    <x v="145"/>
    <x v="0"/>
    <x v="94"/>
    <x v="1"/>
    <x v="33"/>
    <x v="0"/>
    <x v="26"/>
    <x v="0"/>
    <x v="0"/>
    <x v="0"/>
    <x v="0"/>
    <x v="15"/>
    <x v="52"/>
    <x v="0"/>
    <x v="39"/>
    <x v="1"/>
    <x v="52"/>
    <x v="0"/>
    <x v="26"/>
    <x v="1"/>
    <x v="41"/>
    <x v="0"/>
    <x v="28"/>
    <x v="3"/>
    <x v="33"/>
    <x v="0"/>
    <x v="26"/>
    <x v="8"/>
    <x v="0"/>
    <x v="0"/>
    <x v="0"/>
    <x v="5"/>
    <x v="0"/>
    <x v="0"/>
    <x v="0"/>
    <x v="1"/>
    <x v="0"/>
    <x v="0"/>
    <x v="0"/>
    <x v="1"/>
    <x v="0"/>
    <x v="0"/>
    <x v="0"/>
    <x v="1"/>
    <x v="0"/>
    <x v="0"/>
    <x v="0"/>
    <x v="1"/>
    <x v="0"/>
    <x v="0"/>
    <x v="0"/>
    <x v="153"/>
    <x v="0"/>
    <x v="104"/>
  </r>
  <r>
    <x v="177"/>
    <x v="177"/>
    <x v="2"/>
    <x v="27"/>
    <x v="27"/>
    <x v="2"/>
    <x v="3"/>
    <x v="0"/>
    <x v="137"/>
    <x v="147"/>
    <x v="164"/>
    <x v="0"/>
    <x v="0"/>
    <x v="0"/>
    <x v="98"/>
    <x v="2"/>
    <x v="146"/>
    <x v="0"/>
    <x v="95"/>
    <x v="1"/>
    <x v="34"/>
    <x v="0"/>
    <x v="27"/>
    <x v="0"/>
    <x v="0"/>
    <x v="0"/>
    <x v="0"/>
    <x v="15"/>
    <x v="53"/>
    <x v="0"/>
    <x v="40"/>
    <x v="1"/>
    <x v="53"/>
    <x v="0"/>
    <x v="27"/>
    <x v="1"/>
    <x v="42"/>
    <x v="0"/>
    <x v="29"/>
    <x v="3"/>
    <x v="34"/>
    <x v="0"/>
    <x v="27"/>
    <x v="8"/>
    <x v="0"/>
    <x v="0"/>
    <x v="0"/>
    <x v="5"/>
    <x v="0"/>
    <x v="0"/>
    <x v="0"/>
    <x v="1"/>
    <x v="0"/>
    <x v="0"/>
    <x v="0"/>
    <x v="1"/>
    <x v="0"/>
    <x v="0"/>
    <x v="0"/>
    <x v="1"/>
    <x v="0"/>
    <x v="0"/>
    <x v="0"/>
    <x v="1"/>
    <x v="0"/>
    <x v="0"/>
    <x v="0"/>
    <x v="154"/>
    <x v="0"/>
    <x v="105"/>
  </r>
  <r>
    <x v="178"/>
    <x v="178"/>
    <x v="2"/>
    <x v="27"/>
    <x v="27"/>
    <x v="2"/>
    <x v="3"/>
    <x v="0"/>
    <x v="138"/>
    <x v="148"/>
    <x v="165"/>
    <x v="0"/>
    <x v="0"/>
    <x v="0"/>
    <x v="99"/>
    <x v="2"/>
    <x v="147"/>
    <x v="0"/>
    <x v="96"/>
    <x v="1"/>
    <x v="35"/>
    <x v="0"/>
    <x v="28"/>
    <x v="0"/>
    <x v="0"/>
    <x v="0"/>
    <x v="0"/>
    <x v="15"/>
    <x v="54"/>
    <x v="0"/>
    <x v="41"/>
    <x v="1"/>
    <x v="54"/>
    <x v="0"/>
    <x v="28"/>
    <x v="1"/>
    <x v="43"/>
    <x v="0"/>
    <x v="30"/>
    <x v="3"/>
    <x v="35"/>
    <x v="0"/>
    <x v="28"/>
    <x v="8"/>
    <x v="0"/>
    <x v="0"/>
    <x v="0"/>
    <x v="5"/>
    <x v="0"/>
    <x v="0"/>
    <x v="0"/>
    <x v="1"/>
    <x v="0"/>
    <x v="0"/>
    <x v="0"/>
    <x v="1"/>
    <x v="0"/>
    <x v="0"/>
    <x v="0"/>
    <x v="1"/>
    <x v="0"/>
    <x v="0"/>
    <x v="0"/>
    <x v="1"/>
    <x v="0"/>
    <x v="0"/>
    <x v="0"/>
    <x v="155"/>
    <x v="0"/>
    <x v="106"/>
  </r>
  <r>
    <x v="179"/>
    <x v="179"/>
    <x v="2"/>
    <x v="27"/>
    <x v="27"/>
    <x v="2"/>
    <x v="3"/>
    <x v="0"/>
    <x v="139"/>
    <x v="149"/>
    <x v="166"/>
    <x v="0"/>
    <x v="0"/>
    <x v="0"/>
    <x v="88"/>
    <x v="2"/>
    <x v="148"/>
    <x v="0"/>
    <x v="97"/>
    <x v="1"/>
    <x v="36"/>
    <x v="0"/>
    <x v="29"/>
    <x v="0"/>
    <x v="0"/>
    <x v="0"/>
    <x v="0"/>
    <x v="15"/>
    <x v="55"/>
    <x v="0"/>
    <x v="42"/>
    <x v="1"/>
    <x v="55"/>
    <x v="0"/>
    <x v="29"/>
    <x v="1"/>
    <x v="44"/>
    <x v="0"/>
    <x v="31"/>
    <x v="3"/>
    <x v="36"/>
    <x v="0"/>
    <x v="29"/>
    <x v="8"/>
    <x v="0"/>
    <x v="0"/>
    <x v="0"/>
    <x v="5"/>
    <x v="0"/>
    <x v="0"/>
    <x v="0"/>
    <x v="1"/>
    <x v="0"/>
    <x v="0"/>
    <x v="0"/>
    <x v="1"/>
    <x v="0"/>
    <x v="0"/>
    <x v="0"/>
    <x v="1"/>
    <x v="0"/>
    <x v="0"/>
    <x v="0"/>
    <x v="1"/>
    <x v="0"/>
    <x v="0"/>
    <x v="0"/>
    <x v="156"/>
    <x v="0"/>
    <x v="107"/>
  </r>
  <r>
    <x v="180"/>
    <x v="180"/>
    <x v="2"/>
    <x v="27"/>
    <x v="27"/>
    <x v="2"/>
    <x v="3"/>
    <x v="0"/>
    <x v="140"/>
    <x v="150"/>
    <x v="167"/>
    <x v="0"/>
    <x v="0"/>
    <x v="0"/>
    <x v="40"/>
    <x v="2"/>
    <x v="149"/>
    <x v="0"/>
    <x v="98"/>
    <x v="1"/>
    <x v="37"/>
    <x v="0"/>
    <x v="30"/>
    <x v="0"/>
    <x v="0"/>
    <x v="0"/>
    <x v="0"/>
    <x v="15"/>
    <x v="56"/>
    <x v="0"/>
    <x v="43"/>
    <x v="1"/>
    <x v="56"/>
    <x v="0"/>
    <x v="30"/>
    <x v="1"/>
    <x v="45"/>
    <x v="0"/>
    <x v="32"/>
    <x v="3"/>
    <x v="37"/>
    <x v="0"/>
    <x v="30"/>
    <x v="8"/>
    <x v="0"/>
    <x v="0"/>
    <x v="0"/>
    <x v="5"/>
    <x v="0"/>
    <x v="0"/>
    <x v="0"/>
    <x v="1"/>
    <x v="0"/>
    <x v="0"/>
    <x v="0"/>
    <x v="1"/>
    <x v="0"/>
    <x v="0"/>
    <x v="0"/>
    <x v="1"/>
    <x v="0"/>
    <x v="0"/>
    <x v="0"/>
    <x v="1"/>
    <x v="0"/>
    <x v="0"/>
    <x v="0"/>
    <x v="157"/>
    <x v="0"/>
    <x v="108"/>
  </r>
  <r>
    <x v="181"/>
    <x v="181"/>
    <x v="2"/>
    <x v="27"/>
    <x v="27"/>
    <x v="2"/>
    <x v="3"/>
    <x v="0"/>
    <x v="141"/>
    <x v="151"/>
    <x v="168"/>
    <x v="0"/>
    <x v="0"/>
    <x v="0"/>
    <x v="100"/>
    <x v="2"/>
    <x v="150"/>
    <x v="0"/>
    <x v="99"/>
    <x v="1"/>
    <x v="38"/>
    <x v="0"/>
    <x v="31"/>
    <x v="0"/>
    <x v="0"/>
    <x v="0"/>
    <x v="0"/>
    <x v="15"/>
    <x v="57"/>
    <x v="0"/>
    <x v="44"/>
    <x v="1"/>
    <x v="57"/>
    <x v="0"/>
    <x v="31"/>
    <x v="1"/>
    <x v="46"/>
    <x v="0"/>
    <x v="33"/>
    <x v="3"/>
    <x v="38"/>
    <x v="0"/>
    <x v="31"/>
    <x v="8"/>
    <x v="0"/>
    <x v="0"/>
    <x v="0"/>
    <x v="5"/>
    <x v="0"/>
    <x v="0"/>
    <x v="0"/>
    <x v="1"/>
    <x v="0"/>
    <x v="0"/>
    <x v="0"/>
    <x v="1"/>
    <x v="0"/>
    <x v="0"/>
    <x v="0"/>
    <x v="1"/>
    <x v="0"/>
    <x v="0"/>
    <x v="0"/>
    <x v="1"/>
    <x v="0"/>
    <x v="0"/>
    <x v="0"/>
    <x v="158"/>
    <x v="0"/>
    <x v="109"/>
  </r>
  <r>
    <x v="182"/>
    <x v="182"/>
    <x v="2"/>
    <x v="27"/>
    <x v="27"/>
    <x v="2"/>
    <x v="3"/>
    <x v="0"/>
    <x v="93"/>
    <x v="152"/>
    <x v="169"/>
    <x v="0"/>
    <x v="0"/>
    <x v="0"/>
    <x v="101"/>
    <x v="2"/>
    <x v="151"/>
    <x v="0"/>
    <x v="100"/>
    <x v="1"/>
    <x v="39"/>
    <x v="0"/>
    <x v="32"/>
    <x v="0"/>
    <x v="0"/>
    <x v="0"/>
    <x v="0"/>
    <x v="15"/>
    <x v="58"/>
    <x v="0"/>
    <x v="45"/>
    <x v="1"/>
    <x v="58"/>
    <x v="0"/>
    <x v="32"/>
    <x v="1"/>
    <x v="47"/>
    <x v="0"/>
    <x v="34"/>
    <x v="3"/>
    <x v="39"/>
    <x v="0"/>
    <x v="32"/>
    <x v="8"/>
    <x v="0"/>
    <x v="0"/>
    <x v="0"/>
    <x v="5"/>
    <x v="0"/>
    <x v="0"/>
    <x v="0"/>
    <x v="1"/>
    <x v="0"/>
    <x v="0"/>
    <x v="0"/>
    <x v="1"/>
    <x v="0"/>
    <x v="0"/>
    <x v="0"/>
    <x v="1"/>
    <x v="0"/>
    <x v="0"/>
    <x v="0"/>
    <x v="1"/>
    <x v="0"/>
    <x v="0"/>
    <x v="0"/>
    <x v="159"/>
    <x v="0"/>
    <x v="110"/>
  </r>
  <r>
    <x v="183"/>
    <x v="183"/>
    <x v="2"/>
    <x v="27"/>
    <x v="27"/>
    <x v="2"/>
    <x v="3"/>
    <x v="0"/>
    <x v="142"/>
    <x v="153"/>
    <x v="170"/>
    <x v="0"/>
    <x v="0"/>
    <x v="0"/>
    <x v="102"/>
    <x v="2"/>
    <x v="152"/>
    <x v="0"/>
    <x v="101"/>
    <x v="1"/>
    <x v="40"/>
    <x v="0"/>
    <x v="33"/>
    <x v="0"/>
    <x v="0"/>
    <x v="0"/>
    <x v="0"/>
    <x v="15"/>
    <x v="59"/>
    <x v="0"/>
    <x v="46"/>
    <x v="1"/>
    <x v="59"/>
    <x v="0"/>
    <x v="33"/>
    <x v="1"/>
    <x v="48"/>
    <x v="0"/>
    <x v="35"/>
    <x v="3"/>
    <x v="40"/>
    <x v="0"/>
    <x v="33"/>
    <x v="8"/>
    <x v="0"/>
    <x v="0"/>
    <x v="0"/>
    <x v="5"/>
    <x v="0"/>
    <x v="0"/>
    <x v="0"/>
    <x v="1"/>
    <x v="0"/>
    <x v="0"/>
    <x v="0"/>
    <x v="1"/>
    <x v="0"/>
    <x v="0"/>
    <x v="0"/>
    <x v="1"/>
    <x v="0"/>
    <x v="0"/>
    <x v="0"/>
    <x v="1"/>
    <x v="0"/>
    <x v="0"/>
    <x v="0"/>
    <x v="160"/>
    <x v="0"/>
    <x v="111"/>
  </r>
  <r>
    <x v="184"/>
    <x v="184"/>
    <x v="2"/>
    <x v="27"/>
    <x v="27"/>
    <x v="2"/>
    <x v="3"/>
    <x v="0"/>
    <x v="143"/>
    <x v="154"/>
    <x v="171"/>
    <x v="0"/>
    <x v="0"/>
    <x v="0"/>
    <x v="103"/>
    <x v="2"/>
    <x v="153"/>
    <x v="0"/>
    <x v="102"/>
    <x v="1"/>
    <x v="41"/>
    <x v="0"/>
    <x v="34"/>
    <x v="0"/>
    <x v="0"/>
    <x v="0"/>
    <x v="0"/>
    <x v="15"/>
    <x v="60"/>
    <x v="0"/>
    <x v="47"/>
    <x v="1"/>
    <x v="60"/>
    <x v="0"/>
    <x v="34"/>
    <x v="1"/>
    <x v="49"/>
    <x v="0"/>
    <x v="36"/>
    <x v="3"/>
    <x v="41"/>
    <x v="0"/>
    <x v="34"/>
    <x v="8"/>
    <x v="0"/>
    <x v="0"/>
    <x v="0"/>
    <x v="5"/>
    <x v="0"/>
    <x v="0"/>
    <x v="0"/>
    <x v="1"/>
    <x v="0"/>
    <x v="0"/>
    <x v="0"/>
    <x v="1"/>
    <x v="0"/>
    <x v="0"/>
    <x v="0"/>
    <x v="1"/>
    <x v="0"/>
    <x v="0"/>
    <x v="0"/>
    <x v="1"/>
    <x v="0"/>
    <x v="0"/>
    <x v="0"/>
    <x v="161"/>
    <x v="0"/>
    <x v="112"/>
  </r>
  <r>
    <x v="185"/>
    <x v="185"/>
    <x v="2"/>
    <x v="27"/>
    <x v="27"/>
    <x v="2"/>
    <x v="3"/>
    <x v="0"/>
    <x v="144"/>
    <x v="155"/>
    <x v="172"/>
    <x v="0"/>
    <x v="0"/>
    <x v="0"/>
    <x v="104"/>
    <x v="2"/>
    <x v="154"/>
    <x v="0"/>
    <x v="103"/>
    <x v="1"/>
    <x v="42"/>
    <x v="0"/>
    <x v="35"/>
    <x v="0"/>
    <x v="0"/>
    <x v="0"/>
    <x v="0"/>
    <x v="15"/>
    <x v="61"/>
    <x v="0"/>
    <x v="48"/>
    <x v="1"/>
    <x v="61"/>
    <x v="0"/>
    <x v="35"/>
    <x v="1"/>
    <x v="50"/>
    <x v="0"/>
    <x v="37"/>
    <x v="3"/>
    <x v="42"/>
    <x v="0"/>
    <x v="35"/>
    <x v="8"/>
    <x v="0"/>
    <x v="0"/>
    <x v="0"/>
    <x v="5"/>
    <x v="0"/>
    <x v="0"/>
    <x v="0"/>
    <x v="1"/>
    <x v="0"/>
    <x v="0"/>
    <x v="0"/>
    <x v="1"/>
    <x v="0"/>
    <x v="0"/>
    <x v="0"/>
    <x v="1"/>
    <x v="0"/>
    <x v="0"/>
    <x v="0"/>
    <x v="1"/>
    <x v="0"/>
    <x v="0"/>
    <x v="0"/>
    <x v="162"/>
    <x v="0"/>
    <x v="113"/>
  </r>
  <r>
    <x v="186"/>
    <x v="186"/>
    <x v="2"/>
    <x v="27"/>
    <x v="27"/>
    <x v="2"/>
    <x v="3"/>
    <x v="0"/>
    <x v="145"/>
    <x v="156"/>
    <x v="173"/>
    <x v="0"/>
    <x v="0"/>
    <x v="0"/>
    <x v="105"/>
    <x v="2"/>
    <x v="155"/>
    <x v="0"/>
    <x v="104"/>
    <x v="1"/>
    <x v="43"/>
    <x v="0"/>
    <x v="36"/>
    <x v="0"/>
    <x v="0"/>
    <x v="0"/>
    <x v="0"/>
    <x v="15"/>
    <x v="62"/>
    <x v="0"/>
    <x v="49"/>
    <x v="1"/>
    <x v="62"/>
    <x v="0"/>
    <x v="36"/>
    <x v="1"/>
    <x v="51"/>
    <x v="0"/>
    <x v="38"/>
    <x v="3"/>
    <x v="43"/>
    <x v="0"/>
    <x v="36"/>
    <x v="8"/>
    <x v="0"/>
    <x v="0"/>
    <x v="0"/>
    <x v="5"/>
    <x v="0"/>
    <x v="0"/>
    <x v="0"/>
    <x v="1"/>
    <x v="0"/>
    <x v="0"/>
    <x v="0"/>
    <x v="1"/>
    <x v="0"/>
    <x v="0"/>
    <x v="0"/>
    <x v="1"/>
    <x v="0"/>
    <x v="0"/>
    <x v="0"/>
    <x v="1"/>
    <x v="0"/>
    <x v="0"/>
    <x v="0"/>
    <x v="163"/>
    <x v="0"/>
    <x v="114"/>
  </r>
  <r>
    <x v="187"/>
    <x v="187"/>
    <x v="2"/>
    <x v="27"/>
    <x v="27"/>
    <x v="2"/>
    <x v="3"/>
    <x v="0"/>
    <x v="146"/>
    <x v="157"/>
    <x v="174"/>
    <x v="0"/>
    <x v="0"/>
    <x v="0"/>
    <x v="106"/>
    <x v="2"/>
    <x v="156"/>
    <x v="0"/>
    <x v="105"/>
    <x v="1"/>
    <x v="44"/>
    <x v="0"/>
    <x v="37"/>
    <x v="0"/>
    <x v="0"/>
    <x v="0"/>
    <x v="0"/>
    <x v="15"/>
    <x v="63"/>
    <x v="0"/>
    <x v="50"/>
    <x v="1"/>
    <x v="63"/>
    <x v="0"/>
    <x v="37"/>
    <x v="1"/>
    <x v="52"/>
    <x v="0"/>
    <x v="39"/>
    <x v="3"/>
    <x v="44"/>
    <x v="0"/>
    <x v="37"/>
    <x v="8"/>
    <x v="0"/>
    <x v="0"/>
    <x v="0"/>
    <x v="5"/>
    <x v="0"/>
    <x v="0"/>
    <x v="0"/>
    <x v="1"/>
    <x v="0"/>
    <x v="0"/>
    <x v="0"/>
    <x v="1"/>
    <x v="0"/>
    <x v="0"/>
    <x v="0"/>
    <x v="1"/>
    <x v="0"/>
    <x v="0"/>
    <x v="0"/>
    <x v="1"/>
    <x v="0"/>
    <x v="0"/>
    <x v="0"/>
    <x v="164"/>
    <x v="0"/>
    <x v="115"/>
  </r>
  <r>
    <x v="188"/>
    <x v="188"/>
    <x v="2"/>
    <x v="27"/>
    <x v="27"/>
    <x v="2"/>
    <x v="3"/>
    <x v="0"/>
    <x v="87"/>
    <x v="158"/>
    <x v="175"/>
    <x v="0"/>
    <x v="0"/>
    <x v="0"/>
    <x v="107"/>
    <x v="2"/>
    <x v="157"/>
    <x v="0"/>
    <x v="106"/>
    <x v="1"/>
    <x v="45"/>
    <x v="0"/>
    <x v="38"/>
    <x v="0"/>
    <x v="0"/>
    <x v="0"/>
    <x v="0"/>
    <x v="15"/>
    <x v="64"/>
    <x v="0"/>
    <x v="51"/>
    <x v="1"/>
    <x v="64"/>
    <x v="0"/>
    <x v="38"/>
    <x v="1"/>
    <x v="53"/>
    <x v="0"/>
    <x v="40"/>
    <x v="3"/>
    <x v="45"/>
    <x v="0"/>
    <x v="38"/>
    <x v="8"/>
    <x v="0"/>
    <x v="0"/>
    <x v="0"/>
    <x v="5"/>
    <x v="0"/>
    <x v="0"/>
    <x v="0"/>
    <x v="1"/>
    <x v="0"/>
    <x v="0"/>
    <x v="0"/>
    <x v="1"/>
    <x v="0"/>
    <x v="0"/>
    <x v="0"/>
    <x v="1"/>
    <x v="0"/>
    <x v="0"/>
    <x v="0"/>
    <x v="1"/>
    <x v="0"/>
    <x v="0"/>
    <x v="0"/>
    <x v="165"/>
    <x v="0"/>
    <x v="116"/>
  </r>
  <r>
    <x v="189"/>
    <x v="189"/>
    <x v="2"/>
    <x v="27"/>
    <x v="27"/>
    <x v="2"/>
    <x v="3"/>
    <x v="0"/>
    <x v="147"/>
    <x v="159"/>
    <x v="176"/>
    <x v="0"/>
    <x v="0"/>
    <x v="0"/>
    <x v="101"/>
    <x v="4"/>
    <x v="158"/>
    <x v="0"/>
    <x v="107"/>
    <x v="1"/>
    <x v="46"/>
    <x v="0"/>
    <x v="39"/>
    <x v="0"/>
    <x v="0"/>
    <x v="0"/>
    <x v="0"/>
    <x v="15"/>
    <x v="65"/>
    <x v="0"/>
    <x v="52"/>
    <x v="1"/>
    <x v="65"/>
    <x v="0"/>
    <x v="39"/>
    <x v="1"/>
    <x v="54"/>
    <x v="0"/>
    <x v="41"/>
    <x v="3"/>
    <x v="46"/>
    <x v="0"/>
    <x v="39"/>
    <x v="8"/>
    <x v="0"/>
    <x v="0"/>
    <x v="0"/>
    <x v="5"/>
    <x v="0"/>
    <x v="0"/>
    <x v="0"/>
    <x v="1"/>
    <x v="0"/>
    <x v="0"/>
    <x v="0"/>
    <x v="1"/>
    <x v="0"/>
    <x v="0"/>
    <x v="0"/>
    <x v="1"/>
    <x v="0"/>
    <x v="0"/>
    <x v="0"/>
    <x v="1"/>
    <x v="0"/>
    <x v="0"/>
    <x v="0"/>
    <x v="166"/>
    <x v="0"/>
    <x v="117"/>
  </r>
  <r>
    <x v="190"/>
    <x v="190"/>
    <x v="2"/>
    <x v="28"/>
    <x v="28"/>
    <x v="2"/>
    <x v="3"/>
    <x v="1"/>
    <x v="148"/>
    <x v="160"/>
    <x v="177"/>
    <x v="0"/>
    <x v="0"/>
    <x v="22"/>
    <x v="50"/>
    <x v="8"/>
    <x v="159"/>
    <x v="77"/>
    <x v="108"/>
    <x v="1"/>
    <x v="47"/>
    <x v="12"/>
    <x v="40"/>
    <x v="4"/>
    <x v="24"/>
    <x v="6"/>
    <x v="24"/>
    <x v="16"/>
    <x v="66"/>
    <x v="26"/>
    <x v="53"/>
    <x v="1"/>
    <x v="66"/>
    <x v="31"/>
    <x v="40"/>
    <x v="1"/>
    <x v="55"/>
    <x v="23"/>
    <x v="42"/>
    <x v="3"/>
    <x v="47"/>
    <x v="12"/>
    <x v="40"/>
    <x v="8"/>
    <x v="85"/>
    <x v="63"/>
    <x v="0"/>
    <x v="5"/>
    <x v="94"/>
    <x v="71"/>
    <x v="0"/>
    <x v="1"/>
    <x v="15"/>
    <x v="10"/>
    <x v="0"/>
    <x v="16"/>
    <x v="11"/>
    <x v="6"/>
    <x v="8"/>
    <x v="1"/>
    <x v="0"/>
    <x v="0"/>
    <x v="0"/>
    <x v="1"/>
    <x v="32"/>
    <x v="32"/>
    <x v="0"/>
    <x v="167"/>
    <x v="85"/>
    <x v="118"/>
  </r>
  <r>
    <x v="191"/>
    <x v="191"/>
    <x v="2"/>
    <x v="28"/>
    <x v="28"/>
    <x v="2"/>
    <x v="3"/>
    <x v="2"/>
    <x v="149"/>
    <x v="161"/>
    <x v="178"/>
    <x v="0"/>
    <x v="0"/>
    <x v="0"/>
    <x v="108"/>
    <x v="8"/>
    <x v="160"/>
    <x v="0"/>
    <x v="109"/>
    <x v="1"/>
    <x v="48"/>
    <x v="0"/>
    <x v="41"/>
    <x v="4"/>
    <x v="25"/>
    <x v="0"/>
    <x v="25"/>
    <x v="16"/>
    <x v="67"/>
    <x v="0"/>
    <x v="54"/>
    <x v="1"/>
    <x v="67"/>
    <x v="0"/>
    <x v="41"/>
    <x v="1"/>
    <x v="56"/>
    <x v="0"/>
    <x v="43"/>
    <x v="3"/>
    <x v="48"/>
    <x v="0"/>
    <x v="41"/>
    <x v="8"/>
    <x v="0"/>
    <x v="0"/>
    <x v="0"/>
    <x v="5"/>
    <x v="0"/>
    <x v="0"/>
    <x v="0"/>
    <x v="1"/>
    <x v="0"/>
    <x v="0"/>
    <x v="0"/>
    <x v="16"/>
    <x v="12"/>
    <x v="0"/>
    <x v="9"/>
    <x v="1"/>
    <x v="0"/>
    <x v="0"/>
    <x v="0"/>
    <x v="1"/>
    <x v="0"/>
    <x v="0"/>
    <x v="0"/>
    <x v="168"/>
    <x v="0"/>
    <x v="119"/>
  </r>
  <r>
    <x v="192"/>
    <x v="192"/>
    <x v="2"/>
    <x v="28"/>
    <x v="28"/>
    <x v="2"/>
    <x v="3"/>
    <x v="3"/>
    <x v="150"/>
    <x v="162"/>
    <x v="179"/>
    <x v="0"/>
    <x v="0"/>
    <x v="0"/>
    <x v="108"/>
    <x v="8"/>
    <x v="161"/>
    <x v="0"/>
    <x v="110"/>
    <x v="1"/>
    <x v="49"/>
    <x v="0"/>
    <x v="42"/>
    <x v="4"/>
    <x v="26"/>
    <x v="0"/>
    <x v="26"/>
    <x v="16"/>
    <x v="68"/>
    <x v="0"/>
    <x v="55"/>
    <x v="1"/>
    <x v="68"/>
    <x v="0"/>
    <x v="42"/>
    <x v="1"/>
    <x v="57"/>
    <x v="0"/>
    <x v="44"/>
    <x v="3"/>
    <x v="49"/>
    <x v="0"/>
    <x v="42"/>
    <x v="8"/>
    <x v="0"/>
    <x v="0"/>
    <x v="0"/>
    <x v="5"/>
    <x v="0"/>
    <x v="0"/>
    <x v="0"/>
    <x v="1"/>
    <x v="0"/>
    <x v="0"/>
    <x v="0"/>
    <x v="16"/>
    <x v="13"/>
    <x v="0"/>
    <x v="10"/>
    <x v="1"/>
    <x v="0"/>
    <x v="0"/>
    <x v="0"/>
    <x v="1"/>
    <x v="0"/>
    <x v="0"/>
    <x v="0"/>
    <x v="169"/>
    <x v="0"/>
    <x v="120"/>
  </r>
  <r>
    <x v="193"/>
    <x v="193"/>
    <x v="2"/>
    <x v="28"/>
    <x v="28"/>
    <x v="2"/>
    <x v="3"/>
    <x v="4"/>
    <x v="151"/>
    <x v="163"/>
    <x v="180"/>
    <x v="0"/>
    <x v="0"/>
    <x v="0"/>
    <x v="108"/>
    <x v="8"/>
    <x v="162"/>
    <x v="0"/>
    <x v="111"/>
    <x v="1"/>
    <x v="50"/>
    <x v="0"/>
    <x v="43"/>
    <x v="4"/>
    <x v="27"/>
    <x v="0"/>
    <x v="27"/>
    <x v="16"/>
    <x v="69"/>
    <x v="0"/>
    <x v="56"/>
    <x v="1"/>
    <x v="69"/>
    <x v="0"/>
    <x v="43"/>
    <x v="1"/>
    <x v="58"/>
    <x v="0"/>
    <x v="45"/>
    <x v="3"/>
    <x v="50"/>
    <x v="0"/>
    <x v="43"/>
    <x v="8"/>
    <x v="0"/>
    <x v="0"/>
    <x v="0"/>
    <x v="5"/>
    <x v="0"/>
    <x v="0"/>
    <x v="0"/>
    <x v="1"/>
    <x v="0"/>
    <x v="0"/>
    <x v="0"/>
    <x v="16"/>
    <x v="14"/>
    <x v="0"/>
    <x v="11"/>
    <x v="1"/>
    <x v="0"/>
    <x v="0"/>
    <x v="0"/>
    <x v="1"/>
    <x v="0"/>
    <x v="0"/>
    <x v="0"/>
    <x v="170"/>
    <x v="0"/>
    <x v="121"/>
  </r>
  <r>
    <x v="194"/>
    <x v="194"/>
    <x v="2"/>
    <x v="28"/>
    <x v="28"/>
    <x v="2"/>
    <x v="3"/>
    <x v="10"/>
    <x v="152"/>
    <x v="164"/>
    <x v="181"/>
    <x v="0"/>
    <x v="0"/>
    <x v="0"/>
    <x v="108"/>
    <x v="8"/>
    <x v="163"/>
    <x v="0"/>
    <x v="112"/>
    <x v="1"/>
    <x v="51"/>
    <x v="0"/>
    <x v="44"/>
    <x v="4"/>
    <x v="28"/>
    <x v="0"/>
    <x v="28"/>
    <x v="16"/>
    <x v="70"/>
    <x v="0"/>
    <x v="57"/>
    <x v="1"/>
    <x v="70"/>
    <x v="0"/>
    <x v="44"/>
    <x v="1"/>
    <x v="59"/>
    <x v="0"/>
    <x v="46"/>
    <x v="3"/>
    <x v="51"/>
    <x v="0"/>
    <x v="44"/>
    <x v="8"/>
    <x v="0"/>
    <x v="0"/>
    <x v="0"/>
    <x v="5"/>
    <x v="0"/>
    <x v="0"/>
    <x v="0"/>
    <x v="1"/>
    <x v="0"/>
    <x v="0"/>
    <x v="0"/>
    <x v="16"/>
    <x v="15"/>
    <x v="0"/>
    <x v="12"/>
    <x v="1"/>
    <x v="0"/>
    <x v="0"/>
    <x v="0"/>
    <x v="1"/>
    <x v="0"/>
    <x v="0"/>
    <x v="0"/>
    <x v="171"/>
    <x v="0"/>
    <x v="122"/>
  </r>
  <r>
    <x v="195"/>
    <x v="195"/>
    <x v="2"/>
    <x v="29"/>
    <x v="29"/>
    <x v="2"/>
    <x v="3"/>
    <x v="1"/>
    <x v="153"/>
    <x v="165"/>
    <x v="182"/>
    <x v="0"/>
    <x v="0"/>
    <x v="23"/>
    <x v="109"/>
    <x v="0"/>
    <x v="0"/>
    <x v="0"/>
    <x v="0"/>
    <x v="0"/>
    <x v="0"/>
    <x v="0"/>
    <x v="0"/>
    <x v="0"/>
    <x v="0"/>
    <x v="0"/>
    <x v="0"/>
    <x v="0"/>
    <x v="0"/>
    <x v="0"/>
    <x v="0"/>
    <x v="0"/>
    <x v="0"/>
    <x v="0"/>
    <x v="0"/>
    <x v="0"/>
    <x v="0"/>
    <x v="0"/>
    <x v="0"/>
    <x v="0"/>
    <x v="0"/>
    <x v="0"/>
    <x v="0"/>
    <x v="10"/>
    <x v="0"/>
    <x v="0"/>
    <x v="0"/>
    <x v="14"/>
    <x v="95"/>
    <x v="72"/>
    <x v="0"/>
    <x v="1"/>
    <x v="16"/>
    <x v="11"/>
    <x v="0"/>
    <x v="17"/>
    <x v="16"/>
    <x v="7"/>
    <x v="0"/>
    <x v="1"/>
    <x v="0"/>
    <x v="0"/>
    <x v="0"/>
    <x v="1"/>
    <x v="33"/>
    <x v="33"/>
    <x v="0"/>
    <x v="172"/>
    <x v="86"/>
    <x v="0"/>
  </r>
  <r>
    <x v="196"/>
    <x v="196"/>
    <x v="2"/>
    <x v="30"/>
    <x v="30"/>
    <x v="2"/>
    <x v="3"/>
    <x v="0"/>
    <x v="154"/>
    <x v="166"/>
    <x v="1"/>
    <x v="0"/>
    <x v="0"/>
    <x v="0"/>
    <x v="8"/>
    <x v="19"/>
    <x v="0"/>
    <x v="0"/>
    <x v="0"/>
    <x v="0"/>
    <x v="0"/>
    <x v="0"/>
    <x v="0"/>
    <x v="0"/>
    <x v="0"/>
    <x v="0"/>
    <x v="0"/>
    <x v="0"/>
    <x v="0"/>
    <x v="0"/>
    <x v="0"/>
    <x v="0"/>
    <x v="0"/>
    <x v="0"/>
    <x v="0"/>
    <x v="0"/>
    <x v="0"/>
    <x v="0"/>
    <x v="0"/>
    <x v="0"/>
    <x v="0"/>
    <x v="0"/>
    <x v="0"/>
    <x v="0"/>
    <x v="0"/>
    <x v="0"/>
    <x v="0"/>
    <x v="0"/>
    <x v="0"/>
    <x v="0"/>
    <x v="0"/>
    <x v="1"/>
    <x v="0"/>
    <x v="0"/>
    <x v="0"/>
    <x v="1"/>
    <x v="0"/>
    <x v="0"/>
    <x v="0"/>
    <x v="1"/>
    <x v="0"/>
    <x v="0"/>
    <x v="0"/>
    <x v="1"/>
    <x v="0"/>
    <x v="0"/>
    <x v="0"/>
    <x v="0"/>
    <x v="0"/>
    <x v="0"/>
  </r>
  <r>
    <x v="197"/>
    <x v="197"/>
    <x v="2"/>
    <x v="30"/>
    <x v="30"/>
    <x v="2"/>
    <x v="3"/>
    <x v="0"/>
    <x v="155"/>
    <x v="167"/>
    <x v="183"/>
    <x v="0"/>
    <x v="0"/>
    <x v="0"/>
    <x v="110"/>
    <x v="11"/>
    <x v="164"/>
    <x v="0"/>
    <x v="113"/>
    <x v="0"/>
    <x v="0"/>
    <x v="0"/>
    <x v="0"/>
    <x v="0"/>
    <x v="0"/>
    <x v="0"/>
    <x v="0"/>
    <x v="0"/>
    <x v="0"/>
    <x v="0"/>
    <x v="0"/>
    <x v="0"/>
    <x v="0"/>
    <x v="0"/>
    <x v="0"/>
    <x v="0"/>
    <x v="0"/>
    <x v="0"/>
    <x v="0"/>
    <x v="0"/>
    <x v="0"/>
    <x v="0"/>
    <x v="0"/>
    <x v="0"/>
    <x v="0"/>
    <x v="0"/>
    <x v="0"/>
    <x v="0"/>
    <x v="0"/>
    <x v="0"/>
    <x v="0"/>
    <x v="1"/>
    <x v="0"/>
    <x v="0"/>
    <x v="0"/>
    <x v="1"/>
    <x v="0"/>
    <x v="0"/>
    <x v="0"/>
    <x v="1"/>
    <x v="0"/>
    <x v="0"/>
    <x v="0"/>
    <x v="1"/>
    <x v="34"/>
    <x v="34"/>
    <x v="0"/>
    <x v="173"/>
    <x v="87"/>
    <x v="123"/>
  </r>
  <r>
    <x v="198"/>
    <x v="198"/>
    <x v="2"/>
    <x v="30"/>
    <x v="30"/>
    <x v="2"/>
    <x v="3"/>
    <x v="0"/>
    <x v="114"/>
    <x v="128"/>
    <x v="184"/>
    <x v="0"/>
    <x v="0"/>
    <x v="0"/>
    <x v="20"/>
    <x v="12"/>
    <x v="165"/>
    <x v="0"/>
    <x v="114"/>
    <x v="0"/>
    <x v="0"/>
    <x v="0"/>
    <x v="0"/>
    <x v="0"/>
    <x v="0"/>
    <x v="0"/>
    <x v="0"/>
    <x v="0"/>
    <x v="0"/>
    <x v="0"/>
    <x v="0"/>
    <x v="0"/>
    <x v="0"/>
    <x v="0"/>
    <x v="0"/>
    <x v="0"/>
    <x v="0"/>
    <x v="0"/>
    <x v="0"/>
    <x v="0"/>
    <x v="0"/>
    <x v="0"/>
    <x v="0"/>
    <x v="0"/>
    <x v="0"/>
    <x v="0"/>
    <x v="0"/>
    <x v="0"/>
    <x v="0"/>
    <x v="0"/>
    <x v="0"/>
    <x v="1"/>
    <x v="0"/>
    <x v="0"/>
    <x v="0"/>
    <x v="1"/>
    <x v="0"/>
    <x v="0"/>
    <x v="0"/>
    <x v="1"/>
    <x v="0"/>
    <x v="0"/>
    <x v="0"/>
    <x v="1"/>
    <x v="0"/>
    <x v="0"/>
    <x v="0"/>
    <x v="174"/>
    <x v="0"/>
    <x v="124"/>
  </r>
  <r>
    <x v="199"/>
    <x v="199"/>
    <x v="2"/>
    <x v="30"/>
    <x v="30"/>
    <x v="2"/>
    <x v="3"/>
    <x v="0"/>
    <x v="41"/>
    <x v="168"/>
    <x v="185"/>
    <x v="0"/>
    <x v="0"/>
    <x v="0"/>
    <x v="111"/>
    <x v="34"/>
    <x v="166"/>
    <x v="0"/>
    <x v="115"/>
    <x v="0"/>
    <x v="0"/>
    <x v="0"/>
    <x v="0"/>
    <x v="0"/>
    <x v="0"/>
    <x v="0"/>
    <x v="0"/>
    <x v="0"/>
    <x v="0"/>
    <x v="0"/>
    <x v="0"/>
    <x v="0"/>
    <x v="0"/>
    <x v="0"/>
    <x v="0"/>
    <x v="0"/>
    <x v="0"/>
    <x v="0"/>
    <x v="0"/>
    <x v="0"/>
    <x v="0"/>
    <x v="0"/>
    <x v="0"/>
    <x v="0"/>
    <x v="0"/>
    <x v="0"/>
    <x v="0"/>
    <x v="0"/>
    <x v="0"/>
    <x v="0"/>
    <x v="0"/>
    <x v="1"/>
    <x v="0"/>
    <x v="0"/>
    <x v="0"/>
    <x v="1"/>
    <x v="0"/>
    <x v="0"/>
    <x v="0"/>
    <x v="1"/>
    <x v="0"/>
    <x v="0"/>
    <x v="0"/>
    <x v="1"/>
    <x v="0"/>
    <x v="0"/>
    <x v="0"/>
    <x v="175"/>
    <x v="0"/>
    <x v="125"/>
  </r>
  <r>
    <x v="200"/>
    <x v="200"/>
    <x v="2"/>
    <x v="30"/>
    <x v="30"/>
    <x v="2"/>
    <x v="3"/>
    <x v="0"/>
    <x v="93"/>
    <x v="167"/>
    <x v="186"/>
    <x v="0"/>
    <x v="0"/>
    <x v="0"/>
    <x v="1"/>
    <x v="11"/>
    <x v="167"/>
    <x v="0"/>
    <x v="116"/>
    <x v="0"/>
    <x v="0"/>
    <x v="0"/>
    <x v="0"/>
    <x v="0"/>
    <x v="0"/>
    <x v="0"/>
    <x v="0"/>
    <x v="0"/>
    <x v="0"/>
    <x v="0"/>
    <x v="0"/>
    <x v="0"/>
    <x v="0"/>
    <x v="0"/>
    <x v="0"/>
    <x v="0"/>
    <x v="0"/>
    <x v="0"/>
    <x v="0"/>
    <x v="0"/>
    <x v="0"/>
    <x v="0"/>
    <x v="0"/>
    <x v="0"/>
    <x v="0"/>
    <x v="0"/>
    <x v="0"/>
    <x v="0"/>
    <x v="0"/>
    <x v="0"/>
    <x v="0"/>
    <x v="1"/>
    <x v="0"/>
    <x v="0"/>
    <x v="0"/>
    <x v="1"/>
    <x v="0"/>
    <x v="0"/>
    <x v="0"/>
    <x v="1"/>
    <x v="0"/>
    <x v="0"/>
    <x v="0"/>
    <x v="1"/>
    <x v="0"/>
    <x v="0"/>
    <x v="0"/>
    <x v="176"/>
    <x v="0"/>
    <x v="126"/>
  </r>
  <r>
    <x v="201"/>
    <x v="201"/>
    <x v="2"/>
    <x v="30"/>
    <x v="30"/>
    <x v="2"/>
    <x v="3"/>
    <x v="0"/>
    <x v="156"/>
    <x v="169"/>
    <x v="187"/>
    <x v="0"/>
    <x v="0"/>
    <x v="0"/>
    <x v="2"/>
    <x v="11"/>
    <x v="168"/>
    <x v="0"/>
    <x v="117"/>
    <x v="0"/>
    <x v="0"/>
    <x v="0"/>
    <x v="0"/>
    <x v="0"/>
    <x v="0"/>
    <x v="0"/>
    <x v="0"/>
    <x v="0"/>
    <x v="0"/>
    <x v="0"/>
    <x v="0"/>
    <x v="0"/>
    <x v="0"/>
    <x v="0"/>
    <x v="0"/>
    <x v="0"/>
    <x v="0"/>
    <x v="0"/>
    <x v="0"/>
    <x v="0"/>
    <x v="0"/>
    <x v="0"/>
    <x v="0"/>
    <x v="0"/>
    <x v="0"/>
    <x v="0"/>
    <x v="0"/>
    <x v="0"/>
    <x v="0"/>
    <x v="0"/>
    <x v="0"/>
    <x v="1"/>
    <x v="0"/>
    <x v="0"/>
    <x v="0"/>
    <x v="1"/>
    <x v="0"/>
    <x v="0"/>
    <x v="0"/>
    <x v="1"/>
    <x v="0"/>
    <x v="0"/>
    <x v="0"/>
    <x v="1"/>
    <x v="0"/>
    <x v="0"/>
    <x v="0"/>
    <x v="177"/>
    <x v="0"/>
    <x v="127"/>
  </r>
  <r>
    <x v="202"/>
    <x v="202"/>
    <x v="2"/>
    <x v="30"/>
    <x v="30"/>
    <x v="2"/>
    <x v="3"/>
    <x v="0"/>
    <x v="157"/>
    <x v="170"/>
    <x v="188"/>
    <x v="0"/>
    <x v="0"/>
    <x v="0"/>
    <x v="112"/>
    <x v="11"/>
    <x v="169"/>
    <x v="0"/>
    <x v="118"/>
    <x v="0"/>
    <x v="0"/>
    <x v="0"/>
    <x v="0"/>
    <x v="0"/>
    <x v="0"/>
    <x v="0"/>
    <x v="0"/>
    <x v="0"/>
    <x v="0"/>
    <x v="0"/>
    <x v="0"/>
    <x v="0"/>
    <x v="0"/>
    <x v="0"/>
    <x v="0"/>
    <x v="0"/>
    <x v="0"/>
    <x v="0"/>
    <x v="0"/>
    <x v="0"/>
    <x v="0"/>
    <x v="0"/>
    <x v="0"/>
    <x v="0"/>
    <x v="0"/>
    <x v="0"/>
    <x v="0"/>
    <x v="0"/>
    <x v="0"/>
    <x v="0"/>
    <x v="0"/>
    <x v="1"/>
    <x v="0"/>
    <x v="0"/>
    <x v="0"/>
    <x v="1"/>
    <x v="0"/>
    <x v="0"/>
    <x v="0"/>
    <x v="1"/>
    <x v="0"/>
    <x v="0"/>
    <x v="0"/>
    <x v="1"/>
    <x v="0"/>
    <x v="0"/>
    <x v="0"/>
    <x v="178"/>
    <x v="0"/>
    <x v="128"/>
  </r>
  <r>
    <x v="203"/>
    <x v="203"/>
    <x v="2"/>
    <x v="30"/>
    <x v="30"/>
    <x v="2"/>
    <x v="3"/>
    <x v="0"/>
    <x v="158"/>
    <x v="171"/>
    <x v="189"/>
    <x v="0"/>
    <x v="0"/>
    <x v="0"/>
    <x v="35"/>
    <x v="11"/>
    <x v="170"/>
    <x v="0"/>
    <x v="119"/>
    <x v="0"/>
    <x v="0"/>
    <x v="0"/>
    <x v="0"/>
    <x v="0"/>
    <x v="0"/>
    <x v="0"/>
    <x v="0"/>
    <x v="0"/>
    <x v="0"/>
    <x v="0"/>
    <x v="0"/>
    <x v="0"/>
    <x v="0"/>
    <x v="0"/>
    <x v="0"/>
    <x v="0"/>
    <x v="0"/>
    <x v="0"/>
    <x v="0"/>
    <x v="0"/>
    <x v="0"/>
    <x v="0"/>
    <x v="0"/>
    <x v="0"/>
    <x v="0"/>
    <x v="0"/>
    <x v="0"/>
    <x v="0"/>
    <x v="0"/>
    <x v="0"/>
    <x v="0"/>
    <x v="1"/>
    <x v="0"/>
    <x v="0"/>
    <x v="0"/>
    <x v="1"/>
    <x v="0"/>
    <x v="0"/>
    <x v="0"/>
    <x v="1"/>
    <x v="0"/>
    <x v="0"/>
    <x v="0"/>
    <x v="1"/>
    <x v="0"/>
    <x v="0"/>
    <x v="0"/>
    <x v="179"/>
    <x v="0"/>
    <x v="129"/>
  </r>
  <r>
    <x v="204"/>
    <x v="204"/>
    <x v="2"/>
    <x v="30"/>
    <x v="30"/>
    <x v="2"/>
    <x v="3"/>
    <x v="0"/>
    <x v="159"/>
    <x v="172"/>
    <x v="190"/>
    <x v="0"/>
    <x v="0"/>
    <x v="0"/>
    <x v="29"/>
    <x v="20"/>
    <x v="171"/>
    <x v="0"/>
    <x v="120"/>
    <x v="0"/>
    <x v="0"/>
    <x v="0"/>
    <x v="0"/>
    <x v="0"/>
    <x v="0"/>
    <x v="0"/>
    <x v="0"/>
    <x v="0"/>
    <x v="0"/>
    <x v="0"/>
    <x v="0"/>
    <x v="0"/>
    <x v="0"/>
    <x v="0"/>
    <x v="0"/>
    <x v="0"/>
    <x v="0"/>
    <x v="0"/>
    <x v="0"/>
    <x v="0"/>
    <x v="0"/>
    <x v="0"/>
    <x v="0"/>
    <x v="0"/>
    <x v="0"/>
    <x v="0"/>
    <x v="0"/>
    <x v="0"/>
    <x v="0"/>
    <x v="0"/>
    <x v="0"/>
    <x v="1"/>
    <x v="0"/>
    <x v="0"/>
    <x v="0"/>
    <x v="1"/>
    <x v="0"/>
    <x v="0"/>
    <x v="0"/>
    <x v="1"/>
    <x v="0"/>
    <x v="0"/>
    <x v="0"/>
    <x v="1"/>
    <x v="0"/>
    <x v="0"/>
    <x v="0"/>
    <x v="180"/>
    <x v="0"/>
    <x v="130"/>
  </r>
  <r>
    <x v="205"/>
    <x v="205"/>
    <x v="2"/>
    <x v="30"/>
    <x v="30"/>
    <x v="2"/>
    <x v="3"/>
    <x v="0"/>
    <x v="160"/>
    <x v="173"/>
    <x v="191"/>
    <x v="0"/>
    <x v="0"/>
    <x v="0"/>
    <x v="110"/>
    <x v="19"/>
    <x v="172"/>
    <x v="0"/>
    <x v="121"/>
    <x v="0"/>
    <x v="0"/>
    <x v="0"/>
    <x v="0"/>
    <x v="0"/>
    <x v="0"/>
    <x v="0"/>
    <x v="0"/>
    <x v="0"/>
    <x v="0"/>
    <x v="0"/>
    <x v="0"/>
    <x v="0"/>
    <x v="0"/>
    <x v="0"/>
    <x v="0"/>
    <x v="0"/>
    <x v="0"/>
    <x v="0"/>
    <x v="0"/>
    <x v="0"/>
    <x v="0"/>
    <x v="0"/>
    <x v="0"/>
    <x v="0"/>
    <x v="0"/>
    <x v="0"/>
    <x v="0"/>
    <x v="0"/>
    <x v="0"/>
    <x v="0"/>
    <x v="0"/>
    <x v="1"/>
    <x v="0"/>
    <x v="0"/>
    <x v="0"/>
    <x v="1"/>
    <x v="0"/>
    <x v="0"/>
    <x v="0"/>
    <x v="1"/>
    <x v="0"/>
    <x v="0"/>
    <x v="0"/>
    <x v="1"/>
    <x v="0"/>
    <x v="0"/>
    <x v="0"/>
    <x v="181"/>
    <x v="0"/>
    <x v="131"/>
  </r>
  <r>
    <x v="206"/>
    <x v="206"/>
    <x v="2"/>
    <x v="30"/>
    <x v="30"/>
    <x v="2"/>
    <x v="3"/>
    <x v="0"/>
    <x v="161"/>
    <x v="174"/>
    <x v="192"/>
    <x v="0"/>
    <x v="0"/>
    <x v="0"/>
    <x v="66"/>
    <x v="35"/>
    <x v="173"/>
    <x v="0"/>
    <x v="122"/>
    <x v="0"/>
    <x v="0"/>
    <x v="0"/>
    <x v="0"/>
    <x v="0"/>
    <x v="0"/>
    <x v="0"/>
    <x v="0"/>
    <x v="0"/>
    <x v="0"/>
    <x v="0"/>
    <x v="0"/>
    <x v="0"/>
    <x v="0"/>
    <x v="0"/>
    <x v="0"/>
    <x v="0"/>
    <x v="0"/>
    <x v="0"/>
    <x v="0"/>
    <x v="0"/>
    <x v="0"/>
    <x v="0"/>
    <x v="0"/>
    <x v="0"/>
    <x v="0"/>
    <x v="0"/>
    <x v="0"/>
    <x v="0"/>
    <x v="0"/>
    <x v="0"/>
    <x v="0"/>
    <x v="1"/>
    <x v="0"/>
    <x v="0"/>
    <x v="0"/>
    <x v="1"/>
    <x v="0"/>
    <x v="0"/>
    <x v="0"/>
    <x v="1"/>
    <x v="0"/>
    <x v="0"/>
    <x v="0"/>
    <x v="1"/>
    <x v="0"/>
    <x v="0"/>
    <x v="0"/>
    <x v="182"/>
    <x v="0"/>
    <x v="132"/>
  </r>
  <r>
    <x v="207"/>
    <x v="207"/>
    <x v="2"/>
    <x v="30"/>
    <x v="30"/>
    <x v="2"/>
    <x v="3"/>
    <x v="0"/>
    <x v="162"/>
    <x v="175"/>
    <x v="193"/>
    <x v="0"/>
    <x v="0"/>
    <x v="0"/>
    <x v="22"/>
    <x v="11"/>
    <x v="174"/>
    <x v="0"/>
    <x v="123"/>
    <x v="0"/>
    <x v="0"/>
    <x v="0"/>
    <x v="0"/>
    <x v="0"/>
    <x v="0"/>
    <x v="0"/>
    <x v="0"/>
    <x v="0"/>
    <x v="0"/>
    <x v="0"/>
    <x v="0"/>
    <x v="0"/>
    <x v="0"/>
    <x v="0"/>
    <x v="0"/>
    <x v="0"/>
    <x v="0"/>
    <x v="0"/>
    <x v="0"/>
    <x v="0"/>
    <x v="0"/>
    <x v="0"/>
    <x v="0"/>
    <x v="0"/>
    <x v="0"/>
    <x v="0"/>
    <x v="0"/>
    <x v="0"/>
    <x v="0"/>
    <x v="0"/>
    <x v="0"/>
    <x v="1"/>
    <x v="0"/>
    <x v="0"/>
    <x v="0"/>
    <x v="1"/>
    <x v="0"/>
    <x v="0"/>
    <x v="0"/>
    <x v="1"/>
    <x v="0"/>
    <x v="0"/>
    <x v="0"/>
    <x v="1"/>
    <x v="0"/>
    <x v="0"/>
    <x v="0"/>
    <x v="183"/>
    <x v="0"/>
    <x v="133"/>
  </r>
  <r>
    <x v="208"/>
    <x v="208"/>
    <x v="2"/>
    <x v="30"/>
    <x v="30"/>
    <x v="2"/>
    <x v="3"/>
    <x v="0"/>
    <x v="88"/>
    <x v="176"/>
    <x v="194"/>
    <x v="0"/>
    <x v="0"/>
    <x v="0"/>
    <x v="110"/>
    <x v="11"/>
    <x v="175"/>
    <x v="0"/>
    <x v="124"/>
    <x v="0"/>
    <x v="0"/>
    <x v="0"/>
    <x v="0"/>
    <x v="0"/>
    <x v="0"/>
    <x v="0"/>
    <x v="0"/>
    <x v="0"/>
    <x v="0"/>
    <x v="0"/>
    <x v="0"/>
    <x v="0"/>
    <x v="0"/>
    <x v="0"/>
    <x v="0"/>
    <x v="0"/>
    <x v="0"/>
    <x v="0"/>
    <x v="0"/>
    <x v="0"/>
    <x v="0"/>
    <x v="0"/>
    <x v="0"/>
    <x v="0"/>
    <x v="0"/>
    <x v="0"/>
    <x v="0"/>
    <x v="0"/>
    <x v="0"/>
    <x v="0"/>
    <x v="0"/>
    <x v="1"/>
    <x v="0"/>
    <x v="0"/>
    <x v="0"/>
    <x v="1"/>
    <x v="0"/>
    <x v="0"/>
    <x v="0"/>
    <x v="1"/>
    <x v="0"/>
    <x v="0"/>
    <x v="0"/>
    <x v="1"/>
    <x v="0"/>
    <x v="0"/>
    <x v="0"/>
    <x v="184"/>
    <x v="0"/>
    <x v="134"/>
  </r>
  <r>
    <x v="209"/>
    <x v="209"/>
    <x v="2"/>
    <x v="30"/>
    <x v="30"/>
    <x v="2"/>
    <x v="3"/>
    <x v="0"/>
    <x v="163"/>
    <x v="177"/>
    <x v="195"/>
    <x v="0"/>
    <x v="0"/>
    <x v="0"/>
    <x v="27"/>
    <x v="36"/>
    <x v="176"/>
    <x v="0"/>
    <x v="125"/>
    <x v="0"/>
    <x v="0"/>
    <x v="0"/>
    <x v="0"/>
    <x v="0"/>
    <x v="0"/>
    <x v="0"/>
    <x v="0"/>
    <x v="0"/>
    <x v="0"/>
    <x v="0"/>
    <x v="0"/>
    <x v="0"/>
    <x v="0"/>
    <x v="0"/>
    <x v="0"/>
    <x v="0"/>
    <x v="0"/>
    <x v="0"/>
    <x v="0"/>
    <x v="0"/>
    <x v="0"/>
    <x v="0"/>
    <x v="0"/>
    <x v="0"/>
    <x v="0"/>
    <x v="0"/>
    <x v="0"/>
    <x v="5"/>
    <x v="96"/>
    <x v="73"/>
    <x v="0"/>
    <x v="1"/>
    <x v="0"/>
    <x v="0"/>
    <x v="0"/>
    <x v="1"/>
    <x v="0"/>
    <x v="0"/>
    <x v="0"/>
    <x v="1"/>
    <x v="0"/>
    <x v="0"/>
    <x v="0"/>
    <x v="1"/>
    <x v="0"/>
    <x v="0"/>
    <x v="0"/>
    <x v="185"/>
    <x v="88"/>
    <x v="135"/>
  </r>
  <r>
    <x v="210"/>
    <x v="210"/>
    <x v="2"/>
    <x v="30"/>
    <x v="30"/>
    <x v="2"/>
    <x v="3"/>
    <x v="0"/>
    <x v="164"/>
    <x v="178"/>
    <x v="196"/>
    <x v="0"/>
    <x v="0"/>
    <x v="0"/>
    <x v="113"/>
    <x v="37"/>
    <x v="177"/>
    <x v="78"/>
    <x v="126"/>
    <x v="0"/>
    <x v="0"/>
    <x v="0"/>
    <x v="0"/>
    <x v="0"/>
    <x v="0"/>
    <x v="0"/>
    <x v="0"/>
    <x v="0"/>
    <x v="0"/>
    <x v="0"/>
    <x v="0"/>
    <x v="0"/>
    <x v="0"/>
    <x v="0"/>
    <x v="0"/>
    <x v="0"/>
    <x v="0"/>
    <x v="0"/>
    <x v="0"/>
    <x v="0"/>
    <x v="0"/>
    <x v="0"/>
    <x v="0"/>
    <x v="0"/>
    <x v="0"/>
    <x v="0"/>
    <x v="0"/>
    <x v="5"/>
    <x v="97"/>
    <x v="74"/>
    <x v="0"/>
    <x v="1"/>
    <x v="0"/>
    <x v="0"/>
    <x v="0"/>
    <x v="1"/>
    <x v="0"/>
    <x v="0"/>
    <x v="0"/>
    <x v="1"/>
    <x v="0"/>
    <x v="0"/>
    <x v="0"/>
    <x v="1"/>
    <x v="0"/>
    <x v="0"/>
    <x v="0"/>
    <x v="186"/>
    <x v="89"/>
    <x v="136"/>
  </r>
  <r>
    <x v="211"/>
    <x v="211"/>
    <x v="2"/>
    <x v="31"/>
    <x v="31"/>
    <x v="2"/>
    <x v="3"/>
    <x v="0"/>
    <x v="165"/>
    <x v="179"/>
    <x v="197"/>
    <x v="0"/>
    <x v="0"/>
    <x v="0"/>
    <x v="114"/>
    <x v="38"/>
    <x v="178"/>
    <x v="79"/>
    <x v="127"/>
    <x v="0"/>
    <x v="0"/>
    <x v="0"/>
    <x v="0"/>
    <x v="0"/>
    <x v="0"/>
    <x v="0"/>
    <x v="0"/>
    <x v="0"/>
    <x v="0"/>
    <x v="0"/>
    <x v="0"/>
    <x v="0"/>
    <x v="0"/>
    <x v="0"/>
    <x v="0"/>
    <x v="0"/>
    <x v="0"/>
    <x v="0"/>
    <x v="0"/>
    <x v="0"/>
    <x v="0"/>
    <x v="0"/>
    <x v="0"/>
    <x v="0"/>
    <x v="0"/>
    <x v="0"/>
    <x v="0"/>
    <x v="0"/>
    <x v="0"/>
    <x v="0"/>
    <x v="0"/>
    <x v="1"/>
    <x v="0"/>
    <x v="0"/>
    <x v="0"/>
    <x v="18"/>
    <x v="17"/>
    <x v="0"/>
    <x v="13"/>
    <x v="1"/>
    <x v="0"/>
    <x v="0"/>
    <x v="0"/>
    <x v="1"/>
    <x v="35"/>
    <x v="35"/>
    <x v="0"/>
    <x v="187"/>
    <x v="90"/>
    <x v="137"/>
  </r>
  <r>
    <x v="212"/>
    <x v="212"/>
    <x v="2"/>
    <x v="31"/>
    <x v="31"/>
    <x v="2"/>
    <x v="3"/>
    <x v="0"/>
    <x v="166"/>
    <x v="180"/>
    <x v="198"/>
    <x v="0"/>
    <x v="0"/>
    <x v="0"/>
    <x v="115"/>
    <x v="38"/>
    <x v="179"/>
    <x v="0"/>
    <x v="128"/>
    <x v="0"/>
    <x v="0"/>
    <x v="0"/>
    <x v="0"/>
    <x v="0"/>
    <x v="0"/>
    <x v="0"/>
    <x v="0"/>
    <x v="0"/>
    <x v="0"/>
    <x v="0"/>
    <x v="0"/>
    <x v="0"/>
    <x v="0"/>
    <x v="0"/>
    <x v="0"/>
    <x v="0"/>
    <x v="0"/>
    <x v="0"/>
    <x v="0"/>
    <x v="0"/>
    <x v="0"/>
    <x v="0"/>
    <x v="0"/>
    <x v="0"/>
    <x v="0"/>
    <x v="0"/>
    <x v="0"/>
    <x v="0"/>
    <x v="0"/>
    <x v="0"/>
    <x v="0"/>
    <x v="1"/>
    <x v="0"/>
    <x v="0"/>
    <x v="0"/>
    <x v="18"/>
    <x v="17"/>
    <x v="0"/>
    <x v="13"/>
    <x v="1"/>
    <x v="0"/>
    <x v="0"/>
    <x v="0"/>
    <x v="1"/>
    <x v="0"/>
    <x v="0"/>
    <x v="0"/>
    <x v="188"/>
    <x v="0"/>
    <x v="138"/>
  </r>
  <r>
    <x v="213"/>
    <x v="213"/>
    <x v="2"/>
    <x v="31"/>
    <x v="31"/>
    <x v="2"/>
    <x v="3"/>
    <x v="0"/>
    <x v="167"/>
    <x v="181"/>
    <x v="199"/>
    <x v="0"/>
    <x v="0"/>
    <x v="0"/>
    <x v="116"/>
    <x v="0"/>
    <x v="0"/>
    <x v="0"/>
    <x v="0"/>
    <x v="0"/>
    <x v="0"/>
    <x v="0"/>
    <x v="0"/>
    <x v="0"/>
    <x v="0"/>
    <x v="0"/>
    <x v="0"/>
    <x v="0"/>
    <x v="0"/>
    <x v="0"/>
    <x v="0"/>
    <x v="0"/>
    <x v="0"/>
    <x v="0"/>
    <x v="0"/>
    <x v="0"/>
    <x v="0"/>
    <x v="0"/>
    <x v="0"/>
    <x v="0"/>
    <x v="0"/>
    <x v="0"/>
    <x v="0"/>
    <x v="0"/>
    <x v="0"/>
    <x v="0"/>
    <x v="0"/>
    <x v="0"/>
    <x v="0"/>
    <x v="0"/>
    <x v="0"/>
    <x v="1"/>
    <x v="0"/>
    <x v="0"/>
    <x v="0"/>
    <x v="18"/>
    <x v="17"/>
    <x v="0"/>
    <x v="13"/>
    <x v="3"/>
    <x v="2"/>
    <x v="2"/>
    <x v="0"/>
    <x v="1"/>
    <x v="0"/>
    <x v="0"/>
    <x v="0"/>
    <x v="189"/>
    <x v="91"/>
    <x v="139"/>
  </r>
  <r>
    <x v="214"/>
    <x v="214"/>
    <x v="2"/>
    <x v="31"/>
    <x v="31"/>
    <x v="2"/>
    <x v="3"/>
    <x v="0"/>
    <x v="168"/>
    <x v="182"/>
    <x v="200"/>
    <x v="0"/>
    <x v="0"/>
    <x v="0"/>
    <x v="40"/>
    <x v="38"/>
    <x v="180"/>
    <x v="0"/>
    <x v="129"/>
    <x v="0"/>
    <x v="0"/>
    <x v="0"/>
    <x v="0"/>
    <x v="0"/>
    <x v="0"/>
    <x v="0"/>
    <x v="0"/>
    <x v="0"/>
    <x v="0"/>
    <x v="0"/>
    <x v="0"/>
    <x v="0"/>
    <x v="0"/>
    <x v="0"/>
    <x v="0"/>
    <x v="0"/>
    <x v="0"/>
    <x v="0"/>
    <x v="0"/>
    <x v="0"/>
    <x v="0"/>
    <x v="0"/>
    <x v="0"/>
    <x v="0"/>
    <x v="0"/>
    <x v="0"/>
    <x v="0"/>
    <x v="0"/>
    <x v="0"/>
    <x v="0"/>
    <x v="0"/>
    <x v="1"/>
    <x v="0"/>
    <x v="0"/>
    <x v="0"/>
    <x v="18"/>
    <x v="17"/>
    <x v="0"/>
    <x v="13"/>
    <x v="1"/>
    <x v="0"/>
    <x v="0"/>
    <x v="0"/>
    <x v="1"/>
    <x v="0"/>
    <x v="0"/>
    <x v="0"/>
    <x v="190"/>
    <x v="0"/>
    <x v="140"/>
  </r>
  <r>
    <x v="215"/>
    <x v="215"/>
    <x v="2"/>
    <x v="31"/>
    <x v="31"/>
    <x v="2"/>
    <x v="3"/>
    <x v="0"/>
    <x v="41"/>
    <x v="183"/>
    <x v="201"/>
    <x v="0"/>
    <x v="0"/>
    <x v="0"/>
    <x v="117"/>
    <x v="20"/>
    <x v="181"/>
    <x v="0"/>
    <x v="130"/>
    <x v="0"/>
    <x v="0"/>
    <x v="0"/>
    <x v="0"/>
    <x v="0"/>
    <x v="0"/>
    <x v="0"/>
    <x v="0"/>
    <x v="0"/>
    <x v="0"/>
    <x v="0"/>
    <x v="0"/>
    <x v="0"/>
    <x v="0"/>
    <x v="0"/>
    <x v="0"/>
    <x v="0"/>
    <x v="0"/>
    <x v="0"/>
    <x v="0"/>
    <x v="0"/>
    <x v="0"/>
    <x v="0"/>
    <x v="0"/>
    <x v="0"/>
    <x v="0"/>
    <x v="0"/>
    <x v="0"/>
    <x v="0"/>
    <x v="0"/>
    <x v="0"/>
    <x v="0"/>
    <x v="1"/>
    <x v="0"/>
    <x v="0"/>
    <x v="0"/>
    <x v="18"/>
    <x v="17"/>
    <x v="0"/>
    <x v="13"/>
    <x v="1"/>
    <x v="0"/>
    <x v="0"/>
    <x v="0"/>
    <x v="1"/>
    <x v="0"/>
    <x v="0"/>
    <x v="0"/>
    <x v="191"/>
    <x v="0"/>
    <x v="141"/>
  </r>
  <r>
    <x v="216"/>
    <x v="216"/>
    <x v="2"/>
    <x v="31"/>
    <x v="31"/>
    <x v="2"/>
    <x v="3"/>
    <x v="0"/>
    <x v="114"/>
    <x v="184"/>
    <x v="202"/>
    <x v="0"/>
    <x v="0"/>
    <x v="0"/>
    <x v="118"/>
    <x v="11"/>
    <x v="182"/>
    <x v="0"/>
    <x v="131"/>
    <x v="0"/>
    <x v="0"/>
    <x v="0"/>
    <x v="0"/>
    <x v="0"/>
    <x v="0"/>
    <x v="0"/>
    <x v="0"/>
    <x v="0"/>
    <x v="0"/>
    <x v="0"/>
    <x v="0"/>
    <x v="0"/>
    <x v="0"/>
    <x v="0"/>
    <x v="0"/>
    <x v="0"/>
    <x v="0"/>
    <x v="0"/>
    <x v="0"/>
    <x v="0"/>
    <x v="0"/>
    <x v="0"/>
    <x v="0"/>
    <x v="0"/>
    <x v="0"/>
    <x v="0"/>
    <x v="0"/>
    <x v="0"/>
    <x v="0"/>
    <x v="0"/>
    <x v="0"/>
    <x v="1"/>
    <x v="0"/>
    <x v="0"/>
    <x v="0"/>
    <x v="18"/>
    <x v="17"/>
    <x v="0"/>
    <x v="13"/>
    <x v="1"/>
    <x v="0"/>
    <x v="0"/>
    <x v="0"/>
    <x v="1"/>
    <x v="0"/>
    <x v="0"/>
    <x v="0"/>
    <x v="192"/>
    <x v="0"/>
    <x v="142"/>
  </r>
  <r>
    <x v="217"/>
    <x v="217"/>
    <x v="2"/>
    <x v="31"/>
    <x v="31"/>
    <x v="2"/>
    <x v="3"/>
    <x v="0"/>
    <x v="169"/>
    <x v="185"/>
    <x v="203"/>
    <x v="0"/>
    <x v="0"/>
    <x v="0"/>
    <x v="119"/>
    <x v="38"/>
    <x v="183"/>
    <x v="0"/>
    <x v="132"/>
    <x v="0"/>
    <x v="0"/>
    <x v="0"/>
    <x v="0"/>
    <x v="0"/>
    <x v="0"/>
    <x v="0"/>
    <x v="0"/>
    <x v="0"/>
    <x v="0"/>
    <x v="0"/>
    <x v="0"/>
    <x v="0"/>
    <x v="0"/>
    <x v="0"/>
    <x v="0"/>
    <x v="0"/>
    <x v="0"/>
    <x v="0"/>
    <x v="0"/>
    <x v="0"/>
    <x v="0"/>
    <x v="0"/>
    <x v="0"/>
    <x v="0"/>
    <x v="0"/>
    <x v="0"/>
    <x v="0"/>
    <x v="0"/>
    <x v="0"/>
    <x v="0"/>
    <x v="0"/>
    <x v="1"/>
    <x v="0"/>
    <x v="0"/>
    <x v="0"/>
    <x v="18"/>
    <x v="17"/>
    <x v="0"/>
    <x v="13"/>
    <x v="1"/>
    <x v="0"/>
    <x v="0"/>
    <x v="0"/>
    <x v="1"/>
    <x v="0"/>
    <x v="0"/>
    <x v="0"/>
    <x v="193"/>
    <x v="0"/>
    <x v="143"/>
  </r>
  <r>
    <x v="218"/>
    <x v="218"/>
    <x v="2"/>
    <x v="31"/>
    <x v="31"/>
    <x v="2"/>
    <x v="3"/>
    <x v="0"/>
    <x v="129"/>
    <x v="186"/>
    <x v="204"/>
    <x v="0"/>
    <x v="0"/>
    <x v="24"/>
    <x v="120"/>
    <x v="38"/>
    <x v="184"/>
    <x v="0"/>
    <x v="133"/>
    <x v="0"/>
    <x v="0"/>
    <x v="0"/>
    <x v="0"/>
    <x v="0"/>
    <x v="0"/>
    <x v="0"/>
    <x v="0"/>
    <x v="0"/>
    <x v="0"/>
    <x v="0"/>
    <x v="0"/>
    <x v="0"/>
    <x v="0"/>
    <x v="0"/>
    <x v="0"/>
    <x v="0"/>
    <x v="0"/>
    <x v="0"/>
    <x v="0"/>
    <x v="0"/>
    <x v="0"/>
    <x v="0"/>
    <x v="0"/>
    <x v="0"/>
    <x v="0"/>
    <x v="0"/>
    <x v="0"/>
    <x v="0"/>
    <x v="0"/>
    <x v="0"/>
    <x v="0"/>
    <x v="1"/>
    <x v="17"/>
    <x v="12"/>
    <x v="0"/>
    <x v="18"/>
    <x v="17"/>
    <x v="8"/>
    <x v="14"/>
    <x v="1"/>
    <x v="0"/>
    <x v="0"/>
    <x v="0"/>
    <x v="1"/>
    <x v="0"/>
    <x v="0"/>
    <x v="0"/>
    <x v="194"/>
    <x v="92"/>
    <x v="144"/>
  </r>
  <r>
    <x v="219"/>
    <x v="219"/>
    <x v="2"/>
    <x v="31"/>
    <x v="31"/>
    <x v="2"/>
    <x v="3"/>
    <x v="0"/>
    <x v="7"/>
    <x v="187"/>
    <x v="205"/>
    <x v="0"/>
    <x v="0"/>
    <x v="0"/>
    <x v="121"/>
    <x v="38"/>
    <x v="185"/>
    <x v="0"/>
    <x v="134"/>
    <x v="0"/>
    <x v="0"/>
    <x v="0"/>
    <x v="0"/>
    <x v="0"/>
    <x v="0"/>
    <x v="0"/>
    <x v="0"/>
    <x v="0"/>
    <x v="0"/>
    <x v="0"/>
    <x v="0"/>
    <x v="0"/>
    <x v="0"/>
    <x v="0"/>
    <x v="0"/>
    <x v="0"/>
    <x v="0"/>
    <x v="0"/>
    <x v="0"/>
    <x v="0"/>
    <x v="0"/>
    <x v="0"/>
    <x v="0"/>
    <x v="0"/>
    <x v="0"/>
    <x v="0"/>
    <x v="0"/>
    <x v="0"/>
    <x v="0"/>
    <x v="0"/>
    <x v="0"/>
    <x v="1"/>
    <x v="0"/>
    <x v="0"/>
    <x v="0"/>
    <x v="18"/>
    <x v="17"/>
    <x v="0"/>
    <x v="13"/>
    <x v="1"/>
    <x v="0"/>
    <x v="0"/>
    <x v="0"/>
    <x v="1"/>
    <x v="0"/>
    <x v="0"/>
    <x v="0"/>
    <x v="195"/>
    <x v="0"/>
    <x v="145"/>
  </r>
  <r>
    <x v="220"/>
    <x v="220"/>
    <x v="2"/>
    <x v="31"/>
    <x v="31"/>
    <x v="2"/>
    <x v="3"/>
    <x v="0"/>
    <x v="170"/>
    <x v="188"/>
    <x v="206"/>
    <x v="0"/>
    <x v="0"/>
    <x v="0"/>
    <x v="122"/>
    <x v="38"/>
    <x v="186"/>
    <x v="0"/>
    <x v="135"/>
    <x v="0"/>
    <x v="0"/>
    <x v="0"/>
    <x v="0"/>
    <x v="0"/>
    <x v="0"/>
    <x v="0"/>
    <x v="0"/>
    <x v="0"/>
    <x v="0"/>
    <x v="0"/>
    <x v="0"/>
    <x v="0"/>
    <x v="0"/>
    <x v="0"/>
    <x v="0"/>
    <x v="0"/>
    <x v="0"/>
    <x v="0"/>
    <x v="0"/>
    <x v="0"/>
    <x v="0"/>
    <x v="0"/>
    <x v="0"/>
    <x v="0"/>
    <x v="0"/>
    <x v="0"/>
    <x v="0"/>
    <x v="0"/>
    <x v="0"/>
    <x v="0"/>
    <x v="0"/>
    <x v="1"/>
    <x v="0"/>
    <x v="0"/>
    <x v="0"/>
    <x v="18"/>
    <x v="17"/>
    <x v="0"/>
    <x v="13"/>
    <x v="1"/>
    <x v="0"/>
    <x v="0"/>
    <x v="0"/>
    <x v="1"/>
    <x v="0"/>
    <x v="0"/>
    <x v="0"/>
    <x v="196"/>
    <x v="0"/>
    <x v="146"/>
  </r>
  <r>
    <x v="221"/>
    <x v="221"/>
    <x v="2"/>
    <x v="31"/>
    <x v="31"/>
    <x v="2"/>
    <x v="3"/>
    <x v="0"/>
    <x v="171"/>
    <x v="176"/>
    <x v="207"/>
    <x v="0"/>
    <x v="0"/>
    <x v="0"/>
    <x v="123"/>
    <x v="38"/>
    <x v="187"/>
    <x v="0"/>
    <x v="136"/>
    <x v="0"/>
    <x v="0"/>
    <x v="0"/>
    <x v="0"/>
    <x v="0"/>
    <x v="0"/>
    <x v="0"/>
    <x v="0"/>
    <x v="0"/>
    <x v="0"/>
    <x v="0"/>
    <x v="0"/>
    <x v="0"/>
    <x v="0"/>
    <x v="0"/>
    <x v="0"/>
    <x v="0"/>
    <x v="0"/>
    <x v="0"/>
    <x v="0"/>
    <x v="0"/>
    <x v="0"/>
    <x v="0"/>
    <x v="0"/>
    <x v="0"/>
    <x v="0"/>
    <x v="0"/>
    <x v="0"/>
    <x v="0"/>
    <x v="0"/>
    <x v="0"/>
    <x v="0"/>
    <x v="1"/>
    <x v="0"/>
    <x v="0"/>
    <x v="0"/>
    <x v="18"/>
    <x v="17"/>
    <x v="0"/>
    <x v="13"/>
    <x v="1"/>
    <x v="0"/>
    <x v="0"/>
    <x v="0"/>
    <x v="1"/>
    <x v="0"/>
    <x v="0"/>
    <x v="0"/>
    <x v="197"/>
    <x v="0"/>
    <x v="147"/>
  </r>
  <r>
    <x v="222"/>
    <x v="222"/>
    <x v="2"/>
    <x v="31"/>
    <x v="31"/>
    <x v="2"/>
    <x v="3"/>
    <x v="0"/>
    <x v="172"/>
    <x v="189"/>
    <x v="208"/>
    <x v="0"/>
    <x v="0"/>
    <x v="0"/>
    <x v="22"/>
    <x v="38"/>
    <x v="188"/>
    <x v="0"/>
    <x v="137"/>
    <x v="0"/>
    <x v="0"/>
    <x v="0"/>
    <x v="0"/>
    <x v="0"/>
    <x v="0"/>
    <x v="0"/>
    <x v="0"/>
    <x v="0"/>
    <x v="0"/>
    <x v="0"/>
    <x v="0"/>
    <x v="0"/>
    <x v="0"/>
    <x v="0"/>
    <x v="0"/>
    <x v="0"/>
    <x v="0"/>
    <x v="0"/>
    <x v="0"/>
    <x v="0"/>
    <x v="0"/>
    <x v="0"/>
    <x v="0"/>
    <x v="0"/>
    <x v="0"/>
    <x v="0"/>
    <x v="0"/>
    <x v="0"/>
    <x v="0"/>
    <x v="0"/>
    <x v="0"/>
    <x v="1"/>
    <x v="0"/>
    <x v="0"/>
    <x v="0"/>
    <x v="18"/>
    <x v="17"/>
    <x v="0"/>
    <x v="13"/>
    <x v="1"/>
    <x v="0"/>
    <x v="0"/>
    <x v="0"/>
    <x v="1"/>
    <x v="0"/>
    <x v="0"/>
    <x v="0"/>
    <x v="198"/>
    <x v="0"/>
    <x v="148"/>
  </r>
  <r>
    <x v="223"/>
    <x v="223"/>
    <x v="2"/>
    <x v="31"/>
    <x v="31"/>
    <x v="2"/>
    <x v="3"/>
    <x v="0"/>
    <x v="173"/>
    <x v="190"/>
    <x v="209"/>
    <x v="0"/>
    <x v="0"/>
    <x v="0"/>
    <x v="124"/>
    <x v="38"/>
    <x v="189"/>
    <x v="0"/>
    <x v="138"/>
    <x v="0"/>
    <x v="0"/>
    <x v="0"/>
    <x v="0"/>
    <x v="0"/>
    <x v="0"/>
    <x v="0"/>
    <x v="0"/>
    <x v="0"/>
    <x v="0"/>
    <x v="0"/>
    <x v="0"/>
    <x v="0"/>
    <x v="0"/>
    <x v="0"/>
    <x v="0"/>
    <x v="0"/>
    <x v="0"/>
    <x v="0"/>
    <x v="0"/>
    <x v="0"/>
    <x v="0"/>
    <x v="0"/>
    <x v="0"/>
    <x v="0"/>
    <x v="0"/>
    <x v="0"/>
    <x v="0"/>
    <x v="0"/>
    <x v="0"/>
    <x v="0"/>
    <x v="0"/>
    <x v="1"/>
    <x v="0"/>
    <x v="0"/>
    <x v="0"/>
    <x v="18"/>
    <x v="17"/>
    <x v="0"/>
    <x v="13"/>
    <x v="1"/>
    <x v="0"/>
    <x v="0"/>
    <x v="0"/>
    <x v="1"/>
    <x v="0"/>
    <x v="0"/>
    <x v="0"/>
    <x v="199"/>
    <x v="0"/>
    <x v="149"/>
  </r>
  <r>
    <x v="224"/>
    <x v="224"/>
    <x v="2"/>
    <x v="31"/>
    <x v="31"/>
    <x v="2"/>
    <x v="3"/>
    <x v="15"/>
    <x v="174"/>
    <x v="191"/>
    <x v="210"/>
    <x v="0"/>
    <x v="0"/>
    <x v="0"/>
    <x v="112"/>
    <x v="0"/>
    <x v="0"/>
    <x v="0"/>
    <x v="0"/>
    <x v="0"/>
    <x v="0"/>
    <x v="0"/>
    <x v="0"/>
    <x v="0"/>
    <x v="0"/>
    <x v="0"/>
    <x v="0"/>
    <x v="0"/>
    <x v="0"/>
    <x v="0"/>
    <x v="0"/>
    <x v="0"/>
    <x v="0"/>
    <x v="0"/>
    <x v="0"/>
    <x v="0"/>
    <x v="0"/>
    <x v="0"/>
    <x v="0"/>
    <x v="0"/>
    <x v="0"/>
    <x v="0"/>
    <x v="0"/>
    <x v="0"/>
    <x v="0"/>
    <x v="0"/>
    <x v="0"/>
    <x v="15"/>
    <x v="98"/>
    <x v="75"/>
    <x v="0"/>
    <x v="1"/>
    <x v="0"/>
    <x v="0"/>
    <x v="0"/>
    <x v="19"/>
    <x v="18"/>
    <x v="9"/>
    <x v="0"/>
    <x v="1"/>
    <x v="0"/>
    <x v="0"/>
    <x v="0"/>
    <x v="1"/>
    <x v="0"/>
    <x v="0"/>
    <x v="0"/>
    <x v="200"/>
    <x v="93"/>
    <x v="0"/>
  </r>
  <r>
    <x v="225"/>
    <x v="225"/>
    <x v="2"/>
    <x v="31"/>
    <x v="31"/>
    <x v="2"/>
    <x v="3"/>
    <x v="16"/>
    <x v="175"/>
    <x v="192"/>
    <x v="211"/>
    <x v="0"/>
    <x v="0"/>
    <x v="0"/>
    <x v="119"/>
    <x v="14"/>
    <x v="190"/>
    <x v="0"/>
    <x v="139"/>
    <x v="0"/>
    <x v="0"/>
    <x v="0"/>
    <x v="0"/>
    <x v="0"/>
    <x v="0"/>
    <x v="0"/>
    <x v="0"/>
    <x v="0"/>
    <x v="0"/>
    <x v="0"/>
    <x v="0"/>
    <x v="0"/>
    <x v="0"/>
    <x v="0"/>
    <x v="0"/>
    <x v="0"/>
    <x v="0"/>
    <x v="0"/>
    <x v="0"/>
    <x v="0"/>
    <x v="0"/>
    <x v="0"/>
    <x v="0"/>
    <x v="0"/>
    <x v="0"/>
    <x v="0"/>
    <x v="0"/>
    <x v="15"/>
    <x v="0"/>
    <x v="0"/>
    <x v="0"/>
    <x v="1"/>
    <x v="0"/>
    <x v="0"/>
    <x v="0"/>
    <x v="1"/>
    <x v="0"/>
    <x v="0"/>
    <x v="0"/>
    <x v="1"/>
    <x v="0"/>
    <x v="0"/>
    <x v="0"/>
    <x v="1"/>
    <x v="0"/>
    <x v="0"/>
    <x v="0"/>
    <x v="201"/>
    <x v="0"/>
    <x v="150"/>
  </r>
  <r>
    <x v="226"/>
    <x v="226"/>
    <x v="2"/>
    <x v="31"/>
    <x v="31"/>
    <x v="2"/>
    <x v="3"/>
    <x v="0"/>
    <x v="176"/>
    <x v="193"/>
    <x v="212"/>
    <x v="0"/>
    <x v="0"/>
    <x v="0"/>
    <x v="92"/>
    <x v="0"/>
    <x v="0"/>
    <x v="0"/>
    <x v="0"/>
    <x v="0"/>
    <x v="0"/>
    <x v="0"/>
    <x v="0"/>
    <x v="0"/>
    <x v="0"/>
    <x v="0"/>
    <x v="0"/>
    <x v="0"/>
    <x v="0"/>
    <x v="0"/>
    <x v="0"/>
    <x v="0"/>
    <x v="0"/>
    <x v="0"/>
    <x v="0"/>
    <x v="0"/>
    <x v="0"/>
    <x v="0"/>
    <x v="0"/>
    <x v="0"/>
    <x v="0"/>
    <x v="0"/>
    <x v="0"/>
    <x v="0"/>
    <x v="0"/>
    <x v="0"/>
    <x v="0"/>
    <x v="0"/>
    <x v="0"/>
    <x v="0"/>
    <x v="0"/>
    <x v="1"/>
    <x v="0"/>
    <x v="0"/>
    <x v="0"/>
    <x v="20"/>
    <x v="16"/>
    <x v="7"/>
    <x v="0"/>
    <x v="1"/>
    <x v="0"/>
    <x v="0"/>
    <x v="0"/>
    <x v="1"/>
    <x v="0"/>
    <x v="0"/>
    <x v="0"/>
    <x v="202"/>
    <x v="94"/>
    <x v="0"/>
  </r>
  <r>
    <x v="227"/>
    <x v="227"/>
    <x v="2"/>
    <x v="31"/>
    <x v="31"/>
    <x v="2"/>
    <x v="3"/>
    <x v="0"/>
    <x v="177"/>
    <x v="194"/>
    <x v="213"/>
    <x v="0"/>
    <x v="0"/>
    <x v="0"/>
    <x v="125"/>
    <x v="0"/>
    <x v="0"/>
    <x v="0"/>
    <x v="0"/>
    <x v="0"/>
    <x v="0"/>
    <x v="0"/>
    <x v="0"/>
    <x v="0"/>
    <x v="0"/>
    <x v="0"/>
    <x v="0"/>
    <x v="0"/>
    <x v="0"/>
    <x v="0"/>
    <x v="0"/>
    <x v="0"/>
    <x v="0"/>
    <x v="0"/>
    <x v="0"/>
    <x v="0"/>
    <x v="0"/>
    <x v="0"/>
    <x v="0"/>
    <x v="0"/>
    <x v="0"/>
    <x v="0"/>
    <x v="0"/>
    <x v="0"/>
    <x v="0"/>
    <x v="0"/>
    <x v="0"/>
    <x v="15"/>
    <x v="0"/>
    <x v="0"/>
    <x v="0"/>
    <x v="1"/>
    <x v="0"/>
    <x v="0"/>
    <x v="0"/>
    <x v="21"/>
    <x v="19"/>
    <x v="10"/>
    <x v="0"/>
    <x v="1"/>
    <x v="0"/>
    <x v="0"/>
    <x v="0"/>
    <x v="1"/>
    <x v="0"/>
    <x v="0"/>
    <x v="0"/>
    <x v="203"/>
    <x v="95"/>
    <x v="0"/>
  </r>
  <r>
    <x v="228"/>
    <x v="228"/>
    <x v="2"/>
    <x v="31"/>
    <x v="31"/>
    <x v="2"/>
    <x v="3"/>
    <x v="0"/>
    <x v="178"/>
    <x v="195"/>
    <x v="214"/>
    <x v="0"/>
    <x v="0"/>
    <x v="0"/>
    <x v="126"/>
    <x v="0"/>
    <x v="0"/>
    <x v="0"/>
    <x v="0"/>
    <x v="0"/>
    <x v="0"/>
    <x v="0"/>
    <x v="0"/>
    <x v="0"/>
    <x v="0"/>
    <x v="0"/>
    <x v="0"/>
    <x v="0"/>
    <x v="0"/>
    <x v="0"/>
    <x v="0"/>
    <x v="0"/>
    <x v="0"/>
    <x v="0"/>
    <x v="0"/>
    <x v="0"/>
    <x v="0"/>
    <x v="0"/>
    <x v="0"/>
    <x v="0"/>
    <x v="0"/>
    <x v="0"/>
    <x v="0"/>
    <x v="0"/>
    <x v="0"/>
    <x v="0"/>
    <x v="0"/>
    <x v="15"/>
    <x v="0"/>
    <x v="0"/>
    <x v="0"/>
    <x v="1"/>
    <x v="0"/>
    <x v="0"/>
    <x v="0"/>
    <x v="22"/>
    <x v="20"/>
    <x v="11"/>
    <x v="0"/>
    <x v="1"/>
    <x v="0"/>
    <x v="0"/>
    <x v="0"/>
    <x v="1"/>
    <x v="0"/>
    <x v="0"/>
    <x v="0"/>
    <x v="204"/>
    <x v="96"/>
    <x v="0"/>
  </r>
  <r>
    <x v="229"/>
    <x v="229"/>
    <x v="2"/>
    <x v="31"/>
    <x v="31"/>
    <x v="2"/>
    <x v="3"/>
    <x v="0"/>
    <x v="141"/>
    <x v="196"/>
    <x v="215"/>
    <x v="0"/>
    <x v="0"/>
    <x v="0"/>
    <x v="40"/>
    <x v="11"/>
    <x v="191"/>
    <x v="0"/>
    <x v="140"/>
    <x v="0"/>
    <x v="0"/>
    <x v="0"/>
    <x v="0"/>
    <x v="0"/>
    <x v="0"/>
    <x v="0"/>
    <x v="0"/>
    <x v="0"/>
    <x v="0"/>
    <x v="0"/>
    <x v="0"/>
    <x v="0"/>
    <x v="0"/>
    <x v="0"/>
    <x v="0"/>
    <x v="0"/>
    <x v="0"/>
    <x v="0"/>
    <x v="0"/>
    <x v="0"/>
    <x v="0"/>
    <x v="0"/>
    <x v="0"/>
    <x v="0"/>
    <x v="0"/>
    <x v="0"/>
    <x v="0"/>
    <x v="0"/>
    <x v="0"/>
    <x v="0"/>
    <x v="0"/>
    <x v="1"/>
    <x v="0"/>
    <x v="0"/>
    <x v="0"/>
    <x v="18"/>
    <x v="17"/>
    <x v="0"/>
    <x v="13"/>
    <x v="1"/>
    <x v="0"/>
    <x v="0"/>
    <x v="0"/>
    <x v="1"/>
    <x v="0"/>
    <x v="0"/>
    <x v="0"/>
    <x v="205"/>
    <x v="0"/>
    <x v="151"/>
  </r>
  <r>
    <x v="230"/>
    <x v="230"/>
    <x v="3"/>
    <x v="32"/>
    <x v="32"/>
    <x v="2"/>
    <x v="0"/>
    <x v="0"/>
    <x v="88"/>
    <x v="197"/>
    <x v="216"/>
    <x v="0"/>
    <x v="0"/>
    <x v="25"/>
    <x v="124"/>
    <x v="15"/>
    <x v="192"/>
    <x v="80"/>
    <x v="141"/>
    <x v="0"/>
    <x v="0"/>
    <x v="10"/>
    <x v="0"/>
    <x v="0"/>
    <x v="0"/>
    <x v="1"/>
    <x v="0"/>
    <x v="0"/>
    <x v="0"/>
    <x v="9"/>
    <x v="0"/>
    <x v="0"/>
    <x v="0"/>
    <x v="16"/>
    <x v="0"/>
    <x v="0"/>
    <x v="0"/>
    <x v="2"/>
    <x v="0"/>
    <x v="0"/>
    <x v="0"/>
    <x v="10"/>
    <x v="0"/>
    <x v="3"/>
    <x v="86"/>
    <x v="64"/>
    <x v="40"/>
    <x v="8"/>
    <x v="99"/>
    <x v="76"/>
    <x v="40"/>
    <x v="0"/>
    <x v="0"/>
    <x v="6"/>
    <x v="0"/>
    <x v="0"/>
    <x v="0"/>
    <x v="1"/>
    <x v="0"/>
    <x v="0"/>
    <x v="0"/>
    <x v="1"/>
    <x v="0"/>
    <x v="2"/>
    <x v="36"/>
    <x v="36"/>
    <x v="0"/>
    <x v="206"/>
    <x v="97"/>
    <x v="152"/>
  </r>
  <r>
    <x v="231"/>
    <x v="231"/>
    <x v="3"/>
    <x v="32"/>
    <x v="32"/>
    <x v="2"/>
    <x v="0"/>
    <x v="0"/>
    <x v="179"/>
    <x v="198"/>
    <x v="217"/>
    <x v="0"/>
    <x v="0"/>
    <x v="0"/>
    <x v="127"/>
    <x v="22"/>
    <x v="193"/>
    <x v="0"/>
    <x v="142"/>
    <x v="0"/>
    <x v="0"/>
    <x v="0"/>
    <x v="0"/>
    <x v="0"/>
    <x v="0"/>
    <x v="0"/>
    <x v="0"/>
    <x v="0"/>
    <x v="0"/>
    <x v="0"/>
    <x v="0"/>
    <x v="0"/>
    <x v="0"/>
    <x v="0"/>
    <x v="0"/>
    <x v="0"/>
    <x v="0"/>
    <x v="0"/>
    <x v="0"/>
    <x v="0"/>
    <x v="0"/>
    <x v="0"/>
    <x v="0"/>
    <x v="11"/>
    <x v="87"/>
    <x v="0"/>
    <x v="41"/>
    <x v="16"/>
    <x v="100"/>
    <x v="0"/>
    <x v="41"/>
    <x v="0"/>
    <x v="0"/>
    <x v="0"/>
    <x v="0"/>
    <x v="0"/>
    <x v="0"/>
    <x v="0"/>
    <x v="0"/>
    <x v="0"/>
    <x v="0"/>
    <x v="0"/>
    <x v="0"/>
    <x v="2"/>
    <x v="0"/>
    <x v="0"/>
    <x v="0"/>
    <x v="207"/>
    <x v="0"/>
    <x v="153"/>
  </r>
  <r>
    <x v="232"/>
    <x v="232"/>
    <x v="3"/>
    <x v="32"/>
    <x v="32"/>
    <x v="2"/>
    <x v="0"/>
    <x v="0"/>
    <x v="180"/>
    <x v="199"/>
    <x v="218"/>
    <x v="0"/>
    <x v="0"/>
    <x v="0"/>
    <x v="128"/>
    <x v="14"/>
    <x v="194"/>
    <x v="0"/>
    <x v="143"/>
    <x v="0"/>
    <x v="0"/>
    <x v="0"/>
    <x v="0"/>
    <x v="0"/>
    <x v="0"/>
    <x v="0"/>
    <x v="0"/>
    <x v="0"/>
    <x v="0"/>
    <x v="0"/>
    <x v="0"/>
    <x v="0"/>
    <x v="0"/>
    <x v="0"/>
    <x v="0"/>
    <x v="0"/>
    <x v="0"/>
    <x v="0"/>
    <x v="0"/>
    <x v="0"/>
    <x v="0"/>
    <x v="0"/>
    <x v="0"/>
    <x v="3"/>
    <x v="88"/>
    <x v="0"/>
    <x v="42"/>
    <x v="8"/>
    <x v="101"/>
    <x v="0"/>
    <x v="42"/>
    <x v="0"/>
    <x v="0"/>
    <x v="0"/>
    <x v="0"/>
    <x v="0"/>
    <x v="0"/>
    <x v="0"/>
    <x v="0"/>
    <x v="0"/>
    <x v="0"/>
    <x v="0"/>
    <x v="0"/>
    <x v="2"/>
    <x v="0"/>
    <x v="0"/>
    <x v="0"/>
    <x v="208"/>
    <x v="0"/>
    <x v="154"/>
  </r>
  <r>
    <x v="233"/>
    <x v="233"/>
    <x v="3"/>
    <x v="32"/>
    <x v="32"/>
    <x v="2"/>
    <x v="0"/>
    <x v="0"/>
    <x v="181"/>
    <x v="200"/>
    <x v="219"/>
    <x v="0"/>
    <x v="0"/>
    <x v="0"/>
    <x v="105"/>
    <x v="17"/>
    <x v="195"/>
    <x v="0"/>
    <x v="144"/>
    <x v="0"/>
    <x v="0"/>
    <x v="0"/>
    <x v="0"/>
    <x v="0"/>
    <x v="0"/>
    <x v="0"/>
    <x v="0"/>
    <x v="0"/>
    <x v="0"/>
    <x v="0"/>
    <x v="0"/>
    <x v="0"/>
    <x v="0"/>
    <x v="0"/>
    <x v="0"/>
    <x v="0"/>
    <x v="0"/>
    <x v="0"/>
    <x v="0"/>
    <x v="0"/>
    <x v="0"/>
    <x v="0"/>
    <x v="0"/>
    <x v="3"/>
    <x v="89"/>
    <x v="0"/>
    <x v="43"/>
    <x v="8"/>
    <x v="102"/>
    <x v="0"/>
    <x v="43"/>
    <x v="0"/>
    <x v="0"/>
    <x v="0"/>
    <x v="0"/>
    <x v="0"/>
    <x v="0"/>
    <x v="0"/>
    <x v="0"/>
    <x v="0"/>
    <x v="0"/>
    <x v="0"/>
    <x v="0"/>
    <x v="2"/>
    <x v="0"/>
    <x v="0"/>
    <x v="0"/>
    <x v="209"/>
    <x v="0"/>
    <x v="155"/>
  </r>
  <r>
    <x v="234"/>
    <x v="234"/>
    <x v="3"/>
    <x v="32"/>
    <x v="32"/>
    <x v="2"/>
    <x v="0"/>
    <x v="0"/>
    <x v="182"/>
    <x v="201"/>
    <x v="1"/>
    <x v="0"/>
    <x v="0"/>
    <x v="0"/>
    <x v="129"/>
    <x v="14"/>
    <x v="0"/>
    <x v="0"/>
    <x v="0"/>
    <x v="0"/>
    <x v="0"/>
    <x v="0"/>
    <x v="0"/>
    <x v="0"/>
    <x v="0"/>
    <x v="0"/>
    <x v="0"/>
    <x v="0"/>
    <x v="0"/>
    <x v="0"/>
    <x v="0"/>
    <x v="0"/>
    <x v="0"/>
    <x v="0"/>
    <x v="0"/>
    <x v="0"/>
    <x v="0"/>
    <x v="0"/>
    <x v="0"/>
    <x v="0"/>
    <x v="0"/>
    <x v="0"/>
    <x v="0"/>
    <x v="3"/>
    <x v="0"/>
    <x v="0"/>
    <x v="0"/>
    <x v="8"/>
    <x v="0"/>
    <x v="0"/>
    <x v="0"/>
    <x v="0"/>
    <x v="0"/>
    <x v="0"/>
    <x v="0"/>
    <x v="0"/>
    <x v="0"/>
    <x v="0"/>
    <x v="0"/>
    <x v="0"/>
    <x v="0"/>
    <x v="0"/>
    <x v="0"/>
    <x v="2"/>
    <x v="0"/>
    <x v="0"/>
    <x v="0"/>
    <x v="0"/>
    <x v="0"/>
    <x v="0"/>
  </r>
  <r>
    <x v="235"/>
    <x v="235"/>
    <x v="3"/>
    <x v="32"/>
    <x v="32"/>
    <x v="2"/>
    <x v="0"/>
    <x v="0"/>
    <x v="183"/>
    <x v="202"/>
    <x v="220"/>
    <x v="0"/>
    <x v="0"/>
    <x v="0"/>
    <x v="130"/>
    <x v="18"/>
    <x v="196"/>
    <x v="0"/>
    <x v="145"/>
    <x v="0"/>
    <x v="0"/>
    <x v="0"/>
    <x v="0"/>
    <x v="0"/>
    <x v="0"/>
    <x v="0"/>
    <x v="0"/>
    <x v="0"/>
    <x v="0"/>
    <x v="0"/>
    <x v="0"/>
    <x v="0"/>
    <x v="0"/>
    <x v="0"/>
    <x v="0"/>
    <x v="0"/>
    <x v="0"/>
    <x v="0"/>
    <x v="0"/>
    <x v="0"/>
    <x v="0"/>
    <x v="0"/>
    <x v="0"/>
    <x v="7"/>
    <x v="90"/>
    <x v="0"/>
    <x v="44"/>
    <x v="9"/>
    <x v="103"/>
    <x v="0"/>
    <x v="44"/>
    <x v="0"/>
    <x v="0"/>
    <x v="0"/>
    <x v="0"/>
    <x v="0"/>
    <x v="0"/>
    <x v="0"/>
    <x v="0"/>
    <x v="0"/>
    <x v="0"/>
    <x v="0"/>
    <x v="0"/>
    <x v="2"/>
    <x v="0"/>
    <x v="0"/>
    <x v="0"/>
    <x v="210"/>
    <x v="0"/>
    <x v="156"/>
  </r>
  <r>
    <x v="236"/>
    <x v="236"/>
    <x v="3"/>
    <x v="32"/>
    <x v="32"/>
    <x v="2"/>
    <x v="0"/>
    <x v="0"/>
    <x v="184"/>
    <x v="203"/>
    <x v="221"/>
    <x v="0"/>
    <x v="0"/>
    <x v="0"/>
    <x v="130"/>
    <x v="14"/>
    <x v="197"/>
    <x v="0"/>
    <x v="146"/>
    <x v="0"/>
    <x v="0"/>
    <x v="0"/>
    <x v="0"/>
    <x v="0"/>
    <x v="0"/>
    <x v="0"/>
    <x v="0"/>
    <x v="0"/>
    <x v="0"/>
    <x v="0"/>
    <x v="0"/>
    <x v="0"/>
    <x v="0"/>
    <x v="0"/>
    <x v="0"/>
    <x v="0"/>
    <x v="0"/>
    <x v="0"/>
    <x v="0"/>
    <x v="0"/>
    <x v="0"/>
    <x v="0"/>
    <x v="0"/>
    <x v="3"/>
    <x v="91"/>
    <x v="0"/>
    <x v="45"/>
    <x v="8"/>
    <x v="104"/>
    <x v="0"/>
    <x v="45"/>
    <x v="0"/>
    <x v="0"/>
    <x v="0"/>
    <x v="0"/>
    <x v="0"/>
    <x v="0"/>
    <x v="0"/>
    <x v="0"/>
    <x v="0"/>
    <x v="0"/>
    <x v="0"/>
    <x v="0"/>
    <x v="2"/>
    <x v="0"/>
    <x v="0"/>
    <x v="0"/>
    <x v="211"/>
    <x v="0"/>
    <x v="157"/>
  </r>
  <r>
    <x v="237"/>
    <x v="237"/>
    <x v="3"/>
    <x v="32"/>
    <x v="32"/>
    <x v="2"/>
    <x v="0"/>
    <x v="0"/>
    <x v="185"/>
    <x v="204"/>
    <x v="222"/>
    <x v="0"/>
    <x v="0"/>
    <x v="0"/>
    <x v="127"/>
    <x v="17"/>
    <x v="198"/>
    <x v="0"/>
    <x v="147"/>
    <x v="0"/>
    <x v="0"/>
    <x v="0"/>
    <x v="0"/>
    <x v="0"/>
    <x v="0"/>
    <x v="0"/>
    <x v="0"/>
    <x v="0"/>
    <x v="0"/>
    <x v="0"/>
    <x v="0"/>
    <x v="0"/>
    <x v="0"/>
    <x v="0"/>
    <x v="0"/>
    <x v="0"/>
    <x v="0"/>
    <x v="0"/>
    <x v="0"/>
    <x v="0"/>
    <x v="0"/>
    <x v="0"/>
    <x v="0"/>
    <x v="3"/>
    <x v="92"/>
    <x v="0"/>
    <x v="46"/>
    <x v="8"/>
    <x v="105"/>
    <x v="0"/>
    <x v="46"/>
    <x v="0"/>
    <x v="0"/>
    <x v="0"/>
    <x v="0"/>
    <x v="0"/>
    <x v="0"/>
    <x v="0"/>
    <x v="0"/>
    <x v="0"/>
    <x v="0"/>
    <x v="0"/>
    <x v="0"/>
    <x v="2"/>
    <x v="0"/>
    <x v="0"/>
    <x v="0"/>
    <x v="212"/>
    <x v="0"/>
    <x v="158"/>
  </r>
  <r>
    <x v="238"/>
    <x v="238"/>
    <x v="3"/>
    <x v="32"/>
    <x v="32"/>
    <x v="2"/>
    <x v="0"/>
    <x v="0"/>
    <x v="114"/>
    <x v="205"/>
    <x v="223"/>
    <x v="0"/>
    <x v="0"/>
    <x v="0"/>
    <x v="131"/>
    <x v="14"/>
    <x v="199"/>
    <x v="0"/>
    <x v="148"/>
    <x v="0"/>
    <x v="0"/>
    <x v="0"/>
    <x v="0"/>
    <x v="0"/>
    <x v="0"/>
    <x v="0"/>
    <x v="0"/>
    <x v="0"/>
    <x v="0"/>
    <x v="0"/>
    <x v="0"/>
    <x v="0"/>
    <x v="0"/>
    <x v="0"/>
    <x v="0"/>
    <x v="0"/>
    <x v="0"/>
    <x v="0"/>
    <x v="0"/>
    <x v="0"/>
    <x v="0"/>
    <x v="0"/>
    <x v="0"/>
    <x v="3"/>
    <x v="93"/>
    <x v="0"/>
    <x v="47"/>
    <x v="8"/>
    <x v="106"/>
    <x v="0"/>
    <x v="47"/>
    <x v="0"/>
    <x v="0"/>
    <x v="0"/>
    <x v="0"/>
    <x v="0"/>
    <x v="0"/>
    <x v="0"/>
    <x v="0"/>
    <x v="0"/>
    <x v="0"/>
    <x v="0"/>
    <x v="0"/>
    <x v="2"/>
    <x v="0"/>
    <x v="0"/>
    <x v="0"/>
    <x v="213"/>
    <x v="0"/>
    <x v="159"/>
  </r>
  <r>
    <x v="239"/>
    <x v="239"/>
    <x v="3"/>
    <x v="32"/>
    <x v="32"/>
    <x v="2"/>
    <x v="0"/>
    <x v="0"/>
    <x v="186"/>
    <x v="206"/>
    <x v="224"/>
    <x v="0"/>
    <x v="0"/>
    <x v="0"/>
    <x v="127"/>
    <x v="17"/>
    <x v="200"/>
    <x v="0"/>
    <x v="149"/>
    <x v="0"/>
    <x v="0"/>
    <x v="0"/>
    <x v="0"/>
    <x v="0"/>
    <x v="0"/>
    <x v="0"/>
    <x v="0"/>
    <x v="0"/>
    <x v="0"/>
    <x v="0"/>
    <x v="0"/>
    <x v="0"/>
    <x v="0"/>
    <x v="0"/>
    <x v="0"/>
    <x v="0"/>
    <x v="0"/>
    <x v="0"/>
    <x v="0"/>
    <x v="0"/>
    <x v="0"/>
    <x v="0"/>
    <x v="0"/>
    <x v="3"/>
    <x v="94"/>
    <x v="0"/>
    <x v="48"/>
    <x v="8"/>
    <x v="107"/>
    <x v="0"/>
    <x v="48"/>
    <x v="0"/>
    <x v="0"/>
    <x v="0"/>
    <x v="0"/>
    <x v="0"/>
    <x v="0"/>
    <x v="0"/>
    <x v="0"/>
    <x v="0"/>
    <x v="0"/>
    <x v="0"/>
    <x v="0"/>
    <x v="2"/>
    <x v="0"/>
    <x v="0"/>
    <x v="0"/>
    <x v="214"/>
    <x v="0"/>
    <x v="160"/>
  </r>
  <r>
    <x v="240"/>
    <x v="240"/>
    <x v="3"/>
    <x v="32"/>
    <x v="32"/>
    <x v="2"/>
    <x v="0"/>
    <x v="0"/>
    <x v="81"/>
    <x v="207"/>
    <x v="225"/>
    <x v="0"/>
    <x v="0"/>
    <x v="0"/>
    <x v="127"/>
    <x v="14"/>
    <x v="201"/>
    <x v="0"/>
    <x v="150"/>
    <x v="0"/>
    <x v="0"/>
    <x v="0"/>
    <x v="0"/>
    <x v="0"/>
    <x v="0"/>
    <x v="0"/>
    <x v="0"/>
    <x v="0"/>
    <x v="0"/>
    <x v="0"/>
    <x v="0"/>
    <x v="0"/>
    <x v="0"/>
    <x v="0"/>
    <x v="0"/>
    <x v="0"/>
    <x v="0"/>
    <x v="0"/>
    <x v="0"/>
    <x v="0"/>
    <x v="0"/>
    <x v="0"/>
    <x v="0"/>
    <x v="3"/>
    <x v="95"/>
    <x v="0"/>
    <x v="49"/>
    <x v="8"/>
    <x v="108"/>
    <x v="0"/>
    <x v="49"/>
    <x v="0"/>
    <x v="0"/>
    <x v="0"/>
    <x v="0"/>
    <x v="0"/>
    <x v="0"/>
    <x v="0"/>
    <x v="0"/>
    <x v="0"/>
    <x v="0"/>
    <x v="0"/>
    <x v="0"/>
    <x v="2"/>
    <x v="0"/>
    <x v="0"/>
    <x v="0"/>
    <x v="215"/>
    <x v="0"/>
    <x v="161"/>
  </r>
  <r>
    <x v="241"/>
    <x v="241"/>
    <x v="3"/>
    <x v="32"/>
    <x v="32"/>
    <x v="2"/>
    <x v="0"/>
    <x v="0"/>
    <x v="37"/>
    <x v="208"/>
    <x v="226"/>
    <x v="0"/>
    <x v="0"/>
    <x v="0"/>
    <x v="129"/>
    <x v="15"/>
    <x v="202"/>
    <x v="0"/>
    <x v="151"/>
    <x v="0"/>
    <x v="0"/>
    <x v="0"/>
    <x v="0"/>
    <x v="0"/>
    <x v="0"/>
    <x v="0"/>
    <x v="0"/>
    <x v="0"/>
    <x v="0"/>
    <x v="0"/>
    <x v="0"/>
    <x v="0"/>
    <x v="0"/>
    <x v="0"/>
    <x v="0"/>
    <x v="0"/>
    <x v="0"/>
    <x v="0"/>
    <x v="0"/>
    <x v="0"/>
    <x v="0"/>
    <x v="0"/>
    <x v="0"/>
    <x v="3"/>
    <x v="96"/>
    <x v="0"/>
    <x v="50"/>
    <x v="8"/>
    <x v="109"/>
    <x v="0"/>
    <x v="50"/>
    <x v="0"/>
    <x v="0"/>
    <x v="0"/>
    <x v="0"/>
    <x v="0"/>
    <x v="0"/>
    <x v="0"/>
    <x v="0"/>
    <x v="0"/>
    <x v="0"/>
    <x v="0"/>
    <x v="0"/>
    <x v="2"/>
    <x v="0"/>
    <x v="0"/>
    <x v="0"/>
    <x v="216"/>
    <x v="0"/>
    <x v="162"/>
  </r>
  <r>
    <x v="242"/>
    <x v="242"/>
    <x v="3"/>
    <x v="32"/>
    <x v="32"/>
    <x v="2"/>
    <x v="0"/>
    <x v="0"/>
    <x v="141"/>
    <x v="209"/>
    <x v="227"/>
    <x v="0"/>
    <x v="0"/>
    <x v="0"/>
    <x v="127"/>
    <x v="14"/>
    <x v="203"/>
    <x v="0"/>
    <x v="152"/>
    <x v="0"/>
    <x v="0"/>
    <x v="0"/>
    <x v="0"/>
    <x v="0"/>
    <x v="0"/>
    <x v="0"/>
    <x v="0"/>
    <x v="0"/>
    <x v="0"/>
    <x v="0"/>
    <x v="0"/>
    <x v="0"/>
    <x v="0"/>
    <x v="0"/>
    <x v="0"/>
    <x v="0"/>
    <x v="0"/>
    <x v="0"/>
    <x v="0"/>
    <x v="0"/>
    <x v="0"/>
    <x v="0"/>
    <x v="0"/>
    <x v="3"/>
    <x v="97"/>
    <x v="0"/>
    <x v="51"/>
    <x v="8"/>
    <x v="110"/>
    <x v="0"/>
    <x v="51"/>
    <x v="0"/>
    <x v="0"/>
    <x v="0"/>
    <x v="0"/>
    <x v="0"/>
    <x v="0"/>
    <x v="0"/>
    <x v="0"/>
    <x v="0"/>
    <x v="0"/>
    <x v="0"/>
    <x v="0"/>
    <x v="2"/>
    <x v="0"/>
    <x v="0"/>
    <x v="0"/>
    <x v="217"/>
    <x v="0"/>
    <x v="163"/>
  </r>
  <r>
    <x v="243"/>
    <x v="243"/>
    <x v="3"/>
    <x v="32"/>
    <x v="32"/>
    <x v="2"/>
    <x v="0"/>
    <x v="0"/>
    <x v="160"/>
    <x v="209"/>
    <x v="228"/>
    <x v="0"/>
    <x v="0"/>
    <x v="0"/>
    <x v="132"/>
    <x v="6"/>
    <x v="204"/>
    <x v="0"/>
    <x v="153"/>
    <x v="0"/>
    <x v="0"/>
    <x v="0"/>
    <x v="0"/>
    <x v="0"/>
    <x v="0"/>
    <x v="0"/>
    <x v="0"/>
    <x v="0"/>
    <x v="0"/>
    <x v="0"/>
    <x v="0"/>
    <x v="0"/>
    <x v="0"/>
    <x v="0"/>
    <x v="0"/>
    <x v="0"/>
    <x v="0"/>
    <x v="0"/>
    <x v="0"/>
    <x v="0"/>
    <x v="0"/>
    <x v="0"/>
    <x v="0"/>
    <x v="0"/>
    <x v="0"/>
    <x v="0"/>
    <x v="0"/>
    <x v="0"/>
    <x v="0"/>
    <x v="0"/>
    <x v="0"/>
    <x v="0"/>
    <x v="0"/>
    <x v="0"/>
    <x v="0"/>
    <x v="0"/>
    <x v="0"/>
    <x v="0"/>
    <x v="0"/>
    <x v="0"/>
    <x v="0"/>
    <x v="0"/>
    <x v="0"/>
    <x v="2"/>
    <x v="0"/>
    <x v="0"/>
    <x v="0"/>
    <x v="218"/>
    <x v="0"/>
    <x v="164"/>
  </r>
  <r>
    <x v="244"/>
    <x v="244"/>
    <x v="3"/>
    <x v="32"/>
    <x v="32"/>
    <x v="2"/>
    <x v="0"/>
    <x v="0"/>
    <x v="187"/>
    <x v="210"/>
    <x v="229"/>
    <x v="0"/>
    <x v="0"/>
    <x v="0"/>
    <x v="124"/>
    <x v="15"/>
    <x v="205"/>
    <x v="0"/>
    <x v="154"/>
    <x v="0"/>
    <x v="0"/>
    <x v="0"/>
    <x v="0"/>
    <x v="0"/>
    <x v="0"/>
    <x v="0"/>
    <x v="0"/>
    <x v="0"/>
    <x v="0"/>
    <x v="0"/>
    <x v="0"/>
    <x v="0"/>
    <x v="0"/>
    <x v="0"/>
    <x v="0"/>
    <x v="0"/>
    <x v="0"/>
    <x v="0"/>
    <x v="0"/>
    <x v="0"/>
    <x v="0"/>
    <x v="0"/>
    <x v="0"/>
    <x v="3"/>
    <x v="98"/>
    <x v="0"/>
    <x v="52"/>
    <x v="8"/>
    <x v="111"/>
    <x v="0"/>
    <x v="52"/>
    <x v="0"/>
    <x v="0"/>
    <x v="0"/>
    <x v="0"/>
    <x v="0"/>
    <x v="0"/>
    <x v="0"/>
    <x v="0"/>
    <x v="0"/>
    <x v="0"/>
    <x v="0"/>
    <x v="0"/>
    <x v="2"/>
    <x v="0"/>
    <x v="0"/>
    <x v="0"/>
    <x v="219"/>
    <x v="0"/>
    <x v="165"/>
  </r>
  <r>
    <x v="245"/>
    <x v="245"/>
    <x v="3"/>
    <x v="32"/>
    <x v="32"/>
    <x v="2"/>
    <x v="0"/>
    <x v="0"/>
    <x v="179"/>
    <x v="211"/>
    <x v="1"/>
    <x v="0"/>
    <x v="0"/>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246"/>
    <x v="246"/>
    <x v="3"/>
    <x v="33"/>
    <x v="33"/>
    <x v="0"/>
    <x v="0"/>
    <x v="0"/>
    <x v="0"/>
    <x v="0"/>
    <x v="230"/>
    <x v="0"/>
    <x v="0"/>
    <x v="0"/>
    <x v="133"/>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247"/>
    <x v="247"/>
    <x v="3"/>
    <x v="34"/>
    <x v="34"/>
    <x v="1"/>
    <x v="0"/>
    <x v="1"/>
    <x v="188"/>
    <x v="212"/>
    <x v="231"/>
    <x v="0"/>
    <x v="0"/>
    <x v="26"/>
    <x v="109"/>
    <x v="13"/>
    <x v="206"/>
    <x v="81"/>
    <x v="155"/>
    <x v="0"/>
    <x v="0"/>
    <x v="10"/>
    <x v="0"/>
    <x v="0"/>
    <x v="0"/>
    <x v="1"/>
    <x v="0"/>
    <x v="0"/>
    <x v="0"/>
    <x v="9"/>
    <x v="0"/>
    <x v="0"/>
    <x v="0"/>
    <x v="16"/>
    <x v="0"/>
    <x v="0"/>
    <x v="0"/>
    <x v="2"/>
    <x v="0"/>
    <x v="0"/>
    <x v="0"/>
    <x v="10"/>
    <x v="0"/>
    <x v="12"/>
    <x v="99"/>
    <x v="65"/>
    <x v="53"/>
    <x v="17"/>
    <x v="112"/>
    <x v="77"/>
    <x v="53"/>
    <x v="0"/>
    <x v="0"/>
    <x v="6"/>
    <x v="0"/>
    <x v="0"/>
    <x v="0"/>
    <x v="1"/>
    <x v="0"/>
    <x v="0"/>
    <x v="0"/>
    <x v="1"/>
    <x v="0"/>
    <x v="1"/>
    <x v="37"/>
    <x v="37"/>
    <x v="0"/>
    <x v="220"/>
    <x v="98"/>
    <x v="166"/>
  </r>
  <r>
    <x v="248"/>
    <x v="248"/>
    <x v="3"/>
    <x v="34"/>
    <x v="34"/>
    <x v="1"/>
    <x v="0"/>
    <x v="2"/>
    <x v="166"/>
    <x v="213"/>
    <x v="232"/>
    <x v="0"/>
    <x v="0"/>
    <x v="0"/>
    <x v="112"/>
    <x v="19"/>
    <x v="207"/>
    <x v="0"/>
    <x v="156"/>
    <x v="0"/>
    <x v="0"/>
    <x v="0"/>
    <x v="0"/>
    <x v="0"/>
    <x v="0"/>
    <x v="0"/>
    <x v="0"/>
    <x v="0"/>
    <x v="0"/>
    <x v="0"/>
    <x v="0"/>
    <x v="0"/>
    <x v="0"/>
    <x v="0"/>
    <x v="0"/>
    <x v="0"/>
    <x v="0"/>
    <x v="0"/>
    <x v="0"/>
    <x v="0"/>
    <x v="0"/>
    <x v="0"/>
    <x v="0"/>
    <x v="0"/>
    <x v="0"/>
    <x v="0"/>
    <x v="0"/>
    <x v="0"/>
    <x v="0"/>
    <x v="0"/>
    <x v="0"/>
    <x v="0"/>
    <x v="0"/>
    <x v="0"/>
    <x v="0"/>
    <x v="0"/>
    <x v="0"/>
    <x v="0"/>
    <x v="0"/>
    <x v="0"/>
    <x v="0"/>
    <x v="0"/>
    <x v="0"/>
    <x v="1"/>
    <x v="0"/>
    <x v="0"/>
    <x v="0"/>
    <x v="221"/>
    <x v="0"/>
    <x v="167"/>
  </r>
  <r>
    <x v="249"/>
    <x v="249"/>
    <x v="3"/>
    <x v="34"/>
    <x v="34"/>
    <x v="1"/>
    <x v="0"/>
    <x v="3"/>
    <x v="189"/>
    <x v="214"/>
    <x v="233"/>
    <x v="0"/>
    <x v="0"/>
    <x v="0"/>
    <x v="55"/>
    <x v="16"/>
    <x v="208"/>
    <x v="0"/>
    <x v="157"/>
    <x v="0"/>
    <x v="0"/>
    <x v="0"/>
    <x v="0"/>
    <x v="0"/>
    <x v="0"/>
    <x v="0"/>
    <x v="0"/>
    <x v="0"/>
    <x v="0"/>
    <x v="0"/>
    <x v="0"/>
    <x v="0"/>
    <x v="0"/>
    <x v="0"/>
    <x v="0"/>
    <x v="0"/>
    <x v="0"/>
    <x v="0"/>
    <x v="0"/>
    <x v="0"/>
    <x v="0"/>
    <x v="0"/>
    <x v="0"/>
    <x v="0"/>
    <x v="0"/>
    <x v="0"/>
    <x v="0"/>
    <x v="0"/>
    <x v="0"/>
    <x v="0"/>
    <x v="0"/>
    <x v="0"/>
    <x v="0"/>
    <x v="0"/>
    <x v="0"/>
    <x v="0"/>
    <x v="0"/>
    <x v="0"/>
    <x v="0"/>
    <x v="0"/>
    <x v="0"/>
    <x v="0"/>
    <x v="0"/>
    <x v="1"/>
    <x v="0"/>
    <x v="0"/>
    <x v="0"/>
    <x v="222"/>
    <x v="0"/>
    <x v="168"/>
  </r>
  <r>
    <x v="250"/>
    <x v="250"/>
    <x v="3"/>
    <x v="34"/>
    <x v="34"/>
    <x v="1"/>
    <x v="0"/>
    <x v="4"/>
    <x v="190"/>
    <x v="215"/>
    <x v="234"/>
    <x v="0"/>
    <x v="0"/>
    <x v="0"/>
    <x v="22"/>
    <x v="2"/>
    <x v="209"/>
    <x v="0"/>
    <x v="158"/>
    <x v="0"/>
    <x v="0"/>
    <x v="0"/>
    <x v="0"/>
    <x v="0"/>
    <x v="0"/>
    <x v="0"/>
    <x v="0"/>
    <x v="0"/>
    <x v="0"/>
    <x v="0"/>
    <x v="0"/>
    <x v="0"/>
    <x v="0"/>
    <x v="0"/>
    <x v="0"/>
    <x v="0"/>
    <x v="0"/>
    <x v="0"/>
    <x v="0"/>
    <x v="0"/>
    <x v="0"/>
    <x v="0"/>
    <x v="0"/>
    <x v="0"/>
    <x v="0"/>
    <x v="0"/>
    <x v="0"/>
    <x v="0"/>
    <x v="0"/>
    <x v="0"/>
    <x v="0"/>
    <x v="0"/>
    <x v="0"/>
    <x v="0"/>
    <x v="0"/>
    <x v="0"/>
    <x v="0"/>
    <x v="0"/>
    <x v="0"/>
    <x v="0"/>
    <x v="0"/>
    <x v="0"/>
    <x v="0"/>
    <x v="1"/>
    <x v="0"/>
    <x v="0"/>
    <x v="0"/>
    <x v="223"/>
    <x v="0"/>
    <x v="169"/>
  </r>
  <r>
    <x v="251"/>
    <x v="251"/>
    <x v="3"/>
    <x v="35"/>
    <x v="35"/>
    <x v="2"/>
    <x v="0"/>
    <x v="0"/>
    <x v="41"/>
    <x v="216"/>
    <x v="235"/>
    <x v="0"/>
    <x v="0"/>
    <x v="27"/>
    <x v="134"/>
    <x v="40"/>
    <x v="210"/>
    <x v="82"/>
    <x v="159"/>
    <x v="1"/>
    <x v="52"/>
    <x v="10"/>
    <x v="45"/>
    <x v="0"/>
    <x v="0"/>
    <x v="1"/>
    <x v="0"/>
    <x v="16"/>
    <x v="71"/>
    <x v="9"/>
    <x v="58"/>
    <x v="4"/>
    <x v="71"/>
    <x v="16"/>
    <x v="45"/>
    <x v="1"/>
    <x v="60"/>
    <x v="2"/>
    <x v="47"/>
    <x v="0"/>
    <x v="0"/>
    <x v="10"/>
    <x v="0"/>
    <x v="2"/>
    <x v="100"/>
    <x v="66"/>
    <x v="54"/>
    <x v="3"/>
    <x v="113"/>
    <x v="78"/>
    <x v="54"/>
    <x v="0"/>
    <x v="0"/>
    <x v="6"/>
    <x v="0"/>
    <x v="0"/>
    <x v="0"/>
    <x v="1"/>
    <x v="0"/>
    <x v="0"/>
    <x v="0"/>
    <x v="1"/>
    <x v="0"/>
    <x v="1"/>
    <x v="38"/>
    <x v="38"/>
    <x v="0"/>
    <x v="224"/>
    <x v="99"/>
    <x v="170"/>
  </r>
  <r>
    <x v="252"/>
    <x v="252"/>
    <x v="3"/>
    <x v="35"/>
    <x v="35"/>
    <x v="2"/>
    <x v="0"/>
    <x v="0"/>
    <x v="191"/>
    <x v="217"/>
    <x v="236"/>
    <x v="0"/>
    <x v="0"/>
    <x v="0"/>
    <x v="135"/>
    <x v="13"/>
    <x v="211"/>
    <x v="0"/>
    <x v="160"/>
    <x v="1"/>
    <x v="53"/>
    <x v="0"/>
    <x v="46"/>
    <x v="0"/>
    <x v="0"/>
    <x v="0"/>
    <x v="0"/>
    <x v="16"/>
    <x v="72"/>
    <x v="0"/>
    <x v="59"/>
    <x v="4"/>
    <x v="72"/>
    <x v="0"/>
    <x v="46"/>
    <x v="1"/>
    <x v="61"/>
    <x v="0"/>
    <x v="48"/>
    <x v="0"/>
    <x v="0"/>
    <x v="0"/>
    <x v="0"/>
    <x v="1"/>
    <x v="101"/>
    <x v="0"/>
    <x v="55"/>
    <x v="10"/>
    <x v="114"/>
    <x v="0"/>
    <x v="55"/>
    <x v="0"/>
    <x v="0"/>
    <x v="0"/>
    <x v="0"/>
    <x v="0"/>
    <x v="0"/>
    <x v="0"/>
    <x v="0"/>
    <x v="0"/>
    <x v="0"/>
    <x v="0"/>
    <x v="0"/>
    <x v="1"/>
    <x v="0"/>
    <x v="0"/>
    <x v="0"/>
    <x v="225"/>
    <x v="0"/>
    <x v="171"/>
  </r>
  <r>
    <x v="253"/>
    <x v="253"/>
    <x v="3"/>
    <x v="35"/>
    <x v="35"/>
    <x v="2"/>
    <x v="0"/>
    <x v="0"/>
    <x v="192"/>
    <x v="218"/>
    <x v="237"/>
    <x v="0"/>
    <x v="0"/>
    <x v="0"/>
    <x v="135"/>
    <x v="40"/>
    <x v="212"/>
    <x v="0"/>
    <x v="161"/>
    <x v="1"/>
    <x v="54"/>
    <x v="0"/>
    <x v="47"/>
    <x v="0"/>
    <x v="0"/>
    <x v="0"/>
    <x v="0"/>
    <x v="16"/>
    <x v="73"/>
    <x v="0"/>
    <x v="60"/>
    <x v="4"/>
    <x v="73"/>
    <x v="0"/>
    <x v="47"/>
    <x v="1"/>
    <x v="62"/>
    <x v="0"/>
    <x v="49"/>
    <x v="0"/>
    <x v="0"/>
    <x v="0"/>
    <x v="0"/>
    <x v="2"/>
    <x v="0"/>
    <x v="0"/>
    <x v="0"/>
    <x v="3"/>
    <x v="0"/>
    <x v="0"/>
    <x v="0"/>
    <x v="0"/>
    <x v="0"/>
    <x v="0"/>
    <x v="0"/>
    <x v="0"/>
    <x v="0"/>
    <x v="0"/>
    <x v="0"/>
    <x v="0"/>
    <x v="0"/>
    <x v="0"/>
    <x v="0"/>
    <x v="1"/>
    <x v="0"/>
    <x v="0"/>
    <x v="0"/>
    <x v="226"/>
    <x v="0"/>
    <x v="172"/>
  </r>
  <r>
    <x v="254"/>
    <x v="254"/>
    <x v="3"/>
    <x v="35"/>
    <x v="35"/>
    <x v="2"/>
    <x v="0"/>
    <x v="0"/>
    <x v="193"/>
    <x v="219"/>
    <x v="238"/>
    <x v="0"/>
    <x v="0"/>
    <x v="0"/>
    <x v="136"/>
    <x v="13"/>
    <x v="213"/>
    <x v="0"/>
    <x v="162"/>
    <x v="1"/>
    <x v="55"/>
    <x v="0"/>
    <x v="48"/>
    <x v="0"/>
    <x v="0"/>
    <x v="0"/>
    <x v="0"/>
    <x v="16"/>
    <x v="74"/>
    <x v="0"/>
    <x v="61"/>
    <x v="4"/>
    <x v="74"/>
    <x v="0"/>
    <x v="48"/>
    <x v="1"/>
    <x v="63"/>
    <x v="0"/>
    <x v="50"/>
    <x v="0"/>
    <x v="0"/>
    <x v="0"/>
    <x v="0"/>
    <x v="2"/>
    <x v="0"/>
    <x v="0"/>
    <x v="0"/>
    <x v="3"/>
    <x v="0"/>
    <x v="0"/>
    <x v="0"/>
    <x v="0"/>
    <x v="0"/>
    <x v="0"/>
    <x v="0"/>
    <x v="0"/>
    <x v="0"/>
    <x v="0"/>
    <x v="0"/>
    <x v="0"/>
    <x v="0"/>
    <x v="0"/>
    <x v="0"/>
    <x v="1"/>
    <x v="0"/>
    <x v="0"/>
    <x v="0"/>
    <x v="227"/>
    <x v="0"/>
    <x v="173"/>
  </r>
  <r>
    <x v="255"/>
    <x v="255"/>
    <x v="3"/>
    <x v="35"/>
    <x v="35"/>
    <x v="2"/>
    <x v="0"/>
    <x v="0"/>
    <x v="99"/>
    <x v="220"/>
    <x v="239"/>
    <x v="0"/>
    <x v="0"/>
    <x v="0"/>
    <x v="137"/>
    <x v="13"/>
    <x v="214"/>
    <x v="0"/>
    <x v="163"/>
    <x v="1"/>
    <x v="56"/>
    <x v="0"/>
    <x v="49"/>
    <x v="0"/>
    <x v="0"/>
    <x v="0"/>
    <x v="0"/>
    <x v="16"/>
    <x v="75"/>
    <x v="0"/>
    <x v="62"/>
    <x v="4"/>
    <x v="75"/>
    <x v="0"/>
    <x v="49"/>
    <x v="1"/>
    <x v="64"/>
    <x v="0"/>
    <x v="51"/>
    <x v="0"/>
    <x v="0"/>
    <x v="0"/>
    <x v="0"/>
    <x v="2"/>
    <x v="0"/>
    <x v="0"/>
    <x v="0"/>
    <x v="3"/>
    <x v="0"/>
    <x v="0"/>
    <x v="0"/>
    <x v="0"/>
    <x v="0"/>
    <x v="0"/>
    <x v="0"/>
    <x v="0"/>
    <x v="0"/>
    <x v="0"/>
    <x v="0"/>
    <x v="0"/>
    <x v="0"/>
    <x v="0"/>
    <x v="0"/>
    <x v="1"/>
    <x v="0"/>
    <x v="0"/>
    <x v="0"/>
    <x v="228"/>
    <x v="0"/>
    <x v="174"/>
  </r>
  <r>
    <x v="256"/>
    <x v="256"/>
    <x v="3"/>
    <x v="35"/>
    <x v="35"/>
    <x v="2"/>
    <x v="0"/>
    <x v="0"/>
    <x v="27"/>
    <x v="221"/>
    <x v="240"/>
    <x v="0"/>
    <x v="0"/>
    <x v="0"/>
    <x v="138"/>
    <x v="6"/>
    <x v="215"/>
    <x v="0"/>
    <x v="164"/>
    <x v="1"/>
    <x v="57"/>
    <x v="0"/>
    <x v="50"/>
    <x v="0"/>
    <x v="0"/>
    <x v="0"/>
    <x v="0"/>
    <x v="16"/>
    <x v="76"/>
    <x v="0"/>
    <x v="63"/>
    <x v="4"/>
    <x v="76"/>
    <x v="0"/>
    <x v="50"/>
    <x v="1"/>
    <x v="65"/>
    <x v="0"/>
    <x v="52"/>
    <x v="0"/>
    <x v="0"/>
    <x v="0"/>
    <x v="0"/>
    <x v="2"/>
    <x v="0"/>
    <x v="0"/>
    <x v="0"/>
    <x v="3"/>
    <x v="0"/>
    <x v="0"/>
    <x v="0"/>
    <x v="0"/>
    <x v="0"/>
    <x v="0"/>
    <x v="0"/>
    <x v="0"/>
    <x v="0"/>
    <x v="0"/>
    <x v="0"/>
    <x v="0"/>
    <x v="0"/>
    <x v="0"/>
    <x v="0"/>
    <x v="1"/>
    <x v="0"/>
    <x v="0"/>
    <x v="0"/>
    <x v="229"/>
    <x v="0"/>
    <x v="175"/>
  </r>
  <r>
    <x v="257"/>
    <x v="257"/>
    <x v="3"/>
    <x v="35"/>
    <x v="35"/>
    <x v="2"/>
    <x v="0"/>
    <x v="0"/>
    <x v="194"/>
    <x v="222"/>
    <x v="241"/>
    <x v="0"/>
    <x v="0"/>
    <x v="0"/>
    <x v="139"/>
    <x v="22"/>
    <x v="216"/>
    <x v="0"/>
    <x v="165"/>
    <x v="1"/>
    <x v="58"/>
    <x v="0"/>
    <x v="51"/>
    <x v="0"/>
    <x v="0"/>
    <x v="0"/>
    <x v="0"/>
    <x v="16"/>
    <x v="77"/>
    <x v="0"/>
    <x v="64"/>
    <x v="4"/>
    <x v="77"/>
    <x v="0"/>
    <x v="51"/>
    <x v="1"/>
    <x v="66"/>
    <x v="0"/>
    <x v="53"/>
    <x v="0"/>
    <x v="0"/>
    <x v="0"/>
    <x v="0"/>
    <x v="2"/>
    <x v="0"/>
    <x v="0"/>
    <x v="0"/>
    <x v="3"/>
    <x v="0"/>
    <x v="0"/>
    <x v="0"/>
    <x v="0"/>
    <x v="0"/>
    <x v="0"/>
    <x v="0"/>
    <x v="0"/>
    <x v="0"/>
    <x v="0"/>
    <x v="0"/>
    <x v="0"/>
    <x v="0"/>
    <x v="0"/>
    <x v="0"/>
    <x v="1"/>
    <x v="0"/>
    <x v="0"/>
    <x v="0"/>
    <x v="230"/>
    <x v="0"/>
    <x v="176"/>
  </r>
  <r>
    <x v="258"/>
    <x v="258"/>
    <x v="3"/>
    <x v="35"/>
    <x v="35"/>
    <x v="2"/>
    <x v="0"/>
    <x v="0"/>
    <x v="93"/>
    <x v="223"/>
    <x v="242"/>
    <x v="0"/>
    <x v="0"/>
    <x v="0"/>
    <x v="140"/>
    <x v="40"/>
    <x v="217"/>
    <x v="0"/>
    <x v="166"/>
    <x v="1"/>
    <x v="59"/>
    <x v="0"/>
    <x v="52"/>
    <x v="0"/>
    <x v="0"/>
    <x v="0"/>
    <x v="0"/>
    <x v="16"/>
    <x v="78"/>
    <x v="0"/>
    <x v="65"/>
    <x v="4"/>
    <x v="78"/>
    <x v="0"/>
    <x v="52"/>
    <x v="1"/>
    <x v="67"/>
    <x v="0"/>
    <x v="54"/>
    <x v="0"/>
    <x v="0"/>
    <x v="0"/>
    <x v="0"/>
    <x v="2"/>
    <x v="0"/>
    <x v="0"/>
    <x v="0"/>
    <x v="3"/>
    <x v="0"/>
    <x v="0"/>
    <x v="0"/>
    <x v="0"/>
    <x v="0"/>
    <x v="0"/>
    <x v="0"/>
    <x v="0"/>
    <x v="0"/>
    <x v="0"/>
    <x v="0"/>
    <x v="0"/>
    <x v="0"/>
    <x v="0"/>
    <x v="0"/>
    <x v="1"/>
    <x v="0"/>
    <x v="0"/>
    <x v="0"/>
    <x v="231"/>
    <x v="0"/>
    <x v="177"/>
  </r>
  <r>
    <x v="259"/>
    <x v="259"/>
    <x v="3"/>
    <x v="35"/>
    <x v="35"/>
    <x v="2"/>
    <x v="0"/>
    <x v="0"/>
    <x v="41"/>
    <x v="224"/>
    <x v="243"/>
    <x v="0"/>
    <x v="0"/>
    <x v="0"/>
    <x v="44"/>
    <x v="4"/>
    <x v="218"/>
    <x v="0"/>
    <x v="167"/>
    <x v="1"/>
    <x v="60"/>
    <x v="0"/>
    <x v="53"/>
    <x v="0"/>
    <x v="0"/>
    <x v="0"/>
    <x v="0"/>
    <x v="16"/>
    <x v="79"/>
    <x v="0"/>
    <x v="66"/>
    <x v="4"/>
    <x v="79"/>
    <x v="0"/>
    <x v="53"/>
    <x v="1"/>
    <x v="68"/>
    <x v="0"/>
    <x v="55"/>
    <x v="0"/>
    <x v="0"/>
    <x v="0"/>
    <x v="0"/>
    <x v="1"/>
    <x v="102"/>
    <x v="0"/>
    <x v="56"/>
    <x v="10"/>
    <x v="115"/>
    <x v="0"/>
    <x v="56"/>
    <x v="0"/>
    <x v="0"/>
    <x v="0"/>
    <x v="0"/>
    <x v="0"/>
    <x v="0"/>
    <x v="0"/>
    <x v="0"/>
    <x v="0"/>
    <x v="0"/>
    <x v="0"/>
    <x v="0"/>
    <x v="1"/>
    <x v="0"/>
    <x v="0"/>
    <x v="0"/>
    <x v="232"/>
    <x v="0"/>
    <x v="178"/>
  </r>
  <r>
    <x v="260"/>
    <x v="260"/>
    <x v="3"/>
    <x v="35"/>
    <x v="35"/>
    <x v="2"/>
    <x v="0"/>
    <x v="0"/>
    <x v="166"/>
    <x v="225"/>
    <x v="244"/>
    <x v="0"/>
    <x v="0"/>
    <x v="0"/>
    <x v="135"/>
    <x v="7"/>
    <x v="219"/>
    <x v="0"/>
    <x v="168"/>
    <x v="1"/>
    <x v="61"/>
    <x v="0"/>
    <x v="54"/>
    <x v="0"/>
    <x v="0"/>
    <x v="0"/>
    <x v="0"/>
    <x v="16"/>
    <x v="80"/>
    <x v="0"/>
    <x v="67"/>
    <x v="4"/>
    <x v="80"/>
    <x v="0"/>
    <x v="54"/>
    <x v="1"/>
    <x v="69"/>
    <x v="0"/>
    <x v="56"/>
    <x v="0"/>
    <x v="0"/>
    <x v="0"/>
    <x v="0"/>
    <x v="2"/>
    <x v="0"/>
    <x v="0"/>
    <x v="0"/>
    <x v="3"/>
    <x v="0"/>
    <x v="0"/>
    <x v="0"/>
    <x v="0"/>
    <x v="0"/>
    <x v="0"/>
    <x v="0"/>
    <x v="0"/>
    <x v="0"/>
    <x v="0"/>
    <x v="0"/>
    <x v="0"/>
    <x v="0"/>
    <x v="0"/>
    <x v="0"/>
    <x v="1"/>
    <x v="0"/>
    <x v="0"/>
    <x v="0"/>
    <x v="233"/>
    <x v="0"/>
    <x v="179"/>
  </r>
  <r>
    <x v="261"/>
    <x v="261"/>
    <x v="3"/>
    <x v="35"/>
    <x v="35"/>
    <x v="2"/>
    <x v="0"/>
    <x v="0"/>
    <x v="181"/>
    <x v="226"/>
    <x v="245"/>
    <x v="0"/>
    <x v="0"/>
    <x v="0"/>
    <x v="141"/>
    <x v="22"/>
    <x v="220"/>
    <x v="0"/>
    <x v="169"/>
    <x v="1"/>
    <x v="62"/>
    <x v="0"/>
    <x v="55"/>
    <x v="0"/>
    <x v="0"/>
    <x v="0"/>
    <x v="0"/>
    <x v="16"/>
    <x v="81"/>
    <x v="0"/>
    <x v="68"/>
    <x v="4"/>
    <x v="81"/>
    <x v="0"/>
    <x v="55"/>
    <x v="1"/>
    <x v="70"/>
    <x v="0"/>
    <x v="57"/>
    <x v="0"/>
    <x v="0"/>
    <x v="0"/>
    <x v="0"/>
    <x v="2"/>
    <x v="0"/>
    <x v="0"/>
    <x v="0"/>
    <x v="3"/>
    <x v="0"/>
    <x v="0"/>
    <x v="0"/>
    <x v="0"/>
    <x v="0"/>
    <x v="0"/>
    <x v="0"/>
    <x v="0"/>
    <x v="0"/>
    <x v="0"/>
    <x v="0"/>
    <x v="0"/>
    <x v="0"/>
    <x v="0"/>
    <x v="0"/>
    <x v="1"/>
    <x v="0"/>
    <x v="0"/>
    <x v="0"/>
    <x v="234"/>
    <x v="0"/>
    <x v="180"/>
  </r>
  <r>
    <x v="262"/>
    <x v="262"/>
    <x v="3"/>
    <x v="35"/>
    <x v="35"/>
    <x v="2"/>
    <x v="0"/>
    <x v="0"/>
    <x v="141"/>
    <x v="227"/>
    <x v="246"/>
    <x v="0"/>
    <x v="0"/>
    <x v="0"/>
    <x v="142"/>
    <x v="22"/>
    <x v="221"/>
    <x v="0"/>
    <x v="170"/>
    <x v="1"/>
    <x v="63"/>
    <x v="0"/>
    <x v="56"/>
    <x v="0"/>
    <x v="0"/>
    <x v="0"/>
    <x v="0"/>
    <x v="16"/>
    <x v="82"/>
    <x v="0"/>
    <x v="69"/>
    <x v="4"/>
    <x v="82"/>
    <x v="0"/>
    <x v="56"/>
    <x v="1"/>
    <x v="71"/>
    <x v="0"/>
    <x v="58"/>
    <x v="0"/>
    <x v="0"/>
    <x v="0"/>
    <x v="0"/>
    <x v="2"/>
    <x v="0"/>
    <x v="0"/>
    <x v="0"/>
    <x v="3"/>
    <x v="0"/>
    <x v="0"/>
    <x v="0"/>
    <x v="0"/>
    <x v="0"/>
    <x v="0"/>
    <x v="0"/>
    <x v="0"/>
    <x v="0"/>
    <x v="0"/>
    <x v="0"/>
    <x v="0"/>
    <x v="0"/>
    <x v="0"/>
    <x v="0"/>
    <x v="1"/>
    <x v="0"/>
    <x v="0"/>
    <x v="0"/>
    <x v="235"/>
    <x v="0"/>
    <x v="181"/>
  </r>
  <r>
    <x v="263"/>
    <x v="263"/>
    <x v="3"/>
    <x v="35"/>
    <x v="35"/>
    <x v="2"/>
    <x v="0"/>
    <x v="0"/>
    <x v="195"/>
    <x v="228"/>
    <x v="247"/>
    <x v="0"/>
    <x v="0"/>
    <x v="0"/>
    <x v="143"/>
    <x v="13"/>
    <x v="222"/>
    <x v="0"/>
    <x v="171"/>
    <x v="1"/>
    <x v="64"/>
    <x v="0"/>
    <x v="57"/>
    <x v="0"/>
    <x v="0"/>
    <x v="0"/>
    <x v="0"/>
    <x v="16"/>
    <x v="83"/>
    <x v="0"/>
    <x v="70"/>
    <x v="4"/>
    <x v="83"/>
    <x v="0"/>
    <x v="57"/>
    <x v="1"/>
    <x v="72"/>
    <x v="0"/>
    <x v="59"/>
    <x v="0"/>
    <x v="0"/>
    <x v="0"/>
    <x v="0"/>
    <x v="2"/>
    <x v="0"/>
    <x v="0"/>
    <x v="0"/>
    <x v="3"/>
    <x v="0"/>
    <x v="0"/>
    <x v="0"/>
    <x v="0"/>
    <x v="0"/>
    <x v="0"/>
    <x v="0"/>
    <x v="0"/>
    <x v="0"/>
    <x v="0"/>
    <x v="0"/>
    <x v="0"/>
    <x v="0"/>
    <x v="0"/>
    <x v="0"/>
    <x v="1"/>
    <x v="0"/>
    <x v="0"/>
    <x v="0"/>
    <x v="236"/>
    <x v="0"/>
    <x v="182"/>
  </r>
  <r>
    <x v="264"/>
    <x v="264"/>
    <x v="3"/>
    <x v="35"/>
    <x v="35"/>
    <x v="2"/>
    <x v="0"/>
    <x v="0"/>
    <x v="94"/>
    <x v="229"/>
    <x v="248"/>
    <x v="0"/>
    <x v="0"/>
    <x v="0"/>
    <x v="144"/>
    <x v="1"/>
    <x v="223"/>
    <x v="0"/>
    <x v="172"/>
    <x v="1"/>
    <x v="65"/>
    <x v="0"/>
    <x v="58"/>
    <x v="0"/>
    <x v="0"/>
    <x v="0"/>
    <x v="0"/>
    <x v="0"/>
    <x v="0"/>
    <x v="0"/>
    <x v="0"/>
    <x v="4"/>
    <x v="84"/>
    <x v="0"/>
    <x v="58"/>
    <x v="1"/>
    <x v="73"/>
    <x v="0"/>
    <x v="60"/>
    <x v="0"/>
    <x v="0"/>
    <x v="0"/>
    <x v="0"/>
    <x v="2"/>
    <x v="0"/>
    <x v="0"/>
    <x v="0"/>
    <x v="3"/>
    <x v="0"/>
    <x v="0"/>
    <x v="0"/>
    <x v="0"/>
    <x v="0"/>
    <x v="0"/>
    <x v="0"/>
    <x v="0"/>
    <x v="0"/>
    <x v="0"/>
    <x v="0"/>
    <x v="0"/>
    <x v="0"/>
    <x v="0"/>
    <x v="0"/>
    <x v="1"/>
    <x v="0"/>
    <x v="0"/>
    <x v="0"/>
    <x v="237"/>
    <x v="0"/>
    <x v="183"/>
  </r>
  <r>
    <x v="265"/>
    <x v="265"/>
    <x v="3"/>
    <x v="36"/>
    <x v="36"/>
    <x v="2"/>
    <x v="0"/>
    <x v="0"/>
    <x v="196"/>
    <x v="230"/>
    <x v="249"/>
    <x v="1"/>
    <x v="0"/>
    <x v="28"/>
    <x v="145"/>
    <x v="21"/>
    <x v="224"/>
    <x v="83"/>
    <x v="173"/>
    <x v="0"/>
    <x v="0"/>
    <x v="10"/>
    <x v="0"/>
    <x v="0"/>
    <x v="0"/>
    <x v="1"/>
    <x v="0"/>
    <x v="0"/>
    <x v="0"/>
    <x v="0"/>
    <x v="0"/>
    <x v="0"/>
    <x v="0"/>
    <x v="16"/>
    <x v="0"/>
    <x v="0"/>
    <x v="0"/>
    <x v="2"/>
    <x v="0"/>
    <x v="0"/>
    <x v="0"/>
    <x v="10"/>
    <x v="0"/>
    <x v="2"/>
    <x v="103"/>
    <x v="67"/>
    <x v="0"/>
    <x v="3"/>
    <x v="116"/>
    <x v="79"/>
    <x v="0"/>
    <x v="0"/>
    <x v="0"/>
    <x v="6"/>
    <x v="0"/>
    <x v="0"/>
    <x v="0"/>
    <x v="1"/>
    <x v="0"/>
    <x v="0"/>
    <x v="0"/>
    <x v="1"/>
    <x v="0"/>
    <x v="1"/>
    <x v="39"/>
    <x v="39"/>
    <x v="0"/>
    <x v="238"/>
    <x v="100"/>
    <x v="184"/>
  </r>
  <r>
    <x v="266"/>
    <x v="266"/>
    <x v="3"/>
    <x v="36"/>
    <x v="36"/>
    <x v="2"/>
    <x v="0"/>
    <x v="0"/>
    <x v="197"/>
    <x v="231"/>
    <x v="250"/>
    <x v="2"/>
    <x v="0"/>
    <x v="0"/>
    <x v="146"/>
    <x v="21"/>
    <x v="225"/>
    <x v="0"/>
    <x v="174"/>
    <x v="0"/>
    <x v="0"/>
    <x v="0"/>
    <x v="0"/>
    <x v="0"/>
    <x v="0"/>
    <x v="0"/>
    <x v="0"/>
    <x v="0"/>
    <x v="0"/>
    <x v="0"/>
    <x v="0"/>
    <x v="0"/>
    <x v="0"/>
    <x v="0"/>
    <x v="0"/>
    <x v="0"/>
    <x v="0"/>
    <x v="0"/>
    <x v="0"/>
    <x v="0"/>
    <x v="0"/>
    <x v="0"/>
    <x v="0"/>
    <x v="2"/>
    <x v="0"/>
    <x v="0"/>
    <x v="0"/>
    <x v="3"/>
    <x v="0"/>
    <x v="0"/>
    <x v="0"/>
    <x v="0"/>
    <x v="0"/>
    <x v="0"/>
    <x v="0"/>
    <x v="0"/>
    <x v="0"/>
    <x v="0"/>
    <x v="0"/>
    <x v="0"/>
    <x v="0"/>
    <x v="0"/>
    <x v="0"/>
    <x v="1"/>
    <x v="0"/>
    <x v="0"/>
    <x v="0"/>
    <x v="239"/>
    <x v="0"/>
    <x v="185"/>
  </r>
  <r>
    <x v="267"/>
    <x v="267"/>
    <x v="3"/>
    <x v="36"/>
    <x v="36"/>
    <x v="2"/>
    <x v="0"/>
    <x v="0"/>
    <x v="181"/>
    <x v="232"/>
    <x v="251"/>
    <x v="3"/>
    <x v="0"/>
    <x v="0"/>
    <x v="147"/>
    <x v="14"/>
    <x v="226"/>
    <x v="0"/>
    <x v="175"/>
    <x v="0"/>
    <x v="0"/>
    <x v="0"/>
    <x v="0"/>
    <x v="0"/>
    <x v="0"/>
    <x v="0"/>
    <x v="0"/>
    <x v="0"/>
    <x v="0"/>
    <x v="0"/>
    <x v="0"/>
    <x v="0"/>
    <x v="0"/>
    <x v="0"/>
    <x v="0"/>
    <x v="0"/>
    <x v="0"/>
    <x v="0"/>
    <x v="0"/>
    <x v="0"/>
    <x v="0"/>
    <x v="0"/>
    <x v="0"/>
    <x v="2"/>
    <x v="0"/>
    <x v="0"/>
    <x v="0"/>
    <x v="3"/>
    <x v="0"/>
    <x v="0"/>
    <x v="0"/>
    <x v="0"/>
    <x v="0"/>
    <x v="0"/>
    <x v="0"/>
    <x v="0"/>
    <x v="0"/>
    <x v="0"/>
    <x v="0"/>
    <x v="0"/>
    <x v="0"/>
    <x v="0"/>
    <x v="0"/>
    <x v="1"/>
    <x v="0"/>
    <x v="0"/>
    <x v="0"/>
    <x v="240"/>
    <x v="0"/>
    <x v="186"/>
  </r>
  <r>
    <x v="268"/>
    <x v="268"/>
    <x v="3"/>
    <x v="36"/>
    <x v="36"/>
    <x v="2"/>
    <x v="0"/>
    <x v="0"/>
    <x v="42"/>
    <x v="233"/>
    <x v="252"/>
    <x v="4"/>
    <x v="0"/>
    <x v="0"/>
    <x v="119"/>
    <x v="14"/>
    <x v="227"/>
    <x v="0"/>
    <x v="176"/>
    <x v="0"/>
    <x v="0"/>
    <x v="0"/>
    <x v="0"/>
    <x v="0"/>
    <x v="0"/>
    <x v="0"/>
    <x v="0"/>
    <x v="0"/>
    <x v="0"/>
    <x v="0"/>
    <x v="0"/>
    <x v="0"/>
    <x v="0"/>
    <x v="0"/>
    <x v="0"/>
    <x v="0"/>
    <x v="0"/>
    <x v="0"/>
    <x v="0"/>
    <x v="0"/>
    <x v="0"/>
    <x v="0"/>
    <x v="0"/>
    <x v="2"/>
    <x v="0"/>
    <x v="0"/>
    <x v="0"/>
    <x v="3"/>
    <x v="0"/>
    <x v="0"/>
    <x v="0"/>
    <x v="0"/>
    <x v="0"/>
    <x v="0"/>
    <x v="0"/>
    <x v="0"/>
    <x v="0"/>
    <x v="0"/>
    <x v="0"/>
    <x v="0"/>
    <x v="0"/>
    <x v="0"/>
    <x v="0"/>
    <x v="1"/>
    <x v="0"/>
    <x v="0"/>
    <x v="0"/>
    <x v="241"/>
    <x v="0"/>
    <x v="187"/>
  </r>
  <r>
    <x v="269"/>
    <x v="269"/>
    <x v="3"/>
    <x v="36"/>
    <x v="36"/>
    <x v="2"/>
    <x v="0"/>
    <x v="0"/>
    <x v="198"/>
    <x v="234"/>
    <x v="253"/>
    <x v="3"/>
    <x v="0"/>
    <x v="0"/>
    <x v="1"/>
    <x v="14"/>
    <x v="228"/>
    <x v="0"/>
    <x v="177"/>
    <x v="0"/>
    <x v="0"/>
    <x v="0"/>
    <x v="0"/>
    <x v="0"/>
    <x v="0"/>
    <x v="0"/>
    <x v="0"/>
    <x v="0"/>
    <x v="0"/>
    <x v="0"/>
    <x v="0"/>
    <x v="0"/>
    <x v="0"/>
    <x v="0"/>
    <x v="0"/>
    <x v="0"/>
    <x v="0"/>
    <x v="0"/>
    <x v="0"/>
    <x v="0"/>
    <x v="0"/>
    <x v="0"/>
    <x v="0"/>
    <x v="2"/>
    <x v="0"/>
    <x v="0"/>
    <x v="0"/>
    <x v="3"/>
    <x v="0"/>
    <x v="0"/>
    <x v="0"/>
    <x v="0"/>
    <x v="0"/>
    <x v="0"/>
    <x v="0"/>
    <x v="0"/>
    <x v="0"/>
    <x v="0"/>
    <x v="0"/>
    <x v="0"/>
    <x v="0"/>
    <x v="0"/>
    <x v="0"/>
    <x v="1"/>
    <x v="0"/>
    <x v="0"/>
    <x v="0"/>
    <x v="242"/>
    <x v="0"/>
    <x v="188"/>
  </r>
  <r>
    <x v="270"/>
    <x v="270"/>
    <x v="3"/>
    <x v="36"/>
    <x v="36"/>
    <x v="2"/>
    <x v="0"/>
    <x v="0"/>
    <x v="199"/>
    <x v="235"/>
    <x v="254"/>
    <x v="5"/>
    <x v="0"/>
    <x v="0"/>
    <x v="148"/>
    <x v="21"/>
    <x v="229"/>
    <x v="0"/>
    <x v="178"/>
    <x v="0"/>
    <x v="0"/>
    <x v="0"/>
    <x v="0"/>
    <x v="0"/>
    <x v="0"/>
    <x v="0"/>
    <x v="0"/>
    <x v="0"/>
    <x v="0"/>
    <x v="0"/>
    <x v="0"/>
    <x v="0"/>
    <x v="0"/>
    <x v="0"/>
    <x v="0"/>
    <x v="0"/>
    <x v="0"/>
    <x v="0"/>
    <x v="0"/>
    <x v="0"/>
    <x v="0"/>
    <x v="0"/>
    <x v="0"/>
    <x v="2"/>
    <x v="0"/>
    <x v="0"/>
    <x v="0"/>
    <x v="3"/>
    <x v="0"/>
    <x v="0"/>
    <x v="0"/>
    <x v="0"/>
    <x v="0"/>
    <x v="0"/>
    <x v="0"/>
    <x v="0"/>
    <x v="0"/>
    <x v="0"/>
    <x v="0"/>
    <x v="0"/>
    <x v="0"/>
    <x v="0"/>
    <x v="0"/>
    <x v="1"/>
    <x v="0"/>
    <x v="0"/>
    <x v="0"/>
    <x v="243"/>
    <x v="0"/>
    <x v="189"/>
  </r>
  <r>
    <x v="271"/>
    <x v="271"/>
    <x v="3"/>
    <x v="36"/>
    <x v="36"/>
    <x v="2"/>
    <x v="0"/>
    <x v="0"/>
    <x v="200"/>
    <x v="236"/>
    <x v="1"/>
    <x v="5"/>
    <x v="0"/>
    <x v="0"/>
    <x v="148"/>
    <x v="17"/>
    <x v="0"/>
    <x v="0"/>
    <x v="0"/>
    <x v="0"/>
    <x v="0"/>
    <x v="0"/>
    <x v="0"/>
    <x v="0"/>
    <x v="0"/>
    <x v="0"/>
    <x v="0"/>
    <x v="0"/>
    <x v="0"/>
    <x v="0"/>
    <x v="0"/>
    <x v="0"/>
    <x v="0"/>
    <x v="0"/>
    <x v="0"/>
    <x v="0"/>
    <x v="0"/>
    <x v="0"/>
    <x v="0"/>
    <x v="0"/>
    <x v="0"/>
    <x v="0"/>
    <x v="0"/>
    <x v="2"/>
    <x v="0"/>
    <x v="0"/>
    <x v="0"/>
    <x v="3"/>
    <x v="0"/>
    <x v="0"/>
    <x v="0"/>
    <x v="0"/>
    <x v="0"/>
    <x v="0"/>
    <x v="0"/>
    <x v="0"/>
    <x v="0"/>
    <x v="0"/>
    <x v="0"/>
    <x v="0"/>
    <x v="0"/>
    <x v="0"/>
    <x v="0"/>
    <x v="1"/>
    <x v="0"/>
    <x v="0"/>
    <x v="0"/>
    <x v="0"/>
    <x v="0"/>
    <x v="0"/>
  </r>
  <r>
    <x v="272"/>
    <x v="272"/>
    <x v="3"/>
    <x v="36"/>
    <x v="36"/>
    <x v="2"/>
    <x v="0"/>
    <x v="0"/>
    <x v="201"/>
    <x v="236"/>
    <x v="255"/>
    <x v="5"/>
    <x v="0"/>
    <x v="0"/>
    <x v="108"/>
    <x v="17"/>
    <x v="230"/>
    <x v="0"/>
    <x v="179"/>
    <x v="0"/>
    <x v="0"/>
    <x v="0"/>
    <x v="0"/>
    <x v="0"/>
    <x v="0"/>
    <x v="0"/>
    <x v="0"/>
    <x v="0"/>
    <x v="0"/>
    <x v="0"/>
    <x v="0"/>
    <x v="0"/>
    <x v="0"/>
    <x v="0"/>
    <x v="0"/>
    <x v="0"/>
    <x v="0"/>
    <x v="0"/>
    <x v="0"/>
    <x v="0"/>
    <x v="0"/>
    <x v="0"/>
    <x v="0"/>
    <x v="2"/>
    <x v="0"/>
    <x v="0"/>
    <x v="0"/>
    <x v="3"/>
    <x v="0"/>
    <x v="0"/>
    <x v="0"/>
    <x v="0"/>
    <x v="0"/>
    <x v="0"/>
    <x v="0"/>
    <x v="0"/>
    <x v="0"/>
    <x v="0"/>
    <x v="0"/>
    <x v="0"/>
    <x v="0"/>
    <x v="0"/>
    <x v="0"/>
    <x v="1"/>
    <x v="0"/>
    <x v="0"/>
    <x v="0"/>
    <x v="244"/>
    <x v="0"/>
    <x v="190"/>
  </r>
  <r>
    <x v="273"/>
    <x v="273"/>
    <x v="3"/>
    <x v="36"/>
    <x v="36"/>
    <x v="2"/>
    <x v="0"/>
    <x v="0"/>
    <x v="202"/>
    <x v="222"/>
    <x v="256"/>
    <x v="5"/>
    <x v="0"/>
    <x v="0"/>
    <x v="49"/>
    <x v="14"/>
    <x v="231"/>
    <x v="0"/>
    <x v="180"/>
    <x v="0"/>
    <x v="0"/>
    <x v="0"/>
    <x v="0"/>
    <x v="0"/>
    <x v="0"/>
    <x v="0"/>
    <x v="0"/>
    <x v="0"/>
    <x v="0"/>
    <x v="0"/>
    <x v="0"/>
    <x v="0"/>
    <x v="0"/>
    <x v="0"/>
    <x v="0"/>
    <x v="0"/>
    <x v="0"/>
    <x v="0"/>
    <x v="0"/>
    <x v="0"/>
    <x v="0"/>
    <x v="0"/>
    <x v="0"/>
    <x v="2"/>
    <x v="0"/>
    <x v="0"/>
    <x v="0"/>
    <x v="3"/>
    <x v="0"/>
    <x v="0"/>
    <x v="0"/>
    <x v="0"/>
    <x v="0"/>
    <x v="0"/>
    <x v="0"/>
    <x v="0"/>
    <x v="0"/>
    <x v="0"/>
    <x v="0"/>
    <x v="0"/>
    <x v="0"/>
    <x v="0"/>
    <x v="0"/>
    <x v="1"/>
    <x v="0"/>
    <x v="0"/>
    <x v="0"/>
    <x v="245"/>
    <x v="0"/>
    <x v="191"/>
  </r>
  <r>
    <x v="274"/>
    <x v="274"/>
    <x v="3"/>
    <x v="36"/>
    <x v="36"/>
    <x v="2"/>
    <x v="0"/>
    <x v="0"/>
    <x v="203"/>
    <x v="237"/>
    <x v="257"/>
    <x v="0"/>
    <x v="0"/>
    <x v="0"/>
    <x v="22"/>
    <x v="41"/>
    <x v="232"/>
    <x v="0"/>
    <x v="181"/>
    <x v="0"/>
    <x v="0"/>
    <x v="0"/>
    <x v="0"/>
    <x v="0"/>
    <x v="0"/>
    <x v="0"/>
    <x v="0"/>
    <x v="17"/>
    <x v="84"/>
    <x v="0"/>
    <x v="71"/>
    <x v="0"/>
    <x v="0"/>
    <x v="0"/>
    <x v="0"/>
    <x v="0"/>
    <x v="0"/>
    <x v="0"/>
    <x v="0"/>
    <x v="0"/>
    <x v="0"/>
    <x v="0"/>
    <x v="0"/>
    <x v="0"/>
    <x v="0"/>
    <x v="0"/>
    <x v="0"/>
    <x v="3"/>
    <x v="0"/>
    <x v="0"/>
    <x v="0"/>
    <x v="0"/>
    <x v="0"/>
    <x v="0"/>
    <x v="0"/>
    <x v="0"/>
    <x v="0"/>
    <x v="0"/>
    <x v="0"/>
    <x v="0"/>
    <x v="0"/>
    <x v="0"/>
    <x v="0"/>
    <x v="1"/>
    <x v="0"/>
    <x v="0"/>
    <x v="0"/>
    <x v="246"/>
    <x v="0"/>
    <x v="192"/>
  </r>
  <r>
    <x v="275"/>
    <x v="275"/>
    <x v="3"/>
    <x v="36"/>
    <x v="36"/>
    <x v="2"/>
    <x v="0"/>
    <x v="0"/>
    <x v="204"/>
    <x v="238"/>
    <x v="258"/>
    <x v="6"/>
    <x v="0"/>
    <x v="0"/>
    <x v="54"/>
    <x v="14"/>
    <x v="233"/>
    <x v="0"/>
    <x v="182"/>
    <x v="0"/>
    <x v="0"/>
    <x v="0"/>
    <x v="0"/>
    <x v="0"/>
    <x v="0"/>
    <x v="0"/>
    <x v="0"/>
    <x v="0"/>
    <x v="0"/>
    <x v="0"/>
    <x v="0"/>
    <x v="0"/>
    <x v="0"/>
    <x v="0"/>
    <x v="0"/>
    <x v="0"/>
    <x v="0"/>
    <x v="0"/>
    <x v="0"/>
    <x v="0"/>
    <x v="0"/>
    <x v="0"/>
    <x v="0"/>
    <x v="2"/>
    <x v="0"/>
    <x v="0"/>
    <x v="0"/>
    <x v="3"/>
    <x v="0"/>
    <x v="0"/>
    <x v="0"/>
    <x v="0"/>
    <x v="0"/>
    <x v="0"/>
    <x v="0"/>
    <x v="0"/>
    <x v="0"/>
    <x v="0"/>
    <x v="0"/>
    <x v="0"/>
    <x v="0"/>
    <x v="0"/>
    <x v="0"/>
    <x v="1"/>
    <x v="0"/>
    <x v="0"/>
    <x v="0"/>
    <x v="247"/>
    <x v="0"/>
    <x v="193"/>
  </r>
  <r>
    <x v="276"/>
    <x v="276"/>
    <x v="3"/>
    <x v="36"/>
    <x v="36"/>
    <x v="2"/>
    <x v="0"/>
    <x v="0"/>
    <x v="205"/>
    <x v="238"/>
    <x v="259"/>
    <x v="0"/>
    <x v="0"/>
    <x v="0"/>
    <x v="1"/>
    <x v="2"/>
    <x v="234"/>
    <x v="0"/>
    <x v="183"/>
    <x v="0"/>
    <x v="0"/>
    <x v="0"/>
    <x v="0"/>
    <x v="0"/>
    <x v="0"/>
    <x v="0"/>
    <x v="0"/>
    <x v="0"/>
    <x v="0"/>
    <x v="0"/>
    <x v="0"/>
    <x v="0"/>
    <x v="0"/>
    <x v="0"/>
    <x v="0"/>
    <x v="0"/>
    <x v="0"/>
    <x v="0"/>
    <x v="0"/>
    <x v="0"/>
    <x v="0"/>
    <x v="0"/>
    <x v="0"/>
    <x v="2"/>
    <x v="0"/>
    <x v="0"/>
    <x v="0"/>
    <x v="3"/>
    <x v="0"/>
    <x v="0"/>
    <x v="0"/>
    <x v="0"/>
    <x v="0"/>
    <x v="0"/>
    <x v="0"/>
    <x v="0"/>
    <x v="0"/>
    <x v="0"/>
    <x v="0"/>
    <x v="0"/>
    <x v="0"/>
    <x v="0"/>
    <x v="0"/>
    <x v="1"/>
    <x v="0"/>
    <x v="0"/>
    <x v="0"/>
    <x v="248"/>
    <x v="0"/>
    <x v="194"/>
  </r>
  <r>
    <x v="277"/>
    <x v="277"/>
    <x v="3"/>
    <x v="36"/>
    <x v="36"/>
    <x v="2"/>
    <x v="0"/>
    <x v="0"/>
    <x v="87"/>
    <x v="239"/>
    <x v="260"/>
    <x v="7"/>
    <x v="0"/>
    <x v="0"/>
    <x v="149"/>
    <x v="15"/>
    <x v="235"/>
    <x v="0"/>
    <x v="184"/>
    <x v="0"/>
    <x v="0"/>
    <x v="0"/>
    <x v="0"/>
    <x v="0"/>
    <x v="0"/>
    <x v="0"/>
    <x v="0"/>
    <x v="0"/>
    <x v="0"/>
    <x v="0"/>
    <x v="0"/>
    <x v="0"/>
    <x v="0"/>
    <x v="0"/>
    <x v="0"/>
    <x v="0"/>
    <x v="0"/>
    <x v="0"/>
    <x v="0"/>
    <x v="0"/>
    <x v="0"/>
    <x v="0"/>
    <x v="0"/>
    <x v="2"/>
    <x v="0"/>
    <x v="0"/>
    <x v="0"/>
    <x v="3"/>
    <x v="0"/>
    <x v="0"/>
    <x v="0"/>
    <x v="0"/>
    <x v="0"/>
    <x v="0"/>
    <x v="0"/>
    <x v="0"/>
    <x v="0"/>
    <x v="0"/>
    <x v="0"/>
    <x v="0"/>
    <x v="0"/>
    <x v="0"/>
    <x v="0"/>
    <x v="1"/>
    <x v="0"/>
    <x v="0"/>
    <x v="0"/>
    <x v="249"/>
    <x v="0"/>
    <x v="195"/>
  </r>
  <r>
    <x v="278"/>
    <x v="278"/>
    <x v="3"/>
    <x v="36"/>
    <x v="36"/>
    <x v="2"/>
    <x v="0"/>
    <x v="0"/>
    <x v="6"/>
    <x v="209"/>
    <x v="261"/>
    <x v="0"/>
    <x v="0"/>
    <x v="0"/>
    <x v="150"/>
    <x v="42"/>
    <x v="236"/>
    <x v="0"/>
    <x v="185"/>
    <x v="0"/>
    <x v="0"/>
    <x v="0"/>
    <x v="0"/>
    <x v="0"/>
    <x v="0"/>
    <x v="0"/>
    <x v="0"/>
    <x v="0"/>
    <x v="0"/>
    <x v="0"/>
    <x v="0"/>
    <x v="0"/>
    <x v="0"/>
    <x v="0"/>
    <x v="0"/>
    <x v="0"/>
    <x v="0"/>
    <x v="0"/>
    <x v="0"/>
    <x v="0"/>
    <x v="0"/>
    <x v="0"/>
    <x v="0"/>
    <x v="0"/>
    <x v="0"/>
    <x v="0"/>
    <x v="0"/>
    <x v="3"/>
    <x v="0"/>
    <x v="0"/>
    <x v="0"/>
    <x v="0"/>
    <x v="0"/>
    <x v="0"/>
    <x v="0"/>
    <x v="0"/>
    <x v="0"/>
    <x v="0"/>
    <x v="0"/>
    <x v="0"/>
    <x v="0"/>
    <x v="0"/>
    <x v="0"/>
    <x v="0"/>
    <x v="0"/>
    <x v="0"/>
    <x v="0"/>
    <x v="5"/>
    <x v="0"/>
    <x v="196"/>
  </r>
  <r>
    <x v="279"/>
    <x v="279"/>
    <x v="3"/>
    <x v="37"/>
    <x v="37"/>
    <x v="2"/>
    <x v="1"/>
    <x v="0"/>
    <x v="206"/>
    <x v="240"/>
    <x v="262"/>
    <x v="0"/>
    <x v="0"/>
    <x v="0"/>
    <x v="53"/>
    <x v="7"/>
    <x v="237"/>
    <x v="0"/>
    <x v="186"/>
    <x v="0"/>
    <x v="0"/>
    <x v="0"/>
    <x v="0"/>
    <x v="2"/>
    <x v="29"/>
    <x v="0"/>
    <x v="29"/>
    <x v="0"/>
    <x v="0"/>
    <x v="0"/>
    <x v="0"/>
    <x v="0"/>
    <x v="0"/>
    <x v="0"/>
    <x v="0"/>
    <x v="0"/>
    <x v="0"/>
    <x v="0"/>
    <x v="0"/>
    <x v="0"/>
    <x v="0"/>
    <x v="0"/>
    <x v="0"/>
    <x v="7"/>
    <x v="104"/>
    <x v="0"/>
    <x v="57"/>
    <x v="11"/>
    <x v="117"/>
    <x v="0"/>
    <x v="57"/>
    <x v="1"/>
    <x v="0"/>
    <x v="0"/>
    <x v="0"/>
    <x v="1"/>
    <x v="0"/>
    <x v="0"/>
    <x v="0"/>
    <x v="1"/>
    <x v="0"/>
    <x v="0"/>
    <x v="0"/>
    <x v="1"/>
    <x v="0"/>
    <x v="0"/>
    <x v="0"/>
    <x v="250"/>
    <x v="0"/>
    <x v="197"/>
  </r>
  <r>
    <x v="280"/>
    <x v="280"/>
    <x v="3"/>
    <x v="37"/>
    <x v="37"/>
    <x v="2"/>
    <x v="1"/>
    <x v="0"/>
    <x v="18"/>
    <x v="241"/>
    <x v="1"/>
    <x v="0"/>
    <x v="0"/>
    <x v="0"/>
    <x v="41"/>
    <x v="22"/>
    <x v="0"/>
    <x v="0"/>
    <x v="0"/>
    <x v="0"/>
    <x v="0"/>
    <x v="0"/>
    <x v="0"/>
    <x v="2"/>
    <x v="0"/>
    <x v="0"/>
    <x v="0"/>
    <x v="0"/>
    <x v="0"/>
    <x v="0"/>
    <x v="0"/>
    <x v="0"/>
    <x v="0"/>
    <x v="0"/>
    <x v="0"/>
    <x v="0"/>
    <x v="0"/>
    <x v="0"/>
    <x v="0"/>
    <x v="0"/>
    <x v="0"/>
    <x v="0"/>
    <x v="0"/>
    <x v="7"/>
    <x v="0"/>
    <x v="0"/>
    <x v="0"/>
    <x v="11"/>
    <x v="0"/>
    <x v="0"/>
    <x v="0"/>
    <x v="1"/>
    <x v="0"/>
    <x v="0"/>
    <x v="0"/>
    <x v="1"/>
    <x v="0"/>
    <x v="0"/>
    <x v="0"/>
    <x v="1"/>
    <x v="0"/>
    <x v="0"/>
    <x v="0"/>
    <x v="1"/>
    <x v="0"/>
    <x v="0"/>
    <x v="0"/>
    <x v="0"/>
    <x v="0"/>
    <x v="0"/>
  </r>
  <r>
    <x v="281"/>
    <x v="281"/>
    <x v="3"/>
    <x v="37"/>
    <x v="37"/>
    <x v="2"/>
    <x v="1"/>
    <x v="0"/>
    <x v="207"/>
    <x v="242"/>
    <x v="263"/>
    <x v="0"/>
    <x v="0"/>
    <x v="0"/>
    <x v="41"/>
    <x v="22"/>
    <x v="238"/>
    <x v="0"/>
    <x v="187"/>
    <x v="0"/>
    <x v="0"/>
    <x v="0"/>
    <x v="0"/>
    <x v="2"/>
    <x v="30"/>
    <x v="0"/>
    <x v="30"/>
    <x v="0"/>
    <x v="0"/>
    <x v="0"/>
    <x v="0"/>
    <x v="0"/>
    <x v="0"/>
    <x v="0"/>
    <x v="0"/>
    <x v="0"/>
    <x v="0"/>
    <x v="0"/>
    <x v="0"/>
    <x v="0"/>
    <x v="0"/>
    <x v="0"/>
    <x v="0"/>
    <x v="7"/>
    <x v="105"/>
    <x v="0"/>
    <x v="58"/>
    <x v="11"/>
    <x v="118"/>
    <x v="0"/>
    <x v="58"/>
    <x v="1"/>
    <x v="0"/>
    <x v="0"/>
    <x v="0"/>
    <x v="1"/>
    <x v="0"/>
    <x v="0"/>
    <x v="0"/>
    <x v="1"/>
    <x v="0"/>
    <x v="0"/>
    <x v="0"/>
    <x v="1"/>
    <x v="0"/>
    <x v="0"/>
    <x v="0"/>
    <x v="251"/>
    <x v="0"/>
    <x v="198"/>
  </r>
  <r>
    <x v="282"/>
    <x v="282"/>
    <x v="3"/>
    <x v="37"/>
    <x v="37"/>
    <x v="2"/>
    <x v="1"/>
    <x v="0"/>
    <x v="208"/>
    <x v="243"/>
    <x v="264"/>
    <x v="0"/>
    <x v="0"/>
    <x v="0"/>
    <x v="49"/>
    <x v="22"/>
    <x v="239"/>
    <x v="0"/>
    <x v="188"/>
    <x v="0"/>
    <x v="0"/>
    <x v="0"/>
    <x v="0"/>
    <x v="2"/>
    <x v="31"/>
    <x v="0"/>
    <x v="31"/>
    <x v="0"/>
    <x v="0"/>
    <x v="0"/>
    <x v="0"/>
    <x v="0"/>
    <x v="0"/>
    <x v="0"/>
    <x v="0"/>
    <x v="0"/>
    <x v="0"/>
    <x v="0"/>
    <x v="0"/>
    <x v="0"/>
    <x v="0"/>
    <x v="0"/>
    <x v="0"/>
    <x v="7"/>
    <x v="106"/>
    <x v="0"/>
    <x v="59"/>
    <x v="11"/>
    <x v="119"/>
    <x v="0"/>
    <x v="59"/>
    <x v="1"/>
    <x v="0"/>
    <x v="0"/>
    <x v="0"/>
    <x v="1"/>
    <x v="0"/>
    <x v="0"/>
    <x v="0"/>
    <x v="1"/>
    <x v="0"/>
    <x v="0"/>
    <x v="0"/>
    <x v="1"/>
    <x v="0"/>
    <x v="0"/>
    <x v="0"/>
    <x v="252"/>
    <x v="0"/>
    <x v="199"/>
  </r>
  <r>
    <x v="283"/>
    <x v="283"/>
    <x v="3"/>
    <x v="37"/>
    <x v="37"/>
    <x v="2"/>
    <x v="1"/>
    <x v="0"/>
    <x v="209"/>
    <x v="244"/>
    <x v="265"/>
    <x v="0"/>
    <x v="0"/>
    <x v="0"/>
    <x v="151"/>
    <x v="22"/>
    <x v="240"/>
    <x v="0"/>
    <x v="189"/>
    <x v="0"/>
    <x v="0"/>
    <x v="0"/>
    <x v="0"/>
    <x v="2"/>
    <x v="32"/>
    <x v="0"/>
    <x v="32"/>
    <x v="0"/>
    <x v="0"/>
    <x v="0"/>
    <x v="0"/>
    <x v="0"/>
    <x v="0"/>
    <x v="0"/>
    <x v="0"/>
    <x v="0"/>
    <x v="0"/>
    <x v="0"/>
    <x v="0"/>
    <x v="0"/>
    <x v="0"/>
    <x v="0"/>
    <x v="0"/>
    <x v="7"/>
    <x v="107"/>
    <x v="0"/>
    <x v="60"/>
    <x v="11"/>
    <x v="120"/>
    <x v="0"/>
    <x v="60"/>
    <x v="1"/>
    <x v="0"/>
    <x v="0"/>
    <x v="0"/>
    <x v="1"/>
    <x v="0"/>
    <x v="0"/>
    <x v="0"/>
    <x v="1"/>
    <x v="0"/>
    <x v="0"/>
    <x v="0"/>
    <x v="1"/>
    <x v="0"/>
    <x v="0"/>
    <x v="0"/>
    <x v="253"/>
    <x v="0"/>
    <x v="200"/>
  </r>
  <r>
    <x v="284"/>
    <x v="284"/>
    <x v="3"/>
    <x v="37"/>
    <x v="37"/>
    <x v="2"/>
    <x v="1"/>
    <x v="0"/>
    <x v="210"/>
    <x v="245"/>
    <x v="266"/>
    <x v="0"/>
    <x v="0"/>
    <x v="0"/>
    <x v="152"/>
    <x v="22"/>
    <x v="241"/>
    <x v="0"/>
    <x v="190"/>
    <x v="0"/>
    <x v="0"/>
    <x v="0"/>
    <x v="0"/>
    <x v="2"/>
    <x v="33"/>
    <x v="0"/>
    <x v="33"/>
    <x v="0"/>
    <x v="0"/>
    <x v="0"/>
    <x v="0"/>
    <x v="0"/>
    <x v="0"/>
    <x v="0"/>
    <x v="0"/>
    <x v="0"/>
    <x v="0"/>
    <x v="0"/>
    <x v="0"/>
    <x v="0"/>
    <x v="0"/>
    <x v="0"/>
    <x v="0"/>
    <x v="7"/>
    <x v="108"/>
    <x v="0"/>
    <x v="61"/>
    <x v="11"/>
    <x v="121"/>
    <x v="0"/>
    <x v="61"/>
    <x v="1"/>
    <x v="0"/>
    <x v="0"/>
    <x v="0"/>
    <x v="1"/>
    <x v="0"/>
    <x v="0"/>
    <x v="0"/>
    <x v="1"/>
    <x v="0"/>
    <x v="0"/>
    <x v="0"/>
    <x v="1"/>
    <x v="0"/>
    <x v="0"/>
    <x v="0"/>
    <x v="254"/>
    <x v="0"/>
    <x v="201"/>
  </r>
  <r>
    <x v="285"/>
    <x v="285"/>
    <x v="3"/>
    <x v="37"/>
    <x v="37"/>
    <x v="2"/>
    <x v="1"/>
    <x v="0"/>
    <x v="211"/>
    <x v="246"/>
    <x v="267"/>
    <x v="0"/>
    <x v="0"/>
    <x v="0"/>
    <x v="108"/>
    <x v="6"/>
    <x v="242"/>
    <x v="0"/>
    <x v="191"/>
    <x v="0"/>
    <x v="0"/>
    <x v="0"/>
    <x v="0"/>
    <x v="2"/>
    <x v="34"/>
    <x v="0"/>
    <x v="34"/>
    <x v="0"/>
    <x v="0"/>
    <x v="0"/>
    <x v="0"/>
    <x v="0"/>
    <x v="0"/>
    <x v="0"/>
    <x v="0"/>
    <x v="0"/>
    <x v="0"/>
    <x v="0"/>
    <x v="0"/>
    <x v="0"/>
    <x v="0"/>
    <x v="0"/>
    <x v="0"/>
    <x v="7"/>
    <x v="109"/>
    <x v="0"/>
    <x v="62"/>
    <x v="11"/>
    <x v="122"/>
    <x v="0"/>
    <x v="62"/>
    <x v="1"/>
    <x v="0"/>
    <x v="0"/>
    <x v="0"/>
    <x v="1"/>
    <x v="0"/>
    <x v="0"/>
    <x v="0"/>
    <x v="1"/>
    <x v="0"/>
    <x v="0"/>
    <x v="0"/>
    <x v="1"/>
    <x v="0"/>
    <x v="0"/>
    <x v="0"/>
    <x v="255"/>
    <x v="0"/>
    <x v="202"/>
  </r>
  <r>
    <x v="286"/>
    <x v="286"/>
    <x v="3"/>
    <x v="37"/>
    <x v="37"/>
    <x v="2"/>
    <x v="1"/>
    <x v="0"/>
    <x v="212"/>
    <x v="247"/>
    <x v="268"/>
    <x v="0"/>
    <x v="0"/>
    <x v="0"/>
    <x v="66"/>
    <x v="2"/>
    <x v="243"/>
    <x v="0"/>
    <x v="192"/>
    <x v="0"/>
    <x v="0"/>
    <x v="0"/>
    <x v="0"/>
    <x v="2"/>
    <x v="35"/>
    <x v="0"/>
    <x v="35"/>
    <x v="0"/>
    <x v="0"/>
    <x v="0"/>
    <x v="0"/>
    <x v="0"/>
    <x v="0"/>
    <x v="0"/>
    <x v="0"/>
    <x v="0"/>
    <x v="0"/>
    <x v="0"/>
    <x v="0"/>
    <x v="0"/>
    <x v="0"/>
    <x v="0"/>
    <x v="0"/>
    <x v="7"/>
    <x v="110"/>
    <x v="0"/>
    <x v="63"/>
    <x v="11"/>
    <x v="123"/>
    <x v="0"/>
    <x v="63"/>
    <x v="1"/>
    <x v="0"/>
    <x v="0"/>
    <x v="0"/>
    <x v="1"/>
    <x v="0"/>
    <x v="0"/>
    <x v="0"/>
    <x v="1"/>
    <x v="0"/>
    <x v="0"/>
    <x v="0"/>
    <x v="1"/>
    <x v="0"/>
    <x v="0"/>
    <x v="0"/>
    <x v="256"/>
    <x v="0"/>
    <x v="203"/>
  </r>
  <r>
    <x v="287"/>
    <x v="287"/>
    <x v="3"/>
    <x v="37"/>
    <x v="37"/>
    <x v="2"/>
    <x v="1"/>
    <x v="0"/>
    <x v="213"/>
    <x v="248"/>
    <x v="269"/>
    <x v="0"/>
    <x v="0"/>
    <x v="29"/>
    <x v="108"/>
    <x v="24"/>
    <x v="244"/>
    <x v="84"/>
    <x v="193"/>
    <x v="0"/>
    <x v="0"/>
    <x v="10"/>
    <x v="0"/>
    <x v="2"/>
    <x v="36"/>
    <x v="7"/>
    <x v="36"/>
    <x v="0"/>
    <x v="0"/>
    <x v="9"/>
    <x v="0"/>
    <x v="0"/>
    <x v="0"/>
    <x v="16"/>
    <x v="0"/>
    <x v="0"/>
    <x v="0"/>
    <x v="2"/>
    <x v="0"/>
    <x v="0"/>
    <x v="0"/>
    <x v="10"/>
    <x v="0"/>
    <x v="7"/>
    <x v="111"/>
    <x v="68"/>
    <x v="64"/>
    <x v="11"/>
    <x v="124"/>
    <x v="80"/>
    <x v="64"/>
    <x v="1"/>
    <x v="0"/>
    <x v="6"/>
    <x v="0"/>
    <x v="1"/>
    <x v="0"/>
    <x v="1"/>
    <x v="0"/>
    <x v="1"/>
    <x v="0"/>
    <x v="1"/>
    <x v="0"/>
    <x v="1"/>
    <x v="40"/>
    <x v="40"/>
    <x v="0"/>
    <x v="257"/>
    <x v="101"/>
    <x v="204"/>
  </r>
  <r>
    <x v="288"/>
    <x v="288"/>
    <x v="3"/>
    <x v="38"/>
    <x v="38"/>
    <x v="2"/>
    <x v="1"/>
    <x v="0"/>
    <x v="41"/>
    <x v="249"/>
    <x v="270"/>
    <x v="0"/>
    <x v="0"/>
    <x v="0"/>
    <x v="153"/>
    <x v="40"/>
    <x v="245"/>
    <x v="0"/>
    <x v="194"/>
    <x v="1"/>
    <x v="66"/>
    <x v="0"/>
    <x v="59"/>
    <x v="0"/>
    <x v="0"/>
    <x v="0"/>
    <x v="0"/>
    <x v="7"/>
    <x v="85"/>
    <x v="0"/>
    <x v="72"/>
    <x v="4"/>
    <x v="85"/>
    <x v="0"/>
    <x v="59"/>
    <x v="0"/>
    <x v="0"/>
    <x v="0"/>
    <x v="0"/>
    <x v="0"/>
    <x v="0"/>
    <x v="0"/>
    <x v="0"/>
    <x v="13"/>
    <x v="112"/>
    <x v="0"/>
    <x v="65"/>
    <x v="11"/>
    <x v="125"/>
    <x v="0"/>
    <x v="65"/>
    <x v="1"/>
    <x v="0"/>
    <x v="0"/>
    <x v="0"/>
    <x v="1"/>
    <x v="0"/>
    <x v="0"/>
    <x v="0"/>
    <x v="1"/>
    <x v="0"/>
    <x v="0"/>
    <x v="0"/>
    <x v="1"/>
    <x v="0"/>
    <x v="0"/>
    <x v="0"/>
    <x v="258"/>
    <x v="0"/>
    <x v="205"/>
  </r>
  <r>
    <x v="289"/>
    <x v="289"/>
    <x v="3"/>
    <x v="38"/>
    <x v="38"/>
    <x v="2"/>
    <x v="1"/>
    <x v="0"/>
    <x v="173"/>
    <x v="250"/>
    <x v="271"/>
    <x v="0"/>
    <x v="0"/>
    <x v="0"/>
    <x v="70"/>
    <x v="7"/>
    <x v="246"/>
    <x v="0"/>
    <x v="195"/>
    <x v="1"/>
    <x v="67"/>
    <x v="0"/>
    <x v="60"/>
    <x v="0"/>
    <x v="0"/>
    <x v="0"/>
    <x v="0"/>
    <x v="7"/>
    <x v="86"/>
    <x v="0"/>
    <x v="73"/>
    <x v="4"/>
    <x v="86"/>
    <x v="0"/>
    <x v="60"/>
    <x v="0"/>
    <x v="0"/>
    <x v="0"/>
    <x v="0"/>
    <x v="0"/>
    <x v="0"/>
    <x v="0"/>
    <x v="0"/>
    <x v="13"/>
    <x v="112"/>
    <x v="0"/>
    <x v="65"/>
    <x v="11"/>
    <x v="126"/>
    <x v="0"/>
    <x v="66"/>
    <x v="1"/>
    <x v="0"/>
    <x v="0"/>
    <x v="0"/>
    <x v="1"/>
    <x v="0"/>
    <x v="0"/>
    <x v="0"/>
    <x v="1"/>
    <x v="0"/>
    <x v="0"/>
    <x v="0"/>
    <x v="1"/>
    <x v="0"/>
    <x v="0"/>
    <x v="0"/>
    <x v="259"/>
    <x v="0"/>
    <x v="206"/>
  </r>
  <r>
    <x v="290"/>
    <x v="290"/>
    <x v="3"/>
    <x v="38"/>
    <x v="38"/>
    <x v="2"/>
    <x v="1"/>
    <x v="0"/>
    <x v="79"/>
    <x v="251"/>
    <x v="272"/>
    <x v="0"/>
    <x v="0"/>
    <x v="0"/>
    <x v="70"/>
    <x v="7"/>
    <x v="247"/>
    <x v="0"/>
    <x v="196"/>
    <x v="1"/>
    <x v="68"/>
    <x v="0"/>
    <x v="61"/>
    <x v="0"/>
    <x v="0"/>
    <x v="0"/>
    <x v="0"/>
    <x v="7"/>
    <x v="87"/>
    <x v="0"/>
    <x v="74"/>
    <x v="4"/>
    <x v="87"/>
    <x v="0"/>
    <x v="61"/>
    <x v="0"/>
    <x v="0"/>
    <x v="0"/>
    <x v="0"/>
    <x v="0"/>
    <x v="0"/>
    <x v="0"/>
    <x v="0"/>
    <x v="13"/>
    <x v="112"/>
    <x v="0"/>
    <x v="65"/>
    <x v="11"/>
    <x v="127"/>
    <x v="0"/>
    <x v="67"/>
    <x v="1"/>
    <x v="0"/>
    <x v="0"/>
    <x v="0"/>
    <x v="1"/>
    <x v="0"/>
    <x v="0"/>
    <x v="0"/>
    <x v="1"/>
    <x v="0"/>
    <x v="0"/>
    <x v="0"/>
    <x v="1"/>
    <x v="0"/>
    <x v="0"/>
    <x v="0"/>
    <x v="260"/>
    <x v="0"/>
    <x v="207"/>
  </r>
  <r>
    <x v="291"/>
    <x v="291"/>
    <x v="3"/>
    <x v="38"/>
    <x v="38"/>
    <x v="2"/>
    <x v="1"/>
    <x v="0"/>
    <x v="214"/>
    <x v="249"/>
    <x v="273"/>
    <x v="0"/>
    <x v="0"/>
    <x v="0"/>
    <x v="119"/>
    <x v="26"/>
    <x v="248"/>
    <x v="0"/>
    <x v="197"/>
    <x v="1"/>
    <x v="69"/>
    <x v="0"/>
    <x v="62"/>
    <x v="0"/>
    <x v="0"/>
    <x v="0"/>
    <x v="0"/>
    <x v="7"/>
    <x v="88"/>
    <x v="0"/>
    <x v="75"/>
    <x v="4"/>
    <x v="88"/>
    <x v="0"/>
    <x v="62"/>
    <x v="0"/>
    <x v="0"/>
    <x v="0"/>
    <x v="0"/>
    <x v="0"/>
    <x v="0"/>
    <x v="0"/>
    <x v="0"/>
    <x v="13"/>
    <x v="112"/>
    <x v="0"/>
    <x v="65"/>
    <x v="11"/>
    <x v="128"/>
    <x v="0"/>
    <x v="68"/>
    <x v="1"/>
    <x v="0"/>
    <x v="0"/>
    <x v="0"/>
    <x v="1"/>
    <x v="0"/>
    <x v="0"/>
    <x v="0"/>
    <x v="1"/>
    <x v="0"/>
    <x v="0"/>
    <x v="0"/>
    <x v="1"/>
    <x v="0"/>
    <x v="0"/>
    <x v="0"/>
    <x v="261"/>
    <x v="0"/>
    <x v="208"/>
  </r>
  <r>
    <x v="292"/>
    <x v="292"/>
    <x v="3"/>
    <x v="38"/>
    <x v="38"/>
    <x v="2"/>
    <x v="1"/>
    <x v="0"/>
    <x v="215"/>
    <x v="252"/>
    <x v="274"/>
    <x v="0"/>
    <x v="0"/>
    <x v="0"/>
    <x v="70"/>
    <x v="26"/>
    <x v="249"/>
    <x v="0"/>
    <x v="198"/>
    <x v="1"/>
    <x v="70"/>
    <x v="0"/>
    <x v="63"/>
    <x v="0"/>
    <x v="0"/>
    <x v="0"/>
    <x v="0"/>
    <x v="7"/>
    <x v="89"/>
    <x v="0"/>
    <x v="76"/>
    <x v="4"/>
    <x v="89"/>
    <x v="0"/>
    <x v="63"/>
    <x v="0"/>
    <x v="0"/>
    <x v="0"/>
    <x v="0"/>
    <x v="0"/>
    <x v="0"/>
    <x v="0"/>
    <x v="0"/>
    <x v="13"/>
    <x v="112"/>
    <x v="0"/>
    <x v="65"/>
    <x v="11"/>
    <x v="129"/>
    <x v="0"/>
    <x v="69"/>
    <x v="1"/>
    <x v="0"/>
    <x v="0"/>
    <x v="0"/>
    <x v="1"/>
    <x v="0"/>
    <x v="0"/>
    <x v="0"/>
    <x v="1"/>
    <x v="0"/>
    <x v="0"/>
    <x v="0"/>
    <x v="1"/>
    <x v="0"/>
    <x v="0"/>
    <x v="0"/>
    <x v="262"/>
    <x v="0"/>
    <x v="209"/>
  </r>
  <r>
    <x v="293"/>
    <x v="293"/>
    <x v="3"/>
    <x v="38"/>
    <x v="38"/>
    <x v="2"/>
    <x v="1"/>
    <x v="0"/>
    <x v="172"/>
    <x v="253"/>
    <x v="275"/>
    <x v="0"/>
    <x v="0"/>
    <x v="0"/>
    <x v="154"/>
    <x v="6"/>
    <x v="250"/>
    <x v="0"/>
    <x v="199"/>
    <x v="1"/>
    <x v="71"/>
    <x v="0"/>
    <x v="64"/>
    <x v="0"/>
    <x v="0"/>
    <x v="0"/>
    <x v="0"/>
    <x v="7"/>
    <x v="90"/>
    <x v="0"/>
    <x v="77"/>
    <x v="4"/>
    <x v="90"/>
    <x v="0"/>
    <x v="64"/>
    <x v="0"/>
    <x v="0"/>
    <x v="0"/>
    <x v="0"/>
    <x v="0"/>
    <x v="0"/>
    <x v="0"/>
    <x v="0"/>
    <x v="14"/>
    <x v="113"/>
    <x v="0"/>
    <x v="66"/>
    <x v="11"/>
    <x v="130"/>
    <x v="0"/>
    <x v="70"/>
    <x v="1"/>
    <x v="0"/>
    <x v="0"/>
    <x v="0"/>
    <x v="1"/>
    <x v="0"/>
    <x v="0"/>
    <x v="0"/>
    <x v="1"/>
    <x v="0"/>
    <x v="0"/>
    <x v="0"/>
    <x v="1"/>
    <x v="0"/>
    <x v="0"/>
    <x v="0"/>
    <x v="263"/>
    <x v="0"/>
    <x v="210"/>
  </r>
  <r>
    <x v="294"/>
    <x v="294"/>
    <x v="3"/>
    <x v="38"/>
    <x v="38"/>
    <x v="2"/>
    <x v="1"/>
    <x v="0"/>
    <x v="94"/>
    <x v="254"/>
    <x v="276"/>
    <x v="0"/>
    <x v="0"/>
    <x v="30"/>
    <x v="64"/>
    <x v="40"/>
    <x v="251"/>
    <x v="85"/>
    <x v="200"/>
    <x v="1"/>
    <x v="72"/>
    <x v="13"/>
    <x v="65"/>
    <x v="0"/>
    <x v="0"/>
    <x v="1"/>
    <x v="0"/>
    <x v="7"/>
    <x v="91"/>
    <x v="27"/>
    <x v="78"/>
    <x v="4"/>
    <x v="91"/>
    <x v="32"/>
    <x v="65"/>
    <x v="0"/>
    <x v="0"/>
    <x v="2"/>
    <x v="0"/>
    <x v="0"/>
    <x v="0"/>
    <x v="10"/>
    <x v="0"/>
    <x v="14"/>
    <x v="113"/>
    <x v="69"/>
    <x v="67"/>
    <x v="11"/>
    <x v="131"/>
    <x v="81"/>
    <x v="71"/>
    <x v="1"/>
    <x v="18"/>
    <x v="13"/>
    <x v="0"/>
    <x v="1"/>
    <x v="0"/>
    <x v="1"/>
    <x v="0"/>
    <x v="1"/>
    <x v="0"/>
    <x v="1"/>
    <x v="0"/>
    <x v="1"/>
    <x v="41"/>
    <x v="41"/>
    <x v="0"/>
    <x v="264"/>
    <x v="102"/>
    <x v="211"/>
  </r>
  <r>
    <x v="295"/>
    <x v="295"/>
    <x v="3"/>
    <x v="39"/>
    <x v="39"/>
    <x v="0"/>
    <x v="1"/>
    <x v="0"/>
    <x v="0"/>
    <x v="0"/>
    <x v="277"/>
    <x v="0"/>
    <x v="0"/>
    <x v="0"/>
    <x v="155"/>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296"/>
    <x v="296"/>
    <x v="3"/>
    <x v="40"/>
    <x v="40"/>
    <x v="1"/>
    <x v="3"/>
    <x v="0"/>
    <x v="18"/>
    <x v="255"/>
    <x v="278"/>
    <x v="0"/>
    <x v="0"/>
    <x v="31"/>
    <x v="156"/>
    <x v="15"/>
    <x v="252"/>
    <x v="86"/>
    <x v="201"/>
    <x v="0"/>
    <x v="0"/>
    <x v="0"/>
    <x v="0"/>
    <x v="0"/>
    <x v="0"/>
    <x v="0"/>
    <x v="0"/>
    <x v="0"/>
    <x v="0"/>
    <x v="0"/>
    <x v="0"/>
    <x v="0"/>
    <x v="0"/>
    <x v="0"/>
    <x v="0"/>
    <x v="0"/>
    <x v="0"/>
    <x v="0"/>
    <x v="0"/>
    <x v="0"/>
    <x v="0"/>
    <x v="0"/>
    <x v="0"/>
    <x v="0"/>
    <x v="0"/>
    <x v="0"/>
    <x v="0"/>
    <x v="5"/>
    <x v="132"/>
    <x v="82"/>
    <x v="0"/>
    <x v="7"/>
    <x v="0"/>
    <x v="0"/>
    <x v="0"/>
    <x v="1"/>
    <x v="0"/>
    <x v="0"/>
    <x v="0"/>
    <x v="1"/>
    <x v="0"/>
    <x v="0"/>
    <x v="0"/>
    <x v="4"/>
    <x v="42"/>
    <x v="42"/>
    <x v="0"/>
    <x v="265"/>
    <x v="103"/>
    <x v="212"/>
  </r>
  <r>
    <x v="297"/>
    <x v="297"/>
    <x v="3"/>
    <x v="40"/>
    <x v="40"/>
    <x v="1"/>
    <x v="3"/>
    <x v="0"/>
    <x v="216"/>
    <x v="256"/>
    <x v="279"/>
    <x v="0"/>
    <x v="0"/>
    <x v="32"/>
    <x v="11"/>
    <x v="17"/>
    <x v="253"/>
    <x v="87"/>
    <x v="0"/>
    <x v="0"/>
    <x v="0"/>
    <x v="0"/>
    <x v="0"/>
    <x v="0"/>
    <x v="0"/>
    <x v="0"/>
    <x v="0"/>
    <x v="0"/>
    <x v="0"/>
    <x v="0"/>
    <x v="0"/>
    <x v="0"/>
    <x v="0"/>
    <x v="0"/>
    <x v="0"/>
    <x v="0"/>
    <x v="0"/>
    <x v="0"/>
    <x v="0"/>
    <x v="0"/>
    <x v="0"/>
    <x v="0"/>
    <x v="0"/>
    <x v="0"/>
    <x v="0"/>
    <x v="0"/>
    <x v="0"/>
    <x v="5"/>
    <x v="133"/>
    <x v="83"/>
    <x v="0"/>
    <x v="7"/>
    <x v="0"/>
    <x v="0"/>
    <x v="0"/>
    <x v="1"/>
    <x v="0"/>
    <x v="0"/>
    <x v="0"/>
    <x v="1"/>
    <x v="0"/>
    <x v="0"/>
    <x v="0"/>
    <x v="4"/>
    <x v="43"/>
    <x v="43"/>
    <x v="0"/>
    <x v="266"/>
    <x v="104"/>
    <x v="0"/>
  </r>
  <r>
    <x v="298"/>
    <x v="298"/>
    <x v="3"/>
    <x v="41"/>
    <x v="41"/>
    <x v="1"/>
    <x v="3"/>
    <x v="0"/>
    <x v="217"/>
    <x v="257"/>
    <x v="280"/>
    <x v="0"/>
    <x v="0"/>
    <x v="14"/>
    <x v="12"/>
    <x v="2"/>
    <x v="254"/>
    <x v="88"/>
    <x v="0"/>
    <x v="0"/>
    <x v="0"/>
    <x v="0"/>
    <x v="0"/>
    <x v="0"/>
    <x v="0"/>
    <x v="0"/>
    <x v="0"/>
    <x v="0"/>
    <x v="0"/>
    <x v="0"/>
    <x v="0"/>
    <x v="0"/>
    <x v="0"/>
    <x v="0"/>
    <x v="0"/>
    <x v="0"/>
    <x v="0"/>
    <x v="0"/>
    <x v="0"/>
    <x v="0"/>
    <x v="0"/>
    <x v="0"/>
    <x v="0"/>
    <x v="0"/>
    <x v="0"/>
    <x v="0"/>
    <x v="0"/>
    <x v="5"/>
    <x v="0"/>
    <x v="0"/>
    <x v="0"/>
    <x v="7"/>
    <x v="0"/>
    <x v="0"/>
    <x v="0"/>
    <x v="1"/>
    <x v="0"/>
    <x v="0"/>
    <x v="0"/>
    <x v="1"/>
    <x v="0"/>
    <x v="0"/>
    <x v="0"/>
    <x v="4"/>
    <x v="44"/>
    <x v="44"/>
    <x v="0"/>
    <x v="267"/>
    <x v="105"/>
    <x v="0"/>
  </r>
  <r>
    <x v="299"/>
    <x v="299"/>
    <x v="3"/>
    <x v="41"/>
    <x v="42"/>
    <x v="1"/>
    <x v="3"/>
    <x v="0"/>
    <x v="218"/>
    <x v="258"/>
    <x v="281"/>
    <x v="0"/>
    <x v="0"/>
    <x v="33"/>
    <x v="157"/>
    <x v="43"/>
    <x v="255"/>
    <x v="89"/>
    <x v="202"/>
    <x v="0"/>
    <x v="0"/>
    <x v="0"/>
    <x v="0"/>
    <x v="0"/>
    <x v="0"/>
    <x v="0"/>
    <x v="0"/>
    <x v="0"/>
    <x v="0"/>
    <x v="0"/>
    <x v="0"/>
    <x v="0"/>
    <x v="0"/>
    <x v="0"/>
    <x v="0"/>
    <x v="0"/>
    <x v="0"/>
    <x v="0"/>
    <x v="0"/>
    <x v="0"/>
    <x v="0"/>
    <x v="0"/>
    <x v="0"/>
    <x v="0"/>
    <x v="0"/>
    <x v="0"/>
    <x v="0"/>
    <x v="0"/>
    <x v="0"/>
    <x v="18"/>
    <x v="0"/>
    <x v="7"/>
    <x v="0"/>
    <x v="0"/>
    <x v="0"/>
    <x v="1"/>
    <x v="0"/>
    <x v="0"/>
    <x v="0"/>
    <x v="1"/>
    <x v="0"/>
    <x v="0"/>
    <x v="0"/>
    <x v="4"/>
    <x v="45"/>
    <x v="45"/>
    <x v="0"/>
    <x v="268"/>
    <x v="106"/>
    <x v="213"/>
  </r>
  <r>
    <x v="300"/>
    <x v="300"/>
    <x v="3"/>
    <x v="41"/>
    <x v="42"/>
    <x v="1"/>
    <x v="3"/>
    <x v="0"/>
    <x v="84"/>
    <x v="259"/>
    <x v="282"/>
    <x v="0"/>
    <x v="0"/>
    <x v="0"/>
    <x v="158"/>
    <x v="43"/>
    <x v="256"/>
    <x v="0"/>
    <x v="203"/>
    <x v="0"/>
    <x v="0"/>
    <x v="0"/>
    <x v="0"/>
    <x v="0"/>
    <x v="0"/>
    <x v="0"/>
    <x v="0"/>
    <x v="0"/>
    <x v="0"/>
    <x v="0"/>
    <x v="0"/>
    <x v="0"/>
    <x v="0"/>
    <x v="0"/>
    <x v="0"/>
    <x v="0"/>
    <x v="0"/>
    <x v="0"/>
    <x v="0"/>
    <x v="0"/>
    <x v="0"/>
    <x v="0"/>
    <x v="0"/>
    <x v="0"/>
    <x v="0"/>
    <x v="0"/>
    <x v="0"/>
    <x v="0"/>
    <x v="0"/>
    <x v="0"/>
    <x v="0"/>
    <x v="7"/>
    <x v="0"/>
    <x v="0"/>
    <x v="0"/>
    <x v="1"/>
    <x v="0"/>
    <x v="0"/>
    <x v="0"/>
    <x v="1"/>
    <x v="0"/>
    <x v="0"/>
    <x v="0"/>
    <x v="4"/>
    <x v="0"/>
    <x v="0"/>
    <x v="0"/>
    <x v="269"/>
    <x v="0"/>
    <x v="214"/>
  </r>
  <r>
    <x v="301"/>
    <x v="301"/>
    <x v="3"/>
    <x v="41"/>
    <x v="42"/>
    <x v="1"/>
    <x v="3"/>
    <x v="0"/>
    <x v="35"/>
    <x v="260"/>
    <x v="283"/>
    <x v="0"/>
    <x v="0"/>
    <x v="0"/>
    <x v="159"/>
    <x v="43"/>
    <x v="257"/>
    <x v="0"/>
    <x v="204"/>
    <x v="0"/>
    <x v="0"/>
    <x v="0"/>
    <x v="0"/>
    <x v="0"/>
    <x v="0"/>
    <x v="0"/>
    <x v="0"/>
    <x v="0"/>
    <x v="0"/>
    <x v="0"/>
    <x v="0"/>
    <x v="0"/>
    <x v="0"/>
    <x v="0"/>
    <x v="0"/>
    <x v="0"/>
    <x v="0"/>
    <x v="0"/>
    <x v="0"/>
    <x v="0"/>
    <x v="0"/>
    <x v="0"/>
    <x v="0"/>
    <x v="0"/>
    <x v="0"/>
    <x v="0"/>
    <x v="0"/>
    <x v="0"/>
    <x v="0"/>
    <x v="0"/>
    <x v="0"/>
    <x v="7"/>
    <x v="0"/>
    <x v="0"/>
    <x v="0"/>
    <x v="1"/>
    <x v="0"/>
    <x v="0"/>
    <x v="0"/>
    <x v="1"/>
    <x v="0"/>
    <x v="0"/>
    <x v="0"/>
    <x v="4"/>
    <x v="0"/>
    <x v="0"/>
    <x v="0"/>
    <x v="270"/>
    <x v="0"/>
    <x v="215"/>
  </r>
  <r>
    <x v="302"/>
    <x v="302"/>
    <x v="3"/>
    <x v="42"/>
    <x v="43"/>
    <x v="2"/>
    <x v="3"/>
    <x v="0"/>
    <x v="41"/>
    <x v="29"/>
    <x v="284"/>
    <x v="0"/>
    <x v="0"/>
    <x v="34"/>
    <x v="160"/>
    <x v="6"/>
    <x v="258"/>
    <x v="90"/>
    <x v="205"/>
    <x v="0"/>
    <x v="0"/>
    <x v="0"/>
    <x v="0"/>
    <x v="0"/>
    <x v="0"/>
    <x v="0"/>
    <x v="0"/>
    <x v="0"/>
    <x v="0"/>
    <x v="0"/>
    <x v="0"/>
    <x v="0"/>
    <x v="0"/>
    <x v="0"/>
    <x v="0"/>
    <x v="0"/>
    <x v="0"/>
    <x v="0"/>
    <x v="0"/>
    <x v="0"/>
    <x v="0"/>
    <x v="0"/>
    <x v="0"/>
    <x v="8"/>
    <x v="114"/>
    <x v="70"/>
    <x v="0"/>
    <x v="1"/>
    <x v="134"/>
    <x v="84"/>
    <x v="72"/>
    <x v="1"/>
    <x v="19"/>
    <x v="14"/>
    <x v="0"/>
    <x v="1"/>
    <x v="0"/>
    <x v="0"/>
    <x v="0"/>
    <x v="1"/>
    <x v="0"/>
    <x v="0"/>
    <x v="0"/>
    <x v="1"/>
    <x v="46"/>
    <x v="46"/>
    <x v="0"/>
    <x v="271"/>
    <x v="107"/>
    <x v="216"/>
  </r>
  <r>
    <x v="303"/>
    <x v="303"/>
    <x v="3"/>
    <x v="42"/>
    <x v="43"/>
    <x v="2"/>
    <x v="3"/>
    <x v="0"/>
    <x v="54"/>
    <x v="261"/>
    <x v="285"/>
    <x v="0"/>
    <x v="0"/>
    <x v="0"/>
    <x v="161"/>
    <x v="22"/>
    <x v="259"/>
    <x v="0"/>
    <x v="206"/>
    <x v="0"/>
    <x v="0"/>
    <x v="0"/>
    <x v="0"/>
    <x v="0"/>
    <x v="0"/>
    <x v="0"/>
    <x v="0"/>
    <x v="0"/>
    <x v="0"/>
    <x v="0"/>
    <x v="0"/>
    <x v="0"/>
    <x v="0"/>
    <x v="0"/>
    <x v="0"/>
    <x v="0"/>
    <x v="0"/>
    <x v="0"/>
    <x v="0"/>
    <x v="0"/>
    <x v="0"/>
    <x v="0"/>
    <x v="0"/>
    <x v="8"/>
    <x v="0"/>
    <x v="0"/>
    <x v="0"/>
    <x v="8"/>
    <x v="135"/>
    <x v="0"/>
    <x v="73"/>
    <x v="1"/>
    <x v="0"/>
    <x v="0"/>
    <x v="0"/>
    <x v="1"/>
    <x v="0"/>
    <x v="0"/>
    <x v="0"/>
    <x v="1"/>
    <x v="0"/>
    <x v="0"/>
    <x v="0"/>
    <x v="1"/>
    <x v="0"/>
    <x v="0"/>
    <x v="0"/>
    <x v="272"/>
    <x v="0"/>
    <x v="217"/>
  </r>
  <r>
    <x v="304"/>
    <x v="304"/>
    <x v="3"/>
    <x v="42"/>
    <x v="43"/>
    <x v="2"/>
    <x v="3"/>
    <x v="0"/>
    <x v="219"/>
    <x v="262"/>
    <x v="286"/>
    <x v="0"/>
    <x v="0"/>
    <x v="0"/>
    <x v="157"/>
    <x v="15"/>
    <x v="260"/>
    <x v="0"/>
    <x v="207"/>
    <x v="0"/>
    <x v="0"/>
    <x v="0"/>
    <x v="0"/>
    <x v="0"/>
    <x v="0"/>
    <x v="0"/>
    <x v="0"/>
    <x v="0"/>
    <x v="0"/>
    <x v="0"/>
    <x v="0"/>
    <x v="0"/>
    <x v="0"/>
    <x v="0"/>
    <x v="0"/>
    <x v="0"/>
    <x v="0"/>
    <x v="0"/>
    <x v="0"/>
    <x v="0"/>
    <x v="0"/>
    <x v="0"/>
    <x v="0"/>
    <x v="8"/>
    <x v="0"/>
    <x v="0"/>
    <x v="0"/>
    <x v="2"/>
    <x v="136"/>
    <x v="0"/>
    <x v="74"/>
    <x v="1"/>
    <x v="0"/>
    <x v="0"/>
    <x v="0"/>
    <x v="1"/>
    <x v="0"/>
    <x v="0"/>
    <x v="0"/>
    <x v="1"/>
    <x v="0"/>
    <x v="0"/>
    <x v="0"/>
    <x v="1"/>
    <x v="0"/>
    <x v="0"/>
    <x v="0"/>
    <x v="273"/>
    <x v="0"/>
    <x v="218"/>
  </r>
  <r>
    <x v="305"/>
    <x v="305"/>
    <x v="3"/>
    <x v="42"/>
    <x v="43"/>
    <x v="2"/>
    <x v="3"/>
    <x v="0"/>
    <x v="220"/>
    <x v="263"/>
    <x v="287"/>
    <x v="0"/>
    <x v="0"/>
    <x v="0"/>
    <x v="40"/>
    <x v="15"/>
    <x v="261"/>
    <x v="0"/>
    <x v="208"/>
    <x v="0"/>
    <x v="0"/>
    <x v="0"/>
    <x v="0"/>
    <x v="0"/>
    <x v="0"/>
    <x v="0"/>
    <x v="0"/>
    <x v="0"/>
    <x v="0"/>
    <x v="0"/>
    <x v="0"/>
    <x v="0"/>
    <x v="0"/>
    <x v="0"/>
    <x v="0"/>
    <x v="0"/>
    <x v="0"/>
    <x v="0"/>
    <x v="0"/>
    <x v="0"/>
    <x v="0"/>
    <x v="0"/>
    <x v="0"/>
    <x v="8"/>
    <x v="0"/>
    <x v="0"/>
    <x v="0"/>
    <x v="8"/>
    <x v="137"/>
    <x v="0"/>
    <x v="75"/>
    <x v="1"/>
    <x v="0"/>
    <x v="0"/>
    <x v="0"/>
    <x v="1"/>
    <x v="0"/>
    <x v="0"/>
    <x v="0"/>
    <x v="1"/>
    <x v="0"/>
    <x v="0"/>
    <x v="0"/>
    <x v="1"/>
    <x v="0"/>
    <x v="0"/>
    <x v="0"/>
    <x v="274"/>
    <x v="0"/>
    <x v="219"/>
  </r>
  <r>
    <x v="306"/>
    <x v="306"/>
    <x v="3"/>
    <x v="42"/>
    <x v="43"/>
    <x v="2"/>
    <x v="3"/>
    <x v="0"/>
    <x v="221"/>
    <x v="264"/>
    <x v="288"/>
    <x v="0"/>
    <x v="0"/>
    <x v="0"/>
    <x v="162"/>
    <x v="15"/>
    <x v="262"/>
    <x v="0"/>
    <x v="209"/>
    <x v="0"/>
    <x v="0"/>
    <x v="0"/>
    <x v="0"/>
    <x v="0"/>
    <x v="0"/>
    <x v="0"/>
    <x v="0"/>
    <x v="0"/>
    <x v="0"/>
    <x v="0"/>
    <x v="0"/>
    <x v="0"/>
    <x v="0"/>
    <x v="0"/>
    <x v="0"/>
    <x v="0"/>
    <x v="0"/>
    <x v="0"/>
    <x v="0"/>
    <x v="0"/>
    <x v="0"/>
    <x v="0"/>
    <x v="0"/>
    <x v="8"/>
    <x v="0"/>
    <x v="0"/>
    <x v="0"/>
    <x v="1"/>
    <x v="138"/>
    <x v="0"/>
    <x v="76"/>
    <x v="1"/>
    <x v="0"/>
    <x v="0"/>
    <x v="0"/>
    <x v="1"/>
    <x v="0"/>
    <x v="0"/>
    <x v="0"/>
    <x v="1"/>
    <x v="0"/>
    <x v="0"/>
    <x v="0"/>
    <x v="1"/>
    <x v="0"/>
    <x v="0"/>
    <x v="0"/>
    <x v="275"/>
    <x v="0"/>
    <x v="220"/>
  </r>
  <r>
    <x v="307"/>
    <x v="307"/>
    <x v="3"/>
    <x v="42"/>
    <x v="43"/>
    <x v="2"/>
    <x v="3"/>
    <x v="0"/>
    <x v="222"/>
    <x v="265"/>
    <x v="289"/>
    <x v="0"/>
    <x v="0"/>
    <x v="0"/>
    <x v="163"/>
    <x v="15"/>
    <x v="263"/>
    <x v="0"/>
    <x v="210"/>
    <x v="0"/>
    <x v="0"/>
    <x v="0"/>
    <x v="0"/>
    <x v="0"/>
    <x v="0"/>
    <x v="0"/>
    <x v="0"/>
    <x v="0"/>
    <x v="0"/>
    <x v="0"/>
    <x v="0"/>
    <x v="0"/>
    <x v="0"/>
    <x v="0"/>
    <x v="0"/>
    <x v="0"/>
    <x v="0"/>
    <x v="0"/>
    <x v="0"/>
    <x v="0"/>
    <x v="0"/>
    <x v="0"/>
    <x v="0"/>
    <x v="8"/>
    <x v="0"/>
    <x v="0"/>
    <x v="0"/>
    <x v="1"/>
    <x v="139"/>
    <x v="0"/>
    <x v="77"/>
    <x v="1"/>
    <x v="0"/>
    <x v="0"/>
    <x v="0"/>
    <x v="1"/>
    <x v="0"/>
    <x v="0"/>
    <x v="0"/>
    <x v="1"/>
    <x v="0"/>
    <x v="0"/>
    <x v="0"/>
    <x v="1"/>
    <x v="0"/>
    <x v="0"/>
    <x v="0"/>
    <x v="276"/>
    <x v="0"/>
    <x v="221"/>
  </r>
  <r>
    <x v="308"/>
    <x v="308"/>
    <x v="3"/>
    <x v="42"/>
    <x v="43"/>
    <x v="2"/>
    <x v="3"/>
    <x v="0"/>
    <x v="223"/>
    <x v="266"/>
    <x v="290"/>
    <x v="0"/>
    <x v="0"/>
    <x v="0"/>
    <x v="164"/>
    <x v="15"/>
    <x v="264"/>
    <x v="0"/>
    <x v="211"/>
    <x v="0"/>
    <x v="0"/>
    <x v="0"/>
    <x v="0"/>
    <x v="0"/>
    <x v="0"/>
    <x v="0"/>
    <x v="0"/>
    <x v="0"/>
    <x v="0"/>
    <x v="0"/>
    <x v="0"/>
    <x v="0"/>
    <x v="0"/>
    <x v="0"/>
    <x v="0"/>
    <x v="0"/>
    <x v="0"/>
    <x v="0"/>
    <x v="0"/>
    <x v="0"/>
    <x v="0"/>
    <x v="0"/>
    <x v="0"/>
    <x v="8"/>
    <x v="0"/>
    <x v="0"/>
    <x v="0"/>
    <x v="1"/>
    <x v="140"/>
    <x v="0"/>
    <x v="78"/>
    <x v="1"/>
    <x v="0"/>
    <x v="0"/>
    <x v="0"/>
    <x v="1"/>
    <x v="0"/>
    <x v="0"/>
    <x v="0"/>
    <x v="1"/>
    <x v="0"/>
    <x v="0"/>
    <x v="0"/>
    <x v="1"/>
    <x v="0"/>
    <x v="0"/>
    <x v="0"/>
    <x v="277"/>
    <x v="0"/>
    <x v="222"/>
  </r>
  <r>
    <x v="309"/>
    <x v="309"/>
    <x v="3"/>
    <x v="42"/>
    <x v="43"/>
    <x v="2"/>
    <x v="3"/>
    <x v="0"/>
    <x v="101"/>
    <x v="267"/>
    <x v="291"/>
    <x v="0"/>
    <x v="0"/>
    <x v="0"/>
    <x v="147"/>
    <x v="15"/>
    <x v="265"/>
    <x v="0"/>
    <x v="212"/>
    <x v="0"/>
    <x v="0"/>
    <x v="0"/>
    <x v="0"/>
    <x v="0"/>
    <x v="0"/>
    <x v="0"/>
    <x v="0"/>
    <x v="0"/>
    <x v="0"/>
    <x v="0"/>
    <x v="0"/>
    <x v="0"/>
    <x v="0"/>
    <x v="0"/>
    <x v="0"/>
    <x v="0"/>
    <x v="0"/>
    <x v="0"/>
    <x v="0"/>
    <x v="0"/>
    <x v="0"/>
    <x v="0"/>
    <x v="0"/>
    <x v="8"/>
    <x v="0"/>
    <x v="0"/>
    <x v="0"/>
    <x v="1"/>
    <x v="141"/>
    <x v="0"/>
    <x v="79"/>
    <x v="1"/>
    <x v="0"/>
    <x v="0"/>
    <x v="0"/>
    <x v="1"/>
    <x v="0"/>
    <x v="0"/>
    <x v="0"/>
    <x v="1"/>
    <x v="0"/>
    <x v="0"/>
    <x v="0"/>
    <x v="1"/>
    <x v="0"/>
    <x v="0"/>
    <x v="0"/>
    <x v="278"/>
    <x v="0"/>
    <x v="223"/>
  </r>
  <r>
    <x v="310"/>
    <x v="310"/>
    <x v="3"/>
    <x v="42"/>
    <x v="43"/>
    <x v="2"/>
    <x v="3"/>
    <x v="0"/>
    <x v="34"/>
    <x v="268"/>
    <x v="292"/>
    <x v="0"/>
    <x v="0"/>
    <x v="0"/>
    <x v="119"/>
    <x v="15"/>
    <x v="266"/>
    <x v="0"/>
    <x v="213"/>
    <x v="0"/>
    <x v="0"/>
    <x v="0"/>
    <x v="0"/>
    <x v="0"/>
    <x v="0"/>
    <x v="0"/>
    <x v="0"/>
    <x v="0"/>
    <x v="0"/>
    <x v="0"/>
    <x v="0"/>
    <x v="0"/>
    <x v="0"/>
    <x v="0"/>
    <x v="0"/>
    <x v="0"/>
    <x v="0"/>
    <x v="0"/>
    <x v="0"/>
    <x v="0"/>
    <x v="0"/>
    <x v="0"/>
    <x v="0"/>
    <x v="8"/>
    <x v="0"/>
    <x v="0"/>
    <x v="0"/>
    <x v="2"/>
    <x v="142"/>
    <x v="0"/>
    <x v="80"/>
    <x v="1"/>
    <x v="0"/>
    <x v="0"/>
    <x v="0"/>
    <x v="1"/>
    <x v="0"/>
    <x v="0"/>
    <x v="0"/>
    <x v="1"/>
    <x v="0"/>
    <x v="0"/>
    <x v="0"/>
    <x v="1"/>
    <x v="0"/>
    <x v="0"/>
    <x v="0"/>
    <x v="279"/>
    <x v="0"/>
    <x v="224"/>
  </r>
  <r>
    <x v="311"/>
    <x v="311"/>
    <x v="3"/>
    <x v="42"/>
    <x v="43"/>
    <x v="2"/>
    <x v="3"/>
    <x v="0"/>
    <x v="224"/>
    <x v="269"/>
    <x v="293"/>
    <x v="0"/>
    <x v="0"/>
    <x v="0"/>
    <x v="55"/>
    <x v="15"/>
    <x v="267"/>
    <x v="0"/>
    <x v="214"/>
    <x v="0"/>
    <x v="0"/>
    <x v="0"/>
    <x v="0"/>
    <x v="0"/>
    <x v="0"/>
    <x v="0"/>
    <x v="0"/>
    <x v="0"/>
    <x v="0"/>
    <x v="0"/>
    <x v="0"/>
    <x v="0"/>
    <x v="0"/>
    <x v="0"/>
    <x v="0"/>
    <x v="0"/>
    <x v="0"/>
    <x v="0"/>
    <x v="0"/>
    <x v="0"/>
    <x v="0"/>
    <x v="0"/>
    <x v="0"/>
    <x v="8"/>
    <x v="0"/>
    <x v="0"/>
    <x v="0"/>
    <x v="1"/>
    <x v="143"/>
    <x v="0"/>
    <x v="81"/>
    <x v="1"/>
    <x v="0"/>
    <x v="0"/>
    <x v="0"/>
    <x v="1"/>
    <x v="0"/>
    <x v="0"/>
    <x v="0"/>
    <x v="1"/>
    <x v="0"/>
    <x v="0"/>
    <x v="0"/>
    <x v="1"/>
    <x v="0"/>
    <x v="0"/>
    <x v="0"/>
    <x v="280"/>
    <x v="0"/>
    <x v="225"/>
  </r>
  <r>
    <x v="312"/>
    <x v="312"/>
    <x v="3"/>
    <x v="42"/>
    <x v="43"/>
    <x v="2"/>
    <x v="3"/>
    <x v="0"/>
    <x v="225"/>
    <x v="270"/>
    <x v="294"/>
    <x v="0"/>
    <x v="0"/>
    <x v="0"/>
    <x v="165"/>
    <x v="2"/>
    <x v="268"/>
    <x v="0"/>
    <x v="215"/>
    <x v="0"/>
    <x v="0"/>
    <x v="0"/>
    <x v="0"/>
    <x v="0"/>
    <x v="0"/>
    <x v="0"/>
    <x v="0"/>
    <x v="0"/>
    <x v="0"/>
    <x v="0"/>
    <x v="0"/>
    <x v="0"/>
    <x v="0"/>
    <x v="0"/>
    <x v="0"/>
    <x v="0"/>
    <x v="0"/>
    <x v="0"/>
    <x v="0"/>
    <x v="0"/>
    <x v="0"/>
    <x v="0"/>
    <x v="0"/>
    <x v="8"/>
    <x v="0"/>
    <x v="0"/>
    <x v="0"/>
    <x v="8"/>
    <x v="144"/>
    <x v="0"/>
    <x v="82"/>
    <x v="1"/>
    <x v="0"/>
    <x v="0"/>
    <x v="0"/>
    <x v="1"/>
    <x v="0"/>
    <x v="0"/>
    <x v="0"/>
    <x v="1"/>
    <x v="0"/>
    <x v="0"/>
    <x v="0"/>
    <x v="1"/>
    <x v="0"/>
    <x v="0"/>
    <x v="0"/>
    <x v="281"/>
    <x v="0"/>
    <x v="226"/>
  </r>
  <r>
    <x v="313"/>
    <x v="313"/>
    <x v="4"/>
    <x v="43"/>
    <x v="44"/>
    <x v="2"/>
    <x v="3"/>
    <x v="2"/>
    <x v="226"/>
    <x v="271"/>
    <x v="1"/>
    <x v="0"/>
    <x v="0"/>
    <x v="35"/>
    <x v="166"/>
    <x v="17"/>
    <x v="0"/>
    <x v="91"/>
    <x v="216"/>
    <x v="0"/>
    <x v="0"/>
    <x v="0"/>
    <x v="0"/>
    <x v="0"/>
    <x v="0"/>
    <x v="0"/>
    <x v="0"/>
    <x v="0"/>
    <x v="0"/>
    <x v="0"/>
    <x v="0"/>
    <x v="0"/>
    <x v="0"/>
    <x v="0"/>
    <x v="0"/>
    <x v="0"/>
    <x v="0"/>
    <x v="0"/>
    <x v="0"/>
    <x v="0"/>
    <x v="0"/>
    <x v="0"/>
    <x v="0"/>
    <x v="9"/>
    <x v="0"/>
    <x v="0"/>
    <x v="0"/>
    <x v="6"/>
    <x v="0"/>
    <x v="0"/>
    <x v="0"/>
    <x v="1"/>
    <x v="20"/>
    <x v="15"/>
    <x v="0"/>
    <x v="1"/>
    <x v="0"/>
    <x v="0"/>
    <x v="0"/>
    <x v="1"/>
    <x v="0"/>
    <x v="0"/>
    <x v="0"/>
    <x v="1"/>
    <x v="47"/>
    <x v="47"/>
    <x v="0"/>
    <x v="282"/>
    <x v="108"/>
    <x v="227"/>
  </r>
  <r>
    <x v="314"/>
    <x v="314"/>
    <x v="4"/>
    <x v="43"/>
    <x v="44"/>
    <x v="2"/>
    <x v="3"/>
    <x v="3"/>
    <x v="227"/>
    <x v="128"/>
    <x v="295"/>
    <x v="0"/>
    <x v="0"/>
    <x v="0"/>
    <x v="167"/>
    <x v="17"/>
    <x v="269"/>
    <x v="0"/>
    <x v="217"/>
    <x v="0"/>
    <x v="0"/>
    <x v="0"/>
    <x v="0"/>
    <x v="0"/>
    <x v="0"/>
    <x v="0"/>
    <x v="0"/>
    <x v="0"/>
    <x v="0"/>
    <x v="0"/>
    <x v="0"/>
    <x v="0"/>
    <x v="0"/>
    <x v="0"/>
    <x v="0"/>
    <x v="0"/>
    <x v="0"/>
    <x v="0"/>
    <x v="0"/>
    <x v="0"/>
    <x v="0"/>
    <x v="0"/>
    <x v="0"/>
    <x v="9"/>
    <x v="115"/>
    <x v="71"/>
    <x v="68"/>
    <x v="6"/>
    <x v="145"/>
    <x v="85"/>
    <x v="83"/>
    <x v="1"/>
    <x v="0"/>
    <x v="0"/>
    <x v="0"/>
    <x v="1"/>
    <x v="0"/>
    <x v="0"/>
    <x v="0"/>
    <x v="1"/>
    <x v="0"/>
    <x v="0"/>
    <x v="0"/>
    <x v="1"/>
    <x v="0"/>
    <x v="0"/>
    <x v="0"/>
    <x v="283"/>
    <x v="109"/>
    <x v="228"/>
  </r>
  <r>
    <x v="315"/>
    <x v="315"/>
    <x v="4"/>
    <x v="43"/>
    <x v="44"/>
    <x v="2"/>
    <x v="3"/>
    <x v="6"/>
    <x v="9"/>
    <x v="128"/>
    <x v="296"/>
    <x v="0"/>
    <x v="0"/>
    <x v="0"/>
    <x v="168"/>
    <x v="17"/>
    <x v="270"/>
    <x v="0"/>
    <x v="218"/>
    <x v="0"/>
    <x v="0"/>
    <x v="0"/>
    <x v="0"/>
    <x v="0"/>
    <x v="0"/>
    <x v="0"/>
    <x v="0"/>
    <x v="0"/>
    <x v="0"/>
    <x v="0"/>
    <x v="0"/>
    <x v="0"/>
    <x v="0"/>
    <x v="0"/>
    <x v="0"/>
    <x v="0"/>
    <x v="0"/>
    <x v="0"/>
    <x v="0"/>
    <x v="0"/>
    <x v="0"/>
    <x v="0"/>
    <x v="0"/>
    <x v="4"/>
    <x v="116"/>
    <x v="72"/>
    <x v="69"/>
    <x v="6"/>
    <x v="146"/>
    <x v="86"/>
    <x v="84"/>
    <x v="1"/>
    <x v="0"/>
    <x v="0"/>
    <x v="0"/>
    <x v="1"/>
    <x v="0"/>
    <x v="0"/>
    <x v="0"/>
    <x v="1"/>
    <x v="0"/>
    <x v="0"/>
    <x v="0"/>
    <x v="1"/>
    <x v="0"/>
    <x v="0"/>
    <x v="0"/>
    <x v="284"/>
    <x v="110"/>
    <x v="229"/>
  </r>
  <r>
    <x v="316"/>
    <x v="316"/>
    <x v="4"/>
    <x v="43"/>
    <x v="44"/>
    <x v="2"/>
    <x v="3"/>
    <x v="1"/>
    <x v="228"/>
    <x v="271"/>
    <x v="297"/>
    <x v="0"/>
    <x v="0"/>
    <x v="0"/>
    <x v="169"/>
    <x v="17"/>
    <x v="271"/>
    <x v="0"/>
    <x v="219"/>
    <x v="0"/>
    <x v="0"/>
    <x v="0"/>
    <x v="0"/>
    <x v="0"/>
    <x v="0"/>
    <x v="0"/>
    <x v="0"/>
    <x v="0"/>
    <x v="0"/>
    <x v="0"/>
    <x v="0"/>
    <x v="0"/>
    <x v="0"/>
    <x v="0"/>
    <x v="0"/>
    <x v="0"/>
    <x v="0"/>
    <x v="0"/>
    <x v="0"/>
    <x v="0"/>
    <x v="0"/>
    <x v="0"/>
    <x v="0"/>
    <x v="8"/>
    <x v="117"/>
    <x v="73"/>
    <x v="0"/>
    <x v="5"/>
    <x v="147"/>
    <x v="87"/>
    <x v="0"/>
    <x v="1"/>
    <x v="0"/>
    <x v="0"/>
    <x v="0"/>
    <x v="1"/>
    <x v="0"/>
    <x v="0"/>
    <x v="0"/>
    <x v="1"/>
    <x v="0"/>
    <x v="0"/>
    <x v="0"/>
    <x v="1"/>
    <x v="0"/>
    <x v="0"/>
    <x v="0"/>
    <x v="285"/>
    <x v="111"/>
    <x v="230"/>
  </r>
  <r>
    <x v="317"/>
    <x v="317"/>
    <x v="4"/>
    <x v="43"/>
    <x v="44"/>
    <x v="2"/>
    <x v="3"/>
    <x v="10"/>
    <x v="155"/>
    <x v="272"/>
    <x v="298"/>
    <x v="0"/>
    <x v="0"/>
    <x v="0"/>
    <x v="170"/>
    <x v="17"/>
    <x v="272"/>
    <x v="0"/>
    <x v="220"/>
    <x v="0"/>
    <x v="0"/>
    <x v="0"/>
    <x v="0"/>
    <x v="0"/>
    <x v="0"/>
    <x v="0"/>
    <x v="0"/>
    <x v="0"/>
    <x v="0"/>
    <x v="0"/>
    <x v="0"/>
    <x v="0"/>
    <x v="0"/>
    <x v="0"/>
    <x v="0"/>
    <x v="0"/>
    <x v="0"/>
    <x v="0"/>
    <x v="0"/>
    <x v="0"/>
    <x v="0"/>
    <x v="0"/>
    <x v="0"/>
    <x v="8"/>
    <x v="118"/>
    <x v="74"/>
    <x v="0"/>
    <x v="5"/>
    <x v="148"/>
    <x v="88"/>
    <x v="0"/>
    <x v="1"/>
    <x v="0"/>
    <x v="0"/>
    <x v="0"/>
    <x v="1"/>
    <x v="0"/>
    <x v="0"/>
    <x v="0"/>
    <x v="1"/>
    <x v="0"/>
    <x v="0"/>
    <x v="0"/>
    <x v="1"/>
    <x v="0"/>
    <x v="0"/>
    <x v="0"/>
    <x v="286"/>
    <x v="112"/>
    <x v="231"/>
  </r>
  <r>
    <x v="318"/>
    <x v="318"/>
    <x v="4"/>
    <x v="43"/>
    <x v="44"/>
    <x v="2"/>
    <x v="3"/>
    <x v="5"/>
    <x v="229"/>
    <x v="272"/>
    <x v="299"/>
    <x v="0"/>
    <x v="0"/>
    <x v="0"/>
    <x v="163"/>
    <x v="17"/>
    <x v="273"/>
    <x v="0"/>
    <x v="221"/>
    <x v="0"/>
    <x v="0"/>
    <x v="0"/>
    <x v="0"/>
    <x v="0"/>
    <x v="0"/>
    <x v="0"/>
    <x v="0"/>
    <x v="0"/>
    <x v="0"/>
    <x v="0"/>
    <x v="0"/>
    <x v="0"/>
    <x v="0"/>
    <x v="0"/>
    <x v="0"/>
    <x v="0"/>
    <x v="0"/>
    <x v="0"/>
    <x v="0"/>
    <x v="0"/>
    <x v="0"/>
    <x v="0"/>
    <x v="0"/>
    <x v="8"/>
    <x v="119"/>
    <x v="75"/>
    <x v="0"/>
    <x v="5"/>
    <x v="149"/>
    <x v="89"/>
    <x v="0"/>
    <x v="1"/>
    <x v="0"/>
    <x v="0"/>
    <x v="0"/>
    <x v="1"/>
    <x v="0"/>
    <x v="0"/>
    <x v="0"/>
    <x v="1"/>
    <x v="0"/>
    <x v="0"/>
    <x v="0"/>
    <x v="1"/>
    <x v="0"/>
    <x v="0"/>
    <x v="0"/>
    <x v="287"/>
    <x v="113"/>
    <x v="232"/>
  </r>
  <r>
    <x v="319"/>
    <x v="319"/>
    <x v="4"/>
    <x v="43"/>
    <x v="44"/>
    <x v="2"/>
    <x v="3"/>
    <x v="7"/>
    <x v="230"/>
    <x v="273"/>
    <x v="1"/>
    <x v="0"/>
    <x v="1"/>
    <x v="0"/>
    <x v="170"/>
    <x v="7"/>
    <x v="0"/>
    <x v="0"/>
    <x v="0"/>
    <x v="0"/>
    <x v="0"/>
    <x v="0"/>
    <x v="0"/>
    <x v="0"/>
    <x v="0"/>
    <x v="0"/>
    <x v="0"/>
    <x v="0"/>
    <x v="0"/>
    <x v="0"/>
    <x v="0"/>
    <x v="0"/>
    <x v="0"/>
    <x v="0"/>
    <x v="0"/>
    <x v="0"/>
    <x v="0"/>
    <x v="0"/>
    <x v="0"/>
    <x v="0"/>
    <x v="0"/>
    <x v="0"/>
    <x v="0"/>
    <x v="0"/>
    <x v="0"/>
    <x v="0"/>
    <x v="0"/>
    <x v="5"/>
    <x v="0"/>
    <x v="0"/>
    <x v="0"/>
    <x v="1"/>
    <x v="0"/>
    <x v="0"/>
    <x v="0"/>
    <x v="1"/>
    <x v="0"/>
    <x v="0"/>
    <x v="0"/>
    <x v="1"/>
    <x v="0"/>
    <x v="0"/>
    <x v="0"/>
    <x v="1"/>
    <x v="0"/>
    <x v="0"/>
    <x v="0"/>
    <x v="0"/>
    <x v="0"/>
    <x v="0"/>
  </r>
  <r>
    <x v="320"/>
    <x v="320"/>
    <x v="4"/>
    <x v="43"/>
    <x v="44"/>
    <x v="2"/>
    <x v="3"/>
    <x v="8"/>
    <x v="231"/>
    <x v="273"/>
    <x v="1"/>
    <x v="0"/>
    <x v="0"/>
    <x v="0"/>
    <x v="161"/>
    <x v="7"/>
    <x v="0"/>
    <x v="0"/>
    <x v="0"/>
    <x v="0"/>
    <x v="0"/>
    <x v="0"/>
    <x v="0"/>
    <x v="0"/>
    <x v="0"/>
    <x v="0"/>
    <x v="0"/>
    <x v="0"/>
    <x v="0"/>
    <x v="0"/>
    <x v="0"/>
    <x v="0"/>
    <x v="0"/>
    <x v="0"/>
    <x v="0"/>
    <x v="0"/>
    <x v="0"/>
    <x v="0"/>
    <x v="0"/>
    <x v="0"/>
    <x v="0"/>
    <x v="0"/>
    <x v="0"/>
    <x v="0"/>
    <x v="0"/>
    <x v="0"/>
    <x v="0"/>
    <x v="5"/>
    <x v="0"/>
    <x v="0"/>
    <x v="0"/>
    <x v="1"/>
    <x v="0"/>
    <x v="0"/>
    <x v="0"/>
    <x v="1"/>
    <x v="0"/>
    <x v="0"/>
    <x v="0"/>
    <x v="1"/>
    <x v="0"/>
    <x v="0"/>
    <x v="0"/>
    <x v="1"/>
    <x v="0"/>
    <x v="0"/>
    <x v="0"/>
    <x v="0"/>
    <x v="0"/>
    <x v="0"/>
  </r>
  <r>
    <x v="321"/>
    <x v="321"/>
    <x v="4"/>
    <x v="43"/>
    <x v="44"/>
    <x v="2"/>
    <x v="3"/>
    <x v="4"/>
    <x v="232"/>
    <x v="274"/>
    <x v="1"/>
    <x v="0"/>
    <x v="0"/>
    <x v="0"/>
    <x v="44"/>
    <x v="17"/>
    <x v="0"/>
    <x v="0"/>
    <x v="0"/>
    <x v="0"/>
    <x v="0"/>
    <x v="0"/>
    <x v="0"/>
    <x v="0"/>
    <x v="0"/>
    <x v="0"/>
    <x v="0"/>
    <x v="0"/>
    <x v="0"/>
    <x v="0"/>
    <x v="0"/>
    <x v="0"/>
    <x v="0"/>
    <x v="0"/>
    <x v="0"/>
    <x v="0"/>
    <x v="0"/>
    <x v="0"/>
    <x v="0"/>
    <x v="0"/>
    <x v="0"/>
    <x v="0"/>
    <x v="0"/>
    <x v="9"/>
    <x v="0"/>
    <x v="0"/>
    <x v="0"/>
    <x v="6"/>
    <x v="0"/>
    <x v="0"/>
    <x v="0"/>
    <x v="1"/>
    <x v="0"/>
    <x v="0"/>
    <x v="0"/>
    <x v="1"/>
    <x v="0"/>
    <x v="0"/>
    <x v="0"/>
    <x v="1"/>
    <x v="0"/>
    <x v="0"/>
    <x v="0"/>
    <x v="1"/>
    <x v="0"/>
    <x v="0"/>
    <x v="0"/>
    <x v="0"/>
    <x v="0"/>
    <x v="0"/>
  </r>
  <r>
    <x v="322"/>
    <x v="322"/>
    <x v="4"/>
    <x v="44"/>
    <x v="45"/>
    <x v="2"/>
    <x v="3"/>
    <x v="0"/>
    <x v="233"/>
    <x v="275"/>
    <x v="300"/>
    <x v="0"/>
    <x v="0"/>
    <x v="36"/>
    <x v="8"/>
    <x v="11"/>
    <x v="274"/>
    <x v="92"/>
    <x v="222"/>
    <x v="0"/>
    <x v="0"/>
    <x v="0"/>
    <x v="0"/>
    <x v="0"/>
    <x v="0"/>
    <x v="0"/>
    <x v="0"/>
    <x v="0"/>
    <x v="0"/>
    <x v="0"/>
    <x v="0"/>
    <x v="0"/>
    <x v="0"/>
    <x v="0"/>
    <x v="0"/>
    <x v="0"/>
    <x v="0"/>
    <x v="0"/>
    <x v="0"/>
    <x v="0"/>
    <x v="0"/>
    <x v="0"/>
    <x v="0"/>
    <x v="0"/>
    <x v="0"/>
    <x v="0"/>
    <x v="0"/>
    <x v="0"/>
    <x v="0"/>
    <x v="0"/>
    <x v="0"/>
    <x v="1"/>
    <x v="0"/>
    <x v="0"/>
    <x v="0"/>
    <x v="1"/>
    <x v="0"/>
    <x v="0"/>
    <x v="0"/>
    <x v="1"/>
    <x v="0"/>
    <x v="0"/>
    <x v="0"/>
    <x v="1"/>
    <x v="48"/>
    <x v="48"/>
    <x v="0"/>
    <x v="288"/>
    <x v="114"/>
    <x v="233"/>
  </r>
  <r>
    <x v="323"/>
    <x v="323"/>
    <x v="4"/>
    <x v="44"/>
    <x v="45"/>
    <x v="2"/>
    <x v="3"/>
    <x v="0"/>
    <x v="234"/>
    <x v="276"/>
    <x v="301"/>
    <x v="0"/>
    <x v="0"/>
    <x v="0"/>
    <x v="8"/>
    <x v="11"/>
    <x v="275"/>
    <x v="0"/>
    <x v="223"/>
    <x v="0"/>
    <x v="0"/>
    <x v="0"/>
    <x v="0"/>
    <x v="0"/>
    <x v="0"/>
    <x v="0"/>
    <x v="0"/>
    <x v="0"/>
    <x v="0"/>
    <x v="0"/>
    <x v="0"/>
    <x v="0"/>
    <x v="0"/>
    <x v="0"/>
    <x v="0"/>
    <x v="0"/>
    <x v="0"/>
    <x v="0"/>
    <x v="0"/>
    <x v="0"/>
    <x v="0"/>
    <x v="0"/>
    <x v="0"/>
    <x v="0"/>
    <x v="0"/>
    <x v="0"/>
    <x v="0"/>
    <x v="0"/>
    <x v="0"/>
    <x v="0"/>
    <x v="0"/>
    <x v="1"/>
    <x v="0"/>
    <x v="0"/>
    <x v="0"/>
    <x v="1"/>
    <x v="0"/>
    <x v="0"/>
    <x v="0"/>
    <x v="1"/>
    <x v="0"/>
    <x v="0"/>
    <x v="0"/>
    <x v="1"/>
    <x v="0"/>
    <x v="0"/>
    <x v="0"/>
    <x v="289"/>
    <x v="0"/>
    <x v="234"/>
  </r>
  <r>
    <x v="324"/>
    <x v="324"/>
    <x v="4"/>
    <x v="44"/>
    <x v="45"/>
    <x v="2"/>
    <x v="3"/>
    <x v="0"/>
    <x v="235"/>
    <x v="277"/>
    <x v="302"/>
    <x v="0"/>
    <x v="0"/>
    <x v="0"/>
    <x v="8"/>
    <x v="11"/>
    <x v="276"/>
    <x v="0"/>
    <x v="224"/>
    <x v="0"/>
    <x v="0"/>
    <x v="0"/>
    <x v="0"/>
    <x v="0"/>
    <x v="0"/>
    <x v="0"/>
    <x v="0"/>
    <x v="0"/>
    <x v="0"/>
    <x v="0"/>
    <x v="0"/>
    <x v="0"/>
    <x v="0"/>
    <x v="0"/>
    <x v="0"/>
    <x v="0"/>
    <x v="0"/>
    <x v="0"/>
    <x v="0"/>
    <x v="0"/>
    <x v="0"/>
    <x v="0"/>
    <x v="0"/>
    <x v="0"/>
    <x v="0"/>
    <x v="0"/>
    <x v="0"/>
    <x v="0"/>
    <x v="0"/>
    <x v="0"/>
    <x v="0"/>
    <x v="1"/>
    <x v="0"/>
    <x v="0"/>
    <x v="0"/>
    <x v="1"/>
    <x v="0"/>
    <x v="0"/>
    <x v="0"/>
    <x v="1"/>
    <x v="0"/>
    <x v="0"/>
    <x v="0"/>
    <x v="1"/>
    <x v="0"/>
    <x v="0"/>
    <x v="0"/>
    <x v="290"/>
    <x v="0"/>
    <x v="235"/>
  </r>
  <r>
    <x v="325"/>
    <x v="325"/>
    <x v="4"/>
    <x v="44"/>
    <x v="45"/>
    <x v="2"/>
    <x v="3"/>
    <x v="0"/>
    <x v="236"/>
    <x v="278"/>
    <x v="303"/>
    <x v="0"/>
    <x v="0"/>
    <x v="0"/>
    <x v="8"/>
    <x v="11"/>
    <x v="277"/>
    <x v="0"/>
    <x v="225"/>
    <x v="0"/>
    <x v="0"/>
    <x v="0"/>
    <x v="0"/>
    <x v="0"/>
    <x v="0"/>
    <x v="0"/>
    <x v="0"/>
    <x v="0"/>
    <x v="0"/>
    <x v="0"/>
    <x v="0"/>
    <x v="0"/>
    <x v="0"/>
    <x v="0"/>
    <x v="0"/>
    <x v="0"/>
    <x v="0"/>
    <x v="0"/>
    <x v="0"/>
    <x v="0"/>
    <x v="0"/>
    <x v="0"/>
    <x v="0"/>
    <x v="0"/>
    <x v="0"/>
    <x v="0"/>
    <x v="0"/>
    <x v="0"/>
    <x v="0"/>
    <x v="0"/>
    <x v="0"/>
    <x v="1"/>
    <x v="0"/>
    <x v="0"/>
    <x v="0"/>
    <x v="1"/>
    <x v="0"/>
    <x v="0"/>
    <x v="0"/>
    <x v="1"/>
    <x v="0"/>
    <x v="0"/>
    <x v="0"/>
    <x v="1"/>
    <x v="0"/>
    <x v="0"/>
    <x v="0"/>
    <x v="291"/>
    <x v="0"/>
    <x v="236"/>
  </r>
  <r>
    <x v="326"/>
    <x v="326"/>
    <x v="4"/>
    <x v="44"/>
    <x v="45"/>
    <x v="2"/>
    <x v="3"/>
    <x v="0"/>
    <x v="237"/>
    <x v="279"/>
    <x v="304"/>
    <x v="0"/>
    <x v="0"/>
    <x v="0"/>
    <x v="8"/>
    <x v="11"/>
    <x v="278"/>
    <x v="0"/>
    <x v="226"/>
    <x v="0"/>
    <x v="0"/>
    <x v="0"/>
    <x v="0"/>
    <x v="0"/>
    <x v="0"/>
    <x v="0"/>
    <x v="0"/>
    <x v="0"/>
    <x v="0"/>
    <x v="0"/>
    <x v="0"/>
    <x v="0"/>
    <x v="0"/>
    <x v="0"/>
    <x v="0"/>
    <x v="0"/>
    <x v="0"/>
    <x v="0"/>
    <x v="0"/>
    <x v="0"/>
    <x v="0"/>
    <x v="0"/>
    <x v="0"/>
    <x v="0"/>
    <x v="0"/>
    <x v="0"/>
    <x v="0"/>
    <x v="0"/>
    <x v="0"/>
    <x v="0"/>
    <x v="0"/>
    <x v="1"/>
    <x v="0"/>
    <x v="0"/>
    <x v="0"/>
    <x v="1"/>
    <x v="0"/>
    <x v="0"/>
    <x v="0"/>
    <x v="1"/>
    <x v="0"/>
    <x v="0"/>
    <x v="0"/>
    <x v="1"/>
    <x v="0"/>
    <x v="0"/>
    <x v="0"/>
    <x v="292"/>
    <x v="0"/>
    <x v="237"/>
  </r>
  <r>
    <x v="327"/>
    <x v="327"/>
    <x v="4"/>
    <x v="44"/>
    <x v="45"/>
    <x v="2"/>
    <x v="3"/>
    <x v="0"/>
    <x v="238"/>
    <x v="280"/>
    <x v="305"/>
    <x v="0"/>
    <x v="0"/>
    <x v="0"/>
    <x v="8"/>
    <x v="11"/>
    <x v="279"/>
    <x v="0"/>
    <x v="227"/>
    <x v="0"/>
    <x v="0"/>
    <x v="0"/>
    <x v="0"/>
    <x v="0"/>
    <x v="0"/>
    <x v="0"/>
    <x v="0"/>
    <x v="0"/>
    <x v="0"/>
    <x v="0"/>
    <x v="0"/>
    <x v="0"/>
    <x v="0"/>
    <x v="0"/>
    <x v="0"/>
    <x v="0"/>
    <x v="0"/>
    <x v="0"/>
    <x v="0"/>
    <x v="0"/>
    <x v="0"/>
    <x v="0"/>
    <x v="0"/>
    <x v="0"/>
    <x v="0"/>
    <x v="0"/>
    <x v="0"/>
    <x v="0"/>
    <x v="0"/>
    <x v="0"/>
    <x v="0"/>
    <x v="1"/>
    <x v="0"/>
    <x v="0"/>
    <x v="0"/>
    <x v="1"/>
    <x v="0"/>
    <x v="0"/>
    <x v="0"/>
    <x v="1"/>
    <x v="0"/>
    <x v="0"/>
    <x v="0"/>
    <x v="1"/>
    <x v="0"/>
    <x v="0"/>
    <x v="0"/>
    <x v="293"/>
    <x v="0"/>
    <x v="238"/>
  </r>
  <r>
    <x v="328"/>
    <x v="328"/>
    <x v="4"/>
    <x v="44"/>
    <x v="45"/>
    <x v="2"/>
    <x v="3"/>
    <x v="0"/>
    <x v="239"/>
    <x v="281"/>
    <x v="306"/>
    <x v="0"/>
    <x v="0"/>
    <x v="0"/>
    <x v="8"/>
    <x v="11"/>
    <x v="280"/>
    <x v="0"/>
    <x v="228"/>
    <x v="0"/>
    <x v="0"/>
    <x v="0"/>
    <x v="0"/>
    <x v="0"/>
    <x v="0"/>
    <x v="0"/>
    <x v="0"/>
    <x v="0"/>
    <x v="0"/>
    <x v="0"/>
    <x v="0"/>
    <x v="0"/>
    <x v="0"/>
    <x v="0"/>
    <x v="0"/>
    <x v="0"/>
    <x v="0"/>
    <x v="0"/>
    <x v="0"/>
    <x v="0"/>
    <x v="0"/>
    <x v="0"/>
    <x v="0"/>
    <x v="0"/>
    <x v="0"/>
    <x v="0"/>
    <x v="0"/>
    <x v="0"/>
    <x v="0"/>
    <x v="0"/>
    <x v="0"/>
    <x v="1"/>
    <x v="0"/>
    <x v="0"/>
    <x v="0"/>
    <x v="1"/>
    <x v="0"/>
    <x v="0"/>
    <x v="0"/>
    <x v="1"/>
    <x v="0"/>
    <x v="0"/>
    <x v="0"/>
    <x v="1"/>
    <x v="0"/>
    <x v="0"/>
    <x v="0"/>
    <x v="294"/>
    <x v="0"/>
    <x v="239"/>
  </r>
  <r>
    <x v="329"/>
    <x v="329"/>
    <x v="4"/>
    <x v="44"/>
    <x v="45"/>
    <x v="2"/>
    <x v="3"/>
    <x v="0"/>
    <x v="129"/>
    <x v="282"/>
    <x v="1"/>
    <x v="0"/>
    <x v="0"/>
    <x v="0"/>
    <x v="8"/>
    <x v="11"/>
    <x v="0"/>
    <x v="0"/>
    <x v="0"/>
    <x v="0"/>
    <x v="0"/>
    <x v="0"/>
    <x v="0"/>
    <x v="0"/>
    <x v="0"/>
    <x v="0"/>
    <x v="0"/>
    <x v="0"/>
    <x v="0"/>
    <x v="0"/>
    <x v="0"/>
    <x v="0"/>
    <x v="0"/>
    <x v="0"/>
    <x v="0"/>
    <x v="0"/>
    <x v="0"/>
    <x v="0"/>
    <x v="0"/>
    <x v="0"/>
    <x v="0"/>
    <x v="0"/>
    <x v="0"/>
    <x v="0"/>
    <x v="0"/>
    <x v="0"/>
    <x v="0"/>
    <x v="0"/>
    <x v="0"/>
    <x v="0"/>
    <x v="0"/>
    <x v="1"/>
    <x v="0"/>
    <x v="0"/>
    <x v="0"/>
    <x v="1"/>
    <x v="0"/>
    <x v="0"/>
    <x v="0"/>
    <x v="1"/>
    <x v="0"/>
    <x v="0"/>
    <x v="0"/>
    <x v="1"/>
    <x v="0"/>
    <x v="0"/>
    <x v="0"/>
    <x v="0"/>
    <x v="0"/>
    <x v="0"/>
  </r>
  <r>
    <x v="330"/>
    <x v="330"/>
    <x v="4"/>
    <x v="44"/>
    <x v="45"/>
    <x v="2"/>
    <x v="3"/>
    <x v="0"/>
    <x v="240"/>
    <x v="283"/>
    <x v="307"/>
    <x v="0"/>
    <x v="0"/>
    <x v="0"/>
    <x v="8"/>
    <x v="35"/>
    <x v="281"/>
    <x v="0"/>
    <x v="229"/>
    <x v="0"/>
    <x v="0"/>
    <x v="0"/>
    <x v="0"/>
    <x v="0"/>
    <x v="0"/>
    <x v="0"/>
    <x v="0"/>
    <x v="0"/>
    <x v="0"/>
    <x v="0"/>
    <x v="0"/>
    <x v="0"/>
    <x v="0"/>
    <x v="0"/>
    <x v="0"/>
    <x v="0"/>
    <x v="0"/>
    <x v="0"/>
    <x v="0"/>
    <x v="0"/>
    <x v="0"/>
    <x v="0"/>
    <x v="0"/>
    <x v="0"/>
    <x v="0"/>
    <x v="0"/>
    <x v="0"/>
    <x v="0"/>
    <x v="0"/>
    <x v="0"/>
    <x v="0"/>
    <x v="1"/>
    <x v="0"/>
    <x v="0"/>
    <x v="0"/>
    <x v="1"/>
    <x v="0"/>
    <x v="0"/>
    <x v="0"/>
    <x v="1"/>
    <x v="0"/>
    <x v="0"/>
    <x v="0"/>
    <x v="1"/>
    <x v="0"/>
    <x v="0"/>
    <x v="0"/>
    <x v="295"/>
    <x v="0"/>
    <x v="240"/>
  </r>
  <r>
    <x v="331"/>
    <x v="331"/>
    <x v="4"/>
    <x v="44"/>
    <x v="45"/>
    <x v="2"/>
    <x v="3"/>
    <x v="0"/>
    <x v="241"/>
    <x v="284"/>
    <x v="308"/>
    <x v="0"/>
    <x v="0"/>
    <x v="0"/>
    <x v="8"/>
    <x v="20"/>
    <x v="282"/>
    <x v="0"/>
    <x v="230"/>
    <x v="0"/>
    <x v="0"/>
    <x v="0"/>
    <x v="0"/>
    <x v="0"/>
    <x v="0"/>
    <x v="0"/>
    <x v="0"/>
    <x v="0"/>
    <x v="0"/>
    <x v="0"/>
    <x v="0"/>
    <x v="0"/>
    <x v="0"/>
    <x v="0"/>
    <x v="0"/>
    <x v="0"/>
    <x v="0"/>
    <x v="0"/>
    <x v="0"/>
    <x v="0"/>
    <x v="0"/>
    <x v="0"/>
    <x v="0"/>
    <x v="0"/>
    <x v="0"/>
    <x v="0"/>
    <x v="0"/>
    <x v="0"/>
    <x v="0"/>
    <x v="0"/>
    <x v="0"/>
    <x v="1"/>
    <x v="0"/>
    <x v="0"/>
    <x v="0"/>
    <x v="1"/>
    <x v="0"/>
    <x v="0"/>
    <x v="0"/>
    <x v="1"/>
    <x v="0"/>
    <x v="0"/>
    <x v="0"/>
    <x v="1"/>
    <x v="0"/>
    <x v="0"/>
    <x v="0"/>
    <x v="296"/>
    <x v="0"/>
    <x v="241"/>
  </r>
  <r>
    <x v="332"/>
    <x v="332"/>
    <x v="4"/>
    <x v="44"/>
    <x v="45"/>
    <x v="2"/>
    <x v="3"/>
    <x v="0"/>
    <x v="9"/>
    <x v="284"/>
    <x v="1"/>
    <x v="0"/>
    <x v="0"/>
    <x v="0"/>
    <x v="8"/>
    <x v="26"/>
    <x v="0"/>
    <x v="0"/>
    <x v="0"/>
    <x v="0"/>
    <x v="0"/>
    <x v="0"/>
    <x v="0"/>
    <x v="0"/>
    <x v="0"/>
    <x v="0"/>
    <x v="0"/>
    <x v="0"/>
    <x v="0"/>
    <x v="0"/>
    <x v="0"/>
    <x v="0"/>
    <x v="0"/>
    <x v="0"/>
    <x v="0"/>
    <x v="0"/>
    <x v="0"/>
    <x v="0"/>
    <x v="0"/>
    <x v="0"/>
    <x v="0"/>
    <x v="0"/>
    <x v="0"/>
    <x v="0"/>
    <x v="0"/>
    <x v="0"/>
    <x v="0"/>
    <x v="0"/>
    <x v="0"/>
    <x v="0"/>
    <x v="0"/>
    <x v="1"/>
    <x v="0"/>
    <x v="0"/>
    <x v="0"/>
    <x v="1"/>
    <x v="0"/>
    <x v="0"/>
    <x v="0"/>
    <x v="1"/>
    <x v="0"/>
    <x v="0"/>
    <x v="0"/>
    <x v="1"/>
    <x v="0"/>
    <x v="0"/>
    <x v="0"/>
    <x v="0"/>
    <x v="0"/>
    <x v="0"/>
  </r>
  <r>
    <x v="333"/>
    <x v="333"/>
    <x v="4"/>
    <x v="45"/>
    <x v="46"/>
    <x v="0"/>
    <x v="3"/>
    <x v="0"/>
    <x v="0"/>
    <x v="0"/>
    <x v="309"/>
    <x v="0"/>
    <x v="0"/>
    <x v="0"/>
    <x v="8"/>
    <x v="0"/>
    <x v="0"/>
    <x v="0"/>
    <x v="0"/>
    <x v="0"/>
    <x v="0"/>
    <x v="0"/>
    <x v="0"/>
    <x v="0"/>
    <x v="0"/>
    <x v="0"/>
    <x v="0"/>
    <x v="0"/>
    <x v="0"/>
    <x v="0"/>
    <x v="0"/>
    <x v="0"/>
    <x v="0"/>
    <x v="0"/>
    <x v="0"/>
    <x v="0"/>
    <x v="0"/>
    <x v="0"/>
    <x v="0"/>
    <x v="0"/>
    <x v="0"/>
    <x v="0"/>
    <x v="0"/>
    <x v="2"/>
    <x v="0"/>
    <x v="0"/>
    <x v="0"/>
    <x v="0"/>
    <x v="0"/>
    <x v="0"/>
    <x v="0"/>
    <x v="0"/>
    <x v="0"/>
    <x v="0"/>
    <x v="0"/>
    <x v="0"/>
    <x v="0"/>
    <x v="0"/>
    <x v="0"/>
    <x v="0"/>
    <x v="0"/>
    <x v="0"/>
    <x v="0"/>
    <x v="0"/>
    <x v="0"/>
    <x v="0"/>
    <x v="0"/>
    <x v="0"/>
    <x v="0"/>
    <x v="0"/>
  </r>
  <r>
    <x v="334"/>
    <x v="334"/>
    <x v="4"/>
    <x v="45"/>
    <x v="46"/>
    <x v="0"/>
    <x v="3"/>
    <x v="1"/>
    <x v="242"/>
    <x v="285"/>
    <x v="310"/>
    <x v="0"/>
    <x v="0"/>
    <x v="37"/>
    <x v="171"/>
    <x v="44"/>
    <x v="283"/>
    <x v="93"/>
    <x v="231"/>
    <x v="0"/>
    <x v="0"/>
    <x v="0"/>
    <x v="0"/>
    <x v="0"/>
    <x v="0"/>
    <x v="0"/>
    <x v="0"/>
    <x v="0"/>
    <x v="0"/>
    <x v="0"/>
    <x v="0"/>
    <x v="0"/>
    <x v="0"/>
    <x v="0"/>
    <x v="0"/>
    <x v="0"/>
    <x v="0"/>
    <x v="0"/>
    <x v="0"/>
    <x v="0"/>
    <x v="0"/>
    <x v="0"/>
    <x v="0"/>
    <x v="0"/>
    <x v="0"/>
    <x v="0"/>
    <x v="0"/>
    <x v="0"/>
    <x v="0"/>
    <x v="0"/>
    <x v="0"/>
    <x v="1"/>
    <x v="21"/>
    <x v="16"/>
    <x v="0"/>
    <x v="1"/>
    <x v="0"/>
    <x v="0"/>
    <x v="0"/>
    <x v="1"/>
    <x v="0"/>
    <x v="0"/>
    <x v="0"/>
    <x v="1"/>
    <x v="0"/>
    <x v="0"/>
    <x v="0"/>
    <x v="297"/>
    <x v="115"/>
    <x v="242"/>
  </r>
  <r>
    <x v="335"/>
    <x v="335"/>
    <x v="4"/>
    <x v="45"/>
    <x v="46"/>
    <x v="0"/>
    <x v="3"/>
    <x v="2"/>
    <x v="42"/>
    <x v="286"/>
    <x v="311"/>
    <x v="0"/>
    <x v="0"/>
    <x v="0"/>
    <x v="131"/>
    <x v="44"/>
    <x v="284"/>
    <x v="0"/>
    <x v="232"/>
    <x v="0"/>
    <x v="0"/>
    <x v="0"/>
    <x v="0"/>
    <x v="0"/>
    <x v="0"/>
    <x v="0"/>
    <x v="0"/>
    <x v="0"/>
    <x v="0"/>
    <x v="0"/>
    <x v="0"/>
    <x v="0"/>
    <x v="0"/>
    <x v="0"/>
    <x v="0"/>
    <x v="0"/>
    <x v="0"/>
    <x v="0"/>
    <x v="0"/>
    <x v="0"/>
    <x v="0"/>
    <x v="0"/>
    <x v="0"/>
    <x v="0"/>
    <x v="0"/>
    <x v="0"/>
    <x v="0"/>
    <x v="0"/>
    <x v="0"/>
    <x v="0"/>
    <x v="0"/>
    <x v="1"/>
    <x v="0"/>
    <x v="0"/>
    <x v="0"/>
    <x v="1"/>
    <x v="0"/>
    <x v="0"/>
    <x v="0"/>
    <x v="1"/>
    <x v="0"/>
    <x v="0"/>
    <x v="0"/>
    <x v="1"/>
    <x v="0"/>
    <x v="0"/>
    <x v="0"/>
    <x v="298"/>
    <x v="0"/>
    <x v="243"/>
  </r>
  <r>
    <x v="336"/>
    <x v="336"/>
    <x v="4"/>
    <x v="45"/>
    <x v="46"/>
    <x v="0"/>
    <x v="3"/>
    <x v="3"/>
    <x v="243"/>
    <x v="287"/>
    <x v="312"/>
    <x v="0"/>
    <x v="0"/>
    <x v="0"/>
    <x v="172"/>
    <x v="44"/>
    <x v="285"/>
    <x v="0"/>
    <x v="233"/>
    <x v="0"/>
    <x v="0"/>
    <x v="0"/>
    <x v="0"/>
    <x v="0"/>
    <x v="0"/>
    <x v="0"/>
    <x v="0"/>
    <x v="0"/>
    <x v="0"/>
    <x v="0"/>
    <x v="0"/>
    <x v="0"/>
    <x v="0"/>
    <x v="0"/>
    <x v="0"/>
    <x v="0"/>
    <x v="0"/>
    <x v="0"/>
    <x v="0"/>
    <x v="0"/>
    <x v="0"/>
    <x v="0"/>
    <x v="0"/>
    <x v="0"/>
    <x v="0"/>
    <x v="0"/>
    <x v="0"/>
    <x v="0"/>
    <x v="0"/>
    <x v="0"/>
    <x v="0"/>
    <x v="1"/>
    <x v="0"/>
    <x v="0"/>
    <x v="0"/>
    <x v="1"/>
    <x v="0"/>
    <x v="0"/>
    <x v="0"/>
    <x v="1"/>
    <x v="0"/>
    <x v="0"/>
    <x v="0"/>
    <x v="1"/>
    <x v="0"/>
    <x v="0"/>
    <x v="0"/>
    <x v="299"/>
    <x v="0"/>
    <x v="244"/>
  </r>
  <r>
    <x v="337"/>
    <x v="337"/>
    <x v="4"/>
    <x v="45"/>
    <x v="46"/>
    <x v="0"/>
    <x v="3"/>
    <x v="4"/>
    <x v="119"/>
    <x v="288"/>
    <x v="313"/>
    <x v="0"/>
    <x v="0"/>
    <x v="0"/>
    <x v="173"/>
    <x v="44"/>
    <x v="286"/>
    <x v="0"/>
    <x v="234"/>
    <x v="0"/>
    <x v="0"/>
    <x v="0"/>
    <x v="0"/>
    <x v="0"/>
    <x v="0"/>
    <x v="0"/>
    <x v="0"/>
    <x v="0"/>
    <x v="0"/>
    <x v="0"/>
    <x v="0"/>
    <x v="0"/>
    <x v="0"/>
    <x v="0"/>
    <x v="0"/>
    <x v="0"/>
    <x v="0"/>
    <x v="0"/>
    <x v="0"/>
    <x v="0"/>
    <x v="0"/>
    <x v="0"/>
    <x v="0"/>
    <x v="0"/>
    <x v="0"/>
    <x v="0"/>
    <x v="0"/>
    <x v="0"/>
    <x v="0"/>
    <x v="0"/>
    <x v="0"/>
    <x v="1"/>
    <x v="0"/>
    <x v="0"/>
    <x v="0"/>
    <x v="1"/>
    <x v="0"/>
    <x v="0"/>
    <x v="0"/>
    <x v="1"/>
    <x v="0"/>
    <x v="0"/>
    <x v="0"/>
    <x v="1"/>
    <x v="0"/>
    <x v="0"/>
    <x v="0"/>
    <x v="300"/>
    <x v="0"/>
    <x v="245"/>
  </r>
  <r>
    <x v="338"/>
    <x v="338"/>
    <x v="4"/>
    <x v="45"/>
    <x v="46"/>
    <x v="0"/>
    <x v="3"/>
    <x v="10"/>
    <x v="244"/>
    <x v="289"/>
    <x v="314"/>
    <x v="0"/>
    <x v="0"/>
    <x v="0"/>
    <x v="115"/>
    <x v="44"/>
    <x v="287"/>
    <x v="0"/>
    <x v="235"/>
    <x v="0"/>
    <x v="0"/>
    <x v="0"/>
    <x v="0"/>
    <x v="0"/>
    <x v="0"/>
    <x v="0"/>
    <x v="0"/>
    <x v="0"/>
    <x v="0"/>
    <x v="0"/>
    <x v="0"/>
    <x v="0"/>
    <x v="0"/>
    <x v="0"/>
    <x v="0"/>
    <x v="0"/>
    <x v="0"/>
    <x v="0"/>
    <x v="0"/>
    <x v="0"/>
    <x v="0"/>
    <x v="0"/>
    <x v="0"/>
    <x v="0"/>
    <x v="0"/>
    <x v="0"/>
    <x v="0"/>
    <x v="0"/>
    <x v="0"/>
    <x v="0"/>
    <x v="0"/>
    <x v="1"/>
    <x v="0"/>
    <x v="0"/>
    <x v="0"/>
    <x v="1"/>
    <x v="0"/>
    <x v="0"/>
    <x v="0"/>
    <x v="1"/>
    <x v="0"/>
    <x v="0"/>
    <x v="0"/>
    <x v="1"/>
    <x v="0"/>
    <x v="0"/>
    <x v="0"/>
    <x v="301"/>
    <x v="0"/>
    <x v="246"/>
  </r>
  <r>
    <x v="339"/>
    <x v="339"/>
    <x v="4"/>
    <x v="45"/>
    <x v="46"/>
    <x v="0"/>
    <x v="3"/>
    <x v="5"/>
    <x v="245"/>
    <x v="290"/>
    <x v="315"/>
    <x v="0"/>
    <x v="0"/>
    <x v="0"/>
    <x v="174"/>
    <x v="44"/>
    <x v="288"/>
    <x v="0"/>
    <x v="236"/>
    <x v="0"/>
    <x v="0"/>
    <x v="0"/>
    <x v="0"/>
    <x v="0"/>
    <x v="0"/>
    <x v="0"/>
    <x v="0"/>
    <x v="0"/>
    <x v="0"/>
    <x v="0"/>
    <x v="0"/>
    <x v="0"/>
    <x v="0"/>
    <x v="0"/>
    <x v="0"/>
    <x v="0"/>
    <x v="0"/>
    <x v="0"/>
    <x v="0"/>
    <x v="0"/>
    <x v="0"/>
    <x v="0"/>
    <x v="0"/>
    <x v="0"/>
    <x v="0"/>
    <x v="0"/>
    <x v="0"/>
    <x v="0"/>
    <x v="0"/>
    <x v="0"/>
    <x v="0"/>
    <x v="1"/>
    <x v="0"/>
    <x v="0"/>
    <x v="0"/>
    <x v="1"/>
    <x v="0"/>
    <x v="0"/>
    <x v="0"/>
    <x v="1"/>
    <x v="0"/>
    <x v="0"/>
    <x v="0"/>
    <x v="1"/>
    <x v="0"/>
    <x v="0"/>
    <x v="0"/>
    <x v="302"/>
    <x v="0"/>
    <x v="247"/>
  </r>
  <r>
    <x v="340"/>
    <x v="340"/>
    <x v="4"/>
    <x v="45"/>
    <x v="46"/>
    <x v="0"/>
    <x v="3"/>
    <x v="6"/>
    <x v="35"/>
    <x v="291"/>
    <x v="316"/>
    <x v="0"/>
    <x v="0"/>
    <x v="0"/>
    <x v="175"/>
    <x v="44"/>
    <x v="289"/>
    <x v="0"/>
    <x v="237"/>
    <x v="0"/>
    <x v="0"/>
    <x v="0"/>
    <x v="0"/>
    <x v="0"/>
    <x v="0"/>
    <x v="0"/>
    <x v="0"/>
    <x v="0"/>
    <x v="0"/>
    <x v="0"/>
    <x v="0"/>
    <x v="0"/>
    <x v="0"/>
    <x v="0"/>
    <x v="0"/>
    <x v="0"/>
    <x v="0"/>
    <x v="0"/>
    <x v="0"/>
    <x v="0"/>
    <x v="0"/>
    <x v="0"/>
    <x v="0"/>
    <x v="0"/>
    <x v="0"/>
    <x v="0"/>
    <x v="0"/>
    <x v="0"/>
    <x v="0"/>
    <x v="0"/>
    <x v="0"/>
    <x v="1"/>
    <x v="0"/>
    <x v="0"/>
    <x v="0"/>
    <x v="1"/>
    <x v="0"/>
    <x v="0"/>
    <x v="0"/>
    <x v="1"/>
    <x v="0"/>
    <x v="0"/>
    <x v="0"/>
    <x v="1"/>
    <x v="0"/>
    <x v="0"/>
    <x v="0"/>
    <x v="303"/>
    <x v="0"/>
    <x v="248"/>
  </r>
  <r>
    <x v="341"/>
    <x v="341"/>
    <x v="4"/>
    <x v="45"/>
    <x v="46"/>
    <x v="0"/>
    <x v="3"/>
    <x v="7"/>
    <x v="246"/>
    <x v="292"/>
    <x v="317"/>
    <x v="0"/>
    <x v="0"/>
    <x v="0"/>
    <x v="172"/>
    <x v="44"/>
    <x v="290"/>
    <x v="0"/>
    <x v="238"/>
    <x v="0"/>
    <x v="0"/>
    <x v="0"/>
    <x v="0"/>
    <x v="0"/>
    <x v="0"/>
    <x v="0"/>
    <x v="0"/>
    <x v="0"/>
    <x v="0"/>
    <x v="0"/>
    <x v="0"/>
    <x v="0"/>
    <x v="0"/>
    <x v="0"/>
    <x v="0"/>
    <x v="0"/>
    <x v="0"/>
    <x v="0"/>
    <x v="0"/>
    <x v="0"/>
    <x v="0"/>
    <x v="0"/>
    <x v="0"/>
    <x v="0"/>
    <x v="0"/>
    <x v="0"/>
    <x v="0"/>
    <x v="0"/>
    <x v="0"/>
    <x v="0"/>
    <x v="0"/>
    <x v="1"/>
    <x v="0"/>
    <x v="0"/>
    <x v="0"/>
    <x v="1"/>
    <x v="0"/>
    <x v="0"/>
    <x v="0"/>
    <x v="1"/>
    <x v="0"/>
    <x v="0"/>
    <x v="0"/>
    <x v="1"/>
    <x v="0"/>
    <x v="0"/>
    <x v="0"/>
    <x v="304"/>
    <x v="0"/>
    <x v="249"/>
  </r>
  <r>
    <x v="342"/>
    <x v="342"/>
    <x v="4"/>
    <x v="46"/>
    <x v="47"/>
    <x v="2"/>
    <x v="2"/>
    <x v="1"/>
    <x v="247"/>
    <x v="293"/>
    <x v="318"/>
    <x v="0"/>
    <x v="0"/>
    <x v="0"/>
    <x v="176"/>
    <x v="6"/>
    <x v="291"/>
    <x v="94"/>
    <x v="0"/>
    <x v="1"/>
    <x v="73"/>
    <x v="14"/>
    <x v="0"/>
    <x v="0"/>
    <x v="0"/>
    <x v="0"/>
    <x v="0"/>
    <x v="0"/>
    <x v="0"/>
    <x v="0"/>
    <x v="0"/>
    <x v="0"/>
    <x v="0"/>
    <x v="0"/>
    <x v="0"/>
    <x v="0"/>
    <x v="0"/>
    <x v="0"/>
    <x v="0"/>
    <x v="0"/>
    <x v="0"/>
    <x v="0"/>
    <x v="0"/>
    <x v="3"/>
    <x v="120"/>
    <x v="76"/>
    <x v="0"/>
    <x v="18"/>
    <x v="150"/>
    <x v="90"/>
    <x v="0"/>
    <x v="8"/>
    <x v="10"/>
    <x v="0"/>
    <x v="7"/>
    <x v="23"/>
    <x v="21"/>
    <x v="12"/>
    <x v="0"/>
    <x v="1"/>
    <x v="0"/>
    <x v="0"/>
    <x v="0"/>
    <x v="4"/>
    <x v="0"/>
    <x v="0"/>
    <x v="0"/>
    <x v="305"/>
    <x v="116"/>
    <x v="250"/>
  </r>
  <r>
    <x v="343"/>
    <x v="343"/>
    <x v="4"/>
    <x v="46"/>
    <x v="47"/>
    <x v="2"/>
    <x v="2"/>
    <x v="2"/>
    <x v="248"/>
    <x v="294"/>
    <x v="319"/>
    <x v="0"/>
    <x v="0"/>
    <x v="0"/>
    <x v="177"/>
    <x v="6"/>
    <x v="292"/>
    <x v="95"/>
    <x v="0"/>
    <x v="1"/>
    <x v="74"/>
    <x v="15"/>
    <x v="0"/>
    <x v="0"/>
    <x v="0"/>
    <x v="0"/>
    <x v="0"/>
    <x v="0"/>
    <x v="0"/>
    <x v="0"/>
    <x v="0"/>
    <x v="0"/>
    <x v="0"/>
    <x v="0"/>
    <x v="0"/>
    <x v="0"/>
    <x v="0"/>
    <x v="0"/>
    <x v="0"/>
    <x v="0"/>
    <x v="0"/>
    <x v="0"/>
    <x v="0"/>
    <x v="3"/>
    <x v="121"/>
    <x v="77"/>
    <x v="0"/>
    <x v="18"/>
    <x v="151"/>
    <x v="91"/>
    <x v="0"/>
    <x v="8"/>
    <x v="10"/>
    <x v="0"/>
    <x v="7"/>
    <x v="23"/>
    <x v="22"/>
    <x v="13"/>
    <x v="0"/>
    <x v="2"/>
    <x v="3"/>
    <x v="3"/>
    <x v="0"/>
    <x v="4"/>
    <x v="0"/>
    <x v="0"/>
    <x v="0"/>
    <x v="306"/>
    <x v="117"/>
    <x v="250"/>
  </r>
  <r>
    <x v="344"/>
    <x v="344"/>
    <x v="4"/>
    <x v="46"/>
    <x v="47"/>
    <x v="2"/>
    <x v="2"/>
    <x v="3"/>
    <x v="249"/>
    <x v="295"/>
    <x v="320"/>
    <x v="0"/>
    <x v="0"/>
    <x v="0"/>
    <x v="40"/>
    <x v="6"/>
    <x v="293"/>
    <x v="96"/>
    <x v="0"/>
    <x v="0"/>
    <x v="0"/>
    <x v="0"/>
    <x v="0"/>
    <x v="0"/>
    <x v="0"/>
    <x v="0"/>
    <x v="0"/>
    <x v="0"/>
    <x v="0"/>
    <x v="0"/>
    <x v="0"/>
    <x v="0"/>
    <x v="0"/>
    <x v="0"/>
    <x v="0"/>
    <x v="0"/>
    <x v="0"/>
    <x v="0"/>
    <x v="0"/>
    <x v="0"/>
    <x v="0"/>
    <x v="0"/>
    <x v="0"/>
    <x v="3"/>
    <x v="122"/>
    <x v="78"/>
    <x v="0"/>
    <x v="18"/>
    <x v="152"/>
    <x v="92"/>
    <x v="0"/>
    <x v="8"/>
    <x v="10"/>
    <x v="17"/>
    <x v="8"/>
    <x v="23"/>
    <x v="23"/>
    <x v="14"/>
    <x v="0"/>
    <x v="4"/>
    <x v="4"/>
    <x v="4"/>
    <x v="0"/>
    <x v="4"/>
    <x v="49"/>
    <x v="49"/>
    <x v="0"/>
    <x v="307"/>
    <x v="118"/>
    <x v="251"/>
  </r>
  <r>
    <x v="345"/>
    <x v="345"/>
    <x v="4"/>
    <x v="47"/>
    <x v="48"/>
    <x v="2"/>
    <x v="2"/>
    <x v="1"/>
    <x v="250"/>
    <x v="296"/>
    <x v="321"/>
    <x v="0"/>
    <x v="0"/>
    <x v="0"/>
    <x v="41"/>
    <x v="17"/>
    <x v="294"/>
    <x v="97"/>
    <x v="0"/>
    <x v="0"/>
    <x v="0"/>
    <x v="0"/>
    <x v="0"/>
    <x v="0"/>
    <x v="0"/>
    <x v="0"/>
    <x v="0"/>
    <x v="0"/>
    <x v="0"/>
    <x v="0"/>
    <x v="0"/>
    <x v="0"/>
    <x v="0"/>
    <x v="0"/>
    <x v="0"/>
    <x v="0"/>
    <x v="0"/>
    <x v="0"/>
    <x v="0"/>
    <x v="0"/>
    <x v="0"/>
    <x v="0"/>
    <x v="0"/>
    <x v="3"/>
    <x v="123"/>
    <x v="79"/>
    <x v="0"/>
    <x v="0"/>
    <x v="0"/>
    <x v="0"/>
    <x v="0"/>
    <x v="7"/>
    <x v="22"/>
    <x v="18"/>
    <x v="0"/>
    <x v="24"/>
    <x v="24"/>
    <x v="15"/>
    <x v="0"/>
    <x v="1"/>
    <x v="0"/>
    <x v="0"/>
    <x v="0"/>
    <x v="4"/>
    <x v="0"/>
    <x v="0"/>
    <x v="0"/>
    <x v="308"/>
    <x v="119"/>
    <x v="0"/>
  </r>
  <r>
    <x v="346"/>
    <x v="346"/>
    <x v="4"/>
    <x v="47"/>
    <x v="48"/>
    <x v="2"/>
    <x v="2"/>
    <x v="2"/>
    <x v="251"/>
    <x v="297"/>
    <x v="322"/>
    <x v="0"/>
    <x v="0"/>
    <x v="0"/>
    <x v="108"/>
    <x v="17"/>
    <x v="295"/>
    <x v="98"/>
    <x v="0"/>
    <x v="0"/>
    <x v="0"/>
    <x v="0"/>
    <x v="0"/>
    <x v="0"/>
    <x v="0"/>
    <x v="0"/>
    <x v="0"/>
    <x v="0"/>
    <x v="0"/>
    <x v="0"/>
    <x v="0"/>
    <x v="0"/>
    <x v="0"/>
    <x v="0"/>
    <x v="0"/>
    <x v="0"/>
    <x v="0"/>
    <x v="0"/>
    <x v="0"/>
    <x v="0"/>
    <x v="0"/>
    <x v="0"/>
    <x v="0"/>
    <x v="3"/>
    <x v="124"/>
    <x v="80"/>
    <x v="0"/>
    <x v="0"/>
    <x v="0"/>
    <x v="0"/>
    <x v="0"/>
    <x v="7"/>
    <x v="13"/>
    <x v="6"/>
    <x v="0"/>
    <x v="24"/>
    <x v="24"/>
    <x v="15"/>
    <x v="0"/>
    <x v="1"/>
    <x v="0"/>
    <x v="0"/>
    <x v="0"/>
    <x v="4"/>
    <x v="0"/>
    <x v="0"/>
    <x v="0"/>
    <x v="309"/>
    <x v="120"/>
    <x v="0"/>
  </r>
  <r>
    <x v="347"/>
    <x v="347"/>
    <x v="4"/>
    <x v="47"/>
    <x v="48"/>
    <x v="2"/>
    <x v="2"/>
    <x v="3"/>
    <x v="9"/>
    <x v="298"/>
    <x v="323"/>
    <x v="0"/>
    <x v="0"/>
    <x v="0"/>
    <x v="178"/>
    <x v="17"/>
    <x v="296"/>
    <x v="99"/>
    <x v="0"/>
    <x v="0"/>
    <x v="0"/>
    <x v="0"/>
    <x v="0"/>
    <x v="0"/>
    <x v="0"/>
    <x v="0"/>
    <x v="0"/>
    <x v="0"/>
    <x v="0"/>
    <x v="0"/>
    <x v="0"/>
    <x v="0"/>
    <x v="0"/>
    <x v="0"/>
    <x v="0"/>
    <x v="0"/>
    <x v="0"/>
    <x v="0"/>
    <x v="0"/>
    <x v="0"/>
    <x v="0"/>
    <x v="0"/>
    <x v="0"/>
    <x v="3"/>
    <x v="125"/>
    <x v="81"/>
    <x v="0"/>
    <x v="0"/>
    <x v="0"/>
    <x v="0"/>
    <x v="0"/>
    <x v="7"/>
    <x v="13"/>
    <x v="6"/>
    <x v="0"/>
    <x v="24"/>
    <x v="24"/>
    <x v="15"/>
    <x v="0"/>
    <x v="1"/>
    <x v="0"/>
    <x v="0"/>
    <x v="0"/>
    <x v="4"/>
    <x v="0"/>
    <x v="0"/>
    <x v="0"/>
    <x v="310"/>
    <x v="121"/>
    <x v="0"/>
  </r>
  <r>
    <x v="348"/>
    <x v="348"/>
    <x v="4"/>
    <x v="47"/>
    <x v="48"/>
    <x v="2"/>
    <x v="2"/>
    <x v="4"/>
    <x v="252"/>
    <x v="299"/>
    <x v="324"/>
    <x v="0"/>
    <x v="0"/>
    <x v="0"/>
    <x v="47"/>
    <x v="21"/>
    <x v="297"/>
    <x v="100"/>
    <x v="0"/>
    <x v="0"/>
    <x v="0"/>
    <x v="0"/>
    <x v="0"/>
    <x v="0"/>
    <x v="0"/>
    <x v="0"/>
    <x v="0"/>
    <x v="0"/>
    <x v="0"/>
    <x v="0"/>
    <x v="0"/>
    <x v="0"/>
    <x v="0"/>
    <x v="0"/>
    <x v="0"/>
    <x v="0"/>
    <x v="0"/>
    <x v="0"/>
    <x v="0"/>
    <x v="0"/>
    <x v="0"/>
    <x v="0"/>
    <x v="0"/>
    <x v="3"/>
    <x v="126"/>
    <x v="82"/>
    <x v="0"/>
    <x v="0"/>
    <x v="0"/>
    <x v="0"/>
    <x v="0"/>
    <x v="7"/>
    <x v="13"/>
    <x v="6"/>
    <x v="0"/>
    <x v="25"/>
    <x v="25"/>
    <x v="16"/>
    <x v="0"/>
    <x v="1"/>
    <x v="0"/>
    <x v="0"/>
    <x v="0"/>
    <x v="4"/>
    <x v="0"/>
    <x v="0"/>
    <x v="0"/>
    <x v="311"/>
    <x v="122"/>
    <x v="0"/>
  </r>
  <r>
    <x v="349"/>
    <x v="349"/>
    <x v="4"/>
    <x v="47"/>
    <x v="48"/>
    <x v="2"/>
    <x v="2"/>
    <x v="10"/>
    <x v="253"/>
    <x v="300"/>
    <x v="325"/>
    <x v="0"/>
    <x v="0"/>
    <x v="0"/>
    <x v="113"/>
    <x v="19"/>
    <x v="298"/>
    <x v="101"/>
    <x v="0"/>
    <x v="0"/>
    <x v="0"/>
    <x v="0"/>
    <x v="0"/>
    <x v="0"/>
    <x v="0"/>
    <x v="0"/>
    <x v="0"/>
    <x v="0"/>
    <x v="0"/>
    <x v="0"/>
    <x v="0"/>
    <x v="0"/>
    <x v="0"/>
    <x v="0"/>
    <x v="0"/>
    <x v="0"/>
    <x v="0"/>
    <x v="0"/>
    <x v="0"/>
    <x v="0"/>
    <x v="0"/>
    <x v="0"/>
    <x v="0"/>
    <x v="3"/>
    <x v="127"/>
    <x v="83"/>
    <x v="0"/>
    <x v="0"/>
    <x v="0"/>
    <x v="0"/>
    <x v="0"/>
    <x v="7"/>
    <x v="13"/>
    <x v="6"/>
    <x v="0"/>
    <x v="25"/>
    <x v="25"/>
    <x v="16"/>
    <x v="0"/>
    <x v="1"/>
    <x v="0"/>
    <x v="0"/>
    <x v="0"/>
    <x v="4"/>
    <x v="0"/>
    <x v="0"/>
    <x v="0"/>
    <x v="312"/>
    <x v="123"/>
    <x v="0"/>
  </r>
  <r>
    <x v="350"/>
    <x v="350"/>
    <x v="4"/>
    <x v="47"/>
    <x v="48"/>
    <x v="2"/>
    <x v="2"/>
    <x v="5"/>
    <x v="27"/>
    <x v="301"/>
    <x v="326"/>
    <x v="0"/>
    <x v="0"/>
    <x v="0"/>
    <x v="113"/>
    <x v="19"/>
    <x v="299"/>
    <x v="102"/>
    <x v="0"/>
    <x v="0"/>
    <x v="0"/>
    <x v="0"/>
    <x v="0"/>
    <x v="0"/>
    <x v="0"/>
    <x v="0"/>
    <x v="0"/>
    <x v="0"/>
    <x v="0"/>
    <x v="0"/>
    <x v="0"/>
    <x v="0"/>
    <x v="0"/>
    <x v="0"/>
    <x v="0"/>
    <x v="0"/>
    <x v="0"/>
    <x v="0"/>
    <x v="0"/>
    <x v="0"/>
    <x v="0"/>
    <x v="0"/>
    <x v="0"/>
    <x v="3"/>
    <x v="128"/>
    <x v="84"/>
    <x v="0"/>
    <x v="0"/>
    <x v="0"/>
    <x v="0"/>
    <x v="0"/>
    <x v="7"/>
    <x v="13"/>
    <x v="6"/>
    <x v="0"/>
    <x v="25"/>
    <x v="25"/>
    <x v="16"/>
    <x v="0"/>
    <x v="1"/>
    <x v="0"/>
    <x v="0"/>
    <x v="0"/>
    <x v="4"/>
    <x v="0"/>
    <x v="0"/>
    <x v="0"/>
    <x v="313"/>
    <x v="124"/>
    <x v="0"/>
  </r>
  <r>
    <x v="351"/>
    <x v="351"/>
    <x v="4"/>
    <x v="47"/>
    <x v="48"/>
    <x v="2"/>
    <x v="2"/>
    <x v="6"/>
    <x v="30"/>
    <x v="302"/>
    <x v="327"/>
    <x v="0"/>
    <x v="0"/>
    <x v="0"/>
    <x v="47"/>
    <x v="19"/>
    <x v="300"/>
    <x v="103"/>
    <x v="0"/>
    <x v="0"/>
    <x v="0"/>
    <x v="0"/>
    <x v="0"/>
    <x v="0"/>
    <x v="0"/>
    <x v="0"/>
    <x v="0"/>
    <x v="0"/>
    <x v="0"/>
    <x v="0"/>
    <x v="0"/>
    <x v="0"/>
    <x v="0"/>
    <x v="0"/>
    <x v="0"/>
    <x v="0"/>
    <x v="0"/>
    <x v="0"/>
    <x v="0"/>
    <x v="0"/>
    <x v="0"/>
    <x v="0"/>
    <x v="0"/>
    <x v="3"/>
    <x v="129"/>
    <x v="85"/>
    <x v="0"/>
    <x v="0"/>
    <x v="0"/>
    <x v="0"/>
    <x v="0"/>
    <x v="7"/>
    <x v="13"/>
    <x v="6"/>
    <x v="0"/>
    <x v="25"/>
    <x v="25"/>
    <x v="16"/>
    <x v="0"/>
    <x v="1"/>
    <x v="0"/>
    <x v="0"/>
    <x v="0"/>
    <x v="4"/>
    <x v="0"/>
    <x v="0"/>
    <x v="0"/>
    <x v="314"/>
    <x v="125"/>
    <x v="0"/>
  </r>
  <r>
    <x v="352"/>
    <x v="352"/>
    <x v="4"/>
    <x v="47"/>
    <x v="48"/>
    <x v="2"/>
    <x v="2"/>
    <x v="7"/>
    <x v="101"/>
    <x v="303"/>
    <x v="328"/>
    <x v="0"/>
    <x v="0"/>
    <x v="0"/>
    <x v="113"/>
    <x v="19"/>
    <x v="301"/>
    <x v="104"/>
    <x v="0"/>
    <x v="0"/>
    <x v="0"/>
    <x v="0"/>
    <x v="0"/>
    <x v="0"/>
    <x v="0"/>
    <x v="0"/>
    <x v="0"/>
    <x v="0"/>
    <x v="0"/>
    <x v="0"/>
    <x v="0"/>
    <x v="0"/>
    <x v="0"/>
    <x v="0"/>
    <x v="0"/>
    <x v="0"/>
    <x v="0"/>
    <x v="0"/>
    <x v="0"/>
    <x v="0"/>
    <x v="0"/>
    <x v="0"/>
    <x v="0"/>
    <x v="3"/>
    <x v="130"/>
    <x v="86"/>
    <x v="0"/>
    <x v="0"/>
    <x v="0"/>
    <x v="0"/>
    <x v="0"/>
    <x v="7"/>
    <x v="23"/>
    <x v="19"/>
    <x v="0"/>
    <x v="25"/>
    <x v="25"/>
    <x v="16"/>
    <x v="0"/>
    <x v="1"/>
    <x v="0"/>
    <x v="0"/>
    <x v="0"/>
    <x v="4"/>
    <x v="0"/>
    <x v="0"/>
    <x v="0"/>
    <x v="315"/>
    <x v="126"/>
    <x v="0"/>
  </r>
  <r>
    <x v="353"/>
    <x v="353"/>
    <x v="4"/>
    <x v="47"/>
    <x v="48"/>
    <x v="2"/>
    <x v="2"/>
    <x v="8"/>
    <x v="119"/>
    <x v="304"/>
    <x v="329"/>
    <x v="0"/>
    <x v="0"/>
    <x v="0"/>
    <x v="47"/>
    <x v="19"/>
    <x v="302"/>
    <x v="105"/>
    <x v="0"/>
    <x v="0"/>
    <x v="0"/>
    <x v="0"/>
    <x v="0"/>
    <x v="0"/>
    <x v="0"/>
    <x v="0"/>
    <x v="0"/>
    <x v="0"/>
    <x v="0"/>
    <x v="0"/>
    <x v="0"/>
    <x v="0"/>
    <x v="0"/>
    <x v="0"/>
    <x v="0"/>
    <x v="0"/>
    <x v="0"/>
    <x v="0"/>
    <x v="0"/>
    <x v="0"/>
    <x v="0"/>
    <x v="0"/>
    <x v="0"/>
    <x v="3"/>
    <x v="131"/>
    <x v="87"/>
    <x v="0"/>
    <x v="0"/>
    <x v="0"/>
    <x v="0"/>
    <x v="0"/>
    <x v="7"/>
    <x v="13"/>
    <x v="0"/>
    <x v="0"/>
    <x v="26"/>
    <x v="25"/>
    <x v="16"/>
    <x v="0"/>
    <x v="1"/>
    <x v="0"/>
    <x v="0"/>
    <x v="0"/>
    <x v="4"/>
    <x v="0"/>
    <x v="0"/>
    <x v="0"/>
    <x v="316"/>
    <x v="127"/>
    <x v="0"/>
  </r>
  <r>
    <x v="354"/>
    <x v="354"/>
    <x v="4"/>
    <x v="47"/>
    <x v="48"/>
    <x v="2"/>
    <x v="2"/>
    <x v="11"/>
    <x v="145"/>
    <x v="305"/>
    <x v="330"/>
    <x v="0"/>
    <x v="0"/>
    <x v="0"/>
    <x v="46"/>
    <x v="19"/>
    <x v="303"/>
    <x v="106"/>
    <x v="0"/>
    <x v="0"/>
    <x v="0"/>
    <x v="0"/>
    <x v="0"/>
    <x v="0"/>
    <x v="0"/>
    <x v="0"/>
    <x v="0"/>
    <x v="0"/>
    <x v="0"/>
    <x v="0"/>
    <x v="0"/>
    <x v="0"/>
    <x v="0"/>
    <x v="0"/>
    <x v="0"/>
    <x v="0"/>
    <x v="0"/>
    <x v="0"/>
    <x v="0"/>
    <x v="0"/>
    <x v="0"/>
    <x v="0"/>
    <x v="0"/>
    <x v="3"/>
    <x v="132"/>
    <x v="88"/>
    <x v="0"/>
    <x v="0"/>
    <x v="0"/>
    <x v="0"/>
    <x v="0"/>
    <x v="7"/>
    <x v="13"/>
    <x v="0"/>
    <x v="0"/>
    <x v="25"/>
    <x v="25"/>
    <x v="16"/>
    <x v="0"/>
    <x v="1"/>
    <x v="0"/>
    <x v="0"/>
    <x v="0"/>
    <x v="4"/>
    <x v="0"/>
    <x v="0"/>
    <x v="0"/>
    <x v="317"/>
    <x v="128"/>
    <x v="0"/>
  </r>
  <r>
    <x v="355"/>
    <x v="355"/>
    <x v="4"/>
    <x v="47"/>
    <x v="48"/>
    <x v="2"/>
    <x v="2"/>
    <x v="9"/>
    <x v="254"/>
    <x v="306"/>
    <x v="331"/>
    <x v="0"/>
    <x v="0"/>
    <x v="0"/>
    <x v="47"/>
    <x v="19"/>
    <x v="304"/>
    <x v="107"/>
    <x v="0"/>
    <x v="0"/>
    <x v="0"/>
    <x v="0"/>
    <x v="0"/>
    <x v="0"/>
    <x v="0"/>
    <x v="0"/>
    <x v="0"/>
    <x v="0"/>
    <x v="0"/>
    <x v="0"/>
    <x v="0"/>
    <x v="0"/>
    <x v="0"/>
    <x v="0"/>
    <x v="0"/>
    <x v="0"/>
    <x v="0"/>
    <x v="0"/>
    <x v="0"/>
    <x v="0"/>
    <x v="0"/>
    <x v="0"/>
    <x v="0"/>
    <x v="3"/>
    <x v="133"/>
    <x v="89"/>
    <x v="0"/>
    <x v="0"/>
    <x v="0"/>
    <x v="0"/>
    <x v="0"/>
    <x v="7"/>
    <x v="13"/>
    <x v="0"/>
    <x v="0"/>
    <x v="25"/>
    <x v="25"/>
    <x v="16"/>
    <x v="0"/>
    <x v="1"/>
    <x v="0"/>
    <x v="0"/>
    <x v="0"/>
    <x v="4"/>
    <x v="0"/>
    <x v="0"/>
    <x v="0"/>
    <x v="318"/>
    <x v="129"/>
    <x v="0"/>
  </r>
  <r>
    <x v="356"/>
    <x v="356"/>
    <x v="4"/>
    <x v="47"/>
    <x v="48"/>
    <x v="2"/>
    <x v="2"/>
    <x v="12"/>
    <x v="255"/>
    <x v="307"/>
    <x v="332"/>
    <x v="0"/>
    <x v="0"/>
    <x v="38"/>
    <x v="179"/>
    <x v="1"/>
    <x v="305"/>
    <x v="108"/>
    <x v="0"/>
    <x v="0"/>
    <x v="0"/>
    <x v="0"/>
    <x v="0"/>
    <x v="0"/>
    <x v="0"/>
    <x v="0"/>
    <x v="0"/>
    <x v="0"/>
    <x v="0"/>
    <x v="0"/>
    <x v="0"/>
    <x v="0"/>
    <x v="0"/>
    <x v="0"/>
    <x v="0"/>
    <x v="0"/>
    <x v="0"/>
    <x v="0"/>
    <x v="0"/>
    <x v="0"/>
    <x v="0"/>
    <x v="0"/>
    <x v="0"/>
    <x v="3"/>
    <x v="134"/>
    <x v="90"/>
    <x v="0"/>
    <x v="0"/>
    <x v="0"/>
    <x v="0"/>
    <x v="0"/>
    <x v="7"/>
    <x v="13"/>
    <x v="0"/>
    <x v="0"/>
    <x v="1"/>
    <x v="0"/>
    <x v="0"/>
    <x v="0"/>
    <x v="1"/>
    <x v="0"/>
    <x v="0"/>
    <x v="0"/>
    <x v="4"/>
    <x v="50"/>
    <x v="50"/>
    <x v="0"/>
    <x v="319"/>
    <x v="130"/>
    <x v="0"/>
  </r>
  <r>
    <x v="357"/>
    <x v="357"/>
    <x v="4"/>
    <x v="48"/>
    <x v="49"/>
    <x v="0"/>
    <x v="5"/>
    <x v="0"/>
    <x v="0"/>
    <x v="0"/>
    <x v="333"/>
    <x v="0"/>
    <x v="0"/>
    <x v="0"/>
    <x v="18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358"/>
    <x v="358"/>
    <x v="4"/>
    <x v="49"/>
    <x v="50"/>
    <x v="2"/>
    <x v="1"/>
    <x v="1"/>
    <x v="256"/>
    <x v="308"/>
    <x v="334"/>
    <x v="0"/>
    <x v="0"/>
    <x v="0"/>
    <x v="27"/>
    <x v="12"/>
    <x v="306"/>
    <x v="0"/>
    <x v="239"/>
    <x v="0"/>
    <x v="0"/>
    <x v="0"/>
    <x v="0"/>
    <x v="0"/>
    <x v="0"/>
    <x v="0"/>
    <x v="0"/>
    <x v="0"/>
    <x v="0"/>
    <x v="0"/>
    <x v="0"/>
    <x v="0"/>
    <x v="0"/>
    <x v="0"/>
    <x v="0"/>
    <x v="0"/>
    <x v="0"/>
    <x v="0"/>
    <x v="0"/>
    <x v="0"/>
    <x v="0"/>
    <x v="0"/>
    <x v="0"/>
    <x v="0"/>
    <x v="0"/>
    <x v="0"/>
    <x v="0"/>
    <x v="0"/>
    <x v="0"/>
    <x v="0"/>
    <x v="0"/>
    <x v="1"/>
    <x v="0"/>
    <x v="0"/>
    <x v="0"/>
    <x v="1"/>
    <x v="0"/>
    <x v="0"/>
    <x v="0"/>
    <x v="1"/>
    <x v="0"/>
    <x v="0"/>
    <x v="0"/>
    <x v="1"/>
    <x v="0"/>
    <x v="0"/>
    <x v="0"/>
    <x v="320"/>
    <x v="0"/>
    <x v="252"/>
  </r>
  <r>
    <x v="359"/>
    <x v="359"/>
    <x v="4"/>
    <x v="49"/>
    <x v="50"/>
    <x v="2"/>
    <x v="1"/>
    <x v="2"/>
    <x v="257"/>
    <x v="309"/>
    <x v="335"/>
    <x v="0"/>
    <x v="0"/>
    <x v="0"/>
    <x v="181"/>
    <x v="17"/>
    <x v="307"/>
    <x v="0"/>
    <x v="240"/>
    <x v="0"/>
    <x v="0"/>
    <x v="0"/>
    <x v="0"/>
    <x v="0"/>
    <x v="0"/>
    <x v="0"/>
    <x v="0"/>
    <x v="0"/>
    <x v="0"/>
    <x v="0"/>
    <x v="0"/>
    <x v="0"/>
    <x v="0"/>
    <x v="0"/>
    <x v="0"/>
    <x v="0"/>
    <x v="0"/>
    <x v="0"/>
    <x v="0"/>
    <x v="0"/>
    <x v="0"/>
    <x v="0"/>
    <x v="0"/>
    <x v="9"/>
    <x v="135"/>
    <x v="0"/>
    <x v="70"/>
    <x v="5"/>
    <x v="0"/>
    <x v="0"/>
    <x v="0"/>
    <x v="1"/>
    <x v="0"/>
    <x v="0"/>
    <x v="0"/>
    <x v="1"/>
    <x v="0"/>
    <x v="0"/>
    <x v="0"/>
    <x v="1"/>
    <x v="0"/>
    <x v="0"/>
    <x v="0"/>
    <x v="1"/>
    <x v="0"/>
    <x v="0"/>
    <x v="0"/>
    <x v="321"/>
    <x v="0"/>
    <x v="253"/>
  </r>
  <r>
    <x v="360"/>
    <x v="360"/>
    <x v="4"/>
    <x v="49"/>
    <x v="50"/>
    <x v="2"/>
    <x v="1"/>
    <x v="3"/>
    <x v="64"/>
    <x v="310"/>
    <x v="336"/>
    <x v="0"/>
    <x v="0"/>
    <x v="0"/>
    <x v="48"/>
    <x v="45"/>
    <x v="308"/>
    <x v="0"/>
    <x v="241"/>
    <x v="0"/>
    <x v="0"/>
    <x v="0"/>
    <x v="0"/>
    <x v="0"/>
    <x v="0"/>
    <x v="0"/>
    <x v="0"/>
    <x v="0"/>
    <x v="0"/>
    <x v="0"/>
    <x v="0"/>
    <x v="0"/>
    <x v="0"/>
    <x v="0"/>
    <x v="0"/>
    <x v="0"/>
    <x v="0"/>
    <x v="0"/>
    <x v="0"/>
    <x v="0"/>
    <x v="0"/>
    <x v="0"/>
    <x v="0"/>
    <x v="0"/>
    <x v="0"/>
    <x v="0"/>
    <x v="0"/>
    <x v="0"/>
    <x v="0"/>
    <x v="0"/>
    <x v="0"/>
    <x v="1"/>
    <x v="0"/>
    <x v="0"/>
    <x v="0"/>
    <x v="1"/>
    <x v="0"/>
    <x v="0"/>
    <x v="0"/>
    <x v="1"/>
    <x v="0"/>
    <x v="0"/>
    <x v="0"/>
    <x v="1"/>
    <x v="0"/>
    <x v="0"/>
    <x v="0"/>
    <x v="322"/>
    <x v="0"/>
    <x v="254"/>
  </r>
  <r>
    <x v="361"/>
    <x v="361"/>
    <x v="4"/>
    <x v="49"/>
    <x v="50"/>
    <x v="2"/>
    <x v="1"/>
    <x v="4"/>
    <x v="9"/>
    <x v="311"/>
    <x v="337"/>
    <x v="0"/>
    <x v="0"/>
    <x v="0"/>
    <x v="41"/>
    <x v="17"/>
    <x v="309"/>
    <x v="0"/>
    <x v="242"/>
    <x v="0"/>
    <x v="0"/>
    <x v="0"/>
    <x v="0"/>
    <x v="0"/>
    <x v="0"/>
    <x v="0"/>
    <x v="0"/>
    <x v="0"/>
    <x v="0"/>
    <x v="0"/>
    <x v="0"/>
    <x v="0"/>
    <x v="0"/>
    <x v="0"/>
    <x v="0"/>
    <x v="0"/>
    <x v="0"/>
    <x v="0"/>
    <x v="0"/>
    <x v="0"/>
    <x v="0"/>
    <x v="0"/>
    <x v="0"/>
    <x v="9"/>
    <x v="136"/>
    <x v="0"/>
    <x v="71"/>
    <x v="5"/>
    <x v="0"/>
    <x v="0"/>
    <x v="0"/>
    <x v="1"/>
    <x v="0"/>
    <x v="0"/>
    <x v="0"/>
    <x v="1"/>
    <x v="0"/>
    <x v="0"/>
    <x v="0"/>
    <x v="1"/>
    <x v="0"/>
    <x v="0"/>
    <x v="0"/>
    <x v="1"/>
    <x v="0"/>
    <x v="0"/>
    <x v="0"/>
    <x v="323"/>
    <x v="0"/>
    <x v="255"/>
  </r>
  <r>
    <x v="362"/>
    <x v="362"/>
    <x v="4"/>
    <x v="49"/>
    <x v="50"/>
    <x v="2"/>
    <x v="1"/>
    <x v="10"/>
    <x v="30"/>
    <x v="312"/>
    <x v="338"/>
    <x v="0"/>
    <x v="0"/>
    <x v="0"/>
    <x v="14"/>
    <x v="17"/>
    <x v="310"/>
    <x v="0"/>
    <x v="243"/>
    <x v="0"/>
    <x v="0"/>
    <x v="0"/>
    <x v="0"/>
    <x v="0"/>
    <x v="0"/>
    <x v="0"/>
    <x v="0"/>
    <x v="0"/>
    <x v="0"/>
    <x v="0"/>
    <x v="0"/>
    <x v="0"/>
    <x v="0"/>
    <x v="0"/>
    <x v="0"/>
    <x v="0"/>
    <x v="0"/>
    <x v="0"/>
    <x v="0"/>
    <x v="0"/>
    <x v="0"/>
    <x v="0"/>
    <x v="0"/>
    <x v="9"/>
    <x v="137"/>
    <x v="0"/>
    <x v="72"/>
    <x v="5"/>
    <x v="0"/>
    <x v="0"/>
    <x v="0"/>
    <x v="1"/>
    <x v="0"/>
    <x v="0"/>
    <x v="0"/>
    <x v="1"/>
    <x v="0"/>
    <x v="0"/>
    <x v="0"/>
    <x v="1"/>
    <x v="0"/>
    <x v="0"/>
    <x v="0"/>
    <x v="1"/>
    <x v="0"/>
    <x v="0"/>
    <x v="0"/>
    <x v="324"/>
    <x v="0"/>
    <x v="256"/>
  </r>
  <r>
    <x v="363"/>
    <x v="363"/>
    <x v="4"/>
    <x v="49"/>
    <x v="50"/>
    <x v="2"/>
    <x v="1"/>
    <x v="5"/>
    <x v="88"/>
    <x v="313"/>
    <x v="339"/>
    <x v="0"/>
    <x v="0"/>
    <x v="0"/>
    <x v="71"/>
    <x v="17"/>
    <x v="311"/>
    <x v="0"/>
    <x v="244"/>
    <x v="0"/>
    <x v="0"/>
    <x v="0"/>
    <x v="0"/>
    <x v="0"/>
    <x v="0"/>
    <x v="0"/>
    <x v="0"/>
    <x v="0"/>
    <x v="0"/>
    <x v="0"/>
    <x v="0"/>
    <x v="0"/>
    <x v="0"/>
    <x v="0"/>
    <x v="0"/>
    <x v="0"/>
    <x v="0"/>
    <x v="0"/>
    <x v="0"/>
    <x v="0"/>
    <x v="0"/>
    <x v="0"/>
    <x v="0"/>
    <x v="9"/>
    <x v="138"/>
    <x v="0"/>
    <x v="73"/>
    <x v="5"/>
    <x v="0"/>
    <x v="0"/>
    <x v="0"/>
    <x v="1"/>
    <x v="0"/>
    <x v="0"/>
    <x v="0"/>
    <x v="1"/>
    <x v="0"/>
    <x v="0"/>
    <x v="0"/>
    <x v="1"/>
    <x v="0"/>
    <x v="0"/>
    <x v="0"/>
    <x v="1"/>
    <x v="0"/>
    <x v="0"/>
    <x v="0"/>
    <x v="325"/>
    <x v="0"/>
    <x v="257"/>
  </r>
  <r>
    <x v="364"/>
    <x v="364"/>
    <x v="4"/>
    <x v="49"/>
    <x v="50"/>
    <x v="2"/>
    <x v="1"/>
    <x v="6"/>
    <x v="258"/>
    <x v="314"/>
    <x v="340"/>
    <x v="0"/>
    <x v="0"/>
    <x v="0"/>
    <x v="69"/>
    <x v="17"/>
    <x v="312"/>
    <x v="0"/>
    <x v="245"/>
    <x v="0"/>
    <x v="0"/>
    <x v="0"/>
    <x v="0"/>
    <x v="0"/>
    <x v="0"/>
    <x v="0"/>
    <x v="0"/>
    <x v="0"/>
    <x v="0"/>
    <x v="0"/>
    <x v="0"/>
    <x v="0"/>
    <x v="0"/>
    <x v="0"/>
    <x v="0"/>
    <x v="0"/>
    <x v="0"/>
    <x v="0"/>
    <x v="0"/>
    <x v="0"/>
    <x v="0"/>
    <x v="0"/>
    <x v="0"/>
    <x v="9"/>
    <x v="139"/>
    <x v="0"/>
    <x v="74"/>
    <x v="5"/>
    <x v="0"/>
    <x v="0"/>
    <x v="0"/>
    <x v="1"/>
    <x v="0"/>
    <x v="0"/>
    <x v="0"/>
    <x v="1"/>
    <x v="0"/>
    <x v="0"/>
    <x v="0"/>
    <x v="1"/>
    <x v="0"/>
    <x v="0"/>
    <x v="0"/>
    <x v="1"/>
    <x v="0"/>
    <x v="0"/>
    <x v="0"/>
    <x v="326"/>
    <x v="0"/>
    <x v="258"/>
  </r>
  <r>
    <x v="365"/>
    <x v="365"/>
    <x v="4"/>
    <x v="49"/>
    <x v="50"/>
    <x v="2"/>
    <x v="1"/>
    <x v="7"/>
    <x v="259"/>
    <x v="315"/>
    <x v="341"/>
    <x v="0"/>
    <x v="0"/>
    <x v="0"/>
    <x v="182"/>
    <x v="17"/>
    <x v="313"/>
    <x v="0"/>
    <x v="246"/>
    <x v="0"/>
    <x v="0"/>
    <x v="0"/>
    <x v="0"/>
    <x v="0"/>
    <x v="0"/>
    <x v="0"/>
    <x v="0"/>
    <x v="0"/>
    <x v="0"/>
    <x v="0"/>
    <x v="0"/>
    <x v="0"/>
    <x v="0"/>
    <x v="0"/>
    <x v="0"/>
    <x v="0"/>
    <x v="0"/>
    <x v="0"/>
    <x v="0"/>
    <x v="0"/>
    <x v="0"/>
    <x v="0"/>
    <x v="0"/>
    <x v="15"/>
    <x v="140"/>
    <x v="0"/>
    <x v="75"/>
    <x v="5"/>
    <x v="0"/>
    <x v="0"/>
    <x v="0"/>
    <x v="1"/>
    <x v="0"/>
    <x v="0"/>
    <x v="0"/>
    <x v="1"/>
    <x v="0"/>
    <x v="0"/>
    <x v="0"/>
    <x v="1"/>
    <x v="0"/>
    <x v="0"/>
    <x v="0"/>
    <x v="1"/>
    <x v="0"/>
    <x v="0"/>
    <x v="0"/>
    <x v="327"/>
    <x v="0"/>
    <x v="259"/>
  </r>
  <r>
    <x v="366"/>
    <x v="366"/>
    <x v="4"/>
    <x v="49"/>
    <x v="50"/>
    <x v="2"/>
    <x v="1"/>
    <x v="8"/>
    <x v="260"/>
    <x v="316"/>
    <x v="342"/>
    <x v="0"/>
    <x v="0"/>
    <x v="0"/>
    <x v="113"/>
    <x v="15"/>
    <x v="314"/>
    <x v="0"/>
    <x v="247"/>
    <x v="0"/>
    <x v="0"/>
    <x v="0"/>
    <x v="0"/>
    <x v="0"/>
    <x v="0"/>
    <x v="0"/>
    <x v="0"/>
    <x v="0"/>
    <x v="0"/>
    <x v="0"/>
    <x v="0"/>
    <x v="0"/>
    <x v="0"/>
    <x v="0"/>
    <x v="0"/>
    <x v="0"/>
    <x v="0"/>
    <x v="0"/>
    <x v="0"/>
    <x v="0"/>
    <x v="0"/>
    <x v="0"/>
    <x v="0"/>
    <x v="3"/>
    <x v="141"/>
    <x v="0"/>
    <x v="76"/>
    <x v="5"/>
    <x v="0"/>
    <x v="0"/>
    <x v="0"/>
    <x v="1"/>
    <x v="0"/>
    <x v="0"/>
    <x v="0"/>
    <x v="1"/>
    <x v="0"/>
    <x v="0"/>
    <x v="0"/>
    <x v="1"/>
    <x v="0"/>
    <x v="0"/>
    <x v="0"/>
    <x v="1"/>
    <x v="0"/>
    <x v="0"/>
    <x v="0"/>
    <x v="328"/>
    <x v="0"/>
    <x v="260"/>
  </r>
  <r>
    <x v="367"/>
    <x v="367"/>
    <x v="4"/>
    <x v="49"/>
    <x v="50"/>
    <x v="2"/>
    <x v="1"/>
    <x v="11"/>
    <x v="27"/>
    <x v="317"/>
    <x v="1"/>
    <x v="0"/>
    <x v="0"/>
    <x v="0"/>
    <x v="183"/>
    <x v="11"/>
    <x v="0"/>
    <x v="0"/>
    <x v="0"/>
    <x v="0"/>
    <x v="0"/>
    <x v="0"/>
    <x v="0"/>
    <x v="0"/>
    <x v="0"/>
    <x v="0"/>
    <x v="0"/>
    <x v="0"/>
    <x v="0"/>
    <x v="0"/>
    <x v="0"/>
    <x v="0"/>
    <x v="0"/>
    <x v="0"/>
    <x v="0"/>
    <x v="0"/>
    <x v="0"/>
    <x v="0"/>
    <x v="0"/>
    <x v="0"/>
    <x v="0"/>
    <x v="0"/>
    <x v="0"/>
    <x v="0"/>
    <x v="0"/>
    <x v="0"/>
    <x v="0"/>
    <x v="0"/>
    <x v="0"/>
    <x v="0"/>
    <x v="0"/>
    <x v="1"/>
    <x v="0"/>
    <x v="0"/>
    <x v="0"/>
    <x v="1"/>
    <x v="0"/>
    <x v="0"/>
    <x v="0"/>
    <x v="1"/>
    <x v="0"/>
    <x v="0"/>
    <x v="0"/>
    <x v="1"/>
    <x v="0"/>
    <x v="0"/>
    <x v="0"/>
    <x v="0"/>
    <x v="0"/>
    <x v="0"/>
  </r>
  <r>
    <x v="368"/>
    <x v="368"/>
    <x v="4"/>
    <x v="49"/>
    <x v="50"/>
    <x v="2"/>
    <x v="1"/>
    <x v="9"/>
    <x v="145"/>
    <x v="318"/>
    <x v="1"/>
    <x v="0"/>
    <x v="0"/>
    <x v="0"/>
    <x v="69"/>
    <x v="17"/>
    <x v="0"/>
    <x v="0"/>
    <x v="0"/>
    <x v="0"/>
    <x v="0"/>
    <x v="0"/>
    <x v="0"/>
    <x v="0"/>
    <x v="0"/>
    <x v="0"/>
    <x v="0"/>
    <x v="0"/>
    <x v="0"/>
    <x v="0"/>
    <x v="0"/>
    <x v="0"/>
    <x v="0"/>
    <x v="0"/>
    <x v="0"/>
    <x v="0"/>
    <x v="0"/>
    <x v="0"/>
    <x v="0"/>
    <x v="0"/>
    <x v="0"/>
    <x v="0"/>
    <x v="0"/>
    <x v="16"/>
    <x v="0"/>
    <x v="0"/>
    <x v="0"/>
    <x v="5"/>
    <x v="0"/>
    <x v="0"/>
    <x v="0"/>
    <x v="1"/>
    <x v="0"/>
    <x v="0"/>
    <x v="0"/>
    <x v="1"/>
    <x v="0"/>
    <x v="0"/>
    <x v="0"/>
    <x v="1"/>
    <x v="0"/>
    <x v="0"/>
    <x v="0"/>
    <x v="1"/>
    <x v="0"/>
    <x v="0"/>
    <x v="0"/>
    <x v="0"/>
    <x v="0"/>
    <x v="0"/>
  </r>
  <r>
    <x v="369"/>
    <x v="369"/>
    <x v="4"/>
    <x v="49"/>
    <x v="50"/>
    <x v="2"/>
    <x v="1"/>
    <x v="12"/>
    <x v="237"/>
    <x v="319"/>
    <x v="1"/>
    <x v="0"/>
    <x v="0"/>
    <x v="0"/>
    <x v="183"/>
    <x v="46"/>
    <x v="0"/>
    <x v="0"/>
    <x v="0"/>
    <x v="0"/>
    <x v="0"/>
    <x v="0"/>
    <x v="0"/>
    <x v="0"/>
    <x v="0"/>
    <x v="0"/>
    <x v="0"/>
    <x v="0"/>
    <x v="0"/>
    <x v="0"/>
    <x v="0"/>
    <x v="0"/>
    <x v="0"/>
    <x v="0"/>
    <x v="0"/>
    <x v="0"/>
    <x v="0"/>
    <x v="0"/>
    <x v="0"/>
    <x v="0"/>
    <x v="0"/>
    <x v="0"/>
    <x v="0"/>
    <x v="0"/>
    <x v="0"/>
    <x v="0"/>
    <x v="0"/>
    <x v="0"/>
    <x v="0"/>
    <x v="0"/>
    <x v="0"/>
    <x v="1"/>
    <x v="0"/>
    <x v="0"/>
    <x v="0"/>
    <x v="1"/>
    <x v="0"/>
    <x v="0"/>
    <x v="0"/>
    <x v="1"/>
    <x v="0"/>
    <x v="0"/>
    <x v="0"/>
    <x v="1"/>
    <x v="0"/>
    <x v="0"/>
    <x v="0"/>
    <x v="0"/>
    <x v="0"/>
    <x v="0"/>
  </r>
  <r>
    <x v="370"/>
    <x v="370"/>
    <x v="4"/>
    <x v="49"/>
    <x v="50"/>
    <x v="2"/>
    <x v="1"/>
    <x v="13"/>
    <x v="261"/>
    <x v="320"/>
    <x v="343"/>
    <x v="0"/>
    <x v="0"/>
    <x v="39"/>
    <x v="183"/>
    <x v="17"/>
    <x v="315"/>
    <x v="109"/>
    <x v="248"/>
    <x v="0"/>
    <x v="0"/>
    <x v="10"/>
    <x v="0"/>
    <x v="0"/>
    <x v="0"/>
    <x v="1"/>
    <x v="0"/>
    <x v="0"/>
    <x v="0"/>
    <x v="9"/>
    <x v="0"/>
    <x v="0"/>
    <x v="0"/>
    <x v="16"/>
    <x v="0"/>
    <x v="0"/>
    <x v="0"/>
    <x v="2"/>
    <x v="0"/>
    <x v="0"/>
    <x v="0"/>
    <x v="10"/>
    <x v="0"/>
    <x v="9"/>
    <x v="142"/>
    <x v="91"/>
    <x v="77"/>
    <x v="5"/>
    <x v="153"/>
    <x v="93"/>
    <x v="0"/>
    <x v="1"/>
    <x v="0"/>
    <x v="6"/>
    <x v="0"/>
    <x v="1"/>
    <x v="0"/>
    <x v="1"/>
    <x v="0"/>
    <x v="1"/>
    <x v="0"/>
    <x v="1"/>
    <x v="0"/>
    <x v="1"/>
    <x v="51"/>
    <x v="51"/>
    <x v="0"/>
    <x v="329"/>
    <x v="131"/>
    <x v="261"/>
  </r>
  <r>
    <x v="371"/>
    <x v="371"/>
    <x v="4"/>
    <x v="50"/>
    <x v="51"/>
    <x v="2"/>
    <x v="1"/>
    <x v="1"/>
    <x v="262"/>
    <x v="321"/>
    <x v="344"/>
    <x v="0"/>
    <x v="0"/>
    <x v="0"/>
    <x v="8"/>
    <x v="4"/>
    <x v="316"/>
    <x v="0"/>
    <x v="249"/>
    <x v="0"/>
    <x v="0"/>
    <x v="0"/>
    <x v="0"/>
    <x v="3"/>
    <x v="0"/>
    <x v="0"/>
    <x v="0"/>
    <x v="0"/>
    <x v="0"/>
    <x v="0"/>
    <x v="0"/>
    <x v="0"/>
    <x v="0"/>
    <x v="0"/>
    <x v="0"/>
    <x v="0"/>
    <x v="0"/>
    <x v="0"/>
    <x v="0"/>
    <x v="6"/>
    <x v="0"/>
    <x v="0"/>
    <x v="0"/>
    <x v="8"/>
    <x v="143"/>
    <x v="92"/>
    <x v="0"/>
    <x v="19"/>
    <x v="0"/>
    <x v="0"/>
    <x v="0"/>
    <x v="1"/>
    <x v="0"/>
    <x v="0"/>
    <x v="0"/>
    <x v="1"/>
    <x v="0"/>
    <x v="0"/>
    <x v="0"/>
    <x v="1"/>
    <x v="0"/>
    <x v="0"/>
    <x v="0"/>
    <x v="1"/>
    <x v="0"/>
    <x v="0"/>
    <x v="0"/>
    <x v="330"/>
    <x v="132"/>
    <x v="262"/>
  </r>
  <r>
    <x v="372"/>
    <x v="372"/>
    <x v="4"/>
    <x v="50"/>
    <x v="51"/>
    <x v="2"/>
    <x v="1"/>
    <x v="2"/>
    <x v="263"/>
    <x v="322"/>
    <x v="345"/>
    <x v="0"/>
    <x v="0"/>
    <x v="40"/>
    <x v="8"/>
    <x v="4"/>
    <x v="317"/>
    <x v="110"/>
    <x v="250"/>
    <x v="0"/>
    <x v="0"/>
    <x v="10"/>
    <x v="0"/>
    <x v="3"/>
    <x v="0"/>
    <x v="1"/>
    <x v="0"/>
    <x v="0"/>
    <x v="0"/>
    <x v="9"/>
    <x v="0"/>
    <x v="0"/>
    <x v="0"/>
    <x v="16"/>
    <x v="0"/>
    <x v="0"/>
    <x v="0"/>
    <x v="2"/>
    <x v="0"/>
    <x v="6"/>
    <x v="0"/>
    <x v="10"/>
    <x v="0"/>
    <x v="17"/>
    <x v="0"/>
    <x v="2"/>
    <x v="0"/>
    <x v="19"/>
    <x v="0"/>
    <x v="18"/>
    <x v="0"/>
    <x v="1"/>
    <x v="0"/>
    <x v="6"/>
    <x v="0"/>
    <x v="1"/>
    <x v="0"/>
    <x v="1"/>
    <x v="0"/>
    <x v="1"/>
    <x v="0"/>
    <x v="1"/>
    <x v="0"/>
    <x v="1"/>
    <x v="52"/>
    <x v="52"/>
    <x v="0"/>
    <x v="331"/>
    <x v="133"/>
    <x v="263"/>
  </r>
  <r>
    <x v="373"/>
    <x v="373"/>
    <x v="4"/>
    <x v="50"/>
    <x v="51"/>
    <x v="2"/>
    <x v="1"/>
    <x v="4"/>
    <x v="264"/>
    <x v="323"/>
    <x v="346"/>
    <x v="0"/>
    <x v="0"/>
    <x v="0"/>
    <x v="8"/>
    <x v="0"/>
    <x v="0"/>
    <x v="0"/>
    <x v="0"/>
    <x v="0"/>
    <x v="0"/>
    <x v="0"/>
    <x v="0"/>
    <x v="0"/>
    <x v="0"/>
    <x v="0"/>
    <x v="0"/>
    <x v="0"/>
    <x v="0"/>
    <x v="0"/>
    <x v="0"/>
    <x v="0"/>
    <x v="0"/>
    <x v="0"/>
    <x v="0"/>
    <x v="0"/>
    <x v="0"/>
    <x v="0"/>
    <x v="0"/>
    <x v="0"/>
    <x v="0"/>
    <x v="0"/>
    <x v="0"/>
    <x v="0"/>
    <x v="0"/>
    <x v="0"/>
    <x v="0"/>
    <x v="0"/>
    <x v="0"/>
    <x v="0"/>
    <x v="0"/>
    <x v="1"/>
    <x v="0"/>
    <x v="0"/>
    <x v="0"/>
    <x v="1"/>
    <x v="0"/>
    <x v="0"/>
    <x v="0"/>
    <x v="1"/>
    <x v="0"/>
    <x v="0"/>
    <x v="0"/>
    <x v="1"/>
    <x v="0"/>
    <x v="0"/>
    <x v="0"/>
    <x v="0"/>
    <x v="0"/>
    <x v="0"/>
  </r>
  <r>
    <x v="374"/>
    <x v="374"/>
    <x v="4"/>
    <x v="49"/>
    <x v="50"/>
    <x v="2"/>
    <x v="1"/>
    <x v="4"/>
    <x v="9"/>
    <x v="324"/>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9"/>
    <x v="50"/>
    <x v="2"/>
    <x v="1"/>
    <x v="7"/>
    <x v="42"/>
    <x v="325"/>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9"/>
    <x v="50"/>
    <x v="2"/>
    <x v="1"/>
    <x v="8"/>
    <x v="265"/>
    <x v="326"/>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9"/>
    <x v="50"/>
    <x v="2"/>
    <x v="1"/>
    <x v="11"/>
    <x v="27"/>
    <x v="316"/>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9"/>
    <x v="50"/>
    <x v="2"/>
    <x v="1"/>
    <x v="9"/>
    <x v="237"/>
    <x v="327"/>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9"/>
    <x v="50"/>
    <x v="2"/>
    <x v="1"/>
    <x v="12"/>
    <x v="266"/>
    <x v="328"/>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31"/>
    <x v="31"/>
    <x v="2"/>
    <x v="3"/>
    <x v="19"/>
    <x v="267"/>
    <x v="329"/>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31"/>
    <x v="31"/>
    <x v="2"/>
    <x v="3"/>
    <x v="19"/>
    <x v="268"/>
    <x v="330"/>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31"/>
    <x v="31"/>
    <x v="2"/>
    <x v="3"/>
    <x v="19"/>
    <x v="269"/>
    <x v="331"/>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31"/>
    <x v="31"/>
    <x v="2"/>
    <x v="3"/>
    <x v="19"/>
    <x v="8"/>
    <x v="332"/>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31"/>
    <x v="31"/>
    <x v="2"/>
    <x v="3"/>
    <x v="19"/>
    <x v="270"/>
    <x v="298"/>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31"/>
    <x v="31"/>
    <x v="2"/>
    <x v="3"/>
    <x v="19"/>
    <x v="9"/>
    <x v="333"/>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1"/>
    <x v="9"/>
    <x v="9"/>
    <x v="2"/>
    <x v="2"/>
    <x v="19"/>
    <x v="8"/>
    <x v="334"/>
    <x v="1"/>
    <x v="0"/>
    <x v="2"/>
    <x v="0"/>
    <x v="40"/>
    <x v="39"/>
    <x v="0"/>
    <x v="0"/>
    <x v="0"/>
    <x v="1"/>
    <x v="0"/>
    <x v="0"/>
    <x v="0"/>
    <x v="1"/>
    <x v="0"/>
    <x v="0"/>
    <x v="0"/>
    <x v="0"/>
    <x v="0"/>
    <x v="0"/>
    <x v="0"/>
    <x v="5"/>
    <x v="0"/>
    <x v="0"/>
    <x v="0"/>
    <x v="0"/>
    <x v="0"/>
    <x v="2"/>
    <x v="0"/>
    <x v="0"/>
    <x v="0"/>
    <x v="0"/>
    <x v="0"/>
    <x v="2"/>
    <x v="0"/>
    <x v="0"/>
    <x v="0"/>
    <x v="3"/>
    <x v="0"/>
    <x v="0"/>
    <x v="0"/>
    <x v="2"/>
    <x v="9"/>
    <x v="4"/>
    <x v="0"/>
    <x v="1"/>
    <x v="0"/>
    <x v="0"/>
    <x v="0"/>
    <x v="1"/>
    <x v="0"/>
    <x v="0"/>
    <x v="0"/>
    <x v="1"/>
    <x v="0"/>
    <x v="0"/>
    <x v="0"/>
    <x v="332"/>
    <x v="134"/>
    <x v="0"/>
  </r>
  <r>
    <x v="374"/>
    <x v="374"/>
    <x v="2"/>
    <x v="26"/>
    <x v="26"/>
    <x v="2"/>
    <x v="5"/>
    <x v="14"/>
    <x v="155"/>
    <x v="14"/>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26"/>
    <x v="26"/>
    <x v="2"/>
    <x v="5"/>
    <x v="1"/>
    <x v="112"/>
    <x v="335"/>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26"/>
    <x v="26"/>
    <x v="2"/>
    <x v="5"/>
    <x v="3"/>
    <x v="41"/>
    <x v="336"/>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28"/>
    <x v="28"/>
    <x v="2"/>
    <x v="3"/>
    <x v="6"/>
    <x v="271"/>
    <x v="337"/>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28"/>
    <x v="28"/>
    <x v="2"/>
    <x v="3"/>
    <x v="8"/>
    <x v="272"/>
    <x v="338"/>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28"/>
    <x v="28"/>
    <x v="2"/>
    <x v="3"/>
    <x v="5"/>
    <x v="273"/>
    <x v="165"/>
    <x v="1"/>
    <x v="0"/>
    <x v="4"/>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28"/>
    <x v="28"/>
    <x v="2"/>
    <x v="3"/>
    <x v="6"/>
    <x v="273"/>
    <x v="160"/>
    <x v="1"/>
    <x v="0"/>
    <x v="4"/>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0"/>
    <x v="2"/>
    <x v="2"/>
    <x v="2"/>
    <x v="1"/>
    <x v="1"/>
    <x v="9"/>
    <x v="339"/>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0"/>
    <x v="2"/>
    <x v="2"/>
    <x v="2"/>
    <x v="1"/>
    <x v="10"/>
    <x v="274"/>
    <x v="340"/>
    <x v="347"/>
    <x v="0"/>
    <x v="5"/>
    <x v="0"/>
    <x v="40"/>
    <x v="39"/>
    <x v="318"/>
    <x v="111"/>
    <x v="0"/>
    <x v="3"/>
    <x v="75"/>
    <x v="16"/>
    <x v="0"/>
    <x v="1"/>
    <x v="0"/>
    <x v="0"/>
    <x v="0"/>
    <x v="3"/>
    <x v="92"/>
    <x v="28"/>
    <x v="0"/>
    <x v="5"/>
    <x v="92"/>
    <x v="33"/>
    <x v="0"/>
    <x v="5"/>
    <x v="0"/>
    <x v="0"/>
    <x v="0"/>
    <x v="5"/>
    <x v="52"/>
    <x v="13"/>
    <x v="0"/>
    <x v="2"/>
    <x v="0"/>
    <x v="0"/>
    <x v="0"/>
    <x v="3"/>
    <x v="0"/>
    <x v="0"/>
    <x v="0"/>
    <x v="2"/>
    <x v="24"/>
    <x v="20"/>
    <x v="0"/>
    <x v="0"/>
    <x v="0"/>
    <x v="0"/>
    <x v="0"/>
    <x v="0"/>
    <x v="0"/>
    <x v="0"/>
    <x v="0"/>
    <x v="2"/>
    <x v="0"/>
    <x v="0"/>
    <x v="0"/>
    <x v="333"/>
    <x v="135"/>
    <x v="0"/>
  </r>
  <r>
    <x v="374"/>
    <x v="374"/>
    <x v="4"/>
    <x v="43"/>
    <x v="44"/>
    <x v="2"/>
    <x v="3"/>
    <x v="19"/>
    <x v="275"/>
    <x v="341"/>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3"/>
    <x v="44"/>
    <x v="2"/>
    <x v="3"/>
    <x v="19"/>
    <x v="276"/>
    <x v="332"/>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3"/>
    <x v="44"/>
    <x v="2"/>
    <x v="3"/>
    <x v="19"/>
    <x v="9"/>
    <x v="342"/>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3"/>
    <x v="42"/>
    <x v="43"/>
    <x v="2"/>
    <x v="3"/>
    <x v="0"/>
    <x v="277"/>
    <x v="268"/>
    <x v="1"/>
    <x v="0"/>
    <x v="4"/>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3"/>
    <x v="42"/>
    <x v="43"/>
    <x v="2"/>
    <x v="3"/>
    <x v="0"/>
    <x v="278"/>
    <x v="343"/>
    <x v="1"/>
    <x v="0"/>
    <x v="4"/>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1"/>
    <x v="8"/>
    <x v="8"/>
    <x v="2"/>
    <x v="2"/>
    <x v="5"/>
    <x v="101"/>
    <x v="344"/>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1"/>
    <x v="19"/>
    <x v="19"/>
    <x v="1"/>
    <x v="0"/>
    <x v="0"/>
    <x v="279"/>
    <x v="345"/>
    <x v="1"/>
    <x v="0"/>
    <x v="6"/>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1"/>
    <x v="19"/>
    <x v="19"/>
    <x v="1"/>
    <x v="0"/>
    <x v="0"/>
    <x v="279"/>
    <x v="345"/>
    <x v="1"/>
    <x v="0"/>
    <x v="6"/>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25"/>
    <x v="25"/>
    <x v="2"/>
    <x v="0"/>
    <x v="19"/>
    <x v="27"/>
    <x v="346"/>
    <x v="1"/>
    <x v="0"/>
    <x v="2"/>
    <x v="0"/>
    <x v="40"/>
    <x v="39"/>
    <x v="0"/>
    <x v="0"/>
    <x v="0"/>
    <x v="3"/>
    <x v="0"/>
    <x v="0"/>
    <x v="0"/>
    <x v="1"/>
    <x v="0"/>
    <x v="0"/>
    <x v="0"/>
    <x v="3"/>
    <x v="0"/>
    <x v="0"/>
    <x v="0"/>
    <x v="5"/>
    <x v="0"/>
    <x v="0"/>
    <x v="0"/>
    <x v="5"/>
    <x v="0"/>
    <x v="0"/>
    <x v="0"/>
    <x v="5"/>
    <x v="0"/>
    <x v="0"/>
    <x v="0"/>
    <x v="2"/>
    <x v="70"/>
    <x v="0"/>
    <x v="0"/>
    <x v="3"/>
    <x v="0"/>
    <x v="0"/>
    <x v="0"/>
    <x v="2"/>
    <x v="0"/>
    <x v="0"/>
    <x v="0"/>
    <x v="0"/>
    <x v="0"/>
    <x v="0"/>
    <x v="0"/>
    <x v="0"/>
    <x v="0"/>
    <x v="0"/>
    <x v="0"/>
    <x v="2"/>
    <x v="0"/>
    <x v="0"/>
    <x v="0"/>
    <x v="0"/>
    <x v="0"/>
    <x v="0"/>
  </r>
  <r>
    <x v="374"/>
    <x v="374"/>
    <x v="2"/>
    <x v="25"/>
    <x v="25"/>
    <x v="2"/>
    <x v="0"/>
    <x v="19"/>
    <x v="9"/>
    <x v="347"/>
    <x v="1"/>
    <x v="0"/>
    <x v="2"/>
    <x v="0"/>
    <x v="40"/>
    <x v="39"/>
    <x v="0"/>
    <x v="0"/>
    <x v="0"/>
    <x v="3"/>
    <x v="0"/>
    <x v="0"/>
    <x v="0"/>
    <x v="1"/>
    <x v="0"/>
    <x v="0"/>
    <x v="0"/>
    <x v="3"/>
    <x v="0"/>
    <x v="0"/>
    <x v="0"/>
    <x v="5"/>
    <x v="0"/>
    <x v="0"/>
    <x v="0"/>
    <x v="5"/>
    <x v="0"/>
    <x v="0"/>
    <x v="0"/>
    <x v="5"/>
    <x v="0"/>
    <x v="0"/>
    <x v="0"/>
    <x v="2"/>
    <x v="70"/>
    <x v="0"/>
    <x v="0"/>
    <x v="3"/>
    <x v="0"/>
    <x v="0"/>
    <x v="0"/>
    <x v="2"/>
    <x v="0"/>
    <x v="0"/>
    <x v="0"/>
    <x v="0"/>
    <x v="0"/>
    <x v="0"/>
    <x v="0"/>
    <x v="0"/>
    <x v="0"/>
    <x v="0"/>
    <x v="0"/>
    <x v="2"/>
    <x v="0"/>
    <x v="0"/>
    <x v="0"/>
    <x v="0"/>
    <x v="0"/>
    <x v="0"/>
  </r>
  <r>
    <x v="374"/>
    <x v="374"/>
    <x v="2"/>
    <x v="25"/>
    <x v="25"/>
    <x v="2"/>
    <x v="0"/>
    <x v="19"/>
    <x v="41"/>
    <x v="348"/>
    <x v="1"/>
    <x v="0"/>
    <x v="2"/>
    <x v="0"/>
    <x v="40"/>
    <x v="39"/>
    <x v="0"/>
    <x v="0"/>
    <x v="0"/>
    <x v="3"/>
    <x v="0"/>
    <x v="0"/>
    <x v="0"/>
    <x v="1"/>
    <x v="0"/>
    <x v="0"/>
    <x v="0"/>
    <x v="3"/>
    <x v="0"/>
    <x v="0"/>
    <x v="0"/>
    <x v="5"/>
    <x v="0"/>
    <x v="0"/>
    <x v="0"/>
    <x v="5"/>
    <x v="0"/>
    <x v="0"/>
    <x v="0"/>
    <x v="5"/>
    <x v="0"/>
    <x v="0"/>
    <x v="0"/>
    <x v="2"/>
    <x v="70"/>
    <x v="0"/>
    <x v="0"/>
    <x v="3"/>
    <x v="0"/>
    <x v="0"/>
    <x v="0"/>
    <x v="2"/>
    <x v="0"/>
    <x v="0"/>
    <x v="0"/>
    <x v="0"/>
    <x v="0"/>
    <x v="0"/>
    <x v="0"/>
    <x v="0"/>
    <x v="0"/>
    <x v="0"/>
    <x v="0"/>
    <x v="2"/>
    <x v="0"/>
    <x v="0"/>
    <x v="0"/>
    <x v="0"/>
    <x v="0"/>
    <x v="0"/>
  </r>
  <r>
    <x v="374"/>
    <x v="374"/>
    <x v="2"/>
    <x v="25"/>
    <x v="25"/>
    <x v="2"/>
    <x v="0"/>
    <x v="19"/>
    <x v="104"/>
    <x v="107"/>
    <x v="1"/>
    <x v="0"/>
    <x v="2"/>
    <x v="0"/>
    <x v="40"/>
    <x v="39"/>
    <x v="0"/>
    <x v="0"/>
    <x v="0"/>
    <x v="3"/>
    <x v="0"/>
    <x v="0"/>
    <x v="0"/>
    <x v="1"/>
    <x v="0"/>
    <x v="0"/>
    <x v="0"/>
    <x v="3"/>
    <x v="0"/>
    <x v="0"/>
    <x v="0"/>
    <x v="5"/>
    <x v="0"/>
    <x v="0"/>
    <x v="0"/>
    <x v="5"/>
    <x v="0"/>
    <x v="0"/>
    <x v="0"/>
    <x v="5"/>
    <x v="0"/>
    <x v="0"/>
    <x v="0"/>
    <x v="2"/>
    <x v="70"/>
    <x v="0"/>
    <x v="0"/>
    <x v="3"/>
    <x v="0"/>
    <x v="0"/>
    <x v="0"/>
    <x v="2"/>
    <x v="0"/>
    <x v="0"/>
    <x v="0"/>
    <x v="0"/>
    <x v="0"/>
    <x v="0"/>
    <x v="0"/>
    <x v="0"/>
    <x v="0"/>
    <x v="0"/>
    <x v="0"/>
    <x v="2"/>
    <x v="0"/>
    <x v="0"/>
    <x v="0"/>
    <x v="0"/>
    <x v="0"/>
    <x v="0"/>
  </r>
  <r>
    <x v="374"/>
    <x v="374"/>
    <x v="4"/>
    <x v="44"/>
    <x v="45"/>
    <x v="2"/>
    <x v="3"/>
    <x v="0"/>
    <x v="155"/>
    <x v="349"/>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4"/>
    <x v="45"/>
    <x v="2"/>
    <x v="3"/>
    <x v="0"/>
    <x v="101"/>
    <x v="350"/>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4"/>
    <x v="45"/>
    <x v="2"/>
    <x v="3"/>
    <x v="0"/>
    <x v="241"/>
    <x v="351"/>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4"/>
    <x v="45"/>
    <x v="2"/>
    <x v="3"/>
    <x v="0"/>
    <x v="280"/>
    <x v="352"/>
    <x v="348"/>
    <x v="0"/>
    <x v="7"/>
    <x v="0"/>
    <x v="40"/>
    <x v="39"/>
    <x v="319"/>
    <x v="112"/>
    <x v="0"/>
    <x v="3"/>
    <x v="0"/>
    <x v="0"/>
    <x v="0"/>
    <x v="1"/>
    <x v="0"/>
    <x v="0"/>
    <x v="0"/>
    <x v="3"/>
    <x v="0"/>
    <x v="0"/>
    <x v="0"/>
    <x v="5"/>
    <x v="0"/>
    <x v="0"/>
    <x v="0"/>
    <x v="5"/>
    <x v="0"/>
    <x v="0"/>
    <x v="0"/>
    <x v="5"/>
    <x v="0"/>
    <x v="0"/>
    <x v="0"/>
    <x v="2"/>
    <x v="0"/>
    <x v="0"/>
    <x v="0"/>
    <x v="3"/>
    <x v="0"/>
    <x v="0"/>
    <x v="0"/>
    <x v="2"/>
    <x v="0"/>
    <x v="0"/>
    <x v="0"/>
    <x v="0"/>
    <x v="0"/>
    <x v="0"/>
    <x v="0"/>
    <x v="0"/>
    <x v="0"/>
    <x v="0"/>
    <x v="0"/>
    <x v="2"/>
    <x v="0"/>
    <x v="0"/>
    <x v="0"/>
    <x v="334"/>
    <x v="136"/>
    <x v="0"/>
  </r>
  <r>
    <x v="374"/>
    <x v="374"/>
    <x v="4"/>
    <x v="44"/>
    <x v="45"/>
    <x v="2"/>
    <x v="3"/>
    <x v="0"/>
    <x v="281"/>
    <x v="353"/>
    <x v="349"/>
    <x v="0"/>
    <x v="7"/>
    <x v="0"/>
    <x v="40"/>
    <x v="39"/>
    <x v="320"/>
    <x v="113"/>
    <x v="0"/>
    <x v="3"/>
    <x v="0"/>
    <x v="0"/>
    <x v="0"/>
    <x v="1"/>
    <x v="0"/>
    <x v="0"/>
    <x v="0"/>
    <x v="3"/>
    <x v="0"/>
    <x v="0"/>
    <x v="0"/>
    <x v="5"/>
    <x v="0"/>
    <x v="0"/>
    <x v="0"/>
    <x v="5"/>
    <x v="0"/>
    <x v="0"/>
    <x v="0"/>
    <x v="5"/>
    <x v="0"/>
    <x v="0"/>
    <x v="0"/>
    <x v="2"/>
    <x v="0"/>
    <x v="0"/>
    <x v="0"/>
    <x v="3"/>
    <x v="0"/>
    <x v="0"/>
    <x v="0"/>
    <x v="2"/>
    <x v="0"/>
    <x v="0"/>
    <x v="0"/>
    <x v="0"/>
    <x v="0"/>
    <x v="0"/>
    <x v="0"/>
    <x v="0"/>
    <x v="0"/>
    <x v="0"/>
    <x v="0"/>
    <x v="2"/>
    <x v="0"/>
    <x v="0"/>
    <x v="0"/>
    <x v="335"/>
    <x v="137"/>
    <x v="0"/>
  </r>
  <r>
    <x v="374"/>
    <x v="374"/>
    <x v="1"/>
    <x v="7"/>
    <x v="7"/>
    <x v="2"/>
    <x v="3"/>
    <x v="19"/>
    <x v="282"/>
    <x v="354"/>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1"/>
    <x v="7"/>
    <x v="7"/>
    <x v="2"/>
    <x v="3"/>
    <x v="19"/>
    <x v="114"/>
    <x v="355"/>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5"/>
    <x v="46"/>
    <x v="0"/>
    <x v="3"/>
    <x v="5"/>
    <x v="283"/>
    <x v="356"/>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5"/>
    <x v="46"/>
    <x v="0"/>
    <x v="3"/>
    <x v="6"/>
    <x v="240"/>
    <x v="328"/>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5"/>
    <x v="46"/>
    <x v="0"/>
    <x v="3"/>
    <x v="8"/>
    <x v="284"/>
    <x v="357"/>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4"/>
    <x v="45"/>
    <x v="46"/>
    <x v="0"/>
    <x v="3"/>
    <x v="9"/>
    <x v="93"/>
    <x v="358"/>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30"/>
    <x v="30"/>
    <x v="2"/>
    <x v="3"/>
    <x v="19"/>
    <x v="285"/>
    <x v="359"/>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24"/>
    <x v="30"/>
    <x v="2"/>
    <x v="3"/>
    <x v="19"/>
    <x v="154"/>
    <x v="360"/>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51"/>
    <x v="30"/>
    <x v="2"/>
    <x v="3"/>
    <x v="19"/>
    <x v="168"/>
    <x v="361"/>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52"/>
    <x v="30"/>
    <x v="2"/>
    <x v="3"/>
    <x v="19"/>
    <x v="286"/>
    <x v="362"/>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53"/>
    <x v="30"/>
    <x v="2"/>
    <x v="3"/>
    <x v="19"/>
    <x v="27"/>
    <x v="363"/>
    <x v="1"/>
    <x v="0"/>
    <x v="3"/>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23"/>
    <x v="23"/>
    <x v="2"/>
    <x v="2"/>
    <x v="20"/>
    <x v="214"/>
    <x v="119"/>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2"/>
    <x v="23"/>
    <x v="23"/>
    <x v="2"/>
    <x v="2"/>
    <x v="20"/>
    <x v="287"/>
    <x v="364"/>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3"/>
    <x v="38"/>
    <x v="38"/>
    <x v="2"/>
    <x v="1"/>
    <x v="19"/>
    <x v="288"/>
    <x v="249"/>
    <x v="1"/>
    <x v="0"/>
    <x v="8"/>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3"/>
    <x v="38"/>
    <x v="38"/>
    <x v="2"/>
    <x v="1"/>
    <x v="19"/>
    <x v="173"/>
    <x v="365"/>
    <x v="1"/>
    <x v="0"/>
    <x v="2"/>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3"/>
    <x v="38"/>
    <x v="38"/>
    <x v="2"/>
    <x v="1"/>
    <x v="19"/>
    <x v="115"/>
    <x v="250"/>
    <x v="1"/>
    <x v="0"/>
    <x v="8"/>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3"/>
    <x v="37"/>
    <x v="37"/>
    <x v="2"/>
    <x v="1"/>
    <x v="19"/>
    <x v="289"/>
    <x v="366"/>
    <x v="1"/>
    <x v="0"/>
    <x v="9"/>
    <x v="0"/>
    <x v="40"/>
    <x v="39"/>
    <x v="0"/>
    <x v="0"/>
    <x v="0"/>
    <x v="3"/>
    <x v="0"/>
    <x v="0"/>
    <x v="0"/>
    <x v="1"/>
    <x v="0"/>
    <x v="0"/>
    <x v="0"/>
    <x v="3"/>
    <x v="0"/>
    <x v="0"/>
    <x v="0"/>
    <x v="5"/>
    <x v="0"/>
    <x v="0"/>
    <x v="0"/>
    <x v="5"/>
    <x v="0"/>
    <x v="0"/>
    <x v="0"/>
    <x v="5"/>
    <x v="0"/>
    <x v="0"/>
    <x v="0"/>
    <x v="2"/>
    <x v="0"/>
    <x v="0"/>
    <x v="0"/>
    <x v="3"/>
    <x v="0"/>
    <x v="0"/>
    <x v="0"/>
    <x v="2"/>
    <x v="0"/>
    <x v="0"/>
    <x v="0"/>
    <x v="0"/>
    <x v="0"/>
    <x v="0"/>
    <x v="0"/>
    <x v="0"/>
    <x v="0"/>
    <x v="0"/>
    <x v="0"/>
    <x v="2"/>
    <x v="0"/>
    <x v="0"/>
    <x v="0"/>
    <x v="0"/>
    <x v="0"/>
    <x v="0"/>
  </r>
  <r>
    <x v="374"/>
    <x v="374"/>
    <x v="1"/>
    <x v="9"/>
    <x v="9"/>
    <x v="2"/>
    <x v="2"/>
    <x v="12"/>
    <x v="290"/>
    <x v="367"/>
    <x v="350"/>
    <x v="0"/>
    <x v="0"/>
    <x v="0"/>
    <x v="40"/>
    <x v="40"/>
    <x v="321"/>
    <x v="114"/>
    <x v="0"/>
    <x v="1"/>
    <x v="76"/>
    <x v="17"/>
    <x v="0"/>
    <x v="1"/>
    <x v="37"/>
    <x v="0"/>
    <x v="37"/>
    <x v="7"/>
    <x v="93"/>
    <x v="29"/>
    <x v="0"/>
    <x v="4"/>
    <x v="93"/>
    <x v="34"/>
    <x v="0"/>
    <x v="1"/>
    <x v="74"/>
    <x v="24"/>
    <x v="0"/>
    <x v="3"/>
    <x v="53"/>
    <x v="14"/>
    <x v="0"/>
    <x v="8"/>
    <x v="0"/>
    <x v="2"/>
    <x v="0"/>
    <x v="5"/>
    <x v="154"/>
    <x v="94"/>
    <x v="0"/>
    <x v="1"/>
    <x v="9"/>
    <x v="4"/>
    <x v="0"/>
    <x v="1"/>
    <x v="0"/>
    <x v="0"/>
    <x v="0"/>
    <x v="1"/>
    <x v="0"/>
    <x v="0"/>
    <x v="0"/>
    <x v="1"/>
    <x v="21"/>
    <x v="0"/>
    <x v="0"/>
    <x v="336"/>
    <x v="138"/>
    <x v="0"/>
  </r>
  <r>
    <x v="374"/>
    <x v="374"/>
    <x v="1"/>
    <x v="9"/>
    <x v="9"/>
    <x v="2"/>
    <x v="2"/>
    <x v="13"/>
    <x v="291"/>
    <x v="368"/>
    <x v="351"/>
    <x v="0"/>
    <x v="0"/>
    <x v="0"/>
    <x v="40"/>
    <x v="6"/>
    <x v="322"/>
    <x v="115"/>
    <x v="0"/>
    <x v="1"/>
    <x v="77"/>
    <x v="18"/>
    <x v="0"/>
    <x v="1"/>
    <x v="37"/>
    <x v="0"/>
    <x v="37"/>
    <x v="7"/>
    <x v="94"/>
    <x v="30"/>
    <x v="0"/>
    <x v="4"/>
    <x v="94"/>
    <x v="35"/>
    <x v="0"/>
    <x v="1"/>
    <x v="75"/>
    <x v="25"/>
    <x v="0"/>
    <x v="1"/>
    <x v="54"/>
    <x v="15"/>
    <x v="0"/>
    <x v="8"/>
    <x v="35"/>
    <x v="29"/>
    <x v="0"/>
    <x v="5"/>
    <x v="155"/>
    <x v="95"/>
    <x v="0"/>
    <x v="1"/>
    <x v="9"/>
    <x v="4"/>
    <x v="0"/>
    <x v="1"/>
    <x v="0"/>
    <x v="0"/>
    <x v="0"/>
    <x v="1"/>
    <x v="0"/>
    <x v="0"/>
    <x v="0"/>
    <x v="1"/>
    <x v="21"/>
    <x v="0"/>
    <x v="0"/>
    <x v="337"/>
    <x v="139"/>
    <x v="0"/>
  </r>
  <r>
    <x v="374"/>
    <x v="374"/>
    <x v="4"/>
    <x v="43"/>
    <x v="44"/>
    <x v="2"/>
    <x v="3"/>
    <x v="0"/>
    <x v="141"/>
    <x v="369"/>
    <x v="1"/>
    <x v="0"/>
    <x v="0"/>
    <x v="0"/>
    <x v="40"/>
    <x v="39"/>
    <x v="0"/>
    <x v="0"/>
    <x v="251"/>
    <x v="3"/>
    <x v="78"/>
    <x v="0"/>
    <x v="66"/>
    <x v="1"/>
    <x v="37"/>
    <x v="0"/>
    <x v="37"/>
    <x v="3"/>
    <x v="95"/>
    <x v="0"/>
    <x v="79"/>
    <x v="5"/>
    <x v="95"/>
    <x v="0"/>
    <x v="66"/>
    <x v="5"/>
    <x v="76"/>
    <x v="0"/>
    <x v="61"/>
    <x v="5"/>
    <x v="55"/>
    <x v="0"/>
    <x v="45"/>
    <x v="2"/>
    <x v="0"/>
    <x v="0"/>
    <x v="78"/>
    <x v="3"/>
    <x v="0"/>
    <x v="0"/>
    <x v="85"/>
    <x v="2"/>
    <x v="13"/>
    <x v="0"/>
    <x v="9"/>
    <x v="0"/>
    <x v="10"/>
    <x v="0"/>
    <x v="15"/>
    <x v="0"/>
    <x v="1"/>
    <x v="0"/>
    <x v="1"/>
    <x v="2"/>
    <x v="21"/>
    <x v="0"/>
    <x v="2"/>
    <x v="338"/>
    <x v="140"/>
    <x v="264"/>
  </r>
  <r>
    <x v="374"/>
    <x v="374"/>
    <x v="4"/>
    <x v="49"/>
    <x v="50"/>
    <x v="2"/>
    <x v="1"/>
    <x v="0"/>
    <x v="65"/>
    <x v="370"/>
    <x v="1"/>
    <x v="0"/>
    <x v="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74"/>
    <x v="374"/>
    <x v="4"/>
    <x v="49"/>
    <x v="50"/>
    <x v="2"/>
    <x v="1"/>
    <x v="12"/>
    <x v="65"/>
    <x v="370"/>
    <x v="352"/>
    <x v="0"/>
    <x v="0"/>
    <x v="0"/>
    <x v="40"/>
    <x v="39"/>
    <x v="324"/>
    <x v="116"/>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74"/>
    <x v="374"/>
    <x v="3"/>
    <x v="38"/>
    <x v="38"/>
    <x v="3"/>
    <x v="1"/>
    <x v="19"/>
    <x v="292"/>
    <x v="0"/>
    <x v="353"/>
    <x v="0"/>
    <x v="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74"/>
    <x v="374"/>
    <x v="3"/>
    <x v="54"/>
    <x v="37"/>
    <x v="2"/>
    <x v="1"/>
    <x v="0"/>
    <x v="289"/>
    <x v="371"/>
    <x v="354"/>
    <x v="0"/>
    <x v="0"/>
    <x v="0"/>
    <x v="40"/>
    <x v="39"/>
    <x v="325"/>
    <x v="117"/>
    <x v="251"/>
    <x v="3"/>
    <x v="78"/>
    <x v="0"/>
    <x v="66"/>
    <x v="1"/>
    <x v="38"/>
    <x v="8"/>
    <x v="37"/>
    <x v="3"/>
    <x v="95"/>
    <x v="0"/>
    <x v="79"/>
    <x v="5"/>
    <x v="95"/>
    <x v="0"/>
    <x v="66"/>
    <x v="5"/>
    <x v="76"/>
    <x v="0"/>
    <x v="61"/>
    <x v="5"/>
    <x v="55"/>
    <x v="0"/>
    <x v="45"/>
    <x v="2"/>
    <x v="144"/>
    <x v="93"/>
    <x v="78"/>
    <x v="3"/>
    <x v="157"/>
    <x v="96"/>
    <x v="85"/>
    <x v="2"/>
    <x v="13"/>
    <x v="0"/>
    <x v="9"/>
    <x v="0"/>
    <x v="10"/>
    <x v="0"/>
    <x v="15"/>
    <x v="0"/>
    <x v="1"/>
    <x v="0"/>
    <x v="1"/>
    <x v="2"/>
    <x v="53"/>
    <x v="53"/>
    <x v="2"/>
    <x v="338"/>
    <x v="140"/>
    <x v="264"/>
  </r>
  <r>
    <x v="374"/>
    <x v="374"/>
    <x v="2"/>
    <x v="25"/>
    <x v="25"/>
    <x v="2"/>
    <x v="0"/>
    <x v="0"/>
    <x v="293"/>
    <x v="372"/>
    <x v="355"/>
    <x v="0"/>
    <x v="0"/>
    <x v="0"/>
    <x v="40"/>
    <x v="15"/>
    <x v="326"/>
    <x v="0"/>
    <x v="252"/>
    <x v="3"/>
    <x v="78"/>
    <x v="0"/>
    <x v="66"/>
    <x v="1"/>
    <x v="37"/>
    <x v="0"/>
    <x v="37"/>
    <x v="3"/>
    <x v="95"/>
    <x v="0"/>
    <x v="79"/>
    <x v="5"/>
    <x v="95"/>
    <x v="0"/>
    <x v="66"/>
    <x v="5"/>
    <x v="76"/>
    <x v="0"/>
    <x v="61"/>
    <x v="5"/>
    <x v="55"/>
    <x v="0"/>
    <x v="45"/>
    <x v="2"/>
    <x v="70"/>
    <x v="0"/>
    <x v="78"/>
    <x v="3"/>
    <x v="156"/>
    <x v="0"/>
    <x v="85"/>
    <x v="2"/>
    <x v="13"/>
    <x v="0"/>
    <x v="9"/>
    <x v="0"/>
    <x v="10"/>
    <x v="0"/>
    <x v="15"/>
    <x v="0"/>
    <x v="1"/>
    <x v="0"/>
    <x v="1"/>
    <x v="2"/>
    <x v="21"/>
    <x v="0"/>
    <x v="2"/>
    <x v="339"/>
    <x v="0"/>
    <x v="265"/>
  </r>
  <r>
    <x v="374"/>
    <x v="374"/>
    <x v="2"/>
    <x v="27"/>
    <x v="27"/>
    <x v="2"/>
    <x v="3"/>
    <x v="0"/>
    <x v="294"/>
    <x v="373"/>
    <x v="356"/>
    <x v="0"/>
    <x v="0"/>
    <x v="0"/>
    <x v="40"/>
    <x v="2"/>
    <x v="327"/>
    <x v="0"/>
    <x v="253"/>
    <x v="1"/>
    <x v="79"/>
    <x v="0"/>
    <x v="67"/>
    <x v="0"/>
    <x v="0"/>
    <x v="0"/>
    <x v="0"/>
    <x v="15"/>
    <x v="96"/>
    <x v="0"/>
    <x v="80"/>
    <x v="1"/>
    <x v="96"/>
    <x v="0"/>
    <x v="67"/>
    <x v="1"/>
    <x v="77"/>
    <x v="0"/>
    <x v="62"/>
    <x v="3"/>
    <x v="56"/>
    <x v="0"/>
    <x v="46"/>
    <x v="8"/>
    <x v="0"/>
    <x v="0"/>
    <x v="0"/>
    <x v="5"/>
    <x v="0"/>
    <x v="0"/>
    <x v="0"/>
    <x v="1"/>
    <x v="0"/>
    <x v="0"/>
    <x v="0"/>
    <x v="1"/>
    <x v="0"/>
    <x v="0"/>
    <x v="0"/>
    <x v="1"/>
    <x v="0"/>
    <x v="0"/>
    <x v="0"/>
    <x v="1"/>
    <x v="0"/>
    <x v="0"/>
    <x v="0"/>
    <x v="340"/>
    <x v="0"/>
    <x v="266"/>
  </r>
  <r>
    <x v="374"/>
    <x v="374"/>
    <x v="4"/>
    <x v="43"/>
    <x v="44"/>
    <x v="2"/>
    <x v="3"/>
    <x v="2"/>
    <x v="141"/>
    <x v="369"/>
    <x v="357"/>
    <x v="0"/>
    <x v="0"/>
    <x v="0"/>
    <x v="40"/>
    <x v="39"/>
    <x v="328"/>
    <x v="118"/>
    <x v="251"/>
    <x v="3"/>
    <x v="78"/>
    <x v="0"/>
    <x v="66"/>
    <x v="1"/>
    <x v="37"/>
    <x v="0"/>
    <x v="37"/>
    <x v="3"/>
    <x v="95"/>
    <x v="0"/>
    <x v="79"/>
    <x v="5"/>
    <x v="95"/>
    <x v="0"/>
    <x v="66"/>
    <x v="5"/>
    <x v="76"/>
    <x v="0"/>
    <x v="61"/>
    <x v="5"/>
    <x v="55"/>
    <x v="0"/>
    <x v="45"/>
    <x v="2"/>
    <x v="145"/>
    <x v="94"/>
    <x v="78"/>
    <x v="3"/>
    <x v="158"/>
    <x v="97"/>
    <x v="85"/>
    <x v="2"/>
    <x v="13"/>
    <x v="0"/>
    <x v="9"/>
    <x v="0"/>
    <x v="10"/>
    <x v="0"/>
    <x v="15"/>
    <x v="0"/>
    <x v="1"/>
    <x v="0"/>
    <x v="1"/>
    <x v="2"/>
    <x v="21"/>
    <x v="0"/>
    <x v="2"/>
    <x v="338"/>
    <x v="140"/>
    <x v="264"/>
  </r>
  <r>
    <x v="374"/>
    <x v="374"/>
    <x v="4"/>
    <x v="43"/>
    <x v="44"/>
    <x v="2"/>
    <x v="3"/>
    <x v="4"/>
    <x v="192"/>
    <x v="374"/>
    <x v="358"/>
    <x v="0"/>
    <x v="0"/>
    <x v="0"/>
    <x v="40"/>
    <x v="39"/>
    <x v="329"/>
    <x v="119"/>
    <x v="251"/>
    <x v="3"/>
    <x v="78"/>
    <x v="0"/>
    <x v="66"/>
    <x v="1"/>
    <x v="37"/>
    <x v="0"/>
    <x v="37"/>
    <x v="3"/>
    <x v="95"/>
    <x v="0"/>
    <x v="79"/>
    <x v="5"/>
    <x v="95"/>
    <x v="0"/>
    <x v="66"/>
    <x v="5"/>
    <x v="76"/>
    <x v="0"/>
    <x v="61"/>
    <x v="5"/>
    <x v="55"/>
    <x v="0"/>
    <x v="45"/>
    <x v="2"/>
    <x v="146"/>
    <x v="95"/>
    <x v="78"/>
    <x v="3"/>
    <x v="159"/>
    <x v="98"/>
    <x v="85"/>
    <x v="2"/>
    <x v="13"/>
    <x v="0"/>
    <x v="9"/>
    <x v="0"/>
    <x v="10"/>
    <x v="0"/>
    <x v="15"/>
    <x v="0"/>
    <x v="1"/>
    <x v="0"/>
    <x v="1"/>
    <x v="2"/>
    <x v="21"/>
    <x v="0"/>
    <x v="2"/>
    <x v="338"/>
    <x v="140"/>
    <x v="264"/>
  </r>
  <r>
    <x v="375"/>
    <x v="375"/>
    <x v="0"/>
    <x v="55"/>
    <x v="52"/>
    <x v="1"/>
    <x v="6"/>
    <x v="0"/>
    <x v="0"/>
    <x v="375"/>
    <x v="359"/>
    <x v="0"/>
    <x v="1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76"/>
    <x v="376"/>
    <x v="0"/>
    <x v="1"/>
    <x v="1"/>
    <x v="1"/>
    <x v="1"/>
    <x v="0"/>
    <x v="0"/>
    <x v="376"/>
    <x v="360"/>
    <x v="0"/>
    <x v="1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77"/>
    <x v="377"/>
    <x v="1"/>
    <x v="19"/>
    <x v="19"/>
    <x v="1"/>
    <x v="6"/>
    <x v="0"/>
    <x v="0"/>
    <x v="377"/>
    <x v="361"/>
    <x v="0"/>
    <x v="1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78"/>
    <x v="378"/>
    <x v="3"/>
    <x v="34"/>
    <x v="34"/>
    <x v="1"/>
    <x v="6"/>
    <x v="0"/>
    <x v="295"/>
    <x v="378"/>
    <x v="362"/>
    <x v="0"/>
    <x v="1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79"/>
    <x v="379"/>
    <x v="3"/>
    <x v="34"/>
    <x v="34"/>
    <x v="1"/>
    <x v="6"/>
    <x v="0"/>
    <x v="296"/>
    <x v="378"/>
    <x v="363"/>
    <x v="0"/>
    <x v="1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80"/>
    <x v="380"/>
    <x v="3"/>
    <x v="34"/>
    <x v="34"/>
    <x v="1"/>
    <x v="6"/>
    <x v="0"/>
    <x v="297"/>
    <x v="378"/>
    <x v="364"/>
    <x v="0"/>
    <x v="1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81"/>
    <x v="381"/>
    <x v="3"/>
    <x v="34"/>
    <x v="34"/>
    <x v="1"/>
    <x v="6"/>
    <x v="0"/>
    <x v="298"/>
    <x v="378"/>
    <x v="365"/>
    <x v="0"/>
    <x v="1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82"/>
    <x v="382"/>
    <x v="3"/>
    <x v="56"/>
    <x v="53"/>
    <x v="1"/>
    <x v="6"/>
    <x v="0"/>
    <x v="0"/>
    <x v="379"/>
    <x v="366"/>
    <x v="0"/>
    <x v="1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83"/>
    <x v="383"/>
    <x v="3"/>
    <x v="40"/>
    <x v="40"/>
    <x v="1"/>
    <x v="3"/>
    <x v="0"/>
    <x v="0"/>
    <x v="380"/>
    <x v="367"/>
    <x v="0"/>
    <x v="1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84"/>
    <x v="384"/>
    <x v="3"/>
    <x v="41"/>
    <x v="41"/>
    <x v="1"/>
    <x v="3"/>
    <x v="0"/>
    <x v="0"/>
    <x v="380"/>
    <x v="368"/>
    <x v="0"/>
    <x v="1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r>
    <x v="385"/>
    <x v="385"/>
    <x v="3"/>
    <x v="41"/>
    <x v="42"/>
    <x v="1"/>
    <x v="3"/>
    <x v="0"/>
    <x v="0"/>
    <x v="381"/>
    <x v="369"/>
    <x v="0"/>
    <x v="10"/>
    <x v="0"/>
    <x v="40"/>
    <x v="39"/>
    <x v="323"/>
    <x v="0"/>
    <x v="251"/>
    <x v="3"/>
    <x v="78"/>
    <x v="0"/>
    <x v="66"/>
    <x v="1"/>
    <x v="37"/>
    <x v="0"/>
    <x v="37"/>
    <x v="3"/>
    <x v="95"/>
    <x v="0"/>
    <x v="79"/>
    <x v="5"/>
    <x v="95"/>
    <x v="0"/>
    <x v="66"/>
    <x v="5"/>
    <x v="76"/>
    <x v="0"/>
    <x v="61"/>
    <x v="5"/>
    <x v="55"/>
    <x v="0"/>
    <x v="45"/>
    <x v="2"/>
    <x v="70"/>
    <x v="0"/>
    <x v="78"/>
    <x v="3"/>
    <x v="156"/>
    <x v="0"/>
    <x v="85"/>
    <x v="2"/>
    <x v="13"/>
    <x v="0"/>
    <x v="9"/>
    <x v="0"/>
    <x v="10"/>
    <x v="0"/>
    <x v="15"/>
    <x v="0"/>
    <x v="1"/>
    <x v="0"/>
    <x v="1"/>
    <x v="2"/>
    <x v="21"/>
    <x v="0"/>
    <x v="2"/>
    <x v="338"/>
    <x v="140"/>
    <x v="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compact="0" indent="0" compactData="0" showDrill="1" multipleFieldFilters="0">
  <location ref="A3:AR58" firstHeaderRow="0" firstDataRow="1" firstDataCol="1"/>
  <pivotFields count="70">
    <pivotField compact="0" outline="0" showAll="0">
      <items count="387">
        <item x="375"/>
        <item x="0"/>
        <item x="376"/>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377"/>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378"/>
        <item x="379"/>
        <item x="380"/>
        <item x="381"/>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382"/>
        <item x="295"/>
        <item x="383"/>
        <item x="296"/>
        <item x="297"/>
        <item x="384"/>
        <item x="298"/>
        <item x="385"/>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t="default"/>
      </items>
    </pivotField>
    <pivotField compact="0" outline="0" showAll="0"/>
    <pivotField compact="0" outline="0" showAll="0"/>
    <pivotField compact="0" outline="0" showAll="0"/>
    <pivotField axis="axisRow" compact="0" outline="0" showAll="0">
      <items count="55">
        <item x="1"/>
        <item x="33"/>
        <item x="13"/>
        <item x="14"/>
        <item x="11"/>
        <item x="12"/>
        <item x="17"/>
        <item x="15"/>
        <item x="16"/>
        <item x="29"/>
        <item x="0"/>
        <item x="51"/>
        <item x="27"/>
        <item x="31"/>
        <item x="44"/>
        <item x="9"/>
        <item x="45"/>
        <item x="50"/>
        <item x="35"/>
        <item x="36"/>
        <item x="32"/>
        <item x="48"/>
        <item x="10"/>
        <item x="8"/>
        <item x="34"/>
        <item x="2"/>
        <item x="38"/>
        <item x="53"/>
        <item x="39"/>
        <item x="37"/>
        <item x="42"/>
        <item x="41"/>
        <item x="43"/>
        <item x="40"/>
        <item x="22"/>
        <item x="30"/>
        <item x="47"/>
        <item x="3"/>
        <item x="52"/>
        <item x="23"/>
        <item x="49"/>
        <item x="26"/>
        <item x="24"/>
        <item x="19"/>
        <item x="20"/>
        <item x="21"/>
        <item x="7"/>
        <item x="5"/>
        <item x="4"/>
        <item x="6"/>
        <item x="25"/>
        <item x="46"/>
        <item x="28"/>
        <item x="18"/>
        <item t="default"/>
      </items>
    </pivotField>
    <pivotField compact="0" outline="0" showAll="0"/>
    <pivotField compact="0" outline="0" showAll="0"/>
    <pivotField compact="0" outline="0" showAll="0"/>
    <pivotField compact="0" outline="0" showAll="0"/>
    <pivotField compact="0" outline="0" showAll="0"/>
    <pivotField compact="0" outline="0" subtotalTop="0" showAll="0"/>
    <pivotField compact="0" outline="0" showAll="0"/>
    <pivotField compact="0" outline="0" showAll="0"/>
    <pivotField dataField="1" compact="0" outline="0" showAll="0">
      <items count="65">
        <item x="4"/>
        <item x="6"/>
        <item x="17"/>
        <item x="3"/>
        <item x="10"/>
        <item x="0"/>
        <item x="5"/>
        <item x="7"/>
        <item x="12"/>
        <item x="13"/>
        <item x="14"/>
        <item x="15"/>
        <item x="16"/>
        <item x="18"/>
        <item x="19"/>
        <item x="20"/>
        <item x="21"/>
        <item x="22"/>
        <item x="23"/>
        <item x="24"/>
        <item x="25"/>
        <item x="26"/>
        <item x="27"/>
        <item x="52"/>
        <item x="53"/>
        <item x="54"/>
        <item x="55"/>
        <item x="56"/>
        <item x="57"/>
        <item x="58"/>
        <item x="59"/>
        <item x="60"/>
        <item x="61"/>
        <item x="1"/>
        <item x="2"/>
        <item x="29"/>
        <item x="30"/>
        <item x="31"/>
        <item x="32"/>
        <item x="33"/>
        <item x="34"/>
        <item x="39"/>
        <item x="41"/>
        <item x="42"/>
        <item x="43"/>
        <item x="44"/>
        <item x="62"/>
        <item x="63"/>
        <item x="28"/>
        <item x="40"/>
        <item x="8"/>
        <item x="9"/>
        <item x="11"/>
        <item x="35"/>
        <item x="36"/>
        <item x="37"/>
        <item x="38"/>
        <item x="45"/>
        <item x="46"/>
        <item x="47"/>
        <item x="48"/>
        <item x="49"/>
        <item x="50"/>
        <item x="51"/>
        <item t="default"/>
      </items>
    </pivotField>
    <pivotField compact="0" outline="0" showAll="0"/>
    <pivotField compact="0" outline="0" showAll="0"/>
    <pivotField dataField="1" compact="0" outline="0" showAll="0">
      <items count="256">
        <item x="0"/>
        <item x="247"/>
        <item x="246"/>
        <item x="253"/>
        <item x="254"/>
        <item x="132"/>
        <item x="133"/>
        <item x="248"/>
        <item x="185"/>
        <item x="250"/>
        <item x="189"/>
        <item x="24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4"/>
        <item x="135"/>
        <item x="136"/>
        <item x="137"/>
        <item x="138"/>
        <item x="139"/>
        <item x="140"/>
        <item x="141"/>
        <item x="142"/>
        <item x="143"/>
        <item x="144"/>
        <item x="145"/>
        <item x="146"/>
        <item x="147"/>
        <item x="148"/>
        <item x="150"/>
        <item x="151"/>
        <item x="152"/>
        <item x="153"/>
        <item x="154"/>
        <item x="155"/>
        <item x="156"/>
        <item x="157"/>
        <item x="158"/>
        <item x="159"/>
        <item x="160"/>
        <item x="162"/>
        <item x="163"/>
        <item x="164"/>
        <item x="165"/>
        <item x="166"/>
        <item x="168"/>
        <item x="169"/>
        <item x="170"/>
        <item x="171"/>
        <item x="172"/>
        <item x="173"/>
        <item x="174"/>
        <item x="175"/>
        <item x="176"/>
        <item x="177"/>
        <item x="178"/>
        <item x="179"/>
        <item x="180"/>
        <item x="182"/>
        <item x="183"/>
        <item x="184"/>
        <item x="186"/>
        <item x="187"/>
        <item x="188"/>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51"/>
        <item x="252"/>
        <item x="149"/>
        <item x="167"/>
        <item x="181"/>
        <item x="72"/>
        <item x="73"/>
        <item x="161"/>
        <item x="89"/>
        <item t="default"/>
      </items>
    </pivotField>
    <pivotField dataField="1" compact="0" outline="0" showAll="0">
      <items count="91">
        <item x="9"/>
        <item x="85"/>
        <item x="84"/>
        <item x="88"/>
        <item x="89"/>
        <item x="86"/>
        <item x="87"/>
        <item x="57"/>
        <item x="0"/>
        <item x="3"/>
        <item x="4"/>
        <item x="5"/>
        <item x="6"/>
        <item x="7"/>
        <item x="8"/>
        <item x="10"/>
        <item x="11"/>
        <item x="12"/>
        <item x="13"/>
        <item x="14"/>
        <item x="15"/>
        <item x="16"/>
        <item x="20"/>
        <item x="21"/>
        <item x="22"/>
        <item x="23"/>
        <item x="24"/>
        <item x="71"/>
        <item x="72"/>
        <item x="73"/>
        <item x="74"/>
        <item x="75"/>
        <item x="76"/>
        <item x="77"/>
        <item x="78"/>
        <item x="79"/>
        <item x="80"/>
        <item x="81"/>
        <item x="82"/>
        <item x="1"/>
        <item x="2"/>
        <item x="25"/>
        <item x="26"/>
        <item x="27"/>
        <item x="28"/>
        <item x="29"/>
        <item x="30"/>
        <item x="31"/>
        <item x="32"/>
        <item x="33"/>
        <item x="34"/>
        <item x="35"/>
        <item x="36"/>
        <item x="38"/>
        <item x="39"/>
        <item x="40"/>
        <item x="41"/>
        <item x="42"/>
        <item x="43"/>
        <item x="44"/>
        <item x="45"/>
        <item x="46"/>
        <item x="47"/>
        <item x="48"/>
        <item x="49"/>
        <item x="50"/>
        <item x="51"/>
        <item x="52"/>
        <item x="53"/>
        <item x="58"/>
        <item x="60"/>
        <item x="61"/>
        <item x="62"/>
        <item x="68"/>
        <item x="69"/>
        <item x="70"/>
        <item x="83"/>
        <item x="63"/>
        <item x="37"/>
        <item x="59"/>
        <item x="17"/>
        <item x="18"/>
        <item x="19"/>
        <item x="54"/>
        <item x="55"/>
        <item x="56"/>
        <item x="64"/>
        <item x="65"/>
        <item x="66"/>
        <item x="67"/>
        <item t="default"/>
      </items>
    </pivotField>
    <pivotField dataField="1" compact="0" outline="0" showAll="0">
      <items count="197">
        <item x="0"/>
        <item x="95"/>
        <item x="148"/>
        <item x="152"/>
        <item x="193"/>
        <item x="1"/>
        <item x="2"/>
        <item x="4"/>
        <item x="5"/>
        <item x="8"/>
        <item x="9"/>
        <item x="11"/>
        <item x="12"/>
        <item x="13"/>
        <item x="14"/>
        <item x="17"/>
        <item x="18"/>
        <item x="19"/>
        <item x="20"/>
        <item x="21"/>
        <item x="22"/>
        <item x="23"/>
        <item x="24"/>
        <item x="25"/>
        <item x="26"/>
        <item x="31"/>
        <item x="32"/>
        <item x="33"/>
        <item x="34"/>
        <item x="35"/>
        <item x="36"/>
        <item x="37"/>
        <item x="38"/>
        <item x="39"/>
        <item x="40"/>
        <item x="41"/>
        <item x="44"/>
        <item x="45"/>
        <item x="46"/>
        <item x="47"/>
        <item x="51"/>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7"/>
        <item x="88"/>
        <item x="89"/>
        <item x="90"/>
        <item x="91"/>
        <item x="92"/>
        <item x="93"/>
        <item x="94"/>
        <item x="97"/>
        <item x="98"/>
        <item x="99"/>
        <item x="100"/>
        <item x="101"/>
        <item x="102"/>
        <item x="103"/>
        <item x="104"/>
        <item x="105"/>
        <item x="106"/>
        <item x="107"/>
        <item x="108"/>
        <item x="109"/>
        <item x="110"/>
        <item x="113"/>
        <item x="114"/>
        <item x="115"/>
        <item x="116"/>
        <item x="117"/>
        <item x="118"/>
        <item x="119"/>
        <item x="120"/>
        <item x="121"/>
        <item x="122"/>
        <item x="123"/>
        <item x="125"/>
        <item x="126"/>
        <item x="127"/>
        <item x="129"/>
        <item x="131"/>
        <item x="132"/>
        <item x="133"/>
        <item x="134"/>
        <item x="135"/>
        <item x="136"/>
        <item x="137"/>
        <item x="138"/>
        <item x="139"/>
        <item x="140"/>
        <item x="142"/>
        <item x="143"/>
        <item x="145"/>
        <item x="146"/>
        <item x="147"/>
        <item x="149"/>
        <item x="150"/>
        <item x="151"/>
        <item x="153"/>
        <item x="154"/>
        <item x="155"/>
        <item x="156"/>
        <item x="157"/>
        <item x="158"/>
        <item x="160"/>
        <item x="161"/>
        <item x="162"/>
        <item x="163"/>
        <item x="164"/>
        <item x="165"/>
        <item x="170"/>
        <item x="171"/>
        <item x="173"/>
        <item x="174"/>
        <item x="175"/>
        <item x="176"/>
        <item x="177"/>
        <item x="178"/>
        <item x="179"/>
        <item x="180"/>
        <item x="181"/>
        <item x="182"/>
        <item x="184"/>
        <item x="185"/>
        <item x="186"/>
        <item x="187"/>
        <item x="188"/>
        <item x="189"/>
        <item x="190"/>
        <item x="191"/>
        <item x="194"/>
        <item x="195"/>
        <item x="112"/>
        <item x="130"/>
        <item x="144"/>
        <item x="3"/>
        <item x="6"/>
        <item x="27"/>
        <item x="28"/>
        <item x="29"/>
        <item x="30"/>
        <item x="42"/>
        <item x="43"/>
        <item x="48"/>
        <item x="49"/>
        <item x="50"/>
        <item x="111"/>
        <item x="128"/>
        <item x="141"/>
        <item x="159"/>
        <item x="192"/>
        <item x="166"/>
        <item x="16"/>
        <item x="124"/>
        <item x="7"/>
        <item x="10"/>
        <item x="15"/>
        <item x="52"/>
        <item x="53"/>
        <item x="81"/>
        <item x="96"/>
        <item x="167"/>
        <item x="168"/>
        <item x="169"/>
        <item x="172"/>
        <item x="183"/>
        <item t="default"/>
      </items>
    </pivotField>
    <pivotField compact="0" outline="0" showAll="0"/>
    <pivotField dataField="1" compact="0" outline="0" showAll="0">
      <items count="72">
        <item x="0"/>
        <item x="68"/>
        <item x="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70"/>
        <item t="default"/>
      </items>
    </pivotField>
    <pivotField dataField="1" compact="0" outline="0" showAll="0">
      <items count="17">
        <item x="3"/>
        <item x="15"/>
        <item x="0"/>
        <item x="4"/>
        <item x="5"/>
        <item x="6"/>
        <item x="7"/>
        <item x="8"/>
        <item x="1"/>
        <item x="2"/>
        <item x="11"/>
        <item x="12"/>
        <item x="13"/>
        <item x="14"/>
        <item x="9"/>
        <item x="10"/>
        <item t="default"/>
      </items>
    </pivotField>
    <pivotField dataField="1" compact="0" outline="0" showAll="0">
      <items count="65">
        <item x="0"/>
        <item x="62"/>
        <item x="1"/>
        <item x="2"/>
        <item x="4"/>
        <item x="6"/>
        <item x="7"/>
        <item x="8"/>
        <item x="10"/>
        <item x="11"/>
        <item x="12"/>
        <item x="13"/>
        <item x="14"/>
        <item x="15"/>
        <item x="16"/>
        <item x="17"/>
        <item x="18"/>
        <item x="19"/>
        <item x="20"/>
        <item x="21"/>
        <item x="22"/>
        <item x="23"/>
        <item x="24"/>
        <item x="25"/>
        <item x="26"/>
        <item x="27"/>
        <item x="28"/>
        <item x="29"/>
        <item x="30"/>
        <item x="31"/>
        <item x="32"/>
        <item x="33"/>
        <item x="34"/>
        <item x="35"/>
        <item x="36"/>
        <item x="38"/>
        <item x="39"/>
        <item x="40"/>
        <item x="41"/>
        <item x="42"/>
        <item x="43"/>
        <item x="44"/>
        <item x="45"/>
        <item x="46"/>
        <item x="47"/>
        <item x="48"/>
        <item x="49"/>
        <item x="50"/>
        <item x="51"/>
        <item x="52"/>
        <item x="53"/>
        <item x="54"/>
        <item x="55"/>
        <item x="56"/>
        <item x="57"/>
        <item x="58"/>
        <item x="59"/>
        <item x="60"/>
        <item x="63"/>
        <item x="3"/>
        <item x="5"/>
        <item x="61"/>
        <item x="9"/>
        <item x="37"/>
        <item t="default"/>
      </items>
    </pivotField>
    <pivotField compact="0" outline="0" showAll="0"/>
    <pivotField dataField="1" compact="0" outline="0" showAll="0">
      <items count="34">
        <item x="0"/>
        <item x="32"/>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dataField="1" compact="0" outline="0" showAll="0">
      <items count="9">
        <item x="1"/>
        <item x="0"/>
        <item x="7"/>
        <item x="5"/>
        <item x="2"/>
        <item x="3"/>
        <item x="4"/>
        <item x="6"/>
        <item t="default"/>
      </items>
    </pivotField>
    <pivotField dataField="1" compact="0" outline="0" showAll="0">
      <items count="35">
        <item x="0"/>
        <item x="33"/>
        <item x="2"/>
        <item x="3"/>
        <item x="5"/>
        <item x="6"/>
        <item x="7"/>
        <item x="8"/>
        <item x="11"/>
        <item x="12"/>
        <item x="13"/>
        <item x="14"/>
        <item x="15"/>
        <item x="16"/>
        <item x="17"/>
        <item x="18"/>
        <item x="19"/>
        <item x="20"/>
        <item x="22"/>
        <item x="23"/>
        <item x="24"/>
        <item x="25"/>
        <item x="26"/>
        <item x="27"/>
        <item x="28"/>
        <item x="29"/>
        <item x="30"/>
        <item x="31"/>
        <item x="32"/>
        <item x="10"/>
        <item x="1"/>
        <item x="4"/>
        <item x="9"/>
        <item x="21"/>
        <item t="default"/>
      </items>
    </pivotField>
    <pivotField compact="0" outline="0" showAll="0"/>
    <pivotField dataField="1" compact="0" outline="0" showAll="0">
      <items count="83">
        <item x="0"/>
        <item x="80"/>
        <item x="24"/>
        <item x="1"/>
        <item x="2"/>
        <item x="3"/>
        <item x="4"/>
        <item x="5"/>
        <item x="6"/>
        <item x="7"/>
        <item x="8"/>
        <item x="9"/>
        <item x="10"/>
        <item x="11"/>
        <item x="12"/>
        <item x="13"/>
        <item x="14"/>
        <item x="15"/>
        <item x="16"/>
        <item x="17"/>
        <item x="18"/>
        <item x="19"/>
        <item x="20"/>
        <item x="21"/>
        <item x="22"/>
        <item x="23"/>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1"/>
        <item t="default"/>
      </items>
    </pivotField>
    <pivotField dataField="1" compact="0" outline="0" showAll="0">
      <items count="28">
        <item x="9"/>
        <item x="26"/>
        <item x="0"/>
        <item x="3"/>
        <item x="4"/>
        <item x="5"/>
        <item x="6"/>
        <item x="7"/>
        <item x="8"/>
        <item x="10"/>
        <item x="11"/>
        <item x="12"/>
        <item x="13"/>
        <item x="14"/>
        <item x="15"/>
        <item x="16"/>
        <item x="17"/>
        <item x="18"/>
        <item x="19"/>
        <item x="20"/>
        <item x="21"/>
        <item x="1"/>
        <item x="2"/>
        <item x="24"/>
        <item x="25"/>
        <item x="22"/>
        <item x="23"/>
        <item t="default"/>
      </items>
    </pivotField>
    <pivotField dataField="1" compact="0" outline="0" showAll="0">
      <items count="65">
        <item x="0"/>
        <item x="62"/>
        <item x="1"/>
        <item x="2"/>
        <item x="4"/>
        <item x="6"/>
        <item x="7"/>
        <item x="8"/>
        <item x="10"/>
        <item x="11"/>
        <item x="12"/>
        <item x="13"/>
        <item x="14"/>
        <item x="15"/>
        <item x="16"/>
        <item x="17"/>
        <item x="18"/>
        <item x="19"/>
        <item x="20"/>
        <item x="21"/>
        <item x="22"/>
        <item x="23"/>
        <item x="24"/>
        <item x="25"/>
        <item x="26"/>
        <item x="27"/>
        <item x="28"/>
        <item x="29"/>
        <item x="30"/>
        <item x="31"/>
        <item x="32"/>
        <item x="33"/>
        <item x="34"/>
        <item x="35"/>
        <item x="36"/>
        <item x="38"/>
        <item x="39"/>
        <item x="40"/>
        <item x="41"/>
        <item x="43"/>
        <item x="44"/>
        <item x="45"/>
        <item x="46"/>
        <item x="47"/>
        <item x="48"/>
        <item x="49"/>
        <item x="50"/>
        <item x="51"/>
        <item x="52"/>
        <item x="53"/>
        <item x="54"/>
        <item x="55"/>
        <item x="56"/>
        <item x="57"/>
        <item x="58"/>
        <item x="59"/>
        <item x="60"/>
        <item x="63"/>
        <item x="3"/>
        <item x="5"/>
        <item x="42"/>
        <item x="61"/>
        <item x="9"/>
        <item x="37"/>
        <item t="default"/>
      </items>
    </pivotField>
    <pivotField compact="0" outline="0" showAll="0"/>
    <pivotField dataField="1" compact="0" outline="0" showAll="0">
      <items count="83">
        <item x="0"/>
        <item x="79"/>
        <item x="8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81"/>
        <item t="default"/>
      </items>
    </pivotField>
    <pivotField dataField="1" compact="0" outline="0" showAll="0">
      <items count="28">
        <item x="9"/>
        <item x="26"/>
        <item x="0"/>
        <item x="3"/>
        <item x="4"/>
        <item x="5"/>
        <item x="6"/>
        <item x="7"/>
        <item x="8"/>
        <item x="10"/>
        <item x="11"/>
        <item x="12"/>
        <item x="13"/>
        <item x="14"/>
        <item x="15"/>
        <item x="16"/>
        <item x="17"/>
        <item x="18"/>
        <item x="19"/>
        <item x="20"/>
        <item x="21"/>
        <item x="1"/>
        <item x="2"/>
        <item x="24"/>
        <item x="25"/>
        <item x="22"/>
        <item x="23"/>
        <item t="default"/>
      </items>
    </pivotField>
    <pivotField dataField="1" compact="0" outline="0" showAll="0">
      <items count="65">
        <item x="0"/>
        <item x="62"/>
        <item x="1"/>
        <item x="2"/>
        <item x="4"/>
        <item x="6"/>
        <item x="7"/>
        <item x="8"/>
        <item x="10"/>
        <item x="11"/>
        <item x="12"/>
        <item x="13"/>
        <item x="14"/>
        <item x="15"/>
        <item x="16"/>
        <item x="17"/>
        <item x="18"/>
        <item x="19"/>
        <item x="20"/>
        <item x="21"/>
        <item x="22"/>
        <item x="23"/>
        <item x="24"/>
        <item x="25"/>
        <item x="26"/>
        <item x="27"/>
        <item x="28"/>
        <item x="29"/>
        <item x="30"/>
        <item x="31"/>
        <item x="32"/>
        <item x="33"/>
        <item x="34"/>
        <item x="35"/>
        <item x="36"/>
        <item x="38"/>
        <item x="39"/>
        <item x="40"/>
        <item x="41"/>
        <item x="43"/>
        <item x="44"/>
        <item x="45"/>
        <item x="46"/>
        <item x="47"/>
        <item x="48"/>
        <item x="49"/>
        <item x="50"/>
        <item x="51"/>
        <item x="52"/>
        <item x="53"/>
        <item x="54"/>
        <item x="55"/>
        <item x="56"/>
        <item x="57"/>
        <item x="58"/>
        <item x="59"/>
        <item x="60"/>
        <item x="63"/>
        <item x="3"/>
        <item x="5"/>
        <item x="42"/>
        <item x="61"/>
        <item x="9"/>
        <item x="37"/>
        <item t="default"/>
      </items>
    </pivotField>
    <pivotField compact="0" outline="0" showAll="0"/>
    <pivotField dataField="1" compact="0" outline="0" showAll="0">
      <items count="72">
        <item x="0"/>
        <item x="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70"/>
        <item t="default"/>
      </items>
    </pivotField>
    <pivotField dataField="1" compact="0" outline="0" showAll="0">
      <items count="25">
        <item x="2"/>
        <item x="0"/>
        <item x="3"/>
        <item x="4"/>
        <item x="5"/>
        <item x="6"/>
        <item x="7"/>
        <item x="8"/>
        <item x="9"/>
        <item x="10"/>
        <item x="11"/>
        <item x="12"/>
        <item x="13"/>
        <item x="14"/>
        <item x="15"/>
        <item x="16"/>
        <item x="17"/>
        <item x="18"/>
        <item x="19"/>
        <item x="20"/>
        <item x="1"/>
        <item x="23"/>
        <item x="21"/>
        <item x="22"/>
        <item t="default"/>
      </items>
    </pivotField>
    <pivotField dataField="1" compact="0" outline="0" showAll="0">
      <items count="55">
        <item x="0"/>
        <item x="52"/>
        <item x="1"/>
        <item x="2"/>
        <item x="4"/>
        <item x="5"/>
        <item x="7"/>
        <item x="8"/>
        <item x="9"/>
        <item x="10"/>
        <item x="11"/>
        <item x="12"/>
        <item x="13"/>
        <item x="14"/>
        <item x="15"/>
        <item x="16"/>
        <item x="17"/>
        <item x="18"/>
        <item x="19"/>
        <item x="20"/>
        <item x="21"/>
        <item x="22"/>
        <item x="23"/>
        <item x="24"/>
        <item x="25"/>
        <item x="26"/>
        <item x="27"/>
        <item x="28"/>
        <item x="29"/>
        <item x="30"/>
        <item x="31"/>
        <item x="32"/>
        <item x="33"/>
        <item x="35"/>
        <item x="36"/>
        <item x="37"/>
        <item x="38"/>
        <item x="40"/>
        <item x="41"/>
        <item x="42"/>
        <item x="43"/>
        <item x="44"/>
        <item x="45"/>
        <item x="46"/>
        <item x="47"/>
        <item x="48"/>
        <item x="49"/>
        <item x="50"/>
        <item x="51"/>
        <item x="53"/>
        <item x="3"/>
        <item x="39"/>
        <item x="6"/>
        <item x="34"/>
        <item t="default"/>
      </items>
    </pivotField>
    <pivotField compact="0" outline="0" showAll="0"/>
    <pivotField dataField="1" compact="0" outline="0" showAll="0">
      <items count="51">
        <item x="0"/>
        <item x="47"/>
        <item x="48"/>
        <item x="1"/>
        <item x="2"/>
        <item x="3"/>
        <item x="4"/>
        <item x="5"/>
        <item x="6"/>
        <item x="7"/>
        <item x="8"/>
        <item x="9"/>
        <item x="10"/>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9"/>
        <item x="11"/>
        <item t="default"/>
      </items>
    </pivotField>
    <pivotField dataField="1" compact="0" outline="0" showAll="0">
      <items count="14">
        <item x="9"/>
        <item x="12"/>
        <item x="0"/>
        <item x="3"/>
        <item x="4"/>
        <item x="5"/>
        <item x="6"/>
        <item x="7"/>
        <item x="1"/>
        <item x="2"/>
        <item x="8"/>
        <item x="10"/>
        <item x="11"/>
        <item t="default"/>
      </items>
    </pivotField>
    <pivotField dataField="1" compact="0" outline="0" showAll="0">
      <items count="45">
        <item x="0"/>
        <item x="42"/>
        <item x="1"/>
        <item x="2"/>
        <item x="4"/>
        <item x="6"/>
        <item x="7"/>
        <item x="8"/>
        <item x="10"/>
        <item x="11"/>
        <item x="12"/>
        <item x="13"/>
        <item x="14"/>
        <item x="15"/>
        <item x="16"/>
        <item x="17"/>
        <item x="18"/>
        <item x="19"/>
        <item x="20"/>
        <item x="21"/>
        <item x="22"/>
        <item x="23"/>
        <item x="24"/>
        <item x="25"/>
        <item x="26"/>
        <item x="27"/>
        <item x="28"/>
        <item x="29"/>
        <item x="30"/>
        <item x="31"/>
        <item x="32"/>
        <item x="33"/>
        <item x="34"/>
        <item x="35"/>
        <item x="36"/>
        <item x="38"/>
        <item x="39"/>
        <item x="40"/>
        <item x="41"/>
        <item x="43"/>
        <item x="3"/>
        <item x="5"/>
        <item x="9"/>
        <item x="37"/>
        <item t="default"/>
      </items>
    </pivotField>
    <pivotField compact="0" outline="0" showAll="0"/>
    <pivotField dataField="1" compact="0" outline="0" showAll="0">
      <items count="117">
        <item x="0"/>
        <item x="114"/>
        <item x="115"/>
        <item x="97"/>
        <item x="84"/>
        <item x="52"/>
        <item x="1"/>
        <item x="2"/>
        <item x="3"/>
        <item x="4"/>
        <item x="5"/>
        <item x="6"/>
        <item x="7"/>
        <item x="8"/>
        <item x="9"/>
        <item x="10"/>
        <item x="11"/>
        <item x="12"/>
        <item x="13"/>
        <item x="14"/>
        <item x="15"/>
        <item x="16"/>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3"/>
        <item x="54"/>
        <item x="55"/>
        <item x="56"/>
        <item x="57"/>
        <item x="58"/>
        <item x="62"/>
        <item x="63"/>
        <item x="64"/>
        <item x="65"/>
        <item x="66"/>
        <item x="67"/>
        <item x="68"/>
        <item x="69"/>
        <item x="72"/>
        <item x="74"/>
        <item x="75"/>
        <item x="76"/>
        <item x="77"/>
        <item x="78"/>
        <item x="79"/>
        <item x="80"/>
        <item x="81"/>
        <item x="82"/>
        <item x="83"/>
        <item x="86"/>
        <item x="87"/>
        <item x="89"/>
        <item x="90"/>
        <item x="91"/>
        <item x="92"/>
        <item x="93"/>
        <item x="94"/>
        <item x="95"/>
        <item x="98"/>
        <item x="99"/>
        <item x="100"/>
        <item x="101"/>
        <item x="102"/>
        <item x="103"/>
        <item x="104"/>
        <item x="105"/>
        <item x="106"/>
        <item x="107"/>
        <item x="108"/>
        <item x="109"/>
        <item x="110"/>
        <item x="111"/>
        <item x="112"/>
        <item x="59"/>
        <item x="60"/>
        <item x="73"/>
        <item x="85"/>
        <item x="88"/>
        <item x="96"/>
        <item x="113"/>
        <item x="61"/>
        <item x="17"/>
        <item x="70"/>
        <item x="71"/>
        <item t="default"/>
      </items>
    </pivotField>
    <pivotField dataField="1" compact="0" outline="0" showAll="0">
      <items count="82">
        <item x="2"/>
        <item x="79"/>
        <item x="80"/>
        <item x="62"/>
        <item x="0"/>
        <item x="3"/>
        <item x="4"/>
        <item x="5"/>
        <item x="6"/>
        <item x="7"/>
        <item x="8"/>
        <item x="9"/>
        <item x="10"/>
        <item x="11"/>
        <item x="12"/>
        <item x="13"/>
        <item x="14"/>
        <item x="15"/>
        <item x="16"/>
        <item x="20"/>
        <item x="21"/>
        <item x="22"/>
        <item x="23"/>
        <item x="66"/>
        <item x="67"/>
        <item x="68"/>
        <item x="69"/>
        <item x="70"/>
        <item x="71"/>
        <item x="72"/>
        <item x="73"/>
        <item x="74"/>
        <item x="75"/>
        <item x="76"/>
        <item x="77"/>
        <item x="1"/>
        <item x="24"/>
        <item x="25"/>
        <item x="26"/>
        <item x="27"/>
        <item x="28"/>
        <item x="29"/>
        <item x="30"/>
        <item x="31"/>
        <item x="32"/>
        <item x="33"/>
        <item x="34"/>
        <item x="35"/>
        <item x="37"/>
        <item x="38"/>
        <item x="39"/>
        <item x="40"/>
        <item x="41"/>
        <item x="42"/>
        <item x="43"/>
        <item x="44"/>
        <item x="46"/>
        <item x="47"/>
        <item x="48"/>
        <item x="49"/>
        <item x="50"/>
        <item x="51"/>
        <item x="52"/>
        <item x="53"/>
        <item x="56"/>
        <item x="58"/>
        <item x="59"/>
        <item x="60"/>
        <item x="61"/>
        <item x="63"/>
        <item x="64"/>
        <item x="65"/>
        <item x="78"/>
        <item x="45"/>
        <item x="36"/>
        <item x="57"/>
        <item x="17"/>
        <item x="18"/>
        <item x="19"/>
        <item x="54"/>
        <item x="55"/>
        <item t="default"/>
      </items>
    </pivotField>
    <pivotField dataField="1" compact="0" outline="0" showAll="0">
      <items count="50">
        <item x="0"/>
        <item x="48"/>
        <item x="1"/>
        <item x="2"/>
        <item x="5"/>
        <item x="6"/>
        <item x="7"/>
        <item x="8"/>
        <item x="9"/>
        <item x="12"/>
        <item x="13"/>
        <item x="14"/>
        <item x="15"/>
        <item x="16"/>
        <item x="17"/>
        <item x="18"/>
        <item x="19"/>
        <item x="20"/>
        <item x="21"/>
        <item x="27"/>
        <item x="28"/>
        <item x="29"/>
        <item x="30"/>
        <item x="31"/>
        <item x="32"/>
        <item x="33"/>
        <item x="34"/>
        <item x="35"/>
        <item x="36"/>
        <item x="38"/>
        <item x="39"/>
        <item x="40"/>
        <item x="41"/>
        <item x="42"/>
        <item x="43"/>
        <item x="44"/>
        <item x="45"/>
        <item x="46"/>
        <item x="3"/>
        <item x="22"/>
        <item x="23"/>
        <item x="24"/>
        <item x="25"/>
        <item x="26"/>
        <item x="47"/>
        <item x="11"/>
        <item x="37"/>
        <item x="4"/>
        <item x="10"/>
        <item t="default"/>
      </items>
    </pivotField>
    <pivotField compact="0" outline="0" showAll="0"/>
    <pivotField dataField="1" compact="0" outline="0" showAll="0">
      <items count="129">
        <item x="0"/>
        <item x="126"/>
        <item x="127"/>
        <item x="93"/>
        <item x="27"/>
        <item x="28"/>
        <item x="1"/>
        <item x="2"/>
        <item x="3"/>
        <item x="4"/>
        <item x="5"/>
        <item x="6"/>
        <item x="7"/>
        <item x="8"/>
        <item x="9"/>
        <item x="10"/>
        <item x="11"/>
        <item x="12"/>
        <item x="13"/>
        <item x="14"/>
        <item x="15"/>
        <item x="16"/>
        <item x="17"/>
        <item x="18"/>
        <item x="19"/>
        <item x="21"/>
        <item x="22"/>
        <item x="23"/>
        <item x="24"/>
        <item x="25"/>
        <item x="26"/>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6"/>
        <item x="67"/>
        <item x="68"/>
        <item x="69"/>
        <item x="70"/>
        <item x="71"/>
        <item x="72"/>
        <item x="73"/>
        <item x="74"/>
        <item x="75"/>
        <item x="81"/>
        <item x="83"/>
        <item x="84"/>
        <item x="85"/>
        <item x="86"/>
        <item x="87"/>
        <item x="88"/>
        <item x="89"/>
        <item x="90"/>
        <item x="91"/>
        <item x="92"/>
        <item x="95"/>
        <item x="96"/>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63"/>
        <item x="64"/>
        <item x="82"/>
        <item x="94"/>
        <item x="97"/>
        <item x="65"/>
        <item x="20"/>
        <item x="76"/>
        <item x="77"/>
        <item x="78"/>
        <item x="79"/>
        <item x="80"/>
        <item t="default"/>
      </items>
    </pivotField>
    <pivotField dataField="1" compact="0" outline="0" showAll="0">
      <items count="77">
        <item x="18"/>
        <item x="74"/>
        <item x="75"/>
        <item x="21"/>
        <item x="0"/>
        <item x="3"/>
        <item x="4"/>
        <item x="5"/>
        <item x="6"/>
        <item x="7"/>
        <item x="8"/>
        <item x="9"/>
        <item x="10"/>
        <item x="11"/>
        <item x="12"/>
        <item x="13"/>
        <item x="14"/>
        <item x="15"/>
        <item x="16"/>
        <item x="17"/>
        <item x="22"/>
        <item x="23"/>
        <item x="24"/>
        <item x="25"/>
        <item x="26"/>
        <item x="1"/>
        <item x="2"/>
        <item x="27"/>
        <item x="28"/>
        <item x="29"/>
        <item x="30"/>
        <item x="31"/>
        <item x="32"/>
        <item x="33"/>
        <item x="34"/>
        <item x="35"/>
        <item x="36"/>
        <item x="37"/>
        <item x="38"/>
        <item x="40"/>
        <item x="41"/>
        <item x="42"/>
        <item x="43"/>
        <item x="44"/>
        <item x="45"/>
        <item x="46"/>
        <item x="47"/>
        <item x="49"/>
        <item x="50"/>
        <item x="51"/>
        <item x="52"/>
        <item x="53"/>
        <item x="54"/>
        <item x="55"/>
        <item x="56"/>
        <item x="57"/>
        <item x="58"/>
        <item x="64"/>
        <item x="66"/>
        <item x="67"/>
        <item x="68"/>
        <item x="69"/>
        <item x="71"/>
        <item x="72"/>
        <item x="73"/>
        <item x="48"/>
        <item x="39"/>
        <item x="65"/>
        <item x="19"/>
        <item x="20"/>
        <item x="59"/>
        <item x="60"/>
        <item x="61"/>
        <item x="62"/>
        <item x="63"/>
        <item x="70"/>
        <item t="default"/>
      </items>
    </pivotField>
    <pivotField dataField="1" compact="0" outline="0" showAll="0">
      <items count="68">
        <item x="0"/>
        <item x="66"/>
        <item x="1"/>
        <item x="2"/>
        <item x="4"/>
        <item x="7"/>
        <item x="8"/>
        <item x="9"/>
        <item x="10"/>
        <item x="11"/>
        <item x="13"/>
        <item x="14"/>
        <item x="15"/>
        <item x="16"/>
        <item x="17"/>
        <item x="18"/>
        <item x="19"/>
        <item x="20"/>
        <item x="21"/>
        <item x="22"/>
        <item x="27"/>
        <item x="28"/>
        <item x="29"/>
        <item x="30"/>
        <item x="31"/>
        <item x="32"/>
        <item x="33"/>
        <item x="34"/>
        <item x="35"/>
        <item x="36"/>
        <item x="38"/>
        <item x="39"/>
        <item x="40"/>
        <item x="41"/>
        <item x="42"/>
        <item x="43"/>
        <item x="44"/>
        <item x="45"/>
        <item x="46"/>
        <item x="48"/>
        <item x="49"/>
        <item x="50"/>
        <item x="51"/>
        <item x="52"/>
        <item x="53"/>
        <item x="56"/>
        <item x="57"/>
        <item x="58"/>
        <item x="59"/>
        <item x="60"/>
        <item x="61"/>
        <item x="62"/>
        <item x="63"/>
        <item x="64"/>
        <item x="65"/>
        <item x="3"/>
        <item x="5"/>
        <item x="23"/>
        <item x="24"/>
        <item x="25"/>
        <item x="26"/>
        <item x="47"/>
        <item x="54"/>
        <item x="12"/>
        <item x="37"/>
        <item x="6"/>
        <item x="55"/>
        <item t="default"/>
      </items>
    </pivotField>
    <pivotField compact="0" outline="0" showAll="0"/>
    <pivotField dataField="1" compact="0" outline="0" showAll="0">
      <items count="24">
        <item x="0"/>
        <item x="13"/>
        <item x="21"/>
        <item x="10"/>
        <item x="9"/>
        <item x="22"/>
        <item x="11"/>
        <item x="3"/>
        <item x="4"/>
        <item x="5"/>
        <item x="6"/>
        <item x="7"/>
        <item x="8"/>
        <item x="20"/>
        <item x="1"/>
        <item x="17"/>
        <item x="12"/>
        <item x="2"/>
        <item x="14"/>
        <item x="15"/>
        <item x="16"/>
        <item x="18"/>
        <item x="19"/>
        <item t="default"/>
      </items>
    </pivotField>
    <pivotField dataField="1" compact="0" outline="0" showAll="0">
      <items count="19">
        <item x="1"/>
        <item x="8"/>
        <item x="16"/>
        <item x="6"/>
        <item x="5"/>
        <item x="17"/>
        <item x="0"/>
        <item x="15"/>
        <item x="2"/>
        <item x="12"/>
        <item x="7"/>
        <item x="3"/>
        <item x="4"/>
        <item x="9"/>
        <item x="10"/>
        <item x="11"/>
        <item x="13"/>
        <item x="14"/>
        <item t="default"/>
      </items>
    </pivotField>
    <pivotField dataField="1" compact="0" outline="0" showAll="0">
      <items count="9">
        <item x="0"/>
        <item x="7"/>
        <item x="2"/>
        <item x="3"/>
        <item x="4"/>
        <item x="5"/>
        <item x="6"/>
        <item x="1"/>
        <item t="default"/>
      </items>
    </pivotField>
    <pivotField compact="0" outline="0" showAll="0"/>
    <pivotField dataField="1" compact="0" outline="0" showAll="0">
      <items count="23">
        <item x="0"/>
        <item x="12"/>
        <item x="20"/>
        <item x="21"/>
        <item x="15"/>
        <item x="16"/>
        <item x="14"/>
        <item x="13"/>
        <item x="3"/>
        <item x="6"/>
        <item x="1"/>
        <item x="2"/>
        <item x="4"/>
        <item x="7"/>
        <item x="8"/>
        <item x="9"/>
        <item x="10"/>
        <item x="11"/>
        <item x="17"/>
        <item x="18"/>
        <item x="19"/>
        <item x="5"/>
        <item t="default"/>
      </items>
    </pivotField>
    <pivotField dataField="1" compact="0" outline="0" showAll="0">
      <items count="18">
        <item x="1"/>
        <item x="15"/>
        <item x="16"/>
        <item x="10"/>
        <item x="11"/>
        <item x="9"/>
        <item x="8"/>
        <item x="3"/>
        <item x="0"/>
        <item x="12"/>
        <item x="13"/>
        <item x="14"/>
        <item x="5"/>
        <item x="2"/>
        <item x="4"/>
        <item x="6"/>
        <item x="7"/>
        <item t="default"/>
      </items>
    </pivotField>
    <pivotField dataField="1" compact="0" outline="0" showAll="0">
      <items count="14">
        <item x="0"/>
        <item x="10"/>
        <item x="12"/>
        <item x="2"/>
        <item x="3"/>
        <item x="6"/>
        <item x="7"/>
        <item x="8"/>
        <item x="9"/>
        <item x="1"/>
        <item x="4"/>
        <item x="5"/>
        <item x="11"/>
        <item t="default"/>
      </items>
    </pivotField>
    <pivotField compact="0" outline="0" showAll="0"/>
    <pivotField dataField="1" compact="0" outline="0" showAll="0">
      <items count="6">
        <item x="0"/>
        <item x="1"/>
        <item x="2"/>
        <item x="4"/>
        <item x="3"/>
        <item t="default"/>
      </items>
    </pivotField>
    <pivotField dataField="1" compact="0" outline="0" showAll="0">
      <items count="6">
        <item x="1"/>
        <item x="0"/>
        <item x="4"/>
        <item x="3"/>
        <item x="2"/>
        <item t="default"/>
      </items>
    </pivotField>
    <pivotField dataField="1" compact="0" outline="0" showAll="0">
      <items count="3">
        <item x="0"/>
        <item x="1"/>
        <item t="default"/>
      </items>
    </pivotField>
    <pivotField compact="0" outline="0" showAll="0"/>
    <pivotField dataField="1" compact="0" outline="0" showAll="0">
      <items count="66">
        <item x="0"/>
        <item x="40"/>
        <item x="2"/>
        <item x="6"/>
        <item x="3"/>
        <item x="7"/>
        <item x="52"/>
        <item x="53"/>
        <item x="54"/>
        <item x="55"/>
        <item x="56"/>
        <item x="57"/>
        <item x="58"/>
        <item x="59"/>
        <item x="60"/>
        <item x="61"/>
        <item x="62"/>
        <item x="1"/>
        <item x="8"/>
        <item x="9"/>
        <item x="10"/>
        <item x="11"/>
        <item x="12"/>
        <item x="13"/>
        <item x="14"/>
        <item x="15"/>
        <item x="16"/>
        <item x="17"/>
        <item x="18"/>
        <item x="19"/>
        <item x="21"/>
        <item x="22"/>
        <item x="23"/>
        <item x="24"/>
        <item x="25"/>
        <item x="26"/>
        <item x="28"/>
        <item x="29"/>
        <item x="30"/>
        <item x="31"/>
        <item x="32"/>
        <item x="33"/>
        <item x="34"/>
        <item x="39"/>
        <item x="41"/>
        <item x="42"/>
        <item x="43"/>
        <item x="44"/>
        <item x="49"/>
        <item x="50"/>
        <item x="51"/>
        <item x="63"/>
        <item x="27"/>
        <item x="20"/>
        <item x="64"/>
        <item x="4"/>
        <item x="5"/>
        <item x="35"/>
        <item x="36"/>
        <item x="37"/>
        <item x="38"/>
        <item x="45"/>
        <item x="46"/>
        <item x="47"/>
        <item x="48"/>
        <item t="default"/>
      </items>
    </pivotField>
    <pivotField dataField="1" compact="0" outline="0" showAll="0">
      <items count="66">
        <item x="5"/>
        <item x="40"/>
        <item x="2"/>
        <item x="0"/>
        <item x="3"/>
        <item x="7"/>
        <item x="52"/>
        <item x="53"/>
        <item x="54"/>
        <item x="55"/>
        <item x="56"/>
        <item x="57"/>
        <item x="58"/>
        <item x="59"/>
        <item x="60"/>
        <item x="61"/>
        <item x="62"/>
        <item x="1"/>
        <item x="8"/>
        <item x="9"/>
        <item x="10"/>
        <item x="11"/>
        <item x="12"/>
        <item x="13"/>
        <item x="14"/>
        <item x="15"/>
        <item x="16"/>
        <item x="17"/>
        <item x="18"/>
        <item x="19"/>
        <item x="21"/>
        <item x="22"/>
        <item x="23"/>
        <item x="24"/>
        <item x="25"/>
        <item x="26"/>
        <item x="28"/>
        <item x="29"/>
        <item x="30"/>
        <item x="31"/>
        <item x="32"/>
        <item x="33"/>
        <item x="34"/>
        <item x="39"/>
        <item x="41"/>
        <item x="42"/>
        <item x="43"/>
        <item x="44"/>
        <item x="49"/>
        <item x="50"/>
        <item x="51"/>
        <item x="63"/>
        <item x="27"/>
        <item x="20"/>
        <item x="64"/>
        <item x="4"/>
        <item x="6"/>
        <item x="35"/>
        <item x="36"/>
        <item x="37"/>
        <item x="38"/>
        <item x="45"/>
        <item x="46"/>
        <item x="47"/>
        <item x="48"/>
        <item t="default"/>
      </items>
    </pivotField>
    <pivotField dataField="1" compact="0" outline="0" showAll="0">
      <items count="3">
        <item x="0"/>
        <item x="1"/>
        <item t="default"/>
      </items>
    </pivotField>
    <pivotField dataField="1" compact="0" outline="0" showAll="0">
      <items count="284">
        <item x="0"/>
        <item x="276"/>
        <item x="278"/>
        <item x="172"/>
        <item x="173"/>
        <item x="171"/>
        <item x="279"/>
        <item x="34"/>
        <item x="277"/>
        <item x="216"/>
        <item x="280"/>
        <item x="1"/>
        <item x="2"/>
        <item x="4"/>
        <item x="6"/>
        <item x="7"/>
        <item x="8"/>
        <item x="9"/>
        <item x="10"/>
        <item x="11"/>
        <item x="12"/>
        <item x="13"/>
        <item x="14"/>
        <item x="15"/>
        <item x="16"/>
        <item x="17"/>
        <item x="18"/>
        <item x="19"/>
        <item x="20"/>
        <item x="21"/>
        <item x="24"/>
        <item x="25"/>
        <item x="27"/>
        <item x="28"/>
        <item x="29"/>
        <item x="30"/>
        <item x="31"/>
        <item x="35"/>
        <item x="36"/>
        <item x="37"/>
        <item x="38"/>
        <item x="39"/>
        <item x="41"/>
        <item x="42"/>
        <item x="43"/>
        <item x="44"/>
        <item x="45"/>
        <item x="59"/>
        <item x="60"/>
        <item x="61"/>
        <item x="62"/>
        <item x="63"/>
        <item x="64"/>
        <item x="65"/>
        <item x="66"/>
        <item x="67"/>
        <item x="68"/>
        <item x="75"/>
        <item x="77"/>
        <item x="82"/>
        <item x="83"/>
        <item x="84"/>
        <item x="85"/>
        <item x="86"/>
        <item x="87"/>
        <item x="88"/>
        <item x="89"/>
        <item x="90"/>
        <item x="91"/>
        <item x="92"/>
        <item x="95"/>
        <item x="96"/>
        <item x="97"/>
        <item x="98"/>
        <item x="111"/>
        <item x="113"/>
        <item x="114"/>
        <item x="115"/>
        <item x="116"/>
        <item x="117"/>
        <item x="118"/>
        <item x="119"/>
        <item x="120"/>
        <item x="121"/>
        <item x="122"/>
        <item x="123"/>
        <item x="124"/>
        <item x="125"/>
        <item x="126"/>
        <item x="127"/>
        <item x="128"/>
        <item x="129"/>
        <item x="130"/>
        <item x="131"/>
        <item x="132"/>
        <item x="133"/>
        <item x="134"/>
        <item x="135"/>
        <item x="136"/>
        <item x="137"/>
        <item x="138"/>
        <item x="140"/>
        <item x="141"/>
        <item x="142"/>
        <item x="143"/>
        <item x="146"/>
        <item x="147"/>
        <item x="148"/>
        <item x="149"/>
        <item x="150"/>
        <item x="151"/>
        <item x="152"/>
        <item x="153"/>
        <item x="157"/>
        <item x="158"/>
        <item x="159"/>
        <item x="160"/>
        <item x="161"/>
        <item x="162"/>
        <item x="164"/>
        <item x="165"/>
        <item x="166"/>
        <item x="167"/>
        <item x="168"/>
        <item x="170"/>
        <item x="174"/>
        <item x="177"/>
        <item x="178"/>
        <item x="179"/>
        <item x="180"/>
        <item x="181"/>
        <item x="182"/>
        <item x="183"/>
        <item x="184"/>
        <item x="185"/>
        <item x="186"/>
        <item x="187"/>
        <item x="189"/>
        <item x="190"/>
        <item x="191"/>
        <item x="193"/>
        <item x="195"/>
        <item x="196"/>
        <item x="197"/>
        <item x="198"/>
        <item x="199"/>
        <item x="200"/>
        <item x="201"/>
        <item x="202"/>
        <item x="203"/>
        <item x="204"/>
        <item x="206"/>
        <item x="207"/>
        <item x="209"/>
        <item x="210"/>
        <item x="211"/>
        <item x="212"/>
        <item x="213"/>
        <item x="214"/>
        <item x="215"/>
        <item x="217"/>
        <item x="218"/>
        <item x="219"/>
        <item x="220"/>
        <item x="221"/>
        <item x="222"/>
        <item x="235"/>
        <item x="236"/>
        <item x="238"/>
        <item x="239"/>
        <item x="240"/>
        <item x="241"/>
        <item x="242"/>
        <item x="243"/>
        <item x="244"/>
        <item x="245"/>
        <item x="246"/>
        <item x="247"/>
        <item x="251"/>
        <item x="252"/>
        <item x="253"/>
        <item x="254"/>
        <item x="255"/>
        <item x="256"/>
        <item x="257"/>
        <item x="281"/>
        <item x="282"/>
        <item x="22"/>
        <item x="194"/>
        <item x="208"/>
        <item x="261"/>
        <item x="262"/>
        <item x="263"/>
        <item x="264"/>
        <item x="265"/>
        <item x="266"/>
        <item x="267"/>
        <item x="268"/>
        <item x="269"/>
        <item x="270"/>
        <item x="271"/>
        <item x="272"/>
        <item x="3"/>
        <item x="5"/>
        <item x="40"/>
        <item x="46"/>
        <item x="47"/>
        <item x="48"/>
        <item x="49"/>
        <item x="50"/>
        <item x="51"/>
        <item x="52"/>
        <item x="53"/>
        <item x="54"/>
        <item x="55"/>
        <item x="56"/>
        <item x="57"/>
        <item x="69"/>
        <item x="70"/>
        <item x="71"/>
        <item x="72"/>
        <item x="73"/>
        <item x="74"/>
        <item x="76"/>
        <item x="78"/>
        <item x="79"/>
        <item x="80"/>
        <item x="93"/>
        <item x="94"/>
        <item x="99"/>
        <item x="100"/>
        <item x="101"/>
        <item x="102"/>
        <item x="103"/>
        <item x="104"/>
        <item x="105"/>
        <item x="106"/>
        <item x="107"/>
        <item x="108"/>
        <item x="175"/>
        <item x="176"/>
        <item x="205"/>
        <item x="223"/>
        <item x="224"/>
        <item x="225"/>
        <item x="226"/>
        <item x="227"/>
        <item x="228"/>
        <item x="229"/>
        <item x="230"/>
        <item x="258"/>
        <item x="259"/>
        <item x="260"/>
        <item x="273"/>
        <item x="274"/>
        <item x="275"/>
        <item x="81"/>
        <item x="58"/>
        <item x="188"/>
        <item x="192"/>
        <item x="23"/>
        <item x="26"/>
        <item x="32"/>
        <item x="33"/>
        <item x="109"/>
        <item x="110"/>
        <item x="112"/>
        <item x="139"/>
        <item x="144"/>
        <item x="145"/>
        <item x="154"/>
        <item x="155"/>
        <item x="156"/>
        <item x="163"/>
        <item x="169"/>
        <item x="231"/>
        <item x="232"/>
        <item x="233"/>
        <item x="234"/>
        <item x="237"/>
        <item x="248"/>
        <item x="249"/>
        <item x="250"/>
        <item t="default"/>
      </items>
    </pivotField>
    <pivotField dataField="1" compact="0" outline="0" showAll="0">
      <items count="125">
        <item x="0"/>
        <item x="119"/>
        <item x="121"/>
        <item x="86"/>
        <item x="87"/>
        <item x="85"/>
        <item x="122"/>
        <item x="25"/>
        <item x="22"/>
        <item x="120"/>
        <item x="123"/>
        <item x="4"/>
        <item x="5"/>
        <item x="6"/>
        <item x="7"/>
        <item x="8"/>
        <item x="9"/>
        <item x="10"/>
        <item x="11"/>
        <item x="12"/>
        <item x="13"/>
        <item x="14"/>
        <item x="15"/>
        <item x="16"/>
        <item x="17"/>
        <item x="18"/>
        <item x="32"/>
        <item x="33"/>
        <item x="34"/>
        <item x="35"/>
        <item x="36"/>
        <item x="19"/>
        <item x="104"/>
        <item x="105"/>
        <item x="106"/>
        <item x="107"/>
        <item x="108"/>
        <item x="109"/>
        <item x="110"/>
        <item x="111"/>
        <item x="112"/>
        <item x="113"/>
        <item x="114"/>
        <item x="115"/>
        <item x="1"/>
        <item x="2"/>
        <item x="3"/>
        <item x="26"/>
        <item x="27"/>
        <item x="28"/>
        <item x="29"/>
        <item x="30"/>
        <item x="31"/>
        <item x="37"/>
        <item x="38"/>
        <item x="39"/>
        <item x="40"/>
        <item x="41"/>
        <item x="42"/>
        <item x="43"/>
        <item x="44"/>
        <item x="45"/>
        <item x="46"/>
        <item x="47"/>
        <item x="48"/>
        <item x="50"/>
        <item x="51"/>
        <item x="52"/>
        <item x="53"/>
        <item x="54"/>
        <item x="55"/>
        <item x="56"/>
        <item x="57"/>
        <item x="58"/>
        <item x="59"/>
        <item x="60"/>
        <item x="61"/>
        <item x="63"/>
        <item x="64"/>
        <item x="65"/>
        <item x="66"/>
        <item x="67"/>
        <item x="68"/>
        <item x="69"/>
        <item x="70"/>
        <item x="71"/>
        <item x="72"/>
        <item x="88"/>
        <item x="91"/>
        <item x="92"/>
        <item x="101"/>
        <item x="102"/>
        <item x="103"/>
        <item x="116"/>
        <item x="117"/>
        <item x="118"/>
        <item x="62"/>
        <item x="93"/>
        <item x="49"/>
        <item x="89"/>
        <item x="90"/>
        <item x="20"/>
        <item x="21"/>
        <item x="23"/>
        <item x="24"/>
        <item x="73"/>
        <item x="74"/>
        <item x="75"/>
        <item x="76"/>
        <item x="77"/>
        <item x="78"/>
        <item x="79"/>
        <item x="80"/>
        <item x="81"/>
        <item x="82"/>
        <item x="83"/>
        <item x="84"/>
        <item x="94"/>
        <item x="95"/>
        <item x="96"/>
        <item x="97"/>
        <item x="98"/>
        <item x="99"/>
        <item x="100"/>
        <item t="default"/>
      </items>
    </pivotField>
    <pivotField dataField="1" compact="0" outline="0" showAll="0">
      <items count="203">
        <item x="0"/>
        <item x="99"/>
        <item x="157"/>
        <item x="199"/>
        <item x="1"/>
        <item x="2"/>
        <item x="4"/>
        <item x="8"/>
        <item x="9"/>
        <item x="11"/>
        <item x="12"/>
        <item x="13"/>
        <item x="14"/>
        <item x="15"/>
        <item x="18"/>
        <item x="19"/>
        <item x="20"/>
        <item x="21"/>
        <item x="22"/>
        <item x="23"/>
        <item x="24"/>
        <item x="25"/>
        <item x="26"/>
        <item x="27"/>
        <item x="33"/>
        <item x="34"/>
        <item x="35"/>
        <item x="36"/>
        <item x="37"/>
        <item x="38"/>
        <item x="39"/>
        <item x="40"/>
        <item x="41"/>
        <item x="42"/>
        <item x="43"/>
        <item x="46"/>
        <item x="47"/>
        <item x="48"/>
        <item x="49"/>
        <item x="58"/>
        <item x="59"/>
        <item x="60"/>
        <item x="61"/>
        <item x="62"/>
        <item x="63"/>
        <item x="64"/>
        <item x="65"/>
        <item x="66"/>
        <item x="67"/>
        <item x="68"/>
        <item x="69"/>
        <item x="70"/>
        <item x="71"/>
        <item x="72"/>
        <item x="73"/>
        <item x="74"/>
        <item x="75"/>
        <item x="76"/>
        <item x="77"/>
        <item x="78"/>
        <item x="79"/>
        <item x="80"/>
        <item x="81"/>
        <item x="82"/>
        <item x="83"/>
        <item x="84"/>
        <item x="86"/>
        <item x="87"/>
        <item x="88"/>
        <item x="89"/>
        <item x="91"/>
        <item x="92"/>
        <item x="93"/>
        <item x="94"/>
        <item x="95"/>
        <item x="96"/>
        <item x="97"/>
        <item x="98"/>
        <item x="101"/>
        <item x="102"/>
        <item x="104"/>
        <item x="105"/>
        <item x="106"/>
        <item x="107"/>
        <item x="109"/>
        <item x="110"/>
        <item x="111"/>
        <item x="112"/>
        <item x="113"/>
        <item x="114"/>
        <item x="115"/>
        <item x="118"/>
        <item x="119"/>
        <item x="120"/>
        <item x="121"/>
        <item x="122"/>
        <item x="123"/>
        <item x="124"/>
        <item x="125"/>
        <item x="126"/>
        <item x="127"/>
        <item x="128"/>
        <item x="130"/>
        <item x="131"/>
        <item x="132"/>
        <item x="134"/>
        <item x="136"/>
        <item x="137"/>
        <item x="138"/>
        <item x="139"/>
        <item x="140"/>
        <item x="141"/>
        <item x="142"/>
        <item x="143"/>
        <item x="144"/>
        <item x="145"/>
        <item x="147"/>
        <item x="148"/>
        <item x="150"/>
        <item x="151"/>
        <item x="152"/>
        <item x="153"/>
        <item x="154"/>
        <item x="155"/>
        <item x="156"/>
        <item x="158"/>
        <item x="159"/>
        <item x="160"/>
        <item x="161"/>
        <item x="162"/>
        <item x="163"/>
        <item x="175"/>
        <item x="176"/>
        <item x="178"/>
        <item x="179"/>
        <item x="180"/>
        <item x="181"/>
        <item x="182"/>
        <item x="183"/>
        <item x="184"/>
        <item x="185"/>
        <item x="186"/>
        <item x="187"/>
        <item x="189"/>
        <item x="190"/>
        <item x="191"/>
        <item x="192"/>
        <item x="193"/>
        <item x="194"/>
        <item x="195"/>
        <item x="197"/>
        <item x="200"/>
        <item x="201"/>
        <item x="135"/>
        <item x="149"/>
        <item x="3"/>
        <item x="5"/>
        <item x="6"/>
        <item x="28"/>
        <item x="29"/>
        <item x="30"/>
        <item x="31"/>
        <item x="32"/>
        <item x="44"/>
        <item x="45"/>
        <item x="50"/>
        <item x="51"/>
        <item x="52"/>
        <item x="53"/>
        <item x="54"/>
        <item x="116"/>
        <item x="117"/>
        <item x="133"/>
        <item x="146"/>
        <item x="164"/>
        <item x="165"/>
        <item x="166"/>
        <item x="167"/>
        <item x="168"/>
        <item x="169"/>
        <item x="170"/>
        <item x="198"/>
        <item x="171"/>
        <item x="17"/>
        <item x="129"/>
        <item x="196"/>
        <item x="7"/>
        <item x="10"/>
        <item x="16"/>
        <item x="55"/>
        <item x="56"/>
        <item x="57"/>
        <item x="85"/>
        <item x="90"/>
        <item x="100"/>
        <item x="103"/>
        <item x="108"/>
        <item x="172"/>
        <item x="173"/>
        <item x="174"/>
        <item x="177"/>
        <item x="188"/>
        <item t="default"/>
      </items>
    </pivotField>
  </pivotFields>
  <rowFields count="1">
    <field x="4"/>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Fields count="1">
    <field x="-2"/>
  </colFields>
  <colItems count="4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colItems>
  <dataFields count="43">
    <dataField name="求和项:人员工资" fld="13" baseField="0" baseItem="0"/>
    <dataField name="求和项:服务费金额" fld="16" baseField="0" baseItem="0"/>
    <dataField name="求和项:服务费项目填写当月实际金额" fld="17" baseField="0" baseItem="0"/>
    <dataField name="求和项:服务费差异" fld="18" baseField="0" baseItem="0"/>
    <dataField name="求和项:虫害消杀金额" fld="20" baseField="0" baseItem="0"/>
    <dataField name="求和项:虫害消杀项目填写当月实际金额" fld="21" baseField="0" baseItem="0"/>
    <dataField name="求和项:虫害消杀差异" fld="22" baseField="0" baseItem="0"/>
    <dataField name="求和项:采购费金额" fld="24" baseField="0" baseItem="0"/>
    <dataField name="求和项:采购费项目填写当月实际金额" fld="25" baseField="0" baseItem="0"/>
    <dataField name="求和项:采购费差异" fld="26" baseField="0" baseItem="0"/>
    <dataField name="求和项:装修折旧金额" fld="28" baseField="0" baseItem="0"/>
    <dataField name="求和项:装修折旧项目填写当月实际金额" fld="29" baseField="0" baseItem="0"/>
    <dataField name="求和项:装修折旧差异" fld="30" baseField="0" baseItem="0"/>
    <dataField name="求和项:管理人员金额" fld="32" baseField="0" baseItem="0"/>
    <dataField name="求和项:管理人员项目填写当月实际金额" fld="33" baseField="0" baseItem="0"/>
    <dataField name="求和项:管理人员差异" fld="34" baseField="0" baseItem="0"/>
    <dataField name="求和项:共建活动金额" fld="36" baseField="0" baseItem="0"/>
    <dataField name="求和项:共建活动项目填写当月实际金额" fld="37" baseField="0" baseItem="0"/>
    <dataField name="求和项:共建活动差异" fld="38" baseField="0" baseItem="0"/>
    <dataField name="求和项:资产金额" fld="40" baseField="0" baseItem="0"/>
    <dataField name="求和项:资产项目填写当月实际金额" fld="41" baseField="0" baseItem="0"/>
    <dataField name="求和项:资产差异" fld="42" baseField="0" baseItem="0"/>
    <dataField name="求和项:卫生费金额" fld="44" baseField="0" baseItem="0"/>
    <dataField name="求和项:卫生费项目填写当月实际金额" fld="45" baseField="0" baseItem="0"/>
    <dataField name="求和项:卫生费差异" fld="46" baseField="0" baseItem="0"/>
    <dataField name="求和项:能源费金额" fld="48" baseField="0" baseItem="0"/>
    <dataField name="求和项:能源费项目填写当月实际金额" fld="49" baseField="0" baseItem="0"/>
    <dataField name="求和项:能源费差异" fld="50" baseField="0" baseItem="0"/>
    <dataField name="求和项:其他金额" fld="52" baseField="0" baseItem="0"/>
    <dataField name="求和项:其他项目填写当月实际金额米饭差价" fld="53" baseField="0" baseItem="0"/>
    <dataField name="求和项:其他差异" fld="54" baseField="0" baseItem="0"/>
    <dataField name="求和项:其他费用1金额" fld="56" baseField="0" baseItem="0"/>
    <dataField name="求和项:其他费用1项目填写当月实际金额" fld="57" baseField="0" baseItem="0"/>
    <dataField name="求和项:其他费用1差异" fld="58" baseField="0" baseItem="0"/>
    <dataField name="求和项:其他费用2金额 " fld="60" baseField="0" baseItem="0"/>
    <dataField name="求和项:其他费用2项目填写当月实际金额" fld="61" baseField="0" baseItem="0"/>
    <dataField name="求和项:其他费用2差异" fld="62" baseField="0" baseItem="0"/>
    <dataField name="求和项:原材料金额" fld="64" baseField="0" baseItem="0"/>
    <dataField name="求和项:原材料项目填写当月实际金额" fld="65" baseField="0" baseItem="0"/>
    <dataField name="求和项:原材料差异" fld="66" baseField="0" baseItem="0"/>
    <dataField name="求和项:成本费用合计金额" fld="67" baseField="0" baseItem="0"/>
    <dataField name="求和项:项目填写成本费用合计" fld="68" baseField="0" baseItem="0"/>
    <dataField name="求和项:差异合计" fld="69" baseField="0" baseItem="0"/>
  </dataFields>
  <formats count="22">
    <format dxfId="0">
      <pivotArea dataOnly="0" labelOnly="1" fieldPosition="0">
        <references count="1">
          <reference field="4" count="1">
            <x v="50"/>
          </reference>
        </references>
      </pivotArea>
    </format>
    <format dxfId="1">
      <pivotArea dataOnly="0" labelOnly="1" fieldPosition="0">
        <references count="1">
          <reference field="4" count="1">
            <x v="43"/>
          </reference>
        </references>
      </pivotArea>
    </format>
    <format dxfId="2">
      <pivotArea dataOnly="0" labelOnly="1" fieldPosition="0">
        <references count="1">
          <reference field="4" count="1">
            <x v="24"/>
          </reference>
        </references>
      </pivotArea>
    </format>
    <format dxfId="3">
      <pivotArea dataOnly="0" labelOnly="1" fieldPosition="0">
        <references count="1">
          <reference field="4" count="1">
            <x v="20"/>
          </reference>
        </references>
      </pivotArea>
    </format>
    <format dxfId="4">
      <pivotArea dataOnly="0" labelOnly="1" fieldPosition="0">
        <references count="1">
          <reference field="4" count="1">
            <x v="18"/>
          </reference>
        </references>
      </pivotArea>
    </format>
    <format dxfId="5">
      <pivotArea dataOnly="0" labelOnly="1" fieldPosition="0">
        <references count="1">
          <reference field="4" count="1">
            <x v="19"/>
          </reference>
        </references>
      </pivotArea>
    </format>
    <format dxfId="6">
      <pivotArea type="all" dataOnly="0" outline="0" fieldPosition="0"/>
    </format>
    <format dxfId="7">
      <pivotArea outline="0" collapsedLevelsAreSubtotals="1" fieldPosition="0"/>
    </format>
    <format dxfId="8">
      <pivotArea field="4" type="button" dataOnly="0" labelOnly="1" outline="0" fieldPosition="0"/>
    </format>
    <format dxfId="9">
      <pivotArea dataOnly="0" labelOnly="1" outline="0"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
      <pivotArea dataOnly="0" labelOnly="1" outline="0" fieldPosition="0">
        <references count="1">
          <reference field="4" count="4">
            <x v="50"/>
            <x v="51"/>
            <x v="52"/>
            <x v="53"/>
          </reference>
        </references>
      </pivotArea>
    </format>
    <format dxfId="11">
      <pivotArea dataOnly="0" labelOnly="1" grandRow="1" outline="0" fieldPosition="0"/>
    </format>
    <format dxfId="12">
      <pivotArea dataOnly="0" labelOnly="1" outline="0" fieldPosition="0">
        <references count="1">
          <reference field="4294967294" count="43">
            <x v="0"/>
            <x v="1"/>
            <x v="2"/>
            <x v="3"/>
            <x v="4"/>
            <x v="5"/>
            <x v="6"/>
            <x v="7"/>
            <x v="8"/>
            <x v="9"/>
            <x v="10"/>
            <x v="11"/>
            <x v="12"/>
            <x v="13"/>
            <x v="14"/>
            <x v="15"/>
            <x v="16"/>
            <x v="17"/>
            <x v="18"/>
            <x v="19"/>
            <x v="20"/>
            <x v="21"/>
            <x v="22"/>
            <x v="23"/>
            <x v="24"/>
            <x v="25"/>
            <x v="26"/>
            <x v="27"/>
            <x v="28"/>
            <x v="29"/>
            <x v="30"/>
            <x v="31"/>
            <x v="32"/>
            <x v="33"/>
            <x v="34"/>
            <x v="35"/>
            <x v="36"/>
            <x v="37"/>
            <x v="38"/>
            <x v="39"/>
            <x v="40"/>
            <x v="41"/>
            <x v="42"/>
          </reference>
        </references>
      </pivotArea>
    </format>
    <format dxfId="13">
      <pivotArea type="all" dataOnly="0" outline="0" fieldPosition="0"/>
    </format>
    <format dxfId="14">
      <pivotArea outline="0" collapsedLevelsAreSubtotals="1" fieldPosition="0"/>
    </format>
    <format dxfId="15">
      <pivotArea field="4" type="button" dataOnly="0" labelOnly="1" outline="0" fieldPosition="0"/>
    </format>
    <format dxfId="16">
      <pivotArea dataOnly="0" labelOnly="1" outline="0"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7">
      <pivotArea dataOnly="0" labelOnly="1" outline="0" fieldPosition="0">
        <references count="1">
          <reference field="4" count="4">
            <x v="50"/>
            <x v="51"/>
            <x v="52"/>
            <x v="53"/>
          </reference>
        </references>
      </pivotArea>
    </format>
    <format dxfId="18">
      <pivotArea dataOnly="0" labelOnly="1" grandRow="1" outline="0" fieldPosition="0"/>
    </format>
    <format dxfId="19">
      <pivotArea dataOnly="0" labelOnly="1" outline="0" fieldPosition="0">
        <references count="1">
          <reference field="4294967294" count="43">
            <x v="0"/>
            <x v="1"/>
            <x v="2"/>
            <x v="3"/>
            <x v="4"/>
            <x v="5"/>
            <x v="6"/>
            <x v="7"/>
            <x v="8"/>
            <x v="9"/>
            <x v="10"/>
            <x v="11"/>
            <x v="12"/>
            <x v="13"/>
            <x v="14"/>
            <x v="15"/>
            <x v="16"/>
            <x v="17"/>
            <x v="18"/>
            <x v="19"/>
            <x v="20"/>
            <x v="21"/>
            <x v="22"/>
            <x v="23"/>
            <x v="24"/>
            <x v="25"/>
            <x v="26"/>
            <x v="27"/>
            <x v="28"/>
            <x v="29"/>
            <x v="30"/>
            <x v="31"/>
            <x v="32"/>
            <x v="33"/>
            <x v="34"/>
            <x v="35"/>
            <x v="36"/>
            <x v="37"/>
            <x v="38"/>
            <x v="39"/>
            <x v="40"/>
            <x v="41"/>
            <x v="42"/>
          </reference>
        </references>
      </pivotArea>
    </format>
    <format dxfId="20">
      <pivotArea outline="0" collapsedLevelsAreSubtotals="1" fieldPosition="0"/>
    </format>
    <format dxfId="21">
      <pivotArea dataOnly="0" labelOnly="1" outline="0" fieldPosition="0">
        <references count="1">
          <reference field="4294967294" count="43">
            <x v="0"/>
            <x v="1"/>
            <x v="2"/>
            <x v="3"/>
            <x v="4"/>
            <x v="5"/>
            <x v="6"/>
            <x v="7"/>
            <x v="8"/>
            <x v="9"/>
            <x v="10"/>
            <x v="11"/>
            <x v="12"/>
            <x v="13"/>
            <x v="14"/>
            <x v="15"/>
            <x v="16"/>
            <x v="17"/>
            <x v="18"/>
            <x v="19"/>
            <x v="20"/>
            <x v="21"/>
            <x v="22"/>
            <x v="23"/>
            <x v="24"/>
            <x v="25"/>
            <x v="26"/>
            <x v="27"/>
            <x v="28"/>
            <x v="29"/>
            <x v="30"/>
            <x v="31"/>
            <x v="32"/>
            <x v="33"/>
            <x v="34"/>
            <x v="35"/>
            <x v="36"/>
            <x v="37"/>
            <x v="38"/>
            <x v="39"/>
            <x v="40"/>
            <x v="41"/>
            <x v="42"/>
          </reference>
        </references>
      </pivotArea>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420"/>
  <sheetViews>
    <sheetView workbookViewId="0">
      <selection activeCell="A1" sqref="A1:N1"/>
    </sheetView>
  </sheetViews>
  <sheetFormatPr defaultColWidth="9" defaultRowHeight="13.5"/>
  <cols>
    <col min="1" max="1" width="9" style="27" customWidth="1"/>
    <col min="2" max="2" width="16.25" style="27" customWidth="1"/>
    <col min="3" max="4" width="12.5" style="28" customWidth="1"/>
    <col min="5" max="5" width="21.125" style="28" customWidth="1"/>
    <col min="6" max="6" width="12.5" style="29" customWidth="1"/>
    <col min="7" max="7" width="12.5" style="28" customWidth="1"/>
    <col min="8" max="8" width="16.25" style="28" customWidth="1"/>
    <col min="9" max="9" width="29.375" style="30" customWidth="1"/>
    <col min="10" max="10" width="16.25" style="31" customWidth="1"/>
    <col min="11" max="11" width="12.5" style="31" customWidth="1"/>
    <col min="12" max="12" width="25.875" style="32" customWidth="1"/>
    <col min="13" max="13" width="10.75" style="33" customWidth="1"/>
    <col min="14" max="15" width="12.5" style="27" customWidth="1"/>
    <col min="16" max="18" width="14.25" style="27" customWidth="1"/>
    <col min="19" max="19" width="12.5" style="27" customWidth="1"/>
    <col min="20" max="20" width="12.5" style="34" customWidth="1"/>
    <col min="21" max="21" width="12.5" style="33" customWidth="1"/>
    <col min="22" max="22" width="12.5" style="27" customWidth="1"/>
    <col min="23" max="23" width="12.5" style="31" customWidth="1"/>
    <col min="24" max="24" width="14.25" style="31" customWidth="1"/>
    <col min="25" max="25" width="12.5" style="31" customWidth="1"/>
    <col min="26" max="26" width="14.25" style="31" customWidth="1"/>
    <col min="27" max="27" width="12.5" style="31" customWidth="1"/>
    <col min="28" max="28" width="27.875" style="35" customWidth="1"/>
    <col min="29" max="29" width="10.75" style="28" customWidth="1"/>
    <col min="30" max="30" width="41.5" style="29" customWidth="1"/>
    <col min="31" max="31" width="41.75" style="30" customWidth="1"/>
    <col min="32" max="32" width="53.5" style="30" customWidth="1"/>
  </cols>
  <sheetData>
    <row r="1" ht="18.75" customHeight="1" spans="1:32">
      <c r="A1" s="36" t="s">
        <v>0</v>
      </c>
      <c r="B1" s="37"/>
      <c r="C1" s="37"/>
      <c r="D1" s="37"/>
      <c r="E1" s="37"/>
      <c r="F1" s="37"/>
      <c r="G1" s="37"/>
      <c r="H1" s="37"/>
      <c r="I1" s="37"/>
      <c r="J1" s="37"/>
      <c r="K1" s="37"/>
      <c r="L1" s="37"/>
      <c r="M1" s="37"/>
      <c r="N1" s="37"/>
      <c r="O1" s="38"/>
      <c r="P1" s="38"/>
      <c r="Q1" s="38"/>
      <c r="R1" s="38"/>
      <c r="S1" s="38"/>
      <c r="T1" s="38"/>
      <c r="U1" s="38"/>
      <c r="V1" s="38"/>
      <c r="W1" s="38"/>
      <c r="X1" s="39"/>
      <c r="Y1" s="40"/>
      <c r="Z1" s="40"/>
      <c r="AA1" s="40"/>
      <c r="AB1" s="41"/>
      <c r="AC1" s="38"/>
      <c r="AD1" s="42"/>
      <c r="AE1" s="42"/>
      <c r="AF1" s="38"/>
    </row>
    <row r="2" s="1" customFormat="1" ht="24" customHeight="1" spans="1:32">
      <c r="A2" s="3" t="s">
        <v>1</v>
      </c>
      <c r="B2" s="3" t="s">
        <v>2</v>
      </c>
      <c r="C2" s="3" t="s">
        <v>3</v>
      </c>
      <c r="D2" s="3" t="s">
        <v>4</v>
      </c>
      <c r="E2" s="3" t="s">
        <v>5</v>
      </c>
      <c r="F2" s="4" t="s">
        <v>6</v>
      </c>
      <c r="G2" s="4" t="s">
        <v>7</v>
      </c>
      <c r="H2" s="4" t="s">
        <v>8</v>
      </c>
      <c r="I2" s="4" t="s">
        <v>9</v>
      </c>
      <c r="J2" s="4" t="s">
        <v>10</v>
      </c>
      <c r="K2" s="6" t="s">
        <v>11</v>
      </c>
      <c r="L2" s="7" t="s">
        <v>12</v>
      </c>
      <c r="M2" s="8" t="s">
        <v>13</v>
      </c>
      <c r="N2" s="4" t="s">
        <v>14</v>
      </c>
      <c r="O2" s="4" t="s">
        <v>15</v>
      </c>
      <c r="P2" s="6" t="s">
        <v>16</v>
      </c>
      <c r="Q2" s="6" t="s">
        <v>17</v>
      </c>
      <c r="R2" s="6" t="s">
        <v>18</v>
      </c>
      <c r="S2" s="6" t="s">
        <v>19</v>
      </c>
      <c r="T2" s="9" t="s">
        <v>20</v>
      </c>
      <c r="U2" s="9" t="s">
        <v>21</v>
      </c>
      <c r="V2" s="4" t="s">
        <v>22</v>
      </c>
      <c r="W2" s="4" t="s">
        <v>23</v>
      </c>
      <c r="X2" s="10" t="s">
        <v>24</v>
      </c>
      <c r="Y2" s="10" t="s">
        <v>25</v>
      </c>
      <c r="Z2" s="10" t="s">
        <v>26</v>
      </c>
      <c r="AA2" s="10" t="s">
        <v>27</v>
      </c>
      <c r="AB2" s="11" t="s">
        <v>28</v>
      </c>
      <c r="AC2" s="12" t="s">
        <v>29</v>
      </c>
      <c r="AD2" s="4" t="s">
        <v>30</v>
      </c>
      <c r="AE2" s="6" t="s">
        <v>31</v>
      </c>
      <c r="AF2" s="4" t="s">
        <v>32</v>
      </c>
    </row>
    <row r="3" s="2" customFormat="1" ht="12" customHeight="1" spans="1:32">
      <c r="A3" s="13">
        <v>1</v>
      </c>
      <c r="B3" s="14" t="s">
        <v>33</v>
      </c>
      <c r="C3" s="15" t="s">
        <v>34</v>
      </c>
      <c r="D3" s="15" t="s">
        <v>35</v>
      </c>
      <c r="E3" s="15" t="s">
        <v>36</v>
      </c>
      <c r="F3" s="13" t="s">
        <v>37</v>
      </c>
      <c r="G3" s="16" t="s">
        <v>38</v>
      </c>
      <c r="H3" s="16" t="s">
        <v>39</v>
      </c>
      <c r="I3" s="167" t="s">
        <v>39</v>
      </c>
      <c r="J3" s="16" t="s">
        <v>39</v>
      </c>
      <c r="K3" s="20" t="s">
        <v>39</v>
      </c>
      <c r="L3" s="21">
        <v>1900000</v>
      </c>
      <c r="M3" s="20" t="s">
        <v>39</v>
      </c>
      <c r="N3" s="20" t="s">
        <v>39</v>
      </c>
      <c r="O3" s="20" t="s">
        <v>39</v>
      </c>
      <c r="P3" s="20" t="s">
        <v>39</v>
      </c>
      <c r="Q3" s="20" t="s">
        <v>39</v>
      </c>
      <c r="R3" s="20" t="s">
        <v>39</v>
      </c>
      <c r="S3" s="20" t="s">
        <v>39</v>
      </c>
      <c r="T3" s="20" t="s">
        <v>39</v>
      </c>
      <c r="U3" s="20" t="s">
        <v>39</v>
      </c>
      <c r="V3" s="20" t="s">
        <v>39</v>
      </c>
      <c r="W3" s="44"/>
      <c r="X3" s="45" t="s">
        <v>39</v>
      </c>
      <c r="Y3" s="45" t="s">
        <v>39</v>
      </c>
      <c r="Z3" s="45" t="s">
        <v>39</v>
      </c>
      <c r="AA3" s="45" t="s">
        <v>39</v>
      </c>
      <c r="AB3" s="46">
        <v>0.06</v>
      </c>
      <c r="AC3" s="46" t="s">
        <v>39</v>
      </c>
      <c r="AD3" s="17"/>
      <c r="AE3" s="17"/>
      <c r="AF3" s="206"/>
    </row>
    <row r="4" s="2" customFormat="1" ht="48" customHeight="1" spans="1:32">
      <c r="A4" s="13">
        <v>2</v>
      </c>
      <c r="B4" s="14" t="s">
        <v>40</v>
      </c>
      <c r="C4" s="15" t="s">
        <v>34</v>
      </c>
      <c r="D4" s="15" t="s">
        <v>41</v>
      </c>
      <c r="E4" s="15" t="s">
        <v>42</v>
      </c>
      <c r="F4" s="13" t="s">
        <v>37</v>
      </c>
      <c r="G4" s="16" t="s">
        <v>38</v>
      </c>
      <c r="H4" s="16" t="s">
        <v>39</v>
      </c>
      <c r="I4" s="167" t="s">
        <v>39</v>
      </c>
      <c r="J4" s="16" t="s">
        <v>39</v>
      </c>
      <c r="K4" s="20" t="s">
        <v>39</v>
      </c>
      <c r="L4" s="21">
        <v>2600000</v>
      </c>
      <c r="M4" s="20" t="s">
        <v>39</v>
      </c>
      <c r="N4" s="20" t="s">
        <v>39</v>
      </c>
      <c r="O4" s="20" t="s">
        <v>39</v>
      </c>
      <c r="P4" s="20" t="s">
        <v>39</v>
      </c>
      <c r="Q4" s="20" t="s">
        <v>39</v>
      </c>
      <c r="R4" s="20" t="s">
        <v>39</v>
      </c>
      <c r="S4" s="20" t="s">
        <v>39</v>
      </c>
      <c r="T4" s="20" t="s">
        <v>39</v>
      </c>
      <c r="U4" s="20" t="s">
        <v>39</v>
      </c>
      <c r="V4" s="20" t="s">
        <v>39</v>
      </c>
      <c r="W4" s="47"/>
      <c r="X4" s="45" t="s">
        <v>39</v>
      </c>
      <c r="Y4" s="45" t="s">
        <v>39</v>
      </c>
      <c r="Z4" s="45" t="s">
        <v>39</v>
      </c>
      <c r="AA4" s="45" t="s">
        <v>39</v>
      </c>
      <c r="AB4" s="46">
        <v>0.0585</v>
      </c>
      <c r="AC4" s="46">
        <v>0.005</v>
      </c>
      <c r="AD4" s="48" t="s">
        <v>43</v>
      </c>
      <c r="AE4" s="25"/>
      <c r="AF4" s="206"/>
    </row>
    <row r="5" s="2" customFormat="1" ht="12" customHeight="1" spans="1:32">
      <c r="A5" s="13">
        <v>3</v>
      </c>
      <c r="B5" s="14" t="s">
        <v>44</v>
      </c>
      <c r="C5" s="15" t="s">
        <v>34</v>
      </c>
      <c r="D5" s="15" t="s">
        <v>45</v>
      </c>
      <c r="E5" s="15" t="s">
        <v>46</v>
      </c>
      <c r="F5" s="13" t="s">
        <v>47</v>
      </c>
      <c r="G5" s="16" t="s">
        <v>48</v>
      </c>
      <c r="H5" s="16" t="s">
        <v>39</v>
      </c>
      <c r="I5" s="17" t="s">
        <v>39</v>
      </c>
      <c r="J5" s="16" t="s">
        <v>49</v>
      </c>
      <c r="K5" s="20" t="s">
        <v>39</v>
      </c>
      <c r="L5" s="21">
        <v>2200000</v>
      </c>
      <c r="M5" s="24" t="s">
        <v>39</v>
      </c>
      <c r="N5" s="24" t="s">
        <v>39</v>
      </c>
      <c r="O5" s="49">
        <v>0.01</v>
      </c>
      <c r="P5" s="24" t="s">
        <v>39</v>
      </c>
      <c r="Q5" s="24" t="s">
        <v>39</v>
      </c>
      <c r="R5" s="24" t="s">
        <v>39</v>
      </c>
      <c r="S5" s="24" t="s">
        <v>39</v>
      </c>
      <c r="T5" s="18" t="s">
        <v>39</v>
      </c>
      <c r="U5" s="24" t="s">
        <v>39</v>
      </c>
      <c r="V5" s="24" t="s">
        <v>39</v>
      </c>
      <c r="W5" s="50"/>
      <c r="X5" s="51" t="s">
        <v>39</v>
      </c>
      <c r="Y5" s="51" t="s">
        <v>39</v>
      </c>
      <c r="Z5" s="51" t="s">
        <v>39</v>
      </c>
      <c r="AA5" s="51" t="s">
        <v>39</v>
      </c>
      <c r="AB5" s="51">
        <v>0.04</v>
      </c>
      <c r="AC5" s="46" t="s">
        <v>39</v>
      </c>
      <c r="AD5" s="17"/>
      <c r="AE5" s="25"/>
      <c r="AF5" s="206"/>
    </row>
    <row r="6" s="2" customFormat="1" ht="12" customHeight="1" spans="1:32">
      <c r="A6" s="13">
        <v>4</v>
      </c>
      <c r="B6" s="14" t="s">
        <v>50</v>
      </c>
      <c r="C6" s="15" t="s">
        <v>34</v>
      </c>
      <c r="D6" s="15" t="s">
        <v>51</v>
      </c>
      <c r="E6" s="15" t="s">
        <v>52</v>
      </c>
      <c r="F6" s="13" t="s">
        <v>53</v>
      </c>
      <c r="G6" s="16" t="s">
        <v>48</v>
      </c>
      <c r="H6" s="16" t="s">
        <v>39</v>
      </c>
      <c r="I6" s="167" t="s">
        <v>39</v>
      </c>
      <c r="J6" s="16" t="s">
        <v>39</v>
      </c>
      <c r="K6" s="20" t="s">
        <v>39</v>
      </c>
      <c r="L6" s="21">
        <v>8931000</v>
      </c>
      <c r="M6" s="24" t="s">
        <v>39</v>
      </c>
      <c r="N6" s="24" t="s">
        <v>39</v>
      </c>
      <c r="O6" s="24" t="s">
        <v>39</v>
      </c>
      <c r="P6" s="24" t="s">
        <v>39</v>
      </c>
      <c r="Q6" s="24" t="s">
        <v>39</v>
      </c>
      <c r="R6" s="24" t="s">
        <v>39</v>
      </c>
      <c r="S6" s="24" t="s">
        <v>39</v>
      </c>
      <c r="T6" s="18" t="s">
        <v>39</v>
      </c>
      <c r="U6" s="24" t="s">
        <v>39</v>
      </c>
      <c r="V6" s="24" t="s">
        <v>39</v>
      </c>
      <c r="W6" s="18" t="s">
        <v>39</v>
      </c>
      <c r="X6" s="51" t="s">
        <v>39</v>
      </c>
      <c r="Y6" s="51" t="s">
        <v>39</v>
      </c>
      <c r="Z6" s="51" t="s">
        <v>39</v>
      </c>
      <c r="AA6" s="51" t="s">
        <v>39</v>
      </c>
      <c r="AB6" s="46">
        <v>0.045</v>
      </c>
      <c r="AC6" s="46" t="s">
        <v>39</v>
      </c>
      <c r="AD6" s="17"/>
      <c r="AE6" s="25"/>
      <c r="AF6" s="206"/>
    </row>
    <row r="7" s="2" customFormat="1" ht="24" customHeight="1" spans="1:32">
      <c r="A7" s="13">
        <v>5</v>
      </c>
      <c r="B7" s="14" t="s">
        <v>54</v>
      </c>
      <c r="C7" s="15" t="s">
        <v>34</v>
      </c>
      <c r="D7" s="15" t="s">
        <v>55</v>
      </c>
      <c r="E7" s="15" t="s">
        <v>56</v>
      </c>
      <c r="F7" s="13" t="s">
        <v>47</v>
      </c>
      <c r="G7" s="16" t="s">
        <v>38</v>
      </c>
      <c r="H7" s="16" t="s">
        <v>39</v>
      </c>
      <c r="I7" s="17" t="s">
        <v>39</v>
      </c>
      <c r="J7" s="18" t="s">
        <v>57</v>
      </c>
      <c r="K7" s="20" t="s">
        <v>39</v>
      </c>
      <c r="L7" s="21" t="s">
        <v>39</v>
      </c>
      <c r="M7" s="24" t="s">
        <v>39</v>
      </c>
      <c r="N7" s="24" t="s">
        <v>39</v>
      </c>
      <c r="O7" s="24" t="s">
        <v>39</v>
      </c>
      <c r="P7" s="24" t="s">
        <v>39</v>
      </c>
      <c r="Q7" s="24" t="s">
        <v>39</v>
      </c>
      <c r="R7" s="24" t="s">
        <v>39</v>
      </c>
      <c r="S7" s="24" t="s">
        <v>39</v>
      </c>
      <c r="T7" s="18" t="s">
        <v>39</v>
      </c>
      <c r="U7" s="24" t="s">
        <v>39</v>
      </c>
      <c r="V7" s="24" t="s">
        <v>39</v>
      </c>
      <c r="W7" s="47">
        <v>0.55</v>
      </c>
      <c r="X7" s="45" t="s">
        <v>39</v>
      </c>
      <c r="Y7" s="45" t="s">
        <v>39</v>
      </c>
      <c r="Z7" s="45" t="s">
        <v>39</v>
      </c>
      <c r="AA7" s="45" t="s">
        <v>39</v>
      </c>
      <c r="AB7" s="46">
        <v>0.015</v>
      </c>
      <c r="AC7" s="52" t="s">
        <v>39</v>
      </c>
      <c r="AD7" s="48" t="s">
        <v>58</v>
      </c>
      <c r="AE7" s="25"/>
      <c r="AF7" s="206"/>
    </row>
    <row r="8" s="2" customFormat="1" ht="82.5" customHeight="1" spans="1:32">
      <c r="A8" s="13">
        <v>6</v>
      </c>
      <c r="B8" s="14" t="s">
        <v>59</v>
      </c>
      <c r="C8" s="15" t="s">
        <v>34</v>
      </c>
      <c r="D8" s="15" t="s">
        <v>55</v>
      </c>
      <c r="E8" s="15" t="s">
        <v>56</v>
      </c>
      <c r="F8" s="13" t="s">
        <v>47</v>
      </c>
      <c r="G8" s="16" t="s">
        <v>38</v>
      </c>
      <c r="H8" s="16" t="s">
        <v>60</v>
      </c>
      <c r="I8" s="17" t="s">
        <v>61</v>
      </c>
      <c r="J8" s="18" t="s">
        <v>62</v>
      </c>
      <c r="K8" s="20" t="s">
        <v>39</v>
      </c>
      <c r="L8" s="21">
        <v>700000</v>
      </c>
      <c r="M8" s="20">
        <v>0.07</v>
      </c>
      <c r="N8" s="20">
        <v>0.01</v>
      </c>
      <c r="O8" s="20" t="s">
        <v>39</v>
      </c>
      <c r="P8" s="20">
        <v>0.03</v>
      </c>
      <c r="Q8" s="20">
        <v>0.03</v>
      </c>
      <c r="R8" s="20">
        <v>0.01</v>
      </c>
      <c r="S8" s="20">
        <v>0.02</v>
      </c>
      <c r="T8" s="20">
        <v>0.04</v>
      </c>
      <c r="U8" s="20">
        <v>0.05</v>
      </c>
      <c r="V8" s="20" t="s">
        <v>39</v>
      </c>
      <c r="W8" s="20">
        <v>0.4</v>
      </c>
      <c r="X8" s="19" t="s">
        <v>39</v>
      </c>
      <c r="Y8" s="45" t="s">
        <v>39</v>
      </c>
      <c r="Z8" s="45" t="s">
        <v>39</v>
      </c>
      <c r="AA8" s="19" t="s">
        <v>39</v>
      </c>
      <c r="AB8" s="52" t="s">
        <v>39</v>
      </c>
      <c r="AC8" s="52" t="s">
        <v>39</v>
      </c>
      <c r="AD8" s="48" t="s">
        <v>63</v>
      </c>
      <c r="AE8" s="53"/>
      <c r="AF8" s="17" t="s">
        <v>64</v>
      </c>
    </row>
    <row r="9" s="2" customFormat="1" ht="92.25" customHeight="1" spans="1:32">
      <c r="A9" s="13">
        <v>7</v>
      </c>
      <c r="B9" s="14" t="s">
        <v>65</v>
      </c>
      <c r="C9" s="15" t="s">
        <v>34</v>
      </c>
      <c r="D9" s="15" t="s">
        <v>55</v>
      </c>
      <c r="E9" s="15" t="s">
        <v>56</v>
      </c>
      <c r="F9" s="13" t="s">
        <v>47</v>
      </c>
      <c r="G9" s="16" t="s">
        <v>38</v>
      </c>
      <c r="H9" s="16" t="s">
        <v>66</v>
      </c>
      <c r="I9" s="17" t="s">
        <v>67</v>
      </c>
      <c r="J9" s="18" t="s">
        <v>68</v>
      </c>
      <c r="K9" s="20" t="s">
        <v>39</v>
      </c>
      <c r="L9" s="21">
        <v>500000</v>
      </c>
      <c r="M9" s="20">
        <v>0.07</v>
      </c>
      <c r="N9" s="20">
        <v>0.01</v>
      </c>
      <c r="O9" s="20" t="s">
        <v>39</v>
      </c>
      <c r="P9" s="20">
        <v>0.03</v>
      </c>
      <c r="Q9" s="20">
        <v>0.03</v>
      </c>
      <c r="R9" s="20">
        <v>0.01</v>
      </c>
      <c r="S9" s="20">
        <v>0.02</v>
      </c>
      <c r="T9" s="20">
        <v>0.04</v>
      </c>
      <c r="U9" s="20">
        <v>0.05</v>
      </c>
      <c r="V9" s="20" t="s">
        <v>39</v>
      </c>
      <c r="W9" s="20">
        <v>0.4</v>
      </c>
      <c r="X9" s="19" t="s">
        <v>39</v>
      </c>
      <c r="Y9" s="45" t="s">
        <v>39</v>
      </c>
      <c r="Z9" s="45" t="s">
        <v>39</v>
      </c>
      <c r="AA9" s="19" t="s">
        <v>39</v>
      </c>
      <c r="AB9" s="52" t="s">
        <v>39</v>
      </c>
      <c r="AC9" s="52" t="s">
        <v>39</v>
      </c>
      <c r="AD9" s="48" t="s">
        <v>63</v>
      </c>
      <c r="AE9" s="25"/>
      <c r="AF9" s="17" t="s">
        <v>64</v>
      </c>
    </row>
    <row r="10" s="2" customFormat="1" ht="72" customHeight="1" spans="1:32">
      <c r="A10" s="13">
        <v>8</v>
      </c>
      <c r="B10" s="14" t="s">
        <v>69</v>
      </c>
      <c r="C10" s="15" t="s">
        <v>34</v>
      </c>
      <c r="D10" s="15" t="s">
        <v>55</v>
      </c>
      <c r="E10" s="15" t="s">
        <v>56</v>
      </c>
      <c r="F10" s="13" t="s">
        <v>47</v>
      </c>
      <c r="G10" s="16" t="s">
        <v>38</v>
      </c>
      <c r="H10" s="16" t="s">
        <v>70</v>
      </c>
      <c r="I10" s="17" t="s">
        <v>71</v>
      </c>
      <c r="J10" s="18" t="s">
        <v>72</v>
      </c>
      <c r="K10" s="20" t="s">
        <v>39</v>
      </c>
      <c r="L10" s="21">
        <v>700000</v>
      </c>
      <c r="M10" s="20">
        <v>0.07</v>
      </c>
      <c r="N10" s="20">
        <v>0.01</v>
      </c>
      <c r="O10" s="20" t="s">
        <v>39</v>
      </c>
      <c r="P10" s="20">
        <v>0.03</v>
      </c>
      <c r="Q10" s="20">
        <v>0.03</v>
      </c>
      <c r="R10" s="20">
        <v>0.01</v>
      </c>
      <c r="S10" s="20">
        <v>0.02</v>
      </c>
      <c r="T10" s="20">
        <v>0.04</v>
      </c>
      <c r="U10" s="20">
        <v>0.05</v>
      </c>
      <c r="V10" s="20" t="s">
        <v>39</v>
      </c>
      <c r="W10" s="20">
        <v>0.4</v>
      </c>
      <c r="X10" s="19" t="s">
        <v>39</v>
      </c>
      <c r="Y10" s="45" t="s">
        <v>39</v>
      </c>
      <c r="Z10" s="45" t="s">
        <v>39</v>
      </c>
      <c r="AA10" s="19" t="s">
        <v>39</v>
      </c>
      <c r="AB10" s="52" t="s">
        <v>39</v>
      </c>
      <c r="AC10" s="52" t="s">
        <v>39</v>
      </c>
      <c r="AD10" s="48" t="s">
        <v>63</v>
      </c>
      <c r="AE10" s="25"/>
      <c r="AF10" s="17" t="s">
        <v>64</v>
      </c>
    </row>
    <row r="11" s="2" customFormat="1" ht="72" customHeight="1" spans="1:32">
      <c r="A11" s="13">
        <v>9</v>
      </c>
      <c r="B11" s="14" t="s">
        <v>73</v>
      </c>
      <c r="C11" s="15" t="s">
        <v>34</v>
      </c>
      <c r="D11" s="15" t="s">
        <v>55</v>
      </c>
      <c r="E11" s="15" t="s">
        <v>56</v>
      </c>
      <c r="F11" s="13" t="s">
        <v>47</v>
      </c>
      <c r="G11" s="16" t="s">
        <v>38</v>
      </c>
      <c r="H11" s="16" t="s">
        <v>74</v>
      </c>
      <c r="I11" s="17" t="s">
        <v>75</v>
      </c>
      <c r="J11" s="18" t="s">
        <v>76</v>
      </c>
      <c r="K11" s="20" t="s">
        <v>39</v>
      </c>
      <c r="L11" s="21">
        <v>700000</v>
      </c>
      <c r="M11" s="20">
        <v>0.07</v>
      </c>
      <c r="N11" s="20">
        <v>0.01</v>
      </c>
      <c r="O11" s="20" t="s">
        <v>39</v>
      </c>
      <c r="P11" s="20">
        <v>0.03</v>
      </c>
      <c r="Q11" s="20">
        <v>0.03</v>
      </c>
      <c r="R11" s="20">
        <v>0.01</v>
      </c>
      <c r="S11" s="20">
        <v>0.02</v>
      </c>
      <c r="T11" s="20">
        <v>0.04</v>
      </c>
      <c r="U11" s="20">
        <v>0.05</v>
      </c>
      <c r="V11" s="20" t="s">
        <v>39</v>
      </c>
      <c r="W11" s="20">
        <v>0.4</v>
      </c>
      <c r="X11" s="19" t="s">
        <v>39</v>
      </c>
      <c r="Y11" s="45" t="s">
        <v>39</v>
      </c>
      <c r="Z11" s="45" t="s">
        <v>39</v>
      </c>
      <c r="AA11" s="19" t="s">
        <v>39</v>
      </c>
      <c r="AB11" s="52" t="s">
        <v>39</v>
      </c>
      <c r="AC11" s="52" t="s">
        <v>39</v>
      </c>
      <c r="AD11" s="48" t="s">
        <v>63</v>
      </c>
      <c r="AE11" s="25"/>
      <c r="AF11" s="17" t="s">
        <v>64</v>
      </c>
    </row>
    <row r="12" s="2" customFormat="1" ht="12" customHeight="1" spans="1:32">
      <c r="A12" s="13">
        <v>10</v>
      </c>
      <c r="B12" s="14" t="s">
        <v>77</v>
      </c>
      <c r="C12" s="15" t="s">
        <v>34</v>
      </c>
      <c r="D12" s="15" t="s">
        <v>78</v>
      </c>
      <c r="E12" s="15" t="s">
        <v>79</v>
      </c>
      <c r="F12" s="13" t="s">
        <v>37</v>
      </c>
      <c r="G12" s="16" t="s">
        <v>38</v>
      </c>
      <c r="H12" s="16" t="s">
        <v>39</v>
      </c>
      <c r="I12" s="167" t="s">
        <v>39</v>
      </c>
      <c r="J12" s="16" t="s">
        <v>39</v>
      </c>
      <c r="K12" s="20" t="s">
        <v>39</v>
      </c>
      <c r="L12" s="21" t="s">
        <v>39</v>
      </c>
      <c r="M12" s="20" t="s">
        <v>39</v>
      </c>
      <c r="N12" s="20" t="s">
        <v>39</v>
      </c>
      <c r="O12" s="20" t="s">
        <v>39</v>
      </c>
      <c r="P12" s="20" t="s">
        <v>39</v>
      </c>
      <c r="Q12" s="20" t="s">
        <v>39</v>
      </c>
      <c r="R12" s="20" t="s">
        <v>39</v>
      </c>
      <c r="S12" s="20" t="s">
        <v>39</v>
      </c>
      <c r="T12" s="20" t="s">
        <v>39</v>
      </c>
      <c r="U12" s="20" t="s">
        <v>39</v>
      </c>
      <c r="V12" s="20" t="s">
        <v>39</v>
      </c>
      <c r="W12" s="44"/>
      <c r="X12" s="45" t="s">
        <v>39</v>
      </c>
      <c r="Y12" s="45" t="s">
        <v>39</v>
      </c>
      <c r="Z12" s="45" t="s">
        <v>39</v>
      </c>
      <c r="AA12" s="45" t="s">
        <v>39</v>
      </c>
      <c r="AB12" s="54">
        <v>0.03</v>
      </c>
      <c r="AC12" s="52" t="s">
        <v>39</v>
      </c>
      <c r="AD12" s="17"/>
      <c r="AE12" s="25"/>
      <c r="AF12" s="17"/>
    </row>
    <row r="13" s="2" customFormat="1" ht="36" customHeight="1" spans="1:32">
      <c r="A13" s="13">
        <v>11</v>
      </c>
      <c r="B13" s="14" t="s">
        <v>80</v>
      </c>
      <c r="C13" s="15" t="s">
        <v>34</v>
      </c>
      <c r="D13" s="15" t="s">
        <v>78</v>
      </c>
      <c r="E13" s="15" t="s">
        <v>79</v>
      </c>
      <c r="F13" s="13" t="s">
        <v>81</v>
      </c>
      <c r="G13" s="16" t="s">
        <v>38</v>
      </c>
      <c r="H13" s="16" t="s">
        <v>66</v>
      </c>
      <c r="I13" s="167" t="s">
        <v>82</v>
      </c>
      <c r="J13" s="16" t="s">
        <v>83</v>
      </c>
      <c r="K13" s="20" t="s">
        <v>39</v>
      </c>
      <c r="L13" s="21">
        <v>570000</v>
      </c>
      <c r="M13" s="20">
        <v>0.1</v>
      </c>
      <c r="N13" s="20">
        <v>0.03</v>
      </c>
      <c r="O13" s="20" t="s">
        <v>39</v>
      </c>
      <c r="P13" s="20">
        <v>0.05</v>
      </c>
      <c r="Q13" s="20">
        <v>0.02</v>
      </c>
      <c r="R13" s="20" t="s">
        <v>39</v>
      </c>
      <c r="S13" s="20">
        <v>0.03</v>
      </c>
      <c r="T13" s="19" t="s">
        <v>39</v>
      </c>
      <c r="U13" s="20">
        <v>0.04</v>
      </c>
      <c r="V13" s="20" t="s">
        <v>39</v>
      </c>
      <c r="W13" s="44"/>
      <c r="X13" s="45" t="s">
        <v>39</v>
      </c>
      <c r="Y13" s="45" t="s">
        <v>39</v>
      </c>
      <c r="Z13" s="45" t="s">
        <v>39</v>
      </c>
      <c r="AA13" s="45" t="s">
        <v>39</v>
      </c>
      <c r="AB13" s="52" t="s">
        <v>39</v>
      </c>
      <c r="AC13" s="52" t="s">
        <v>39</v>
      </c>
      <c r="AD13" s="48" t="s">
        <v>84</v>
      </c>
      <c r="AE13" s="25"/>
      <c r="AF13" s="17" t="s">
        <v>64</v>
      </c>
    </row>
    <row r="14" s="2" customFormat="1" ht="12" customHeight="1" spans="1:32">
      <c r="A14" s="13">
        <v>12</v>
      </c>
      <c r="B14" s="14" t="s">
        <v>85</v>
      </c>
      <c r="C14" s="15" t="s">
        <v>34</v>
      </c>
      <c r="D14" s="15" t="s">
        <v>78</v>
      </c>
      <c r="E14" s="15" t="s">
        <v>79</v>
      </c>
      <c r="F14" s="13" t="s">
        <v>81</v>
      </c>
      <c r="G14" s="16" t="s">
        <v>38</v>
      </c>
      <c r="H14" s="16" t="s">
        <v>86</v>
      </c>
      <c r="I14" s="167" t="s">
        <v>87</v>
      </c>
      <c r="J14" s="16" t="s">
        <v>88</v>
      </c>
      <c r="K14" s="20" t="s">
        <v>39</v>
      </c>
      <c r="L14" s="21">
        <v>899800</v>
      </c>
      <c r="M14" s="20" t="s">
        <v>39</v>
      </c>
      <c r="N14" s="20" t="s">
        <v>39</v>
      </c>
      <c r="O14" s="20" t="s">
        <v>39</v>
      </c>
      <c r="P14" s="20" t="s">
        <v>39</v>
      </c>
      <c r="Q14" s="20" t="s">
        <v>39</v>
      </c>
      <c r="R14" s="20" t="s">
        <v>39</v>
      </c>
      <c r="S14" s="20" t="s">
        <v>39</v>
      </c>
      <c r="T14" s="20" t="s">
        <v>39</v>
      </c>
      <c r="U14" s="20" t="s">
        <v>39</v>
      </c>
      <c r="V14" s="26">
        <v>160000</v>
      </c>
      <c r="W14" s="45" t="s">
        <v>39</v>
      </c>
      <c r="X14" s="45" t="s">
        <v>39</v>
      </c>
      <c r="Y14" s="45" t="s">
        <v>39</v>
      </c>
      <c r="Z14" s="45" t="s">
        <v>39</v>
      </c>
      <c r="AA14" s="45" t="s">
        <v>39</v>
      </c>
      <c r="AB14" s="52" t="s">
        <v>39</v>
      </c>
      <c r="AC14" s="52" t="s">
        <v>39</v>
      </c>
      <c r="AD14" s="17" t="s">
        <v>89</v>
      </c>
      <c r="AE14" s="25"/>
      <c r="AF14" s="17"/>
    </row>
    <row r="15" s="2" customFormat="1" ht="36" customHeight="1" spans="1:32">
      <c r="A15" s="13">
        <v>13</v>
      </c>
      <c r="B15" s="14" t="s">
        <v>90</v>
      </c>
      <c r="C15" s="15" t="s">
        <v>34</v>
      </c>
      <c r="D15" s="15" t="s">
        <v>78</v>
      </c>
      <c r="E15" s="15" t="s">
        <v>79</v>
      </c>
      <c r="F15" s="13" t="s">
        <v>81</v>
      </c>
      <c r="G15" s="16" t="s">
        <v>38</v>
      </c>
      <c r="H15" s="16" t="s">
        <v>70</v>
      </c>
      <c r="I15" s="167" t="s">
        <v>91</v>
      </c>
      <c r="J15" s="16" t="s">
        <v>92</v>
      </c>
      <c r="K15" s="20" t="s">
        <v>39</v>
      </c>
      <c r="L15" s="21">
        <v>449900</v>
      </c>
      <c r="M15" s="20">
        <v>0.1</v>
      </c>
      <c r="N15" s="20">
        <v>0.03</v>
      </c>
      <c r="O15" s="20" t="s">
        <v>39</v>
      </c>
      <c r="P15" s="20">
        <v>0.05</v>
      </c>
      <c r="Q15" s="20">
        <v>0.02</v>
      </c>
      <c r="R15" s="20" t="s">
        <v>39</v>
      </c>
      <c r="S15" s="20">
        <v>0.03</v>
      </c>
      <c r="T15" s="19" t="s">
        <v>39</v>
      </c>
      <c r="U15" s="20">
        <v>0.04</v>
      </c>
      <c r="V15" s="20" t="s">
        <v>39</v>
      </c>
      <c r="W15" s="44"/>
      <c r="X15" s="45" t="s">
        <v>39</v>
      </c>
      <c r="Y15" s="45" t="s">
        <v>39</v>
      </c>
      <c r="Z15" s="45" t="s">
        <v>39</v>
      </c>
      <c r="AA15" s="45" t="s">
        <v>39</v>
      </c>
      <c r="AB15" s="52" t="s">
        <v>39</v>
      </c>
      <c r="AC15" s="52" t="s">
        <v>39</v>
      </c>
      <c r="AD15" s="48" t="s">
        <v>84</v>
      </c>
      <c r="AE15" s="25"/>
      <c r="AF15" s="17" t="s">
        <v>64</v>
      </c>
    </row>
    <row r="16" s="2" customFormat="1" ht="84" customHeight="1" spans="1:32">
      <c r="A16" s="13">
        <v>14</v>
      </c>
      <c r="B16" s="14" t="s">
        <v>93</v>
      </c>
      <c r="C16" s="15" t="s">
        <v>34</v>
      </c>
      <c r="D16" s="15" t="s">
        <v>78</v>
      </c>
      <c r="E16" s="15" t="s">
        <v>79</v>
      </c>
      <c r="F16" s="13" t="s">
        <v>81</v>
      </c>
      <c r="G16" s="16" t="s">
        <v>38</v>
      </c>
      <c r="H16" s="16" t="s">
        <v>74</v>
      </c>
      <c r="I16" s="167" t="s">
        <v>94</v>
      </c>
      <c r="J16" s="16" t="s">
        <v>95</v>
      </c>
      <c r="K16" s="20" t="s">
        <v>39</v>
      </c>
      <c r="L16" s="21">
        <v>486500</v>
      </c>
      <c r="M16" s="20">
        <v>0.1</v>
      </c>
      <c r="N16" s="20">
        <v>0.03</v>
      </c>
      <c r="O16" s="20" t="s">
        <v>39</v>
      </c>
      <c r="P16" s="20">
        <v>0.05</v>
      </c>
      <c r="Q16" s="20">
        <v>0.02</v>
      </c>
      <c r="R16" s="20" t="s">
        <v>39</v>
      </c>
      <c r="S16" s="20">
        <v>0.03</v>
      </c>
      <c r="T16" s="19" t="s">
        <v>39</v>
      </c>
      <c r="U16" s="20">
        <v>0.04</v>
      </c>
      <c r="V16" s="20" t="s">
        <v>39</v>
      </c>
      <c r="W16" s="44"/>
      <c r="X16" s="45" t="s">
        <v>39</v>
      </c>
      <c r="Y16" s="45" t="s">
        <v>39</v>
      </c>
      <c r="Z16" s="45" t="s">
        <v>39</v>
      </c>
      <c r="AA16" s="45" t="s">
        <v>39</v>
      </c>
      <c r="AB16" s="52" t="s">
        <v>39</v>
      </c>
      <c r="AC16" s="52" t="s">
        <v>39</v>
      </c>
      <c r="AD16" s="48" t="s">
        <v>84</v>
      </c>
      <c r="AE16" s="25"/>
      <c r="AF16" s="17" t="s">
        <v>96</v>
      </c>
    </row>
    <row r="17" s="2" customFormat="1" ht="84" customHeight="1" spans="1:32">
      <c r="A17" s="13">
        <v>15</v>
      </c>
      <c r="B17" s="14" t="s">
        <v>97</v>
      </c>
      <c r="C17" s="15" t="s">
        <v>34</v>
      </c>
      <c r="D17" s="15" t="s">
        <v>78</v>
      </c>
      <c r="E17" s="15" t="s">
        <v>79</v>
      </c>
      <c r="F17" s="13" t="s">
        <v>81</v>
      </c>
      <c r="G17" s="16" t="s">
        <v>38</v>
      </c>
      <c r="H17" s="16" t="s">
        <v>60</v>
      </c>
      <c r="I17" s="167" t="s">
        <v>98</v>
      </c>
      <c r="J17" s="16" t="s">
        <v>99</v>
      </c>
      <c r="K17" s="20" t="s">
        <v>39</v>
      </c>
      <c r="L17" s="21">
        <v>628600</v>
      </c>
      <c r="M17" s="20">
        <v>0.1</v>
      </c>
      <c r="N17" s="20">
        <v>0.03</v>
      </c>
      <c r="O17" s="20" t="s">
        <v>39</v>
      </c>
      <c r="P17" s="20">
        <v>0.05</v>
      </c>
      <c r="Q17" s="20">
        <v>0.02</v>
      </c>
      <c r="R17" s="20" t="s">
        <v>39</v>
      </c>
      <c r="S17" s="20">
        <v>0.03</v>
      </c>
      <c r="T17" s="19" t="s">
        <v>39</v>
      </c>
      <c r="U17" s="19" t="s">
        <v>39</v>
      </c>
      <c r="V17" s="20" t="s">
        <v>39</v>
      </c>
      <c r="W17" s="44"/>
      <c r="X17" s="45" t="s">
        <v>39</v>
      </c>
      <c r="Y17" s="45" t="s">
        <v>39</v>
      </c>
      <c r="Z17" s="45" t="s">
        <v>39</v>
      </c>
      <c r="AA17" s="45" t="s">
        <v>39</v>
      </c>
      <c r="AB17" s="52" t="s">
        <v>39</v>
      </c>
      <c r="AC17" s="52" t="s">
        <v>39</v>
      </c>
      <c r="AD17" s="48" t="s">
        <v>100</v>
      </c>
      <c r="AE17" s="25"/>
      <c r="AF17" s="17" t="s">
        <v>96</v>
      </c>
    </row>
    <row r="18" s="2" customFormat="1" ht="12" customHeight="1" spans="1:32">
      <c r="A18" s="13">
        <v>16</v>
      </c>
      <c r="B18" s="521"/>
      <c r="C18" s="15" t="s">
        <v>34</v>
      </c>
      <c r="D18" s="15" t="s">
        <v>101</v>
      </c>
      <c r="E18" s="15" t="s">
        <v>102</v>
      </c>
      <c r="F18" s="13" t="s">
        <v>47</v>
      </c>
      <c r="G18" s="16" t="s">
        <v>103</v>
      </c>
      <c r="H18" s="18" t="s">
        <v>39</v>
      </c>
      <c r="I18" s="18" t="s">
        <v>39</v>
      </c>
      <c r="J18" s="18" t="s">
        <v>39</v>
      </c>
      <c r="K18" s="19" t="s">
        <v>39</v>
      </c>
      <c r="L18" s="21" t="s">
        <v>39</v>
      </c>
      <c r="M18" s="20" t="s">
        <v>39</v>
      </c>
      <c r="N18" s="47"/>
      <c r="O18" s="47"/>
      <c r="P18" s="47"/>
      <c r="Q18" s="19" t="s">
        <v>39</v>
      </c>
      <c r="R18" s="19" t="s">
        <v>39</v>
      </c>
      <c r="S18" s="19" t="s">
        <v>39</v>
      </c>
      <c r="T18" s="47"/>
      <c r="U18" s="47"/>
      <c r="V18" s="47"/>
      <c r="W18" s="47"/>
      <c r="X18" s="19" t="s">
        <v>39</v>
      </c>
      <c r="Y18" s="55" t="s">
        <v>39</v>
      </c>
      <c r="Z18" s="55" t="s">
        <v>39</v>
      </c>
      <c r="AA18" s="44">
        <v>350000</v>
      </c>
      <c r="AB18" s="54">
        <v>0.02</v>
      </c>
      <c r="AC18" s="56" t="s">
        <v>39</v>
      </c>
      <c r="AD18" s="48" t="s">
        <v>104</v>
      </c>
      <c r="AE18" s="25"/>
      <c r="AF18" s="17"/>
    </row>
    <row r="19" s="2" customFormat="1" ht="48" customHeight="1" spans="1:32">
      <c r="A19" s="13">
        <v>17</v>
      </c>
      <c r="B19" s="14" t="s">
        <v>105</v>
      </c>
      <c r="C19" s="15" t="s">
        <v>34</v>
      </c>
      <c r="D19" s="15" t="s">
        <v>101</v>
      </c>
      <c r="E19" s="15" t="s">
        <v>102</v>
      </c>
      <c r="F19" s="13" t="s">
        <v>47</v>
      </c>
      <c r="G19" s="16" t="s">
        <v>103</v>
      </c>
      <c r="H19" s="18" t="s">
        <v>39</v>
      </c>
      <c r="I19" s="167" t="s">
        <v>106</v>
      </c>
      <c r="J19" s="18" t="s">
        <v>107</v>
      </c>
      <c r="K19" s="20" t="s">
        <v>39</v>
      </c>
      <c r="L19" s="21">
        <v>460000</v>
      </c>
      <c r="M19" s="22">
        <v>0.08</v>
      </c>
      <c r="N19" s="20" t="s">
        <v>39</v>
      </c>
      <c r="O19" s="19" t="s">
        <v>39</v>
      </c>
      <c r="P19" s="22">
        <v>0.065</v>
      </c>
      <c r="Q19" s="22">
        <v>0.02</v>
      </c>
      <c r="R19" s="22">
        <v>0.035</v>
      </c>
      <c r="S19" s="20" t="s">
        <v>39</v>
      </c>
      <c r="T19" s="20">
        <v>0.03</v>
      </c>
      <c r="U19" s="20">
        <v>0.06</v>
      </c>
      <c r="V19" s="24" t="s">
        <v>39</v>
      </c>
      <c r="W19" s="47"/>
      <c r="X19" s="24" t="s">
        <v>39</v>
      </c>
      <c r="Y19" s="24" t="s">
        <v>39</v>
      </c>
      <c r="Z19" s="24" t="s">
        <v>39</v>
      </c>
      <c r="AA19" s="19" t="s">
        <v>39</v>
      </c>
      <c r="AB19" s="22" t="s">
        <v>39</v>
      </c>
      <c r="AC19" s="20" t="s">
        <v>39</v>
      </c>
      <c r="AD19" s="57" t="s">
        <v>108</v>
      </c>
      <c r="AE19" s="25" t="s">
        <v>109</v>
      </c>
      <c r="AF19" s="17" t="s">
        <v>64</v>
      </c>
    </row>
    <row r="20" s="2" customFormat="1" ht="48" customHeight="1" spans="1:32">
      <c r="A20" s="13">
        <v>18</v>
      </c>
      <c r="B20" s="14" t="s">
        <v>110</v>
      </c>
      <c r="C20" s="15" t="s">
        <v>34</v>
      </c>
      <c r="D20" s="15" t="s">
        <v>101</v>
      </c>
      <c r="E20" s="15" t="s">
        <v>102</v>
      </c>
      <c r="F20" s="13" t="s">
        <v>47</v>
      </c>
      <c r="G20" s="16" t="s">
        <v>103</v>
      </c>
      <c r="H20" s="18" t="s">
        <v>39</v>
      </c>
      <c r="I20" s="167" t="s">
        <v>111</v>
      </c>
      <c r="J20" s="18" t="s">
        <v>112</v>
      </c>
      <c r="K20" s="20" t="s">
        <v>39</v>
      </c>
      <c r="L20" s="21">
        <v>384000</v>
      </c>
      <c r="M20" s="22">
        <v>0.08</v>
      </c>
      <c r="N20" s="20" t="s">
        <v>39</v>
      </c>
      <c r="O20" s="19" t="s">
        <v>39</v>
      </c>
      <c r="P20" s="22">
        <v>0.065</v>
      </c>
      <c r="Q20" s="22">
        <v>0.02</v>
      </c>
      <c r="R20" s="22">
        <v>0.035</v>
      </c>
      <c r="S20" s="20" t="s">
        <v>39</v>
      </c>
      <c r="T20" s="20">
        <v>0.03</v>
      </c>
      <c r="U20" s="20">
        <v>0.06</v>
      </c>
      <c r="V20" s="24" t="s">
        <v>39</v>
      </c>
      <c r="W20" s="47"/>
      <c r="X20" s="24" t="s">
        <v>39</v>
      </c>
      <c r="Y20" s="24" t="s">
        <v>39</v>
      </c>
      <c r="Z20" s="24" t="s">
        <v>39</v>
      </c>
      <c r="AA20" s="19" t="s">
        <v>39</v>
      </c>
      <c r="AB20" s="22" t="s">
        <v>39</v>
      </c>
      <c r="AC20" s="20" t="s">
        <v>39</v>
      </c>
      <c r="AD20" s="57" t="s">
        <v>108</v>
      </c>
      <c r="AE20" s="25" t="s">
        <v>109</v>
      </c>
      <c r="AF20" s="17" t="s">
        <v>64</v>
      </c>
    </row>
    <row r="21" s="2" customFormat="1" ht="48" customHeight="1" spans="1:32">
      <c r="A21" s="13">
        <v>19</v>
      </c>
      <c r="B21" s="14" t="s">
        <v>113</v>
      </c>
      <c r="C21" s="15" t="s">
        <v>34</v>
      </c>
      <c r="D21" s="15" t="s">
        <v>101</v>
      </c>
      <c r="E21" s="15" t="s">
        <v>102</v>
      </c>
      <c r="F21" s="13" t="s">
        <v>47</v>
      </c>
      <c r="G21" s="16" t="s">
        <v>103</v>
      </c>
      <c r="H21" s="18" t="s">
        <v>39</v>
      </c>
      <c r="I21" s="167" t="s">
        <v>114</v>
      </c>
      <c r="J21" s="18" t="s">
        <v>115</v>
      </c>
      <c r="K21" s="20" t="s">
        <v>39</v>
      </c>
      <c r="L21" s="21">
        <v>930000</v>
      </c>
      <c r="M21" s="22">
        <v>0.08</v>
      </c>
      <c r="N21" s="20" t="s">
        <v>39</v>
      </c>
      <c r="O21" s="19" t="s">
        <v>39</v>
      </c>
      <c r="P21" s="22">
        <v>0.065</v>
      </c>
      <c r="Q21" s="22">
        <v>0.02</v>
      </c>
      <c r="R21" s="22">
        <v>0.035</v>
      </c>
      <c r="S21" s="20" t="s">
        <v>39</v>
      </c>
      <c r="T21" s="20">
        <v>0.03</v>
      </c>
      <c r="U21" s="20">
        <v>0.06</v>
      </c>
      <c r="V21" s="24" t="s">
        <v>39</v>
      </c>
      <c r="W21" s="47"/>
      <c r="X21" s="24" t="s">
        <v>39</v>
      </c>
      <c r="Y21" s="24" t="s">
        <v>39</v>
      </c>
      <c r="Z21" s="24" t="s">
        <v>39</v>
      </c>
      <c r="AA21" s="19" t="s">
        <v>39</v>
      </c>
      <c r="AB21" s="22" t="s">
        <v>39</v>
      </c>
      <c r="AC21" s="20" t="s">
        <v>39</v>
      </c>
      <c r="AD21" s="57" t="s">
        <v>108</v>
      </c>
      <c r="AE21" s="25" t="s">
        <v>109</v>
      </c>
      <c r="AF21" s="17" t="s">
        <v>64</v>
      </c>
    </row>
    <row r="22" s="2" customFormat="1" ht="48" customHeight="1" spans="1:32">
      <c r="A22" s="13">
        <v>20</v>
      </c>
      <c r="B22" s="14" t="s">
        <v>116</v>
      </c>
      <c r="C22" s="15" t="s">
        <v>34</v>
      </c>
      <c r="D22" s="15" t="s">
        <v>101</v>
      </c>
      <c r="E22" s="15" t="s">
        <v>102</v>
      </c>
      <c r="F22" s="13" t="s">
        <v>47</v>
      </c>
      <c r="G22" s="16" t="s">
        <v>103</v>
      </c>
      <c r="H22" s="18" t="s">
        <v>39</v>
      </c>
      <c r="I22" s="167" t="s">
        <v>117</v>
      </c>
      <c r="J22" s="18" t="s">
        <v>118</v>
      </c>
      <c r="K22" s="20" t="s">
        <v>39</v>
      </c>
      <c r="L22" s="21">
        <v>1280000</v>
      </c>
      <c r="M22" s="22">
        <v>0.06</v>
      </c>
      <c r="N22" s="20" t="s">
        <v>39</v>
      </c>
      <c r="O22" s="19" t="s">
        <v>39</v>
      </c>
      <c r="P22" s="22">
        <v>0.055</v>
      </c>
      <c r="Q22" s="22">
        <v>0.02</v>
      </c>
      <c r="R22" s="22">
        <v>0.025</v>
      </c>
      <c r="S22" s="20" t="s">
        <v>39</v>
      </c>
      <c r="T22" s="20">
        <v>0.03</v>
      </c>
      <c r="U22" s="20">
        <v>0.06</v>
      </c>
      <c r="V22" s="24" t="s">
        <v>39</v>
      </c>
      <c r="W22" s="47"/>
      <c r="X22" s="24" t="s">
        <v>39</v>
      </c>
      <c r="Y22" s="24" t="s">
        <v>39</v>
      </c>
      <c r="Z22" s="24" t="s">
        <v>39</v>
      </c>
      <c r="AA22" s="19" t="s">
        <v>39</v>
      </c>
      <c r="AB22" s="22" t="s">
        <v>39</v>
      </c>
      <c r="AC22" s="20" t="s">
        <v>39</v>
      </c>
      <c r="AD22" s="57" t="s">
        <v>108</v>
      </c>
      <c r="AE22" s="25" t="s">
        <v>109</v>
      </c>
      <c r="AF22" s="17" t="s">
        <v>64</v>
      </c>
    </row>
    <row r="23" s="2" customFormat="1" ht="48" customHeight="1" spans="1:32">
      <c r="A23" s="13">
        <v>21</v>
      </c>
      <c r="B23" s="14" t="s">
        <v>119</v>
      </c>
      <c r="C23" s="15" t="s">
        <v>34</v>
      </c>
      <c r="D23" s="15" t="s">
        <v>101</v>
      </c>
      <c r="E23" s="15" t="s">
        <v>102</v>
      </c>
      <c r="F23" s="13" t="s">
        <v>47</v>
      </c>
      <c r="G23" s="16" t="s">
        <v>103</v>
      </c>
      <c r="H23" s="18" t="s">
        <v>39</v>
      </c>
      <c r="I23" s="167" t="s">
        <v>120</v>
      </c>
      <c r="J23" s="18" t="s">
        <v>121</v>
      </c>
      <c r="K23" s="20" t="s">
        <v>39</v>
      </c>
      <c r="L23" s="21">
        <v>264000</v>
      </c>
      <c r="M23" s="22">
        <v>0.08</v>
      </c>
      <c r="N23" s="20" t="s">
        <v>39</v>
      </c>
      <c r="O23" s="19" t="s">
        <v>39</v>
      </c>
      <c r="P23" s="22">
        <v>0.065</v>
      </c>
      <c r="Q23" s="22">
        <v>0.02</v>
      </c>
      <c r="R23" s="22">
        <v>0.035</v>
      </c>
      <c r="S23" s="20" t="s">
        <v>39</v>
      </c>
      <c r="T23" s="20">
        <v>0.03</v>
      </c>
      <c r="U23" s="20">
        <v>0.06</v>
      </c>
      <c r="V23" s="24" t="s">
        <v>39</v>
      </c>
      <c r="W23" s="47"/>
      <c r="X23" s="24" t="s">
        <v>39</v>
      </c>
      <c r="Y23" s="24" t="s">
        <v>39</v>
      </c>
      <c r="Z23" s="24" t="s">
        <v>39</v>
      </c>
      <c r="AA23" s="19" t="s">
        <v>39</v>
      </c>
      <c r="AB23" s="22" t="s">
        <v>39</v>
      </c>
      <c r="AC23" s="20" t="s">
        <v>39</v>
      </c>
      <c r="AD23" s="57" t="s">
        <v>108</v>
      </c>
      <c r="AE23" s="25" t="s">
        <v>109</v>
      </c>
      <c r="AF23" s="17" t="s">
        <v>64</v>
      </c>
    </row>
    <row r="24" s="2" customFormat="1" ht="48" customHeight="1" spans="1:32">
      <c r="A24" s="13">
        <v>22</v>
      </c>
      <c r="B24" s="14" t="s">
        <v>122</v>
      </c>
      <c r="C24" s="15" t="s">
        <v>34</v>
      </c>
      <c r="D24" s="15" t="s">
        <v>101</v>
      </c>
      <c r="E24" s="15" t="s">
        <v>102</v>
      </c>
      <c r="F24" s="13" t="s">
        <v>47</v>
      </c>
      <c r="G24" s="16" t="s">
        <v>103</v>
      </c>
      <c r="H24" s="18" t="s">
        <v>39</v>
      </c>
      <c r="I24" s="167" t="s">
        <v>123</v>
      </c>
      <c r="J24" s="18" t="s">
        <v>121</v>
      </c>
      <c r="K24" s="20" t="s">
        <v>39</v>
      </c>
      <c r="L24" s="21">
        <v>290000</v>
      </c>
      <c r="M24" s="22">
        <v>0.08</v>
      </c>
      <c r="N24" s="20" t="s">
        <v>39</v>
      </c>
      <c r="O24" s="19" t="s">
        <v>39</v>
      </c>
      <c r="P24" s="22">
        <v>0.065</v>
      </c>
      <c r="Q24" s="22">
        <v>0.02</v>
      </c>
      <c r="R24" s="22">
        <v>0.035</v>
      </c>
      <c r="S24" s="20" t="s">
        <v>39</v>
      </c>
      <c r="T24" s="20">
        <v>0.03</v>
      </c>
      <c r="U24" s="20">
        <v>0.06</v>
      </c>
      <c r="V24" s="24" t="s">
        <v>39</v>
      </c>
      <c r="W24" s="47"/>
      <c r="X24" s="24" t="s">
        <v>39</v>
      </c>
      <c r="Y24" s="24" t="s">
        <v>39</v>
      </c>
      <c r="Z24" s="24" t="s">
        <v>39</v>
      </c>
      <c r="AA24" s="19" t="s">
        <v>39</v>
      </c>
      <c r="AB24" s="22" t="s">
        <v>39</v>
      </c>
      <c r="AC24" s="20" t="s">
        <v>39</v>
      </c>
      <c r="AD24" s="57" t="s">
        <v>108</v>
      </c>
      <c r="AE24" s="25" t="s">
        <v>109</v>
      </c>
      <c r="AF24" s="17" t="s">
        <v>64</v>
      </c>
    </row>
    <row r="25" s="2" customFormat="1" ht="48" customHeight="1" spans="1:32">
      <c r="A25" s="13">
        <v>23</v>
      </c>
      <c r="B25" s="14" t="s">
        <v>124</v>
      </c>
      <c r="C25" s="15" t="s">
        <v>34</v>
      </c>
      <c r="D25" s="15" t="s">
        <v>101</v>
      </c>
      <c r="E25" s="15" t="s">
        <v>102</v>
      </c>
      <c r="F25" s="13" t="s">
        <v>47</v>
      </c>
      <c r="G25" s="16" t="s">
        <v>103</v>
      </c>
      <c r="H25" s="18" t="s">
        <v>39</v>
      </c>
      <c r="I25" s="167" t="s">
        <v>125</v>
      </c>
      <c r="J25" s="18" t="s">
        <v>107</v>
      </c>
      <c r="K25" s="20" t="s">
        <v>39</v>
      </c>
      <c r="L25" s="21">
        <v>222000</v>
      </c>
      <c r="M25" s="20" t="s">
        <v>39</v>
      </c>
      <c r="N25" s="20" t="s">
        <v>39</v>
      </c>
      <c r="O25" s="19" t="s">
        <v>39</v>
      </c>
      <c r="P25" s="20" t="s">
        <v>39</v>
      </c>
      <c r="Q25" s="20" t="s">
        <v>39</v>
      </c>
      <c r="R25" s="20" t="s">
        <v>39</v>
      </c>
      <c r="S25" s="20" t="s">
        <v>39</v>
      </c>
      <c r="T25" s="20" t="s">
        <v>39</v>
      </c>
      <c r="U25" s="26"/>
      <c r="V25" s="24" t="s">
        <v>39</v>
      </c>
      <c r="W25" s="47"/>
      <c r="X25" s="24" t="s">
        <v>39</v>
      </c>
      <c r="Y25" s="24" t="s">
        <v>39</v>
      </c>
      <c r="Z25" s="24" t="s">
        <v>39</v>
      </c>
      <c r="AA25" s="19" t="s">
        <v>39</v>
      </c>
      <c r="AB25" s="22" t="s">
        <v>39</v>
      </c>
      <c r="AC25" s="20" t="s">
        <v>39</v>
      </c>
      <c r="AD25" s="57" t="s">
        <v>108</v>
      </c>
      <c r="AE25" s="25" t="s">
        <v>109</v>
      </c>
      <c r="AF25" s="17"/>
    </row>
    <row r="26" s="2" customFormat="1" ht="48" customHeight="1" spans="1:32">
      <c r="A26" s="13">
        <v>24</v>
      </c>
      <c r="B26" s="14" t="s">
        <v>126</v>
      </c>
      <c r="C26" s="15" t="s">
        <v>34</v>
      </c>
      <c r="D26" s="15" t="s">
        <v>101</v>
      </c>
      <c r="E26" s="15" t="s">
        <v>102</v>
      </c>
      <c r="F26" s="13" t="s">
        <v>47</v>
      </c>
      <c r="G26" s="16" t="s">
        <v>103</v>
      </c>
      <c r="H26" s="18" t="s">
        <v>39</v>
      </c>
      <c r="I26" s="167" t="s">
        <v>127</v>
      </c>
      <c r="J26" s="18" t="s">
        <v>128</v>
      </c>
      <c r="K26" s="20" t="s">
        <v>39</v>
      </c>
      <c r="L26" s="21">
        <v>234000</v>
      </c>
      <c r="M26" s="20" t="s">
        <v>39</v>
      </c>
      <c r="N26" s="20" t="s">
        <v>39</v>
      </c>
      <c r="O26" s="19" t="s">
        <v>39</v>
      </c>
      <c r="P26" s="20" t="s">
        <v>39</v>
      </c>
      <c r="Q26" s="20" t="s">
        <v>39</v>
      </c>
      <c r="R26" s="20" t="s">
        <v>39</v>
      </c>
      <c r="S26" s="20" t="s">
        <v>39</v>
      </c>
      <c r="T26" s="58">
        <v>0.025</v>
      </c>
      <c r="U26" s="58">
        <v>0.055</v>
      </c>
      <c r="V26" s="24" t="s">
        <v>39</v>
      </c>
      <c r="W26" s="47"/>
      <c r="X26" s="24" t="s">
        <v>39</v>
      </c>
      <c r="Y26" s="24" t="s">
        <v>39</v>
      </c>
      <c r="Z26" s="24" t="s">
        <v>39</v>
      </c>
      <c r="AA26" s="19" t="s">
        <v>39</v>
      </c>
      <c r="AB26" s="22" t="s">
        <v>39</v>
      </c>
      <c r="AC26" s="20" t="s">
        <v>39</v>
      </c>
      <c r="AD26" s="57" t="s">
        <v>108</v>
      </c>
      <c r="AE26" s="25" t="s">
        <v>109</v>
      </c>
      <c r="AF26" s="17" t="s">
        <v>64</v>
      </c>
    </row>
    <row r="27" s="2" customFormat="1" ht="48" customHeight="1" spans="1:32">
      <c r="A27" s="13">
        <v>25</v>
      </c>
      <c r="B27" s="14" t="s">
        <v>129</v>
      </c>
      <c r="C27" s="15" t="s">
        <v>34</v>
      </c>
      <c r="D27" s="15" t="s">
        <v>101</v>
      </c>
      <c r="E27" s="15" t="s">
        <v>102</v>
      </c>
      <c r="F27" s="13" t="s">
        <v>47</v>
      </c>
      <c r="G27" s="16" t="s">
        <v>103</v>
      </c>
      <c r="H27" s="18" t="s">
        <v>39</v>
      </c>
      <c r="I27" s="167" t="s">
        <v>130</v>
      </c>
      <c r="J27" s="18" t="s">
        <v>107</v>
      </c>
      <c r="K27" s="20" t="s">
        <v>39</v>
      </c>
      <c r="L27" s="21">
        <v>514000</v>
      </c>
      <c r="M27" s="22">
        <v>0.08</v>
      </c>
      <c r="N27" s="20" t="s">
        <v>39</v>
      </c>
      <c r="O27" s="19" t="s">
        <v>39</v>
      </c>
      <c r="P27" s="22">
        <v>0.065</v>
      </c>
      <c r="Q27" s="22">
        <v>0.02</v>
      </c>
      <c r="R27" s="22">
        <v>0.035</v>
      </c>
      <c r="S27" s="20" t="s">
        <v>39</v>
      </c>
      <c r="T27" s="22">
        <v>0.03</v>
      </c>
      <c r="U27" s="22">
        <v>0.06</v>
      </c>
      <c r="V27" s="24" t="s">
        <v>39</v>
      </c>
      <c r="W27" s="47"/>
      <c r="X27" s="24" t="s">
        <v>39</v>
      </c>
      <c r="Y27" s="24" t="s">
        <v>39</v>
      </c>
      <c r="Z27" s="24" t="s">
        <v>39</v>
      </c>
      <c r="AA27" s="19" t="s">
        <v>39</v>
      </c>
      <c r="AB27" s="22" t="s">
        <v>39</v>
      </c>
      <c r="AC27" s="20" t="s">
        <v>39</v>
      </c>
      <c r="AD27" s="57" t="s">
        <v>108</v>
      </c>
      <c r="AE27" s="25" t="s">
        <v>109</v>
      </c>
      <c r="AF27" s="17" t="s">
        <v>64</v>
      </c>
    </row>
    <row r="28" s="2" customFormat="1" ht="48" customHeight="1" spans="1:32">
      <c r="A28" s="13">
        <v>26</v>
      </c>
      <c r="B28" s="14" t="s">
        <v>131</v>
      </c>
      <c r="C28" s="15" t="s">
        <v>34</v>
      </c>
      <c r="D28" s="15" t="s">
        <v>101</v>
      </c>
      <c r="E28" s="15" t="s">
        <v>102</v>
      </c>
      <c r="F28" s="13" t="s">
        <v>47</v>
      </c>
      <c r="G28" s="16" t="s">
        <v>103</v>
      </c>
      <c r="H28" s="18" t="s">
        <v>39</v>
      </c>
      <c r="I28" s="167" t="s">
        <v>132</v>
      </c>
      <c r="J28" s="18" t="s">
        <v>133</v>
      </c>
      <c r="K28" s="20" t="s">
        <v>39</v>
      </c>
      <c r="L28" s="21">
        <v>316000</v>
      </c>
      <c r="M28" s="22">
        <v>0.08</v>
      </c>
      <c r="N28" s="20" t="s">
        <v>39</v>
      </c>
      <c r="O28" s="19" t="s">
        <v>39</v>
      </c>
      <c r="P28" s="22">
        <v>0.065</v>
      </c>
      <c r="Q28" s="22">
        <v>0.02</v>
      </c>
      <c r="R28" s="22">
        <v>0.035</v>
      </c>
      <c r="S28" s="20" t="s">
        <v>39</v>
      </c>
      <c r="T28" s="22">
        <v>0.03</v>
      </c>
      <c r="U28" s="22">
        <v>0.06</v>
      </c>
      <c r="V28" s="24" t="s">
        <v>39</v>
      </c>
      <c r="W28" s="47"/>
      <c r="X28" s="24" t="s">
        <v>39</v>
      </c>
      <c r="Y28" s="24" t="s">
        <v>39</v>
      </c>
      <c r="Z28" s="24" t="s">
        <v>39</v>
      </c>
      <c r="AA28" s="19" t="s">
        <v>39</v>
      </c>
      <c r="AB28" s="22" t="s">
        <v>39</v>
      </c>
      <c r="AC28" s="20" t="s">
        <v>39</v>
      </c>
      <c r="AD28" s="57" t="s">
        <v>108</v>
      </c>
      <c r="AE28" s="25" t="s">
        <v>109</v>
      </c>
      <c r="AF28" s="17" t="s">
        <v>64</v>
      </c>
    </row>
    <row r="29" s="2" customFormat="1" ht="48" customHeight="1" spans="1:32">
      <c r="A29" s="13">
        <v>27</v>
      </c>
      <c r="B29" s="14" t="s">
        <v>134</v>
      </c>
      <c r="C29" s="15" t="s">
        <v>34</v>
      </c>
      <c r="D29" s="15" t="s">
        <v>101</v>
      </c>
      <c r="E29" s="15" t="s">
        <v>102</v>
      </c>
      <c r="F29" s="13" t="s">
        <v>47</v>
      </c>
      <c r="G29" s="16" t="s">
        <v>103</v>
      </c>
      <c r="H29" s="18" t="s">
        <v>39</v>
      </c>
      <c r="I29" s="167" t="s">
        <v>135</v>
      </c>
      <c r="J29" s="18" t="s">
        <v>136</v>
      </c>
      <c r="K29" s="20" t="s">
        <v>39</v>
      </c>
      <c r="L29" s="21">
        <v>310000</v>
      </c>
      <c r="M29" s="22">
        <v>0.08</v>
      </c>
      <c r="N29" s="20" t="s">
        <v>39</v>
      </c>
      <c r="O29" s="19" t="s">
        <v>39</v>
      </c>
      <c r="P29" s="22">
        <v>0.065</v>
      </c>
      <c r="Q29" s="22">
        <v>0.02</v>
      </c>
      <c r="R29" s="22">
        <v>0.035</v>
      </c>
      <c r="S29" s="20" t="s">
        <v>39</v>
      </c>
      <c r="T29" s="22">
        <v>0.03</v>
      </c>
      <c r="U29" s="22">
        <v>0.06</v>
      </c>
      <c r="V29" s="24" t="s">
        <v>39</v>
      </c>
      <c r="W29" s="47"/>
      <c r="X29" s="24" t="s">
        <v>39</v>
      </c>
      <c r="Y29" s="24" t="s">
        <v>39</v>
      </c>
      <c r="Z29" s="24" t="s">
        <v>39</v>
      </c>
      <c r="AA29" s="19" t="s">
        <v>39</v>
      </c>
      <c r="AB29" s="22" t="s">
        <v>39</v>
      </c>
      <c r="AC29" s="20" t="s">
        <v>39</v>
      </c>
      <c r="AD29" s="57" t="s">
        <v>108</v>
      </c>
      <c r="AE29" s="25" t="s">
        <v>109</v>
      </c>
      <c r="AF29" s="17" t="s">
        <v>64</v>
      </c>
    </row>
    <row r="30" s="2" customFormat="1" ht="48" customHeight="1" spans="1:32">
      <c r="A30" s="13">
        <v>28</v>
      </c>
      <c r="B30" s="14" t="s">
        <v>137</v>
      </c>
      <c r="C30" s="15" t="s">
        <v>34</v>
      </c>
      <c r="D30" s="15" t="s">
        <v>101</v>
      </c>
      <c r="E30" s="15" t="s">
        <v>102</v>
      </c>
      <c r="F30" s="13" t="s">
        <v>47</v>
      </c>
      <c r="G30" s="16" t="s">
        <v>103</v>
      </c>
      <c r="H30" s="18" t="s">
        <v>39</v>
      </c>
      <c r="I30" s="167" t="s">
        <v>138</v>
      </c>
      <c r="J30" s="18" t="s">
        <v>139</v>
      </c>
      <c r="K30" s="20" t="s">
        <v>39</v>
      </c>
      <c r="L30" s="21">
        <v>530000</v>
      </c>
      <c r="M30" s="22">
        <v>0.08</v>
      </c>
      <c r="N30" s="20" t="s">
        <v>39</v>
      </c>
      <c r="O30" s="19" t="s">
        <v>39</v>
      </c>
      <c r="P30" s="22">
        <v>0.065</v>
      </c>
      <c r="Q30" s="22">
        <v>0.02</v>
      </c>
      <c r="R30" s="22">
        <v>0.035</v>
      </c>
      <c r="S30" s="20" t="s">
        <v>39</v>
      </c>
      <c r="T30" s="22">
        <v>0.03</v>
      </c>
      <c r="U30" s="22">
        <v>0.06</v>
      </c>
      <c r="V30" s="24" t="s">
        <v>39</v>
      </c>
      <c r="W30" s="47"/>
      <c r="X30" s="24" t="s">
        <v>39</v>
      </c>
      <c r="Y30" s="24" t="s">
        <v>39</v>
      </c>
      <c r="Z30" s="24" t="s">
        <v>39</v>
      </c>
      <c r="AA30" s="19" t="s">
        <v>39</v>
      </c>
      <c r="AB30" s="22" t="s">
        <v>39</v>
      </c>
      <c r="AC30" s="20" t="s">
        <v>39</v>
      </c>
      <c r="AD30" s="57" t="s">
        <v>108</v>
      </c>
      <c r="AE30" s="25" t="s">
        <v>109</v>
      </c>
      <c r="AF30" s="17" t="s">
        <v>64</v>
      </c>
    </row>
    <row r="31" s="2" customFormat="1" ht="48" customHeight="1" spans="1:32">
      <c r="A31" s="13">
        <v>29</v>
      </c>
      <c r="B31" s="14" t="s">
        <v>140</v>
      </c>
      <c r="C31" s="15" t="s">
        <v>34</v>
      </c>
      <c r="D31" s="15" t="s">
        <v>101</v>
      </c>
      <c r="E31" s="15" t="s">
        <v>102</v>
      </c>
      <c r="F31" s="13" t="s">
        <v>47</v>
      </c>
      <c r="G31" s="16" t="s">
        <v>103</v>
      </c>
      <c r="H31" s="18" t="s">
        <v>39</v>
      </c>
      <c r="I31" s="167" t="s">
        <v>141</v>
      </c>
      <c r="J31" s="18" t="s">
        <v>142</v>
      </c>
      <c r="K31" s="20" t="s">
        <v>39</v>
      </c>
      <c r="L31" s="21">
        <v>526000</v>
      </c>
      <c r="M31" s="22">
        <v>0.08</v>
      </c>
      <c r="N31" s="20" t="s">
        <v>39</v>
      </c>
      <c r="O31" s="19" t="s">
        <v>39</v>
      </c>
      <c r="P31" s="22">
        <v>0.065</v>
      </c>
      <c r="Q31" s="22">
        <v>0.02</v>
      </c>
      <c r="R31" s="22">
        <v>0.035</v>
      </c>
      <c r="S31" s="20" t="s">
        <v>39</v>
      </c>
      <c r="T31" s="22">
        <v>0.03</v>
      </c>
      <c r="U31" s="22">
        <v>0.06</v>
      </c>
      <c r="V31" s="24" t="s">
        <v>39</v>
      </c>
      <c r="W31" s="47"/>
      <c r="X31" s="24" t="s">
        <v>39</v>
      </c>
      <c r="Y31" s="24" t="s">
        <v>39</v>
      </c>
      <c r="Z31" s="24" t="s">
        <v>39</v>
      </c>
      <c r="AA31" s="19" t="s">
        <v>39</v>
      </c>
      <c r="AB31" s="22" t="s">
        <v>39</v>
      </c>
      <c r="AC31" s="20" t="s">
        <v>39</v>
      </c>
      <c r="AD31" s="57" t="s">
        <v>108</v>
      </c>
      <c r="AE31" s="25" t="s">
        <v>109</v>
      </c>
      <c r="AF31" s="17" t="s">
        <v>64</v>
      </c>
    </row>
    <row r="32" s="2" customFormat="1" ht="48" customHeight="1" spans="1:32">
      <c r="A32" s="13">
        <v>30</v>
      </c>
      <c r="B32" s="14" t="s">
        <v>143</v>
      </c>
      <c r="C32" s="15" t="s">
        <v>34</v>
      </c>
      <c r="D32" s="15" t="s">
        <v>101</v>
      </c>
      <c r="E32" s="15" t="s">
        <v>102</v>
      </c>
      <c r="F32" s="13" t="s">
        <v>47</v>
      </c>
      <c r="G32" s="16" t="s">
        <v>103</v>
      </c>
      <c r="H32" s="18" t="s">
        <v>39</v>
      </c>
      <c r="I32" s="167" t="s">
        <v>144</v>
      </c>
      <c r="J32" s="18" t="s">
        <v>145</v>
      </c>
      <c r="K32" s="20" t="s">
        <v>39</v>
      </c>
      <c r="L32" s="21">
        <v>530000</v>
      </c>
      <c r="M32" s="22">
        <v>0.08</v>
      </c>
      <c r="N32" s="20" t="s">
        <v>39</v>
      </c>
      <c r="O32" s="19" t="s">
        <v>39</v>
      </c>
      <c r="P32" s="22">
        <v>0.065</v>
      </c>
      <c r="Q32" s="22">
        <v>0.02</v>
      </c>
      <c r="R32" s="22">
        <v>0.035</v>
      </c>
      <c r="S32" s="20" t="s">
        <v>39</v>
      </c>
      <c r="T32" s="22">
        <v>0.03</v>
      </c>
      <c r="U32" s="22">
        <v>0.06</v>
      </c>
      <c r="V32" s="24" t="s">
        <v>39</v>
      </c>
      <c r="W32" s="47"/>
      <c r="X32" s="24" t="s">
        <v>39</v>
      </c>
      <c r="Y32" s="24" t="s">
        <v>39</v>
      </c>
      <c r="Z32" s="24" t="s">
        <v>39</v>
      </c>
      <c r="AA32" s="19" t="s">
        <v>39</v>
      </c>
      <c r="AB32" s="22" t="s">
        <v>39</v>
      </c>
      <c r="AC32" s="20" t="s">
        <v>39</v>
      </c>
      <c r="AD32" s="57" t="s">
        <v>108</v>
      </c>
      <c r="AE32" s="25" t="s">
        <v>109</v>
      </c>
      <c r="AF32" s="17" t="s">
        <v>64</v>
      </c>
    </row>
    <row r="33" s="2" customFormat="1" ht="48" customHeight="1" spans="1:32">
      <c r="A33" s="13">
        <v>31</v>
      </c>
      <c r="B33" s="14" t="s">
        <v>146</v>
      </c>
      <c r="C33" s="15" t="s">
        <v>34</v>
      </c>
      <c r="D33" s="15" t="s">
        <v>101</v>
      </c>
      <c r="E33" s="15" t="s">
        <v>102</v>
      </c>
      <c r="F33" s="13" t="s">
        <v>47</v>
      </c>
      <c r="G33" s="16" t="s">
        <v>103</v>
      </c>
      <c r="H33" s="18" t="s">
        <v>39</v>
      </c>
      <c r="I33" s="167" t="s">
        <v>147</v>
      </c>
      <c r="J33" s="18" t="s">
        <v>148</v>
      </c>
      <c r="K33" s="20" t="s">
        <v>39</v>
      </c>
      <c r="L33" s="21">
        <v>360000</v>
      </c>
      <c r="M33" s="22">
        <v>0.08</v>
      </c>
      <c r="N33" s="20" t="s">
        <v>39</v>
      </c>
      <c r="O33" s="19" t="s">
        <v>39</v>
      </c>
      <c r="P33" s="22">
        <v>0.065</v>
      </c>
      <c r="Q33" s="22">
        <v>0.02</v>
      </c>
      <c r="R33" s="22">
        <v>0.035</v>
      </c>
      <c r="S33" s="20" t="s">
        <v>39</v>
      </c>
      <c r="T33" s="22">
        <v>0.03</v>
      </c>
      <c r="U33" s="22">
        <v>0.06</v>
      </c>
      <c r="V33" s="24" t="s">
        <v>39</v>
      </c>
      <c r="W33" s="47"/>
      <c r="X33" s="24" t="s">
        <v>39</v>
      </c>
      <c r="Y33" s="24" t="s">
        <v>39</v>
      </c>
      <c r="Z33" s="24" t="s">
        <v>39</v>
      </c>
      <c r="AA33" s="19" t="s">
        <v>39</v>
      </c>
      <c r="AB33" s="22" t="s">
        <v>39</v>
      </c>
      <c r="AC33" s="20" t="s">
        <v>39</v>
      </c>
      <c r="AD33" s="57" t="s">
        <v>108</v>
      </c>
      <c r="AE33" s="25" t="s">
        <v>109</v>
      </c>
      <c r="AF33" s="17" t="s">
        <v>64</v>
      </c>
    </row>
    <row r="34" s="2" customFormat="1" ht="48" customHeight="1" spans="1:32">
      <c r="A34" s="13">
        <v>32</v>
      </c>
      <c r="B34" s="14" t="s">
        <v>149</v>
      </c>
      <c r="C34" s="15" t="s">
        <v>34</v>
      </c>
      <c r="D34" s="15" t="s">
        <v>101</v>
      </c>
      <c r="E34" s="15" t="s">
        <v>102</v>
      </c>
      <c r="F34" s="13" t="s">
        <v>47</v>
      </c>
      <c r="G34" s="16" t="s">
        <v>103</v>
      </c>
      <c r="H34" s="18" t="s">
        <v>39</v>
      </c>
      <c r="I34" s="167" t="s">
        <v>150</v>
      </c>
      <c r="J34" s="18" t="s">
        <v>151</v>
      </c>
      <c r="K34" s="20" t="s">
        <v>39</v>
      </c>
      <c r="L34" s="21">
        <v>366000</v>
      </c>
      <c r="M34" s="22">
        <v>0.08</v>
      </c>
      <c r="N34" s="20" t="s">
        <v>39</v>
      </c>
      <c r="O34" s="19" t="s">
        <v>39</v>
      </c>
      <c r="P34" s="22">
        <v>0.065</v>
      </c>
      <c r="Q34" s="22">
        <v>0.02</v>
      </c>
      <c r="R34" s="22">
        <v>0.035</v>
      </c>
      <c r="S34" s="20" t="s">
        <v>39</v>
      </c>
      <c r="T34" s="22">
        <v>0.03</v>
      </c>
      <c r="U34" s="22">
        <v>0.06</v>
      </c>
      <c r="V34" s="24" t="s">
        <v>39</v>
      </c>
      <c r="W34" s="47"/>
      <c r="X34" s="24" t="s">
        <v>39</v>
      </c>
      <c r="Y34" s="24" t="s">
        <v>39</v>
      </c>
      <c r="Z34" s="24" t="s">
        <v>39</v>
      </c>
      <c r="AA34" s="19" t="s">
        <v>39</v>
      </c>
      <c r="AB34" s="22" t="s">
        <v>39</v>
      </c>
      <c r="AC34" s="20" t="s">
        <v>39</v>
      </c>
      <c r="AD34" s="57" t="s">
        <v>108</v>
      </c>
      <c r="AE34" s="25" t="s">
        <v>109</v>
      </c>
      <c r="AF34" s="17" t="s">
        <v>64</v>
      </c>
    </row>
    <row r="35" s="2" customFormat="1" ht="48" customHeight="1" spans="1:32">
      <c r="A35" s="13">
        <v>33</v>
      </c>
      <c r="B35" s="14" t="s">
        <v>152</v>
      </c>
      <c r="C35" s="15" t="s">
        <v>34</v>
      </c>
      <c r="D35" s="15" t="s">
        <v>101</v>
      </c>
      <c r="E35" s="15" t="s">
        <v>102</v>
      </c>
      <c r="F35" s="13" t="s">
        <v>47</v>
      </c>
      <c r="G35" s="16" t="s">
        <v>103</v>
      </c>
      <c r="H35" s="18" t="s">
        <v>39</v>
      </c>
      <c r="I35" s="167" t="s">
        <v>153</v>
      </c>
      <c r="J35" s="18" t="s">
        <v>154</v>
      </c>
      <c r="K35" s="20" t="s">
        <v>39</v>
      </c>
      <c r="L35" s="21">
        <v>284000</v>
      </c>
      <c r="M35" s="22">
        <v>0.06</v>
      </c>
      <c r="N35" s="22" t="s">
        <v>39</v>
      </c>
      <c r="O35" s="59" t="s">
        <v>39</v>
      </c>
      <c r="P35" s="22">
        <v>0.065</v>
      </c>
      <c r="Q35" s="22">
        <v>0.02</v>
      </c>
      <c r="R35" s="22">
        <v>0.025</v>
      </c>
      <c r="S35" s="22" t="s">
        <v>39</v>
      </c>
      <c r="T35" s="22">
        <v>0.03</v>
      </c>
      <c r="U35" s="22">
        <v>0.06</v>
      </c>
      <c r="V35" s="24" t="s">
        <v>39</v>
      </c>
      <c r="W35" s="47"/>
      <c r="X35" s="24" t="s">
        <v>39</v>
      </c>
      <c r="Y35" s="24" t="s">
        <v>39</v>
      </c>
      <c r="Z35" s="24" t="s">
        <v>39</v>
      </c>
      <c r="AA35" s="55" t="s">
        <v>39</v>
      </c>
      <c r="AB35" s="22" t="s">
        <v>39</v>
      </c>
      <c r="AC35" s="20" t="s">
        <v>39</v>
      </c>
      <c r="AD35" s="57" t="s">
        <v>108</v>
      </c>
      <c r="AE35" s="53" t="s">
        <v>155</v>
      </c>
      <c r="AF35" s="17" t="s">
        <v>64</v>
      </c>
    </row>
    <row r="36" s="2" customFormat="1" ht="12" customHeight="1" spans="1:32">
      <c r="A36" s="13">
        <v>34</v>
      </c>
      <c r="B36" s="14" t="s">
        <v>156</v>
      </c>
      <c r="C36" s="15" t="s">
        <v>34</v>
      </c>
      <c r="D36" s="15" t="s">
        <v>157</v>
      </c>
      <c r="E36" s="15" t="s">
        <v>158</v>
      </c>
      <c r="F36" s="13" t="s">
        <v>37</v>
      </c>
      <c r="G36" s="16" t="s">
        <v>103</v>
      </c>
      <c r="H36" s="16" t="s">
        <v>39</v>
      </c>
      <c r="I36" s="167" t="s">
        <v>39</v>
      </c>
      <c r="J36" s="18" t="s">
        <v>39</v>
      </c>
      <c r="K36" s="20" t="s">
        <v>39</v>
      </c>
      <c r="L36" s="21">
        <v>20350000</v>
      </c>
      <c r="M36" s="58" t="s">
        <v>39</v>
      </c>
      <c r="N36" s="20" t="s">
        <v>39</v>
      </c>
      <c r="O36" s="23">
        <v>0.02</v>
      </c>
      <c r="P36" s="20" t="s">
        <v>39</v>
      </c>
      <c r="Q36" s="20" t="s">
        <v>39</v>
      </c>
      <c r="R36" s="20" t="s">
        <v>39</v>
      </c>
      <c r="S36" s="20" t="s">
        <v>39</v>
      </c>
      <c r="T36" s="20" t="s">
        <v>39</v>
      </c>
      <c r="U36" s="20" t="s">
        <v>39</v>
      </c>
      <c r="V36" s="20" t="s">
        <v>39</v>
      </c>
      <c r="W36" s="47"/>
      <c r="X36" s="24" t="s">
        <v>39</v>
      </c>
      <c r="Y36" s="24" t="s">
        <v>39</v>
      </c>
      <c r="Z36" s="24" t="s">
        <v>39</v>
      </c>
      <c r="AA36" s="24" t="s">
        <v>39</v>
      </c>
      <c r="AB36" s="46">
        <v>0.05</v>
      </c>
      <c r="AC36" s="46" t="s">
        <v>39</v>
      </c>
      <c r="AD36" s="60"/>
      <c r="AE36" s="25"/>
      <c r="AF36" s="206"/>
    </row>
    <row r="37" s="2" customFormat="1" ht="12" customHeight="1" spans="1:32">
      <c r="A37" s="13">
        <v>35</v>
      </c>
      <c r="B37" s="14" t="s">
        <v>159</v>
      </c>
      <c r="C37" s="15" t="s">
        <v>34</v>
      </c>
      <c r="D37" s="15" t="s">
        <v>160</v>
      </c>
      <c r="E37" s="15" t="s">
        <v>161</v>
      </c>
      <c r="F37" s="13" t="s">
        <v>37</v>
      </c>
      <c r="G37" s="16" t="s">
        <v>103</v>
      </c>
      <c r="H37" s="16" t="s">
        <v>39</v>
      </c>
      <c r="I37" s="167" t="s">
        <v>39</v>
      </c>
      <c r="J37" s="18" t="s">
        <v>39</v>
      </c>
      <c r="K37" s="20" t="s">
        <v>39</v>
      </c>
      <c r="L37" s="21">
        <v>25000000</v>
      </c>
      <c r="M37" s="58" t="s">
        <v>39</v>
      </c>
      <c r="N37" s="20" t="s">
        <v>39</v>
      </c>
      <c r="O37" s="23">
        <v>0.02</v>
      </c>
      <c r="P37" s="20" t="s">
        <v>39</v>
      </c>
      <c r="Q37" s="20" t="s">
        <v>39</v>
      </c>
      <c r="R37" s="20" t="s">
        <v>39</v>
      </c>
      <c r="S37" s="20" t="s">
        <v>39</v>
      </c>
      <c r="T37" s="20" t="s">
        <v>39</v>
      </c>
      <c r="U37" s="20" t="s">
        <v>39</v>
      </c>
      <c r="V37" s="20" t="s">
        <v>39</v>
      </c>
      <c r="W37" s="47"/>
      <c r="X37" s="24" t="s">
        <v>39</v>
      </c>
      <c r="Y37" s="24" t="s">
        <v>39</v>
      </c>
      <c r="Z37" s="24" t="s">
        <v>39</v>
      </c>
      <c r="AA37" s="24" t="s">
        <v>39</v>
      </c>
      <c r="AB37" s="46">
        <v>0.05</v>
      </c>
      <c r="AC37" s="46" t="s">
        <v>39</v>
      </c>
      <c r="AD37" s="60"/>
      <c r="AE37" s="25"/>
      <c r="AF37" s="206"/>
    </row>
    <row r="38" s="2" customFormat="1" ht="12" customHeight="1" spans="1:32">
      <c r="A38" s="13">
        <v>36</v>
      </c>
      <c r="B38" s="14" t="s">
        <v>162</v>
      </c>
      <c r="C38" s="15" t="s">
        <v>34</v>
      </c>
      <c r="D38" s="15" t="s">
        <v>163</v>
      </c>
      <c r="E38" s="15" t="s">
        <v>164</v>
      </c>
      <c r="F38" s="13" t="s">
        <v>37</v>
      </c>
      <c r="G38" s="16" t="s">
        <v>103</v>
      </c>
      <c r="H38" s="16" t="s">
        <v>39</v>
      </c>
      <c r="I38" s="167" t="s">
        <v>39</v>
      </c>
      <c r="J38" s="18" t="s">
        <v>39</v>
      </c>
      <c r="K38" s="20" t="s">
        <v>39</v>
      </c>
      <c r="L38" s="21">
        <v>9507000</v>
      </c>
      <c r="M38" s="58" t="s">
        <v>39</v>
      </c>
      <c r="N38" s="20" t="s">
        <v>39</v>
      </c>
      <c r="O38" s="23">
        <v>0.02</v>
      </c>
      <c r="P38" s="20" t="s">
        <v>39</v>
      </c>
      <c r="Q38" s="20" t="s">
        <v>39</v>
      </c>
      <c r="R38" s="20" t="s">
        <v>39</v>
      </c>
      <c r="S38" s="20" t="s">
        <v>39</v>
      </c>
      <c r="T38" s="20" t="s">
        <v>39</v>
      </c>
      <c r="U38" s="20" t="s">
        <v>39</v>
      </c>
      <c r="V38" s="20" t="s">
        <v>39</v>
      </c>
      <c r="W38" s="47"/>
      <c r="X38" s="24" t="s">
        <v>39</v>
      </c>
      <c r="Y38" s="24" t="s">
        <v>39</v>
      </c>
      <c r="Z38" s="24" t="s">
        <v>39</v>
      </c>
      <c r="AA38" s="24" t="s">
        <v>39</v>
      </c>
      <c r="AB38" s="46">
        <v>0.05</v>
      </c>
      <c r="AC38" s="46" t="s">
        <v>39</v>
      </c>
      <c r="AD38" s="60"/>
      <c r="AE38" s="25"/>
      <c r="AF38" s="206"/>
    </row>
    <row r="39" s="2" customFormat="1" ht="12" customHeight="1" spans="1:32">
      <c r="A39" s="13">
        <v>37</v>
      </c>
      <c r="B39" s="14" t="s">
        <v>165</v>
      </c>
      <c r="C39" s="15" t="s">
        <v>34</v>
      </c>
      <c r="D39" s="15" t="s">
        <v>166</v>
      </c>
      <c r="E39" s="15" t="s">
        <v>167</v>
      </c>
      <c r="F39" s="13" t="s">
        <v>37</v>
      </c>
      <c r="G39" s="16" t="s">
        <v>103</v>
      </c>
      <c r="H39" s="16" t="s">
        <v>39</v>
      </c>
      <c r="I39" s="167" t="s">
        <v>39</v>
      </c>
      <c r="J39" s="18" t="s">
        <v>39</v>
      </c>
      <c r="K39" s="20" t="s">
        <v>39</v>
      </c>
      <c r="L39" s="21" t="s">
        <v>39</v>
      </c>
      <c r="M39" s="58" t="s">
        <v>39</v>
      </c>
      <c r="N39" s="20" t="s">
        <v>39</v>
      </c>
      <c r="O39" s="23">
        <v>0.02</v>
      </c>
      <c r="P39" s="20" t="s">
        <v>39</v>
      </c>
      <c r="Q39" s="20" t="s">
        <v>39</v>
      </c>
      <c r="R39" s="20" t="s">
        <v>39</v>
      </c>
      <c r="S39" s="20" t="s">
        <v>39</v>
      </c>
      <c r="T39" s="20" t="s">
        <v>39</v>
      </c>
      <c r="U39" s="20" t="s">
        <v>39</v>
      </c>
      <c r="V39" s="20" t="s">
        <v>39</v>
      </c>
      <c r="W39" s="47"/>
      <c r="X39" s="24" t="s">
        <v>39</v>
      </c>
      <c r="Y39" s="24" t="s">
        <v>39</v>
      </c>
      <c r="Z39" s="24" t="s">
        <v>39</v>
      </c>
      <c r="AA39" s="24" t="s">
        <v>39</v>
      </c>
      <c r="AB39" s="54" t="s">
        <v>39</v>
      </c>
      <c r="AC39" s="46" t="s">
        <v>39</v>
      </c>
      <c r="AD39" s="60"/>
      <c r="AE39" s="25"/>
      <c r="AF39" s="206"/>
    </row>
    <row r="40" s="2" customFormat="1" ht="12" customHeight="1" spans="1:32">
      <c r="A40" s="13">
        <v>38</v>
      </c>
      <c r="B40" s="14" t="s">
        <v>168</v>
      </c>
      <c r="C40" s="15" t="s">
        <v>34</v>
      </c>
      <c r="D40" s="15" t="s">
        <v>169</v>
      </c>
      <c r="E40" s="15" t="s">
        <v>170</v>
      </c>
      <c r="F40" s="13" t="s">
        <v>37</v>
      </c>
      <c r="G40" s="16" t="s">
        <v>103</v>
      </c>
      <c r="H40" s="16" t="s">
        <v>39</v>
      </c>
      <c r="I40" s="167" t="s">
        <v>39</v>
      </c>
      <c r="J40" s="18" t="s">
        <v>39</v>
      </c>
      <c r="K40" s="20" t="s">
        <v>39</v>
      </c>
      <c r="L40" s="21">
        <v>3960000</v>
      </c>
      <c r="M40" s="58" t="s">
        <v>39</v>
      </c>
      <c r="N40" s="20" t="s">
        <v>39</v>
      </c>
      <c r="O40" s="23">
        <v>0.02</v>
      </c>
      <c r="P40" s="20" t="s">
        <v>39</v>
      </c>
      <c r="Q40" s="20" t="s">
        <v>39</v>
      </c>
      <c r="R40" s="20" t="s">
        <v>39</v>
      </c>
      <c r="S40" s="20" t="s">
        <v>39</v>
      </c>
      <c r="T40" s="20" t="s">
        <v>39</v>
      </c>
      <c r="U40" s="20" t="s">
        <v>39</v>
      </c>
      <c r="V40" s="20" t="s">
        <v>39</v>
      </c>
      <c r="W40" s="47"/>
      <c r="X40" s="24" t="s">
        <v>39</v>
      </c>
      <c r="Y40" s="24" t="s">
        <v>39</v>
      </c>
      <c r="Z40" s="24" t="s">
        <v>39</v>
      </c>
      <c r="AA40" s="24" t="s">
        <v>39</v>
      </c>
      <c r="AB40" s="46">
        <v>0.05</v>
      </c>
      <c r="AC40" s="46" t="s">
        <v>39</v>
      </c>
      <c r="AD40" s="60"/>
      <c r="AE40" s="25"/>
      <c r="AF40" s="206"/>
    </row>
    <row r="41" s="2" customFormat="1" ht="12" customHeight="1" spans="1:32">
      <c r="A41" s="13">
        <v>39</v>
      </c>
      <c r="B41" s="14" t="s">
        <v>171</v>
      </c>
      <c r="C41" s="15" t="s">
        <v>34</v>
      </c>
      <c r="D41" s="15" t="s">
        <v>172</v>
      </c>
      <c r="E41" s="15" t="s">
        <v>173</v>
      </c>
      <c r="F41" s="13" t="s">
        <v>37</v>
      </c>
      <c r="G41" s="16" t="s">
        <v>103</v>
      </c>
      <c r="H41" s="16" t="s">
        <v>39</v>
      </c>
      <c r="I41" s="167" t="s">
        <v>39</v>
      </c>
      <c r="J41" s="18" t="s">
        <v>39</v>
      </c>
      <c r="K41" s="20" t="s">
        <v>39</v>
      </c>
      <c r="L41" s="21">
        <v>2350000</v>
      </c>
      <c r="M41" s="58" t="s">
        <v>39</v>
      </c>
      <c r="N41" s="20" t="s">
        <v>39</v>
      </c>
      <c r="O41" s="23">
        <v>0.02</v>
      </c>
      <c r="P41" s="20" t="s">
        <v>39</v>
      </c>
      <c r="Q41" s="20" t="s">
        <v>39</v>
      </c>
      <c r="R41" s="20" t="s">
        <v>39</v>
      </c>
      <c r="S41" s="20" t="s">
        <v>39</v>
      </c>
      <c r="T41" s="20" t="s">
        <v>39</v>
      </c>
      <c r="U41" s="20" t="s">
        <v>39</v>
      </c>
      <c r="V41" s="20" t="s">
        <v>39</v>
      </c>
      <c r="W41" s="47"/>
      <c r="X41" s="24" t="s">
        <v>39</v>
      </c>
      <c r="Y41" s="24" t="s">
        <v>39</v>
      </c>
      <c r="Z41" s="24" t="s">
        <v>39</v>
      </c>
      <c r="AA41" s="24" t="s">
        <v>39</v>
      </c>
      <c r="AB41" s="46">
        <v>0.06</v>
      </c>
      <c r="AC41" s="46" t="s">
        <v>39</v>
      </c>
      <c r="AD41" s="60"/>
      <c r="AE41" s="25"/>
      <c r="AF41" s="206"/>
    </row>
    <row r="42" s="2" customFormat="1" ht="12" customHeight="1" spans="1:32">
      <c r="A42" s="13">
        <v>40</v>
      </c>
      <c r="B42" s="14" t="s">
        <v>174</v>
      </c>
      <c r="C42" s="15" t="s">
        <v>175</v>
      </c>
      <c r="D42" s="15" t="s">
        <v>176</v>
      </c>
      <c r="E42" s="15" t="s">
        <v>177</v>
      </c>
      <c r="F42" s="13" t="s">
        <v>37</v>
      </c>
      <c r="G42" s="16" t="s">
        <v>178</v>
      </c>
      <c r="H42" s="16" t="s">
        <v>39</v>
      </c>
      <c r="I42" s="167" t="s">
        <v>39</v>
      </c>
      <c r="J42" s="16" t="s">
        <v>39</v>
      </c>
      <c r="K42" s="20" t="s">
        <v>39</v>
      </c>
      <c r="L42" s="21">
        <v>1570000</v>
      </c>
      <c r="M42" s="20" t="s">
        <v>39</v>
      </c>
      <c r="N42" s="20" t="s">
        <v>39</v>
      </c>
      <c r="O42" s="20" t="s">
        <v>39</v>
      </c>
      <c r="P42" s="20" t="s">
        <v>39</v>
      </c>
      <c r="Q42" s="20" t="s">
        <v>39</v>
      </c>
      <c r="R42" s="20" t="s">
        <v>39</v>
      </c>
      <c r="S42" s="20" t="s">
        <v>39</v>
      </c>
      <c r="T42" s="20" t="s">
        <v>39</v>
      </c>
      <c r="U42" s="20" t="s">
        <v>39</v>
      </c>
      <c r="V42" s="20" t="s">
        <v>39</v>
      </c>
      <c r="W42" s="45" t="s">
        <v>39</v>
      </c>
      <c r="X42" s="45" t="s">
        <v>39</v>
      </c>
      <c r="Y42" s="45" t="s">
        <v>39</v>
      </c>
      <c r="Z42" s="45" t="s">
        <v>39</v>
      </c>
      <c r="AA42" s="18" t="s">
        <v>39</v>
      </c>
      <c r="AB42" s="51">
        <v>0.03</v>
      </c>
      <c r="AC42" s="46" t="s">
        <v>39</v>
      </c>
      <c r="AD42" s="17"/>
      <c r="AE42" s="25"/>
      <c r="AF42" s="206"/>
    </row>
    <row r="43" s="2" customFormat="1" ht="12" customHeight="1" spans="1:32">
      <c r="A43" s="13">
        <v>41</v>
      </c>
      <c r="B43" s="14" t="s">
        <v>179</v>
      </c>
      <c r="C43" s="15" t="s">
        <v>175</v>
      </c>
      <c r="D43" s="15" t="s">
        <v>180</v>
      </c>
      <c r="E43" s="15" t="s">
        <v>181</v>
      </c>
      <c r="F43" s="13" t="s">
        <v>37</v>
      </c>
      <c r="G43" s="16" t="s">
        <v>178</v>
      </c>
      <c r="H43" s="16" t="s">
        <v>39</v>
      </c>
      <c r="I43" s="167" t="s">
        <v>39</v>
      </c>
      <c r="J43" s="16" t="s">
        <v>39</v>
      </c>
      <c r="K43" s="20" t="s">
        <v>39</v>
      </c>
      <c r="L43" s="21">
        <v>2850000</v>
      </c>
      <c r="M43" s="20" t="s">
        <v>39</v>
      </c>
      <c r="N43" s="20" t="s">
        <v>39</v>
      </c>
      <c r="O43" s="20" t="s">
        <v>39</v>
      </c>
      <c r="P43" s="20" t="s">
        <v>39</v>
      </c>
      <c r="Q43" s="20" t="s">
        <v>39</v>
      </c>
      <c r="R43" s="20" t="s">
        <v>39</v>
      </c>
      <c r="S43" s="20" t="s">
        <v>39</v>
      </c>
      <c r="T43" s="20" t="s">
        <v>39</v>
      </c>
      <c r="U43" s="20" t="s">
        <v>39</v>
      </c>
      <c r="V43" s="20" t="s">
        <v>39</v>
      </c>
      <c r="W43" s="45" t="s">
        <v>39</v>
      </c>
      <c r="X43" s="45" t="s">
        <v>39</v>
      </c>
      <c r="Y43" s="45" t="s">
        <v>39</v>
      </c>
      <c r="Z43" s="45" t="s">
        <v>39</v>
      </c>
      <c r="AA43" s="18" t="s">
        <v>39</v>
      </c>
      <c r="AB43" s="51">
        <v>0.16</v>
      </c>
      <c r="AC43" s="46" t="s">
        <v>39</v>
      </c>
      <c r="AD43" s="17"/>
      <c r="AE43" s="25"/>
      <c r="AF43" s="206"/>
    </row>
    <row r="44" s="2" customFormat="1" ht="12" customHeight="1" spans="1:32">
      <c r="A44" s="13">
        <v>42</v>
      </c>
      <c r="B44" s="14" t="s">
        <v>182</v>
      </c>
      <c r="C44" s="15" t="s">
        <v>175</v>
      </c>
      <c r="D44" s="15" t="s">
        <v>183</v>
      </c>
      <c r="E44" s="15" t="s">
        <v>184</v>
      </c>
      <c r="F44" s="13" t="s">
        <v>37</v>
      </c>
      <c r="G44" s="16" t="s">
        <v>178</v>
      </c>
      <c r="H44" s="16" t="s">
        <v>39</v>
      </c>
      <c r="I44" s="167" t="s">
        <v>39</v>
      </c>
      <c r="J44" s="16" t="s">
        <v>39</v>
      </c>
      <c r="K44" s="20" t="s">
        <v>39</v>
      </c>
      <c r="L44" s="21" t="s">
        <v>39</v>
      </c>
      <c r="M44" s="20" t="s">
        <v>39</v>
      </c>
      <c r="N44" s="47"/>
      <c r="O44" s="23">
        <v>0.02</v>
      </c>
      <c r="P44" s="47"/>
      <c r="Q44" s="20" t="s">
        <v>39</v>
      </c>
      <c r="R44" s="20" t="s">
        <v>39</v>
      </c>
      <c r="S44" s="20" t="s">
        <v>39</v>
      </c>
      <c r="T44" s="47"/>
      <c r="U44" s="47"/>
      <c r="V44" s="20" t="s">
        <v>39</v>
      </c>
      <c r="W44" s="44"/>
      <c r="X44" s="62">
        <v>0.035</v>
      </c>
      <c r="Y44" s="45" t="s">
        <v>39</v>
      </c>
      <c r="Z44" s="45" t="s">
        <v>39</v>
      </c>
      <c r="AA44" s="18" t="s">
        <v>39</v>
      </c>
      <c r="AB44" s="51">
        <v>0.08</v>
      </c>
      <c r="AC44" s="46" t="s">
        <v>39</v>
      </c>
      <c r="AD44" s="17"/>
      <c r="AE44" s="25"/>
      <c r="AF44" s="206"/>
    </row>
    <row r="45" s="2" customFormat="1" ht="24" customHeight="1" spans="1:32">
      <c r="A45" s="13">
        <v>43</v>
      </c>
      <c r="B45" s="14" t="s">
        <v>185</v>
      </c>
      <c r="C45" s="15" t="s">
        <v>175</v>
      </c>
      <c r="D45" s="15" t="s">
        <v>183</v>
      </c>
      <c r="E45" s="15" t="s">
        <v>184</v>
      </c>
      <c r="F45" s="13" t="s">
        <v>81</v>
      </c>
      <c r="G45" s="16" t="s">
        <v>178</v>
      </c>
      <c r="H45" s="18" t="s">
        <v>39</v>
      </c>
      <c r="I45" s="167" t="s">
        <v>186</v>
      </c>
      <c r="J45" s="16" t="s">
        <v>187</v>
      </c>
      <c r="K45" s="20" t="s">
        <v>39</v>
      </c>
      <c r="L45" s="21">
        <v>850000</v>
      </c>
      <c r="M45" s="63">
        <v>0.12</v>
      </c>
      <c r="N45" s="64"/>
      <c r="O45" s="63">
        <v>0.02</v>
      </c>
      <c r="P45" s="64" t="s">
        <v>39</v>
      </c>
      <c r="Q45" s="64" t="s">
        <v>39</v>
      </c>
      <c r="R45" s="64" t="s">
        <v>39</v>
      </c>
      <c r="S45" s="64" t="s">
        <v>39</v>
      </c>
      <c r="T45" s="65"/>
      <c r="U45" s="66"/>
      <c r="V45" s="64" t="s">
        <v>39</v>
      </c>
      <c r="W45" s="67">
        <v>0.2</v>
      </c>
      <c r="X45" s="68">
        <v>0.035</v>
      </c>
      <c r="Y45" s="65" t="s">
        <v>39</v>
      </c>
      <c r="Z45" s="65" t="s">
        <v>39</v>
      </c>
      <c r="AA45" s="65" t="s">
        <v>39</v>
      </c>
      <c r="AB45" s="51" t="s">
        <v>39</v>
      </c>
      <c r="AC45" s="46" t="s">
        <v>39</v>
      </c>
      <c r="AD45" s="69" t="s">
        <v>188</v>
      </c>
      <c r="AE45" s="25" t="s">
        <v>189</v>
      </c>
      <c r="AF45" s="17" t="s">
        <v>190</v>
      </c>
    </row>
    <row r="46" s="2" customFormat="1" ht="24" customHeight="1" spans="1:32">
      <c r="A46" s="13">
        <v>44</v>
      </c>
      <c r="B46" s="14" t="s">
        <v>191</v>
      </c>
      <c r="C46" s="15" t="s">
        <v>175</v>
      </c>
      <c r="D46" s="15" t="s">
        <v>183</v>
      </c>
      <c r="E46" s="15" t="s">
        <v>184</v>
      </c>
      <c r="F46" s="13" t="s">
        <v>81</v>
      </c>
      <c r="G46" s="16" t="s">
        <v>178</v>
      </c>
      <c r="H46" s="18" t="s">
        <v>39</v>
      </c>
      <c r="I46" s="167" t="s">
        <v>192</v>
      </c>
      <c r="J46" s="16" t="s">
        <v>193</v>
      </c>
      <c r="K46" s="20" t="s">
        <v>39</v>
      </c>
      <c r="L46" s="21">
        <v>1500000</v>
      </c>
      <c r="M46" s="70">
        <v>0.12</v>
      </c>
      <c r="N46" s="71"/>
      <c r="O46" s="70">
        <v>0.02</v>
      </c>
      <c r="P46" s="71" t="s">
        <v>39</v>
      </c>
      <c r="Q46" s="71" t="s">
        <v>39</v>
      </c>
      <c r="R46" s="71" t="s">
        <v>39</v>
      </c>
      <c r="S46" s="71" t="s">
        <v>39</v>
      </c>
      <c r="T46" s="72"/>
      <c r="U46" s="73"/>
      <c r="V46" s="71" t="s">
        <v>39</v>
      </c>
      <c r="W46" s="74"/>
      <c r="X46" s="75">
        <v>0.035</v>
      </c>
      <c r="Y46" s="72" t="s">
        <v>39</v>
      </c>
      <c r="Z46" s="72" t="s">
        <v>39</v>
      </c>
      <c r="AA46" s="72" t="s">
        <v>39</v>
      </c>
      <c r="AB46" s="51" t="s">
        <v>39</v>
      </c>
      <c r="AC46" s="46" t="s">
        <v>39</v>
      </c>
      <c r="AD46" s="76" t="s">
        <v>188</v>
      </c>
      <c r="AE46" s="25" t="s">
        <v>189</v>
      </c>
      <c r="AF46" s="17" t="s">
        <v>190</v>
      </c>
    </row>
    <row r="47" s="2" customFormat="1" ht="24" customHeight="1" spans="1:32">
      <c r="A47" s="13">
        <v>45</v>
      </c>
      <c r="B47" s="14" t="s">
        <v>194</v>
      </c>
      <c r="C47" s="15" t="s">
        <v>175</v>
      </c>
      <c r="D47" s="15" t="s">
        <v>183</v>
      </c>
      <c r="E47" s="15" t="s">
        <v>184</v>
      </c>
      <c r="F47" s="13" t="s">
        <v>81</v>
      </c>
      <c r="G47" s="16" t="s">
        <v>178</v>
      </c>
      <c r="H47" s="18" t="s">
        <v>39</v>
      </c>
      <c r="I47" s="167" t="s">
        <v>195</v>
      </c>
      <c r="J47" s="16" t="s">
        <v>196</v>
      </c>
      <c r="K47" s="20" t="s">
        <v>39</v>
      </c>
      <c r="L47" s="21">
        <v>340000</v>
      </c>
      <c r="M47" s="70">
        <v>0.12</v>
      </c>
      <c r="N47" s="71"/>
      <c r="O47" s="70">
        <v>0.02</v>
      </c>
      <c r="P47" s="71" t="s">
        <v>39</v>
      </c>
      <c r="Q47" s="71" t="s">
        <v>39</v>
      </c>
      <c r="R47" s="71" t="s">
        <v>39</v>
      </c>
      <c r="S47" s="71" t="s">
        <v>39</v>
      </c>
      <c r="T47" s="72"/>
      <c r="U47" s="73"/>
      <c r="V47" s="71" t="s">
        <v>39</v>
      </c>
      <c r="W47" s="77">
        <v>0.2</v>
      </c>
      <c r="X47" s="75">
        <v>0.035</v>
      </c>
      <c r="Y47" s="72" t="s">
        <v>39</v>
      </c>
      <c r="Z47" s="72" t="s">
        <v>39</v>
      </c>
      <c r="AA47" s="72" t="s">
        <v>39</v>
      </c>
      <c r="AB47" s="51" t="s">
        <v>39</v>
      </c>
      <c r="AC47" s="46" t="s">
        <v>39</v>
      </c>
      <c r="AD47" s="76" t="s">
        <v>188</v>
      </c>
      <c r="AE47" s="25" t="s">
        <v>189</v>
      </c>
      <c r="AF47" s="17" t="s">
        <v>190</v>
      </c>
    </row>
    <row r="48" s="2" customFormat="1" ht="24" customHeight="1" spans="1:32">
      <c r="A48" s="13">
        <v>46</v>
      </c>
      <c r="B48" s="14" t="s">
        <v>197</v>
      </c>
      <c r="C48" s="15" t="s">
        <v>175</v>
      </c>
      <c r="D48" s="15" t="s">
        <v>183</v>
      </c>
      <c r="E48" s="15" t="s">
        <v>184</v>
      </c>
      <c r="F48" s="13" t="s">
        <v>81</v>
      </c>
      <c r="G48" s="16" t="s">
        <v>178</v>
      </c>
      <c r="H48" s="18" t="s">
        <v>39</v>
      </c>
      <c r="I48" s="167" t="s">
        <v>198</v>
      </c>
      <c r="J48" s="16" t="s">
        <v>199</v>
      </c>
      <c r="K48" s="20" t="s">
        <v>39</v>
      </c>
      <c r="L48" s="21">
        <v>365000</v>
      </c>
      <c r="M48" s="70">
        <v>0.12</v>
      </c>
      <c r="N48" s="71"/>
      <c r="O48" s="70">
        <v>0.02</v>
      </c>
      <c r="P48" s="71" t="s">
        <v>39</v>
      </c>
      <c r="Q48" s="71" t="s">
        <v>39</v>
      </c>
      <c r="R48" s="71" t="s">
        <v>39</v>
      </c>
      <c r="S48" s="71" t="s">
        <v>39</v>
      </c>
      <c r="T48" s="72"/>
      <c r="U48" s="73"/>
      <c r="V48" s="71" t="s">
        <v>39</v>
      </c>
      <c r="W48" s="77">
        <v>0.2</v>
      </c>
      <c r="X48" s="75">
        <v>0.035</v>
      </c>
      <c r="Y48" s="72" t="s">
        <v>39</v>
      </c>
      <c r="Z48" s="72" t="s">
        <v>39</v>
      </c>
      <c r="AA48" s="72" t="s">
        <v>39</v>
      </c>
      <c r="AB48" s="51" t="s">
        <v>39</v>
      </c>
      <c r="AC48" s="46" t="s">
        <v>39</v>
      </c>
      <c r="AD48" s="76" t="s">
        <v>188</v>
      </c>
      <c r="AE48" s="25" t="s">
        <v>189</v>
      </c>
      <c r="AF48" s="17" t="s">
        <v>190</v>
      </c>
    </row>
    <row r="49" s="2" customFormat="1" ht="24" customHeight="1" spans="1:32">
      <c r="A49" s="13">
        <v>47</v>
      </c>
      <c r="B49" s="14" t="s">
        <v>200</v>
      </c>
      <c r="C49" s="15" t="s">
        <v>175</v>
      </c>
      <c r="D49" s="15" t="s">
        <v>183</v>
      </c>
      <c r="E49" s="15" t="s">
        <v>184</v>
      </c>
      <c r="F49" s="13" t="s">
        <v>81</v>
      </c>
      <c r="G49" s="16" t="s">
        <v>178</v>
      </c>
      <c r="H49" s="18" t="s">
        <v>39</v>
      </c>
      <c r="I49" s="167" t="s">
        <v>201</v>
      </c>
      <c r="J49" s="16" t="s">
        <v>196</v>
      </c>
      <c r="K49" s="20" t="s">
        <v>39</v>
      </c>
      <c r="L49" s="21">
        <v>370000</v>
      </c>
      <c r="M49" s="70">
        <v>0.12</v>
      </c>
      <c r="N49" s="71"/>
      <c r="O49" s="70">
        <v>0.02</v>
      </c>
      <c r="P49" s="71" t="s">
        <v>39</v>
      </c>
      <c r="Q49" s="71" t="s">
        <v>39</v>
      </c>
      <c r="R49" s="71" t="s">
        <v>39</v>
      </c>
      <c r="S49" s="71" t="s">
        <v>39</v>
      </c>
      <c r="T49" s="72"/>
      <c r="U49" s="73"/>
      <c r="V49" s="71" t="s">
        <v>39</v>
      </c>
      <c r="W49" s="77">
        <v>0.2</v>
      </c>
      <c r="X49" s="75">
        <v>0.035</v>
      </c>
      <c r="Y49" s="72" t="s">
        <v>39</v>
      </c>
      <c r="Z49" s="72" t="s">
        <v>39</v>
      </c>
      <c r="AA49" s="72" t="s">
        <v>39</v>
      </c>
      <c r="AB49" s="51" t="s">
        <v>39</v>
      </c>
      <c r="AC49" s="46" t="s">
        <v>39</v>
      </c>
      <c r="AD49" s="76" t="s">
        <v>188</v>
      </c>
      <c r="AE49" s="25" t="s">
        <v>189</v>
      </c>
      <c r="AF49" s="17" t="s">
        <v>190</v>
      </c>
    </row>
    <row r="50" s="2" customFormat="1" ht="24" customHeight="1" spans="1:32">
      <c r="A50" s="13">
        <v>48</v>
      </c>
      <c r="B50" s="14" t="s">
        <v>202</v>
      </c>
      <c r="C50" s="15" t="s">
        <v>175</v>
      </c>
      <c r="D50" s="15" t="s">
        <v>183</v>
      </c>
      <c r="E50" s="15" t="s">
        <v>184</v>
      </c>
      <c r="F50" s="13" t="s">
        <v>81</v>
      </c>
      <c r="G50" s="16" t="s">
        <v>178</v>
      </c>
      <c r="H50" s="18" t="s">
        <v>39</v>
      </c>
      <c r="I50" s="167" t="s">
        <v>203</v>
      </c>
      <c r="J50" s="16" t="s">
        <v>204</v>
      </c>
      <c r="K50" s="20" t="s">
        <v>39</v>
      </c>
      <c r="L50" s="21">
        <v>440000</v>
      </c>
      <c r="M50" s="70">
        <v>0.12</v>
      </c>
      <c r="N50" s="71"/>
      <c r="O50" s="70">
        <v>0.02</v>
      </c>
      <c r="P50" s="71" t="s">
        <v>39</v>
      </c>
      <c r="Q50" s="71" t="s">
        <v>39</v>
      </c>
      <c r="R50" s="71" t="s">
        <v>39</v>
      </c>
      <c r="S50" s="71" t="s">
        <v>39</v>
      </c>
      <c r="T50" s="72"/>
      <c r="U50" s="73"/>
      <c r="V50" s="71" t="s">
        <v>39</v>
      </c>
      <c r="W50" s="77">
        <v>0.2</v>
      </c>
      <c r="X50" s="75">
        <v>0.035</v>
      </c>
      <c r="Y50" s="72" t="s">
        <v>39</v>
      </c>
      <c r="Z50" s="72" t="s">
        <v>39</v>
      </c>
      <c r="AA50" s="72" t="s">
        <v>39</v>
      </c>
      <c r="AB50" s="51" t="s">
        <v>39</v>
      </c>
      <c r="AC50" s="46" t="s">
        <v>39</v>
      </c>
      <c r="AD50" s="76" t="s">
        <v>188</v>
      </c>
      <c r="AE50" s="25" t="s">
        <v>189</v>
      </c>
      <c r="AF50" s="17" t="s">
        <v>190</v>
      </c>
    </row>
    <row r="51" s="2" customFormat="1" ht="12" customHeight="1" spans="1:32">
      <c r="A51" s="13">
        <v>49</v>
      </c>
      <c r="B51" s="14" t="s">
        <v>205</v>
      </c>
      <c r="C51" s="15" t="s">
        <v>175</v>
      </c>
      <c r="D51" s="15" t="s">
        <v>206</v>
      </c>
      <c r="E51" s="15" t="s">
        <v>207</v>
      </c>
      <c r="F51" s="13" t="s">
        <v>37</v>
      </c>
      <c r="G51" s="16" t="s">
        <v>178</v>
      </c>
      <c r="H51" s="16" t="s">
        <v>39</v>
      </c>
      <c r="I51" s="167" t="s">
        <v>39</v>
      </c>
      <c r="J51" s="16" t="s">
        <v>39</v>
      </c>
      <c r="K51" s="20" t="s">
        <v>39</v>
      </c>
      <c r="L51" s="21" t="s">
        <v>39</v>
      </c>
      <c r="M51" s="77" t="s">
        <v>39</v>
      </c>
      <c r="N51" s="78"/>
      <c r="O51" s="79">
        <v>0.02</v>
      </c>
      <c r="P51" s="78"/>
      <c r="Q51" s="77" t="s">
        <v>39</v>
      </c>
      <c r="R51" s="77" t="s">
        <v>39</v>
      </c>
      <c r="S51" s="77" t="s">
        <v>39</v>
      </c>
      <c r="T51" s="78"/>
      <c r="U51" s="78"/>
      <c r="V51" s="77" t="s">
        <v>39</v>
      </c>
      <c r="W51" s="80"/>
      <c r="X51" s="72" t="s">
        <v>39</v>
      </c>
      <c r="Y51" s="80"/>
      <c r="Z51" s="72" t="s">
        <v>39</v>
      </c>
      <c r="AA51" s="72" t="s">
        <v>39</v>
      </c>
      <c r="AB51" s="51">
        <v>0.06</v>
      </c>
      <c r="AC51" s="46" t="s">
        <v>39</v>
      </c>
      <c r="AD51" s="76"/>
      <c r="AE51" s="25"/>
      <c r="AF51" s="206"/>
    </row>
    <row r="52" s="2" customFormat="1" ht="24" customHeight="1" spans="1:32">
      <c r="A52" s="13">
        <v>50</v>
      </c>
      <c r="B52" s="14" t="s">
        <v>208</v>
      </c>
      <c r="C52" s="15" t="s">
        <v>175</v>
      </c>
      <c r="D52" s="15" t="s">
        <v>206</v>
      </c>
      <c r="E52" s="15" t="s">
        <v>207</v>
      </c>
      <c r="F52" s="13" t="s">
        <v>81</v>
      </c>
      <c r="G52" s="16" t="s">
        <v>178</v>
      </c>
      <c r="H52" s="18" t="s">
        <v>39</v>
      </c>
      <c r="I52" s="167" t="s">
        <v>209</v>
      </c>
      <c r="J52" s="18" t="s">
        <v>210</v>
      </c>
      <c r="K52" s="20" t="s">
        <v>39</v>
      </c>
      <c r="L52" s="21">
        <v>345000</v>
      </c>
      <c r="M52" s="70">
        <v>0.14</v>
      </c>
      <c r="N52" s="71" t="s">
        <v>39</v>
      </c>
      <c r="O52" s="70">
        <v>0.02</v>
      </c>
      <c r="P52" s="71" t="s">
        <v>39</v>
      </c>
      <c r="Q52" s="71" t="s">
        <v>39</v>
      </c>
      <c r="R52" s="71" t="s">
        <v>39</v>
      </c>
      <c r="S52" s="71" t="s">
        <v>39</v>
      </c>
      <c r="T52" s="81">
        <v>0.05</v>
      </c>
      <c r="U52" s="70">
        <v>0.06</v>
      </c>
      <c r="V52" s="70">
        <v>0.01</v>
      </c>
      <c r="W52" s="77">
        <v>0.2</v>
      </c>
      <c r="X52" s="77" t="s">
        <v>39</v>
      </c>
      <c r="Y52" s="72" t="s">
        <v>39</v>
      </c>
      <c r="Z52" s="72" t="s">
        <v>39</v>
      </c>
      <c r="AA52" s="72" t="s">
        <v>39</v>
      </c>
      <c r="AB52" s="51" t="s">
        <v>39</v>
      </c>
      <c r="AC52" s="46" t="s">
        <v>39</v>
      </c>
      <c r="AD52" s="82" t="s">
        <v>211</v>
      </c>
      <c r="AE52" s="25" t="s">
        <v>212</v>
      </c>
      <c r="AF52" s="17"/>
    </row>
    <row r="53" s="2" customFormat="1" ht="24" customHeight="1" spans="1:32">
      <c r="A53" s="13">
        <v>51</v>
      </c>
      <c r="B53" s="14" t="s">
        <v>213</v>
      </c>
      <c r="C53" s="15" t="s">
        <v>175</v>
      </c>
      <c r="D53" s="15" t="s">
        <v>206</v>
      </c>
      <c r="E53" s="15" t="s">
        <v>207</v>
      </c>
      <c r="F53" s="13" t="s">
        <v>81</v>
      </c>
      <c r="G53" s="16" t="s">
        <v>178</v>
      </c>
      <c r="H53" s="18" t="s">
        <v>39</v>
      </c>
      <c r="I53" s="167" t="s">
        <v>214</v>
      </c>
      <c r="J53" s="18" t="s">
        <v>215</v>
      </c>
      <c r="K53" s="20" t="s">
        <v>39</v>
      </c>
      <c r="L53" s="21">
        <v>475000</v>
      </c>
      <c r="M53" s="70">
        <v>0.14</v>
      </c>
      <c r="N53" s="71" t="s">
        <v>39</v>
      </c>
      <c r="O53" s="70">
        <v>0.02</v>
      </c>
      <c r="P53" s="71" t="s">
        <v>39</v>
      </c>
      <c r="Q53" s="71" t="s">
        <v>39</v>
      </c>
      <c r="R53" s="71" t="s">
        <v>39</v>
      </c>
      <c r="S53" s="71" t="s">
        <v>39</v>
      </c>
      <c r="T53" s="81">
        <v>0.05</v>
      </c>
      <c r="U53" s="70">
        <v>0.06</v>
      </c>
      <c r="V53" s="70">
        <v>0.01</v>
      </c>
      <c r="W53" s="77">
        <v>0.2</v>
      </c>
      <c r="X53" s="77" t="s">
        <v>39</v>
      </c>
      <c r="Y53" s="72" t="s">
        <v>39</v>
      </c>
      <c r="Z53" s="72" t="s">
        <v>39</v>
      </c>
      <c r="AA53" s="72" t="s">
        <v>39</v>
      </c>
      <c r="AB53" s="51" t="s">
        <v>39</v>
      </c>
      <c r="AC53" s="46" t="s">
        <v>39</v>
      </c>
      <c r="AD53" s="76" t="s">
        <v>211</v>
      </c>
      <c r="AE53" s="25" t="s">
        <v>212</v>
      </c>
      <c r="AF53" s="17"/>
    </row>
    <row r="54" s="2" customFormat="1" ht="24" customHeight="1" spans="1:32">
      <c r="A54" s="13">
        <v>52</v>
      </c>
      <c r="B54" s="14" t="s">
        <v>216</v>
      </c>
      <c r="C54" s="15" t="s">
        <v>175</v>
      </c>
      <c r="D54" s="15" t="s">
        <v>206</v>
      </c>
      <c r="E54" s="15" t="s">
        <v>207</v>
      </c>
      <c r="F54" s="13" t="s">
        <v>81</v>
      </c>
      <c r="G54" s="16" t="s">
        <v>178</v>
      </c>
      <c r="H54" s="18" t="s">
        <v>39</v>
      </c>
      <c r="I54" s="167" t="s">
        <v>217</v>
      </c>
      <c r="J54" s="18" t="s">
        <v>218</v>
      </c>
      <c r="K54" s="20" t="s">
        <v>39</v>
      </c>
      <c r="L54" s="21">
        <v>875000</v>
      </c>
      <c r="M54" s="70">
        <v>0.14</v>
      </c>
      <c r="N54" s="71" t="s">
        <v>39</v>
      </c>
      <c r="O54" s="70">
        <v>0.02</v>
      </c>
      <c r="P54" s="71" t="s">
        <v>39</v>
      </c>
      <c r="Q54" s="71" t="s">
        <v>39</v>
      </c>
      <c r="R54" s="71" t="s">
        <v>39</v>
      </c>
      <c r="S54" s="71" t="s">
        <v>39</v>
      </c>
      <c r="T54" s="81">
        <v>0.05</v>
      </c>
      <c r="U54" s="70">
        <v>0.06</v>
      </c>
      <c r="V54" s="70">
        <v>0.01</v>
      </c>
      <c r="W54" s="77">
        <v>0.2</v>
      </c>
      <c r="X54" s="77" t="s">
        <v>39</v>
      </c>
      <c r="Y54" s="72" t="s">
        <v>39</v>
      </c>
      <c r="Z54" s="72" t="s">
        <v>39</v>
      </c>
      <c r="AA54" s="72" t="s">
        <v>39</v>
      </c>
      <c r="AB54" s="51" t="s">
        <v>39</v>
      </c>
      <c r="AC54" s="46" t="s">
        <v>39</v>
      </c>
      <c r="AD54" s="76" t="s">
        <v>211</v>
      </c>
      <c r="AE54" s="25" t="s">
        <v>212</v>
      </c>
      <c r="AF54" s="17"/>
    </row>
    <row r="55" s="2" customFormat="1" ht="24" customHeight="1" spans="1:32">
      <c r="A55" s="13">
        <v>53</v>
      </c>
      <c r="B55" s="14" t="s">
        <v>219</v>
      </c>
      <c r="C55" s="15" t="s">
        <v>175</v>
      </c>
      <c r="D55" s="15" t="s">
        <v>206</v>
      </c>
      <c r="E55" s="15" t="s">
        <v>207</v>
      </c>
      <c r="F55" s="13" t="s">
        <v>81</v>
      </c>
      <c r="G55" s="16" t="s">
        <v>178</v>
      </c>
      <c r="H55" s="18" t="s">
        <v>39</v>
      </c>
      <c r="I55" s="167" t="s">
        <v>220</v>
      </c>
      <c r="J55" s="18" t="s">
        <v>221</v>
      </c>
      <c r="K55" s="20" t="s">
        <v>39</v>
      </c>
      <c r="L55" s="21">
        <v>485000</v>
      </c>
      <c r="M55" s="70">
        <v>0.14</v>
      </c>
      <c r="N55" s="71" t="s">
        <v>39</v>
      </c>
      <c r="O55" s="70">
        <v>0.02</v>
      </c>
      <c r="P55" s="71" t="s">
        <v>39</v>
      </c>
      <c r="Q55" s="71" t="s">
        <v>39</v>
      </c>
      <c r="R55" s="71" t="s">
        <v>39</v>
      </c>
      <c r="S55" s="71" t="s">
        <v>39</v>
      </c>
      <c r="T55" s="81">
        <v>0.05</v>
      </c>
      <c r="U55" s="70">
        <v>0.06</v>
      </c>
      <c r="V55" s="70">
        <v>0.01</v>
      </c>
      <c r="W55" s="77">
        <v>0.2</v>
      </c>
      <c r="X55" s="77" t="s">
        <v>39</v>
      </c>
      <c r="Y55" s="72" t="s">
        <v>39</v>
      </c>
      <c r="Z55" s="72" t="s">
        <v>39</v>
      </c>
      <c r="AA55" s="72" t="s">
        <v>39</v>
      </c>
      <c r="AB55" s="51" t="s">
        <v>39</v>
      </c>
      <c r="AC55" s="46" t="s">
        <v>39</v>
      </c>
      <c r="AD55" s="76" t="s">
        <v>211</v>
      </c>
      <c r="AE55" s="25" t="s">
        <v>212</v>
      </c>
      <c r="AF55" s="17"/>
    </row>
    <row r="56" s="2" customFormat="1" ht="24" customHeight="1" spans="1:32">
      <c r="A56" s="13">
        <v>54</v>
      </c>
      <c r="B56" s="14" t="s">
        <v>222</v>
      </c>
      <c r="C56" s="15" t="s">
        <v>175</v>
      </c>
      <c r="D56" s="15" t="s">
        <v>206</v>
      </c>
      <c r="E56" s="15" t="s">
        <v>207</v>
      </c>
      <c r="F56" s="13" t="s">
        <v>81</v>
      </c>
      <c r="G56" s="16" t="s">
        <v>178</v>
      </c>
      <c r="H56" s="18" t="s">
        <v>39</v>
      </c>
      <c r="I56" s="167" t="s">
        <v>223</v>
      </c>
      <c r="J56" s="18" t="s">
        <v>224</v>
      </c>
      <c r="K56" s="20" t="s">
        <v>39</v>
      </c>
      <c r="L56" s="21">
        <v>600000</v>
      </c>
      <c r="M56" s="70">
        <v>0.14</v>
      </c>
      <c r="N56" s="71" t="s">
        <v>39</v>
      </c>
      <c r="O56" s="70">
        <v>0.02</v>
      </c>
      <c r="P56" s="71" t="s">
        <v>39</v>
      </c>
      <c r="Q56" s="71" t="s">
        <v>39</v>
      </c>
      <c r="R56" s="71" t="s">
        <v>39</v>
      </c>
      <c r="S56" s="71" t="s">
        <v>39</v>
      </c>
      <c r="T56" s="81">
        <v>0.05</v>
      </c>
      <c r="U56" s="70">
        <v>0.06</v>
      </c>
      <c r="V56" s="70">
        <v>0.01</v>
      </c>
      <c r="W56" s="77">
        <v>0.2</v>
      </c>
      <c r="X56" s="77" t="s">
        <v>39</v>
      </c>
      <c r="Y56" s="72" t="s">
        <v>39</v>
      </c>
      <c r="Z56" s="72" t="s">
        <v>39</v>
      </c>
      <c r="AA56" s="72" t="s">
        <v>39</v>
      </c>
      <c r="AB56" s="51" t="s">
        <v>39</v>
      </c>
      <c r="AC56" s="46" t="s">
        <v>39</v>
      </c>
      <c r="AD56" s="76" t="s">
        <v>211</v>
      </c>
      <c r="AE56" s="25" t="s">
        <v>212</v>
      </c>
      <c r="AF56" s="17"/>
    </row>
    <row r="57" s="2" customFormat="1" ht="48" customHeight="1" spans="1:32">
      <c r="A57" s="13">
        <v>55</v>
      </c>
      <c r="B57" s="14" t="s">
        <v>225</v>
      </c>
      <c r="C57" s="15" t="s">
        <v>175</v>
      </c>
      <c r="D57" s="15" t="s">
        <v>206</v>
      </c>
      <c r="E57" s="15" t="s">
        <v>207</v>
      </c>
      <c r="F57" s="13" t="s">
        <v>81</v>
      </c>
      <c r="G57" s="16" t="s">
        <v>178</v>
      </c>
      <c r="H57" s="18" t="s">
        <v>39</v>
      </c>
      <c r="I57" s="167" t="s">
        <v>226</v>
      </c>
      <c r="J57" s="18" t="s">
        <v>227</v>
      </c>
      <c r="K57" s="20" t="s">
        <v>39</v>
      </c>
      <c r="L57" s="21">
        <v>615000</v>
      </c>
      <c r="M57" s="71">
        <v>120000</v>
      </c>
      <c r="N57" s="71" t="s">
        <v>39</v>
      </c>
      <c r="O57" s="70" t="s">
        <v>39</v>
      </c>
      <c r="P57" s="71" t="s">
        <v>39</v>
      </c>
      <c r="Q57" s="71" t="s">
        <v>39</v>
      </c>
      <c r="R57" s="71" t="s">
        <v>39</v>
      </c>
      <c r="S57" s="71" t="s">
        <v>39</v>
      </c>
      <c r="T57" s="81">
        <v>0.03</v>
      </c>
      <c r="U57" s="70">
        <v>0.05</v>
      </c>
      <c r="V57" s="70">
        <v>0.005</v>
      </c>
      <c r="W57" s="74"/>
      <c r="X57" s="72" t="s">
        <v>39</v>
      </c>
      <c r="Y57" s="72" t="s">
        <v>39</v>
      </c>
      <c r="Z57" s="72" t="s">
        <v>39</v>
      </c>
      <c r="AA57" s="72" t="s">
        <v>39</v>
      </c>
      <c r="AB57" s="51" t="s">
        <v>39</v>
      </c>
      <c r="AC57" s="46" t="s">
        <v>39</v>
      </c>
      <c r="AD57" s="76" t="s">
        <v>228</v>
      </c>
      <c r="AE57" s="25" t="s">
        <v>212</v>
      </c>
      <c r="AF57" s="17"/>
    </row>
    <row r="58" s="2" customFormat="1" ht="12" customHeight="1" spans="1:32">
      <c r="A58" s="13">
        <v>56</v>
      </c>
      <c r="B58" s="14" t="s">
        <v>229</v>
      </c>
      <c r="C58" s="15" t="s">
        <v>175</v>
      </c>
      <c r="D58" s="15" t="s">
        <v>230</v>
      </c>
      <c r="E58" s="15" t="s">
        <v>231</v>
      </c>
      <c r="F58" s="13" t="s">
        <v>37</v>
      </c>
      <c r="G58" s="16" t="s">
        <v>178</v>
      </c>
      <c r="H58" s="16" t="s">
        <v>39</v>
      </c>
      <c r="I58" s="167" t="s">
        <v>39</v>
      </c>
      <c r="J58" s="16" t="s">
        <v>39</v>
      </c>
      <c r="K58" s="20" t="s">
        <v>39</v>
      </c>
      <c r="L58" s="21" t="s">
        <v>39</v>
      </c>
      <c r="M58" s="77" t="s">
        <v>39</v>
      </c>
      <c r="N58" s="78"/>
      <c r="O58" s="83">
        <v>0.02</v>
      </c>
      <c r="P58" s="77" t="s">
        <v>39</v>
      </c>
      <c r="Q58" s="77" t="s">
        <v>39</v>
      </c>
      <c r="R58" s="77" t="s">
        <v>39</v>
      </c>
      <c r="S58" s="77" t="s">
        <v>39</v>
      </c>
      <c r="T58" s="78"/>
      <c r="U58" s="77" t="s">
        <v>39</v>
      </c>
      <c r="V58" s="77" t="s">
        <v>39</v>
      </c>
      <c r="W58" s="80"/>
      <c r="X58" s="72" t="s">
        <v>39</v>
      </c>
      <c r="Y58" s="72" t="s">
        <v>39</v>
      </c>
      <c r="Z58" s="72" t="s">
        <v>39</v>
      </c>
      <c r="AA58" s="72" t="s">
        <v>39</v>
      </c>
      <c r="AB58" s="51">
        <v>0.04</v>
      </c>
      <c r="AC58" s="46" t="s">
        <v>39</v>
      </c>
      <c r="AD58" s="82"/>
      <c r="AE58" s="25"/>
      <c r="AF58" s="206"/>
    </row>
    <row r="59" s="2" customFormat="1" ht="24" customHeight="1" spans="1:32">
      <c r="A59" s="13">
        <v>57</v>
      </c>
      <c r="B59" s="14" t="s">
        <v>232</v>
      </c>
      <c r="C59" s="15" t="s">
        <v>175</v>
      </c>
      <c r="D59" s="15" t="s">
        <v>230</v>
      </c>
      <c r="E59" s="15" t="s">
        <v>231</v>
      </c>
      <c r="F59" s="13" t="s">
        <v>81</v>
      </c>
      <c r="G59" s="16" t="s">
        <v>178</v>
      </c>
      <c r="H59" s="16" t="s">
        <v>60</v>
      </c>
      <c r="I59" s="17" t="s">
        <v>233</v>
      </c>
      <c r="J59" s="24" t="s">
        <v>210</v>
      </c>
      <c r="K59" s="20" t="s">
        <v>39</v>
      </c>
      <c r="L59" s="21">
        <v>450000</v>
      </c>
      <c r="M59" s="70">
        <v>0.03</v>
      </c>
      <c r="N59" s="71" t="s">
        <v>39</v>
      </c>
      <c r="O59" s="63">
        <v>0.02</v>
      </c>
      <c r="P59" s="71" t="s">
        <v>39</v>
      </c>
      <c r="Q59" s="84">
        <v>0.03</v>
      </c>
      <c r="R59" s="71" t="s">
        <v>39</v>
      </c>
      <c r="S59" s="71" t="s">
        <v>39</v>
      </c>
      <c r="T59" s="81" t="s">
        <v>39</v>
      </c>
      <c r="U59" s="70" t="s">
        <v>39</v>
      </c>
      <c r="V59" s="70" t="s">
        <v>39</v>
      </c>
      <c r="W59" s="79">
        <v>0.2</v>
      </c>
      <c r="X59" s="72" t="s">
        <v>39</v>
      </c>
      <c r="Y59" s="72" t="s">
        <v>39</v>
      </c>
      <c r="Z59" s="72" t="s">
        <v>39</v>
      </c>
      <c r="AA59" s="72" t="s">
        <v>39</v>
      </c>
      <c r="AB59" s="51" t="s">
        <v>39</v>
      </c>
      <c r="AC59" s="46" t="s">
        <v>39</v>
      </c>
      <c r="AD59" s="82" t="s">
        <v>234</v>
      </c>
      <c r="AE59" s="25" t="s">
        <v>189</v>
      </c>
      <c r="AF59" s="17"/>
    </row>
    <row r="60" s="2" customFormat="1" ht="24" customHeight="1" spans="1:32">
      <c r="A60" s="13">
        <v>58</v>
      </c>
      <c r="B60" s="14" t="s">
        <v>235</v>
      </c>
      <c r="C60" s="15" t="s">
        <v>175</v>
      </c>
      <c r="D60" s="15" t="s">
        <v>230</v>
      </c>
      <c r="E60" s="15" t="s">
        <v>231</v>
      </c>
      <c r="F60" s="13" t="s">
        <v>81</v>
      </c>
      <c r="G60" s="16" t="s">
        <v>178</v>
      </c>
      <c r="H60" s="16" t="s">
        <v>66</v>
      </c>
      <c r="I60" s="17" t="s">
        <v>236</v>
      </c>
      <c r="J60" s="85" t="s">
        <v>196</v>
      </c>
      <c r="K60" s="20" t="s">
        <v>39</v>
      </c>
      <c r="L60" s="21">
        <v>145000</v>
      </c>
      <c r="M60" s="70">
        <v>0.03</v>
      </c>
      <c r="N60" s="71" t="s">
        <v>39</v>
      </c>
      <c r="O60" s="70">
        <v>0.02</v>
      </c>
      <c r="P60" s="71" t="s">
        <v>39</v>
      </c>
      <c r="Q60" s="84">
        <v>0.03</v>
      </c>
      <c r="R60" s="71" t="s">
        <v>39</v>
      </c>
      <c r="S60" s="71" t="s">
        <v>39</v>
      </c>
      <c r="T60" s="81" t="s">
        <v>39</v>
      </c>
      <c r="U60" s="70" t="s">
        <v>39</v>
      </c>
      <c r="V60" s="70" t="s">
        <v>39</v>
      </c>
      <c r="W60" s="79">
        <v>0.2</v>
      </c>
      <c r="X60" s="72" t="s">
        <v>39</v>
      </c>
      <c r="Y60" s="72" t="s">
        <v>39</v>
      </c>
      <c r="Z60" s="72" t="s">
        <v>39</v>
      </c>
      <c r="AA60" s="72" t="s">
        <v>39</v>
      </c>
      <c r="AB60" s="51" t="s">
        <v>39</v>
      </c>
      <c r="AC60" s="46" t="s">
        <v>39</v>
      </c>
      <c r="AD60" s="82" t="s">
        <v>234</v>
      </c>
      <c r="AE60" s="25" t="s">
        <v>189</v>
      </c>
      <c r="AF60" s="17"/>
    </row>
    <row r="61" s="2" customFormat="1" ht="12" customHeight="1" spans="1:32">
      <c r="A61" s="13">
        <v>59</v>
      </c>
      <c r="B61" s="521"/>
      <c r="C61" s="86" t="s">
        <v>175</v>
      </c>
      <c r="D61" s="86" t="s">
        <v>237</v>
      </c>
      <c r="E61" s="86" t="s">
        <v>238</v>
      </c>
      <c r="F61" s="88" t="s">
        <v>37</v>
      </c>
      <c r="G61" s="89" t="s">
        <v>178</v>
      </c>
      <c r="H61" s="89" t="s">
        <v>39</v>
      </c>
      <c r="I61" s="55" t="s">
        <v>39</v>
      </c>
      <c r="J61" s="90" t="s">
        <v>39</v>
      </c>
      <c r="K61" s="19" t="s">
        <v>39</v>
      </c>
      <c r="L61" s="21" t="s">
        <v>39</v>
      </c>
      <c r="M61" s="91" t="s">
        <v>39</v>
      </c>
      <c r="N61" s="90" t="s">
        <v>39</v>
      </c>
      <c r="O61" s="91" t="s">
        <v>39</v>
      </c>
      <c r="P61" s="90" t="s">
        <v>39</v>
      </c>
      <c r="Q61" s="92" t="s">
        <v>39</v>
      </c>
      <c r="R61" s="90" t="s">
        <v>39</v>
      </c>
      <c r="S61" s="90" t="s">
        <v>39</v>
      </c>
      <c r="T61" s="59" t="s">
        <v>39</v>
      </c>
      <c r="U61" s="91" t="s">
        <v>39</v>
      </c>
      <c r="V61" s="91" t="s">
        <v>39</v>
      </c>
      <c r="W61" s="55" t="s">
        <v>39</v>
      </c>
      <c r="X61" s="55" t="s">
        <v>39</v>
      </c>
      <c r="Y61" s="55" t="s">
        <v>39</v>
      </c>
      <c r="Z61" s="55" t="s">
        <v>39</v>
      </c>
      <c r="AA61" s="55" t="s">
        <v>39</v>
      </c>
      <c r="AB61" s="46">
        <v>0.035</v>
      </c>
      <c r="AC61" s="46">
        <v>0.005</v>
      </c>
      <c r="AD61" s="48" t="s">
        <v>104</v>
      </c>
      <c r="AE61" s="25"/>
      <c r="AF61" s="17"/>
    </row>
    <row r="62" s="2" customFormat="1" ht="24" customHeight="1" spans="1:32">
      <c r="A62" s="13">
        <v>60</v>
      </c>
      <c r="B62" s="14" t="s">
        <v>239</v>
      </c>
      <c r="C62" s="15" t="s">
        <v>175</v>
      </c>
      <c r="D62" s="15" t="s">
        <v>237</v>
      </c>
      <c r="E62" s="15" t="s">
        <v>238</v>
      </c>
      <c r="F62" s="13" t="s">
        <v>81</v>
      </c>
      <c r="G62" s="16" t="s">
        <v>178</v>
      </c>
      <c r="H62" s="18" t="s">
        <v>39</v>
      </c>
      <c r="I62" s="17" t="s">
        <v>240</v>
      </c>
      <c r="J62" s="93" t="s">
        <v>241</v>
      </c>
      <c r="K62" s="20" t="s">
        <v>39</v>
      </c>
      <c r="L62" s="21">
        <v>6000000</v>
      </c>
      <c r="M62" s="70">
        <v>0.035</v>
      </c>
      <c r="N62" s="79"/>
      <c r="O62" s="70" t="s">
        <v>39</v>
      </c>
      <c r="P62" s="94"/>
      <c r="Q62" s="71" t="s">
        <v>39</v>
      </c>
      <c r="R62" s="71" t="s">
        <v>39</v>
      </c>
      <c r="S62" s="71" t="s">
        <v>39</v>
      </c>
      <c r="T62" s="75"/>
      <c r="U62" s="95"/>
      <c r="V62" s="70" t="s">
        <v>39</v>
      </c>
      <c r="W62" s="72" t="s">
        <v>242</v>
      </c>
      <c r="X62" s="73" t="s">
        <v>39</v>
      </c>
      <c r="Y62" s="72" t="s">
        <v>39</v>
      </c>
      <c r="Z62" s="72" t="s">
        <v>39</v>
      </c>
      <c r="AA62" s="72" t="s">
        <v>39</v>
      </c>
      <c r="AB62" s="46" t="s">
        <v>39</v>
      </c>
      <c r="AC62" s="46" t="s">
        <v>39</v>
      </c>
      <c r="AD62" s="82" t="s">
        <v>243</v>
      </c>
      <c r="AE62" s="25" t="s">
        <v>244</v>
      </c>
      <c r="AF62" s="17"/>
    </row>
    <row r="63" s="2" customFormat="1" ht="12" customHeight="1" spans="1:32">
      <c r="A63" s="13">
        <v>61</v>
      </c>
      <c r="B63" s="14" t="s">
        <v>245</v>
      </c>
      <c r="C63" s="15" t="s">
        <v>175</v>
      </c>
      <c r="D63" s="15" t="s">
        <v>246</v>
      </c>
      <c r="E63" s="15" t="s">
        <v>247</v>
      </c>
      <c r="F63" s="13" t="s">
        <v>37</v>
      </c>
      <c r="G63" s="16" t="s">
        <v>103</v>
      </c>
      <c r="H63" s="16" t="s">
        <v>39</v>
      </c>
      <c r="I63" s="167" t="s">
        <v>39</v>
      </c>
      <c r="J63" s="16" t="s">
        <v>39</v>
      </c>
      <c r="K63" s="20" t="s">
        <v>39</v>
      </c>
      <c r="L63" s="21" t="s">
        <v>39</v>
      </c>
      <c r="M63" s="97" t="s">
        <v>39</v>
      </c>
      <c r="N63" s="97" t="s">
        <v>39</v>
      </c>
      <c r="O63" s="97" t="s">
        <v>39</v>
      </c>
      <c r="P63" s="97" t="s">
        <v>39</v>
      </c>
      <c r="Q63" s="97" t="s">
        <v>39</v>
      </c>
      <c r="R63" s="97" t="s">
        <v>39</v>
      </c>
      <c r="S63" s="97" t="s">
        <v>39</v>
      </c>
      <c r="T63" s="97" t="s">
        <v>39</v>
      </c>
      <c r="U63" s="97" t="s">
        <v>39</v>
      </c>
      <c r="V63" s="97" t="s">
        <v>39</v>
      </c>
      <c r="W63" s="78"/>
      <c r="X63" s="85" t="s">
        <v>39</v>
      </c>
      <c r="Y63" s="85" t="s">
        <v>39</v>
      </c>
      <c r="Z63" s="85" t="s">
        <v>39</v>
      </c>
      <c r="AA63" s="85" t="s">
        <v>39</v>
      </c>
      <c r="AB63" s="22">
        <v>0.1</v>
      </c>
      <c r="AC63" s="20" t="s">
        <v>39</v>
      </c>
      <c r="AD63" s="98"/>
      <c r="AE63" s="25"/>
      <c r="AF63" s="17"/>
    </row>
    <row r="64" s="2" customFormat="1" ht="48" customHeight="1" spans="1:32">
      <c r="A64" s="13">
        <v>62</v>
      </c>
      <c r="B64" s="14" t="s">
        <v>248</v>
      </c>
      <c r="C64" s="15" t="s">
        <v>175</v>
      </c>
      <c r="D64" s="15" t="s">
        <v>246</v>
      </c>
      <c r="E64" s="15" t="s">
        <v>247</v>
      </c>
      <c r="F64" s="13" t="s">
        <v>81</v>
      </c>
      <c r="G64" s="16" t="s">
        <v>103</v>
      </c>
      <c r="H64" s="16" t="s">
        <v>60</v>
      </c>
      <c r="I64" s="17" t="s">
        <v>249</v>
      </c>
      <c r="J64" s="18" t="s">
        <v>250</v>
      </c>
      <c r="K64" s="20" t="s">
        <v>39</v>
      </c>
      <c r="L64" s="21">
        <v>800000</v>
      </c>
      <c r="M64" s="102">
        <v>0.2</v>
      </c>
      <c r="N64" s="97" t="s">
        <v>39</v>
      </c>
      <c r="O64" s="97" t="s">
        <v>39</v>
      </c>
      <c r="P64" s="103" t="s">
        <v>39</v>
      </c>
      <c r="Q64" s="102" t="s">
        <v>39</v>
      </c>
      <c r="R64" s="102" t="s">
        <v>39</v>
      </c>
      <c r="S64" s="97" t="s">
        <v>39</v>
      </c>
      <c r="T64" s="102">
        <v>0.03</v>
      </c>
      <c r="U64" s="102">
        <v>0.04</v>
      </c>
      <c r="V64" s="85" t="s">
        <v>39</v>
      </c>
      <c r="W64" s="97" t="s">
        <v>251</v>
      </c>
      <c r="X64" s="85" t="s">
        <v>39</v>
      </c>
      <c r="Y64" s="85" t="s">
        <v>39</v>
      </c>
      <c r="Z64" s="85" t="s">
        <v>39</v>
      </c>
      <c r="AA64" s="85" t="s">
        <v>39</v>
      </c>
      <c r="AB64" s="22" t="s">
        <v>39</v>
      </c>
      <c r="AC64" s="20" t="s">
        <v>39</v>
      </c>
      <c r="AD64" s="104" t="s">
        <v>252</v>
      </c>
      <c r="AE64" s="25" t="s">
        <v>253</v>
      </c>
      <c r="AF64" s="17" t="s">
        <v>254</v>
      </c>
    </row>
    <row r="65" s="2" customFormat="1" ht="48" customHeight="1" spans="1:32">
      <c r="A65" s="13">
        <v>63</v>
      </c>
      <c r="B65" s="14" t="s">
        <v>255</v>
      </c>
      <c r="C65" s="15" t="s">
        <v>175</v>
      </c>
      <c r="D65" s="15" t="s">
        <v>246</v>
      </c>
      <c r="E65" s="15" t="s">
        <v>247</v>
      </c>
      <c r="F65" s="13" t="s">
        <v>81</v>
      </c>
      <c r="G65" s="16" t="s">
        <v>103</v>
      </c>
      <c r="H65" s="16" t="s">
        <v>66</v>
      </c>
      <c r="I65" s="17" t="s">
        <v>256</v>
      </c>
      <c r="J65" s="18" t="s">
        <v>257</v>
      </c>
      <c r="K65" s="20" t="s">
        <v>39</v>
      </c>
      <c r="L65" s="21">
        <v>880000</v>
      </c>
      <c r="M65" s="22">
        <v>0.18</v>
      </c>
      <c r="N65" s="20" t="s">
        <v>39</v>
      </c>
      <c r="O65" s="20" t="s">
        <v>39</v>
      </c>
      <c r="P65" s="59" t="s">
        <v>39</v>
      </c>
      <c r="Q65" s="22" t="s">
        <v>39</v>
      </c>
      <c r="R65" s="22" t="s">
        <v>39</v>
      </c>
      <c r="S65" s="20" t="s">
        <v>39</v>
      </c>
      <c r="T65" s="22">
        <v>0.02</v>
      </c>
      <c r="U65" s="22">
        <v>0.03</v>
      </c>
      <c r="V65" s="24" t="s">
        <v>39</v>
      </c>
      <c r="W65" s="20" t="s">
        <v>251</v>
      </c>
      <c r="X65" s="24" t="s">
        <v>39</v>
      </c>
      <c r="Y65" s="24" t="s">
        <v>39</v>
      </c>
      <c r="Z65" s="24" t="s">
        <v>39</v>
      </c>
      <c r="AA65" s="24" t="s">
        <v>39</v>
      </c>
      <c r="AB65" s="22" t="s">
        <v>39</v>
      </c>
      <c r="AC65" s="20" t="s">
        <v>39</v>
      </c>
      <c r="AD65" s="57" t="s">
        <v>252</v>
      </c>
      <c r="AE65" s="25" t="s">
        <v>253</v>
      </c>
      <c r="AF65" s="17" t="s">
        <v>254</v>
      </c>
    </row>
    <row r="66" s="2" customFormat="1" ht="48" customHeight="1" spans="1:32">
      <c r="A66" s="13">
        <v>64</v>
      </c>
      <c r="B66" s="14" t="s">
        <v>258</v>
      </c>
      <c r="C66" s="15" t="s">
        <v>175</v>
      </c>
      <c r="D66" s="15" t="s">
        <v>246</v>
      </c>
      <c r="E66" s="15" t="s">
        <v>247</v>
      </c>
      <c r="F66" s="13" t="s">
        <v>81</v>
      </c>
      <c r="G66" s="16" t="s">
        <v>103</v>
      </c>
      <c r="H66" s="16" t="s">
        <v>70</v>
      </c>
      <c r="I66" s="17" t="s">
        <v>259</v>
      </c>
      <c r="J66" s="18" t="s">
        <v>260</v>
      </c>
      <c r="K66" s="20" t="s">
        <v>39</v>
      </c>
      <c r="L66" s="21">
        <v>800000</v>
      </c>
      <c r="M66" s="22">
        <v>0.18</v>
      </c>
      <c r="N66" s="20" t="s">
        <v>39</v>
      </c>
      <c r="O66" s="20" t="s">
        <v>39</v>
      </c>
      <c r="P66" s="59" t="s">
        <v>39</v>
      </c>
      <c r="Q66" s="22" t="s">
        <v>39</v>
      </c>
      <c r="R66" s="22" t="s">
        <v>39</v>
      </c>
      <c r="S66" s="20" t="s">
        <v>39</v>
      </c>
      <c r="T66" s="22">
        <v>0.03</v>
      </c>
      <c r="U66" s="22">
        <v>0.03</v>
      </c>
      <c r="V66" s="24" t="s">
        <v>39</v>
      </c>
      <c r="W66" s="20" t="s">
        <v>251</v>
      </c>
      <c r="X66" s="24" t="s">
        <v>39</v>
      </c>
      <c r="Y66" s="24" t="s">
        <v>39</v>
      </c>
      <c r="Z66" s="24" t="s">
        <v>39</v>
      </c>
      <c r="AA66" s="24" t="s">
        <v>39</v>
      </c>
      <c r="AB66" s="22" t="s">
        <v>39</v>
      </c>
      <c r="AC66" s="20" t="s">
        <v>39</v>
      </c>
      <c r="AD66" s="57" t="s">
        <v>252</v>
      </c>
      <c r="AE66" s="25" t="s">
        <v>253</v>
      </c>
      <c r="AF66" s="17" t="s">
        <v>254</v>
      </c>
    </row>
    <row r="67" s="2" customFormat="1" ht="48" customHeight="1" spans="1:32">
      <c r="A67" s="13">
        <v>65</v>
      </c>
      <c r="B67" s="14" t="s">
        <v>261</v>
      </c>
      <c r="C67" s="15" t="s">
        <v>175</v>
      </c>
      <c r="D67" s="15" t="s">
        <v>246</v>
      </c>
      <c r="E67" s="15" t="s">
        <v>247</v>
      </c>
      <c r="F67" s="13" t="s">
        <v>81</v>
      </c>
      <c r="G67" s="16" t="s">
        <v>103</v>
      </c>
      <c r="H67" s="16" t="s">
        <v>74</v>
      </c>
      <c r="I67" s="17" t="s">
        <v>262</v>
      </c>
      <c r="J67" s="18" t="s">
        <v>263</v>
      </c>
      <c r="K67" s="20" t="s">
        <v>39</v>
      </c>
      <c r="L67" s="21">
        <v>800000</v>
      </c>
      <c r="M67" s="22">
        <v>0.2</v>
      </c>
      <c r="N67" s="20" t="s">
        <v>39</v>
      </c>
      <c r="O67" s="20" t="s">
        <v>39</v>
      </c>
      <c r="P67" s="59" t="s">
        <v>39</v>
      </c>
      <c r="Q67" s="22" t="s">
        <v>39</v>
      </c>
      <c r="R67" s="22" t="s">
        <v>39</v>
      </c>
      <c r="S67" s="20" t="s">
        <v>39</v>
      </c>
      <c r="T67" s="22">
        <v>0.03</v>
      </c>
      <c r="U67" s="22">
        <v>0.04</v>
      </c>
      <c r="V67" s="24" t="s">
        <v>39</v>
      </c>
      <c r="W67" s="20" t="s">
        <v>251</v>
      </c>
      <c r="X67" s="24" t="s">
        <v>39</v>
      </c>
      <c r="Y67" s="24" t="s">
        <v>39</v>
      </c>
      <c r="Z67" s="24" t="s">
        <v>39</v>
      </c>
      <c r="AA67" s="24" t="s">
        <v>39</v>
      </c>
      <c r="AB67" s="22" t="s">
        <v>39</v>
      </c>
      <c r="AC67" s="20" t="s">
        <v>39</v>
      </c>
      <c r="AD67" s="57" t="s">
        <v>252</v>
      </c>
      <c r="AE67" s="25" t="s">
        <v>253</v>
      </c>
      <c r="AF67" s="17" t="s">
        <v>254</v>
      </c>
    </row>
    <row r="68" s="2" customFormat="1" ht="48" customHeight="1" spans="1:32">
      <c r="A68" s="13">
        <v>66</v>
      </c>
      <c r="B68" s="14" t="s">
        <v>264</v>
      </c>
      <c r="C68" s="15" t="s">
        <v>175</v>
      </c>
      <c r="D68" s="15" t="s">
        <v>246</v>
      </c>
      <c r="E68" s="15" t="s">
        <v>247</v>
      </c>
      <c r="F68" s="13" t="s">
        <v>81</v>
      </c>
      <c r="G68" s="16" t="s">
        <v>103</v>
      </c>
      <c r="H68" s="16" t="s">
        <v>265</v>
      </c>
      <c r="I68" s="17" t="s">
        <v>266</v>
      </c>
      <c r="J68" s="18" t="s">
        <v>267</v>
      </c>
      <c r="K68" s="20" t="s">
        <v>39</v>
      </c>
      <c r="L68" s="21">
        <v>800000</v>
      </c>
      <c r="M68" s="22">
        <v>0.2</v>
      </c>
      <c r="N68" s="20" t="s">
        <v>39</v>
      </c>
      <c r="O68" s="20" t="s">
        <v>39</v>
      </c>
      <c r="P68" s="59" t="s">
        <v>39</v>
      </c>
      <c r="Q68" s="22" t="s">
        <v>39</v>
      </c>
      <c r="R68" s="22" t="s">
        <v>39</v>
      </c>
      <c r="S68" s="20" t="s">
        <v>39</v>
      </c>
      <c r="T68" s="22">
        <v>0.03</v>
      </c>
      <c r="U68" s="22">
        <v>0.04</v>
      </c>
      <c r="V68" s="24" t="s">
        <v>39</v>
      </c>
      <c r="W68" s="20" t="s">
        <v>251</v>
      </c>
      <c r="X68" s="24" t="s">
        <v>39</v>
      </c>
      <c r="Y68" s="24" t="s">
        <v>39</v>
      </c>
      <c r="Z68" s="24" t="s">
        <v>39</v>
      </c>
      <c r="AA68" s="24" t="s">
        <v>39</v>
      </c>
      <c r="AB68" s="22" t="s">
        <v>39</v>
      </c>
      <c r="AC68" s="20" t="s">
        <v>39</v>
      </c>
      <c r="AD68" s="57" t="s">
        <v>252</v>
      </c>
      <c r="AE68" s="25" t="s">
        <v>253</v>
      </c>
      <c r="AF68" s="17" t="s">
        <v>254</v>
      </c>
    </row>
    <row r="69" s="2" customFormat="1" ht="48" customHeight="1" spans="1:32">
      <c r="A69" s="13">
        <v>67</v>
      </c>
      <c r="B69" s="14" t="s">
        <v>268</v>
      </c>
      <c r="C69" s="15" t="s">
        <v>175</v>
      </c>
      <c r="D69" s="15" t="s">
        <v>246</v>
      </c>
      <c r="E69" s="15" t="s">
        <v>247</v>
      </c>
      <c r="F69" s="13" t="s">
        <v>81</v>
      </c>
      <c r="G69" s="16" t="s">
        <v>103</v>
      </c>
      <c r="H69" s="16" t="s">
        <v>86</v>
      </c>
      <c r="I69" s="17" t="s">
        <v>269</v>
      </c>
      <c r="J69" s="18" t="s">
        <v>270</v>
      </c>
      <c r="K69" s="20" t="s">
        <v>39</v>
      </c>
      <c r="L69" s="21">
        <v>800000</v>
      </c>
      <c r="M69" s="22">
        <v>0.2</v>
      </c>
      <c r="N69" s="20" t="s">
        <v>39</v>
      </c>
      <c r="O69" s="20" t="s">
        <v>39</v>
      </c>
      <c r="P69" s="59" t="s">
        <v>39</v>
      </c>
      <c r="Q69" s="22" t="s">
        <v>39</v>
      </c>
      <c r="R69" s="22" t="s">
        <v>39</v>
      </c>
      <c r="S69" s="20" t="s">
        <v>39</v>
      </c>
      <c r="T69" s="22">
        <v>0.03</v>
      </c>
      <c r="U69" s="22">
        <v>0.04</v>
      </c>
      <c r="V69" s="24" t="s">
        <v>39</v>
      </c>
      <c r="W69" s="20" t="s">
        <v>251</v>
      </c>
      <c r="X69" s="24" t="s">
        <v>39</v>
      </c>
      <c r="Y69" s="24" t="s">
        <v>39</v>
      </c>
      <c r="Z69" s="24" t="s">
        <v>39</v>
      </c>
      <c r="AA69" s="24" t="s">
        <v>39</v>
      </c>
      <c r="AB69" s="22" t="s">
        <v>39</v>
      </c>
      <c r="AC69" s="20" t="s">
        <v>39</v>
      </c>
      <c r="AD69" s="57" t="s">
        <v>252</v>
      </c>
      <c r="AE69" s="25" t="s">
        <v>253</v>
      </c>
      <c r="AF69" s="17" t="s">
        <v>254</v>
      </c>
    </row>
    <row r="70" s="2" customFormat="1" ht="48" customHeight="1" spans="1:32">
      <c r="A70" s="13">
        <v>68</v>
      </c>
      <c r="B70" s="14" t="s">
        <v>271</v>
      </c>
      <c r="C70" s="15" t="s">
        <v>175</v>
      </c>
      <c r="D70" s="15" t="s">
        <v>246</v>
      </c>
      <c r="E70" s="15" t="s">
        <v>247</v>
      </c>
      <c r="F70" s="13" t="s">
        <v>81</v>
      </c>
      <c r="G70" s="16" t="s">
        <v>103</v>
      </c>
      <c r="H70" s="16" t="s">
        <v>272</v>
      </c>
      <c r="I70" s="17" t="s">
        <v>273</v>
      </c>
      <c r="J70" s="18" t="s">
        <v>274</v>
      </c>
      <c r="K70" s="20" t="s">
        <v>39</v>
      </c>
      <c r="L70" s="21">
        <v>800000</v>
      </c>
      <c r="M70" s="22">
        <v>0.18</v>
      </c>
      <c r="N70" s="20" t="s">
        <v>39</v>
      </c>
      <c r="O70" s="20" t="s">
        <v>39</v>
      </c>
      <c r="P70" s="59" t="s">
        <v>39</v>
      </c>
      <c r="Q70" s="22" t="s">
        <v>39</v>
      </c>
      <c r="R70" s="22" t="s">
        <v>39</v>
      </c>
      <c r="S70" s="20" t="s">
        <v>39</v>
      </c>
      <c r="T70" s="22">
        <v>0.03</v>
      </c>
      <c r="U70" s="22">
        <v>0.03</v>
      </c>
      <c r="V70" s="24" t="s">
        <v>39</v>
      </c>
      <c r="W70" s="20" t="s">
        <v>251</v>
      </c>
      <c r="X70" s="24" t="s">
        <v>39</v>
      </c>
      <c r="Y70" s="24" t="s">
        <v>39</v>
      </c>
      <c r="Z70" s="24" t="s">
        <v>39</v>
      </c>
      <c r="AA70" s="24" t="s">
        <v>39</v>
      </c>
      <c r="AB70" s="22" t="s">
        <v>39</v>
      </c>
      <c r="AC70" s="20" t="s">
        <v>39</v>
      </c>
      <c r="AD70" s="57" t="s">
        <v>252</v>
      </c>
      <c r="AE70" s="25" t="s">
        <v>253</v>
      </c>
      <c r="AF70" s="17" t="s">
        <v>254</v>
      </c>
    </row>
    <row r="71" s="2" customFormat="1" ht="48" customHeight="1" spans="1:32">
      <c r="A71" s="13">
        <v>69</v>
      </c>
      <c r="B71" s="14" t="s">
        <v>275</v>
      </c>
      <c r="C71" s="15" t="s">
        <v>175</v>
      </c>
      <c r="D71" s="15" t="s">
        <v>246</v>
      </c>
      <c r="E71" s="15" t="s">
        <v>247</v>
      </c>
      <c r="F71" s="13" t="s">
        <v>81</v>
      </c>
      <c r="G71" s="16" t="s">
        <v>103</v>
      </c>
      <c r="H71" s="16" t="s">
        <v>276</v>
      </c>
      <c r="I71" s="17" t="s">
        <v>277</v>
      </c>
      <c r="J71" s="18" t="s">
        <v>278</v>
      </c>
      <c r="K71" s="20" t="s">
        <v>39</v>
      </c>
      <c r="L71" s="21">
        <v>800000</v>
      </c>
      <c r="M71" s="22">
        <v>0.2</v>
      </c>
      <c r="N71" s="20" t="s">
        <v>39</v>
      </c>
      <c r="O71" s="20" t="s">
        <v>39</v>
      </c>
      <c r="P71" s="59" t="s">
        <v>39</v>
      </c>
      <c r="Q71" s="22" t="s">
        <v>39</v>
      </c>
      <c r="R71" s="22" t="s">
        <v>39</v>
      </c>
      <c r="S71" s="20" t="s">
        <v>39</v>
      </c>
      <c r="T71" s="22">
        <v>0.03</v>
      </c>
      <c r="U71" s="22">
        <v>0.04</v>
      </c>
      <c r="V71" s="24" t="s">
        <v>39</v>
      </c>
      <c r="W71" s="20" t="s">
        <v>251</v>
      </c>
      <c r="X71" s="24" t="s">
        <v>39</v>
      </c>
      <c r="Y71" s="24" t="s">
        <v>39</v>
      </c>
      <c r="Z71" s="24" t="s">
        <v>39</v>
      </c>
      <c r="AA71" s="24" t="s">
        <v>39</v>
      </c>
      <c r="AB71" s="22" t="s">
        <v>39</v>
      </c>
      <c r="AC71" s="20" t="s">
        <v>39</v>
      </c>
      <c r="AD71" s="57" t="s">
        <v>252</v>
      </c>
      <c r="AE71" s="25" t="s">
        <v>253</v>
      </c>
      <c r="AF71" s="17" t="s">
        <v>254</v>
      </c>
    </row>
    <row r="72" s="2" customFormat="1" ht="48" customHeight="1" spans="1:32">
      <c r="A72" s="13">
        <v>70</v>
      </c>
      <c r="B72" s="14" t="s">
        <v>279</v>
      </c>
      <c r="C72" s="15" t="s">
        <v>175</v>
      </c>
      <c r="D72" s="15" t="s">
        <v>246</v>
      </c>
      <c r="E72" s="15" t="s">
        <v>247</v>
      </c>
      <c r="F72" s="13" t="s">
        <v>81</v>
      </c>
      <c r="G72" s="16" t="s">
        <v>103</v>
      </c>
      <c r="H72" s="16" t="s">
        <v>280</v>
      </c>
      <c r="I72" s="17" t="s">
        <v>281</v>
      </c>
      <c r="J72" s="18" t="s">
        <v>282</v>
      </c>
      <c r="K72" s="20" t="s">
        <v>39</v>
      </c>
      <c r="L72" s="21">
        <v>960000</v>
      </c>
      <c r="M72" s="22">
        <v>0.2</v>
      </c>
      <c r="N72" s="20" t="s">
        <v>39</v>
      </c>
      <c r="O72" s="20" t="s">
        <v>39</v>
      </c>
      <c r="P72" s="59" t="s">
        <v>39</v>
      </c>
      <c r="Q72" s="22" t="s">
        <v>39</v>
      </c>
      <c r="R72" s="22" t="s">
        <v>39</v>
      </c>
      <c r="S72" s="20" t="s">
        <v>39</v>
      </c>
      <c r="T72" s="22">
        <v>0.03</v>
      </c>
      <c r="U72" s="22">
        <v>0.04</v>
      </c>
      <c r="V72" s="24" t="s">
        <v>39</v>
      </c>
      <c r="W72" s="20" t="s">
        <v>251</v>
      </c>
      <c r="X72" s="24" t="s">
        <v>39</v>
      </c>
      <c r="Y72" s="24" t="s">
        <v>39</v>
      </c>
      <c r="Z72" s="24" t="s">
        <v>39</v>
      </c>
      <c r="AA72" s="24" t="s">
        <v>39</v>
      </c>
      <c r="AB72" s="22" t="s">
        <v>39</v>
      </c>
      <c r="AC72" s="20" t="s">
        <v>39</v>
      </c>
      <c r="AD72" s="57" t="s">
        <v>252</v>
      </c>
      <c r="AE72" s="25" t="s">
        <v>253</v>
      </c>
      <c r="AF72" s="17" t="s">
        <v>254</v>
      </c>
    </row>
    <row r="73" s="2" customFormat="1" ht="48" customHeight="1" spans="1:32">
      <c r="A73" s="13">
        <v>71</v>
      </c>
      <c r="B73" s="14" t="s">
        <v>283</v>
      </c>
      <c r="C73" s="15" t="s">
        <v>175</v>
      </c>
      <c r="D73" s="15" t="s">
        <v>246</v>
      </c>
      <c r="E73" s="15" t="s">
        <v>247</v>
      </c>
      <c r="F73" s="13" t="s">
        <v>81</v>
      </c>
      <c r="G73" s="16" t="s">
        <v>103</v>
      </c>
      <c r="H73" s="16" t="s">
        <v>284</v>
      </c>
      <c r="I73" s="17" t="s">
        <v>285</v>
      </c>
      <c r="J73" s="18" t="s">
        <v>286</v>
      </c>
      <c r="K73" s="20" t="s">
        <v>39</v>
      </c>
      <c r="L73" s="21">
        <v>480000</v>
      </c>
      <c r="M73" s="22">
        <v>0.18</v>
      </c>
      <c r="N73" s="20" t="s">
        <v>39</v>
      </c>
      <c r="O73" s="20" t="s">
        <v>39</v>
      </c>
      <c r="P73" s="59" t="s">
        <v>39</v>
      </c>
      <c r="Q73" s="22" t="s">
        <v>39</v>
      </c>
      <c r="R73" s="22" t="s">
        <v>39</v>
      </c>
      <c r="S73" s="20" t="s">
        <v>39</v>
      </c>
      <c r="T73" s="59" t="s">
        <v>39</v>
      </c>
      <c r="U73" s="26"/>
      <c r="V73" s="24" t="s">
        <v>39</v>
      </c>
      <c r="W73" s="20" t="s">
        <v>251</v>
      </c>
      <c r="X73" s="24" t="s">
        <v>39</v>
      </c>
      <c r="Y73" s="24" t="s">
        <v>39</v>
      </c>
      <c r="Z73" s="24" t="s">
        <v>39</v>
      </c>
      <c r="AA73" s="24" t="s">
        <v>39</v>
      </c>
      <c r="AB73" s="22" t="s">
        <v>39</v>
      </c>
      <c r="AC73" s="20" t="s">
        <v>39</v>
      </c>
      <c r="AD73" s="57" t="s">
        <v>287</v>
      </c>
      <c r="AE73" s="25" t="s">
        <v>288</v>
      </c>
      <c r="AF73" s="17" t="s">
        <v>254</v>
      </c>
    </row>
    <row r="74" s="2" customFormat="1" ht="12" customHeight="1" spans="1:32">
      <c r="A74" s="13">
        <v>72</v>
      </c>
      <c r="B74" s="14" t="s">
        <v>289</v>
      </c>
      <c r="C74" s="15" t="s">
        <v>175</v>
      </c>
      <c r="D74" s="15" t="s">
        <v>290</v>
      </c>
      <c r="E74" s="15" t="s">
        <v>291</v>
      </c>
      <c r="F74" s="13" t="s">
        <v>37</v>
      </c>
      <c r="G74" s="16" t="s">
        <v>103</v>
      </c>
      <c r="H74" s="16" t="s">
        <v>39</v>
      </c>
      <c r="I74" s="167" t="s">
        <v>39</v>
      </c>
      <c r="J74" s="16" t="s">
        <v>39</v>
      </c>
      <c r="K74" s="20" t="s">
        <v>39</v>
      </c>
      <c r="L74" s="21" t="s">
        <v>39</v>
      </c>
      <c r="M74" s="20" t="s">
        <v>39</v>
      </c>
      <c r="N74" s="20" t="s">
        <v>39</v>
      </c>
      <c r="O74" s="20" t="s">
        <v>39</v>
      </c>
      <c r="P74" s="20" t="s">
        <v>39</v>
      </c>
      <c r="Q74" s="20" t="s">
        <v>39</v>
      </c>
      <c r="R74" s="20" t="s">
        <v>39</v>
      </c>
      <c r="S74" s="20" t="s">
        <v>39</v>
      </c>
      <c r="T74" s="20" t="s">
        <v>39</v>
      </c>
      <c r="U74" s="20" t="s">
        <v>39</v>
      </c>
      <c r="V74" s="20" t="s">
        <v>39</v>
      </c>
      <c r="W74" s="44"/>
      <c r="X74" s="24" t="s">
        <v>39</v>
      </c>
      <c r="Y74" s="24" t="s">
        <v>39</v>
      </c>
      <c r="Z74" s="24" t="s">
        <v>39</v>
      </c>
      <c r="AA74" s="24" t="s">
        <v>39</v>
      </c>
      <c r="AB74" s="22">
        <v>0.05</v>
      </c>
      <c r="AC74" s="20" t="s">
        <v>39</v>
      </c>
      <c r="AD74" s="17"/>
      <c r="AE74" s="25"/>
      <c r="AF74" s="206"/>
    </row>
    <row r="75" s="2" customFormat="1" ht="60" customHeight="1" spans="1:32">
      <c r="A75" s="13">
        <v>73</v>
      </c>
      <c r="B75" s="14" t="s">
        <v>292</v>
      </c>
      <c r="C75" s="15" t="s">
        <v>175</v>
      </c>
      <c r="D75" s="15" t="s">
        <v>290</v>
      </c>
      <c r="E75" s="15" t="s">
        <v>291</v>
      </c>
      <c r="F75" s="13" t="s">
        <v>81</v>
      </c>
      <c r="G75" s="16" t="s">
        <v>103</v>
      </c>
      <c r="H75" s="16" t="s">
        <v>60</v>
      </c>
      <c r="I75" s="17" t="s">
        <v>240</v>
      </c>
      <c r="J75" s="18" t="s">
        <v>293</v>
      </c>
      <c r="K75" s="20" t="s">
        <v>39</v>
      </c>
      <c r="L75" s="21">
        <v>1330000</v>
      </c>
      <c r="M75" s="22">
        <v>0.12</v>
      </c>
      <c r="N75" s="22">
        <v>0.01</v>
      </c>
      <c r="O75" s="22"/>
      <c r="P75" s="22">
        <v>0.01</v>
      </c>
      <c r="Q75" s="22">
        <v>0.01</v>
      </c>
      <c r="R75" s="22">
        <v>0.01</v>
      </c>
      <c r="S75" s="22">
        <v>0.02</v>
      </c>
      <c r="T75" s="22">
        <v>0.02</v>
      </c>
      <c r="U75" s="22">
        <v>0.02</v>
      </c>
      <c r="V75" s="20" t="s">
        <v>39</v>
      </c>
      <c r="W75" s="20"/>
      <c r="X75" s="23">
        <v>0.03</v>
      </c>
      <c r="Y75" s="24" t="s">
        <v>39</v>
      </c>
      <c r="Z75" s="20"/>
      <c r="AA75" s="19" t="s">
        <v>39</v>
      </c>
      <c r="AB75" s="22" t="s">
        <v>39</v>
      </c>
      <c r="AC75" s="20" t="s">
        <v>39</v>
      </c>
      <c r="AD75" s="57" t="s">
        <v>294</v>
      </c>
      <c r="AE75" s="25" t="s">
        <v>295</v>
      </c>
      <c r="AF75" s="206"/>
    </row>
    <row r="76" s="2" customFormat="1" ht="60" customHeight="1" spans="1:32">
      <c r="A76" s="13">
        <v>74</v>
      </c>
      <c r="B76" s="14" t="s">
        <v>296</v>
      </c>
      <c r="C76" s="15" t="s">
        <v>175</v>
      </c>
      <c r="D76" s="15" t="s">
        <v>290</v>
      </c>
      <c r="E76" s="15" t="s">
        <v>291</v>
      </c>
      <c r="F76" s="13" t="s">
        <v>81</v>
      </c>
      <c r="G76" s="16" t="s">
        <v>103</v>
      </c>
      <c r="H76" s="16" t="s">
        <v>66</v>
      </c>
      <c r="I76" s="17" t="s">
        <v>297</v>
      </c>
      <c r="J76" s="18" t="s">
        <v>298</v>
      </c>
      <c r="K76" s="20" t="s">
        <v>39</v>
      </c>
      <c r="L76" s="21">
        <v>590000</v>
      </c>
      <c r="M76" s="22">
        <v>0.12</v>
      </c>
      <c r="N76" s="22">
        <v>0.01</v>
      </c>
      <c r="O76" s="22"/>
      <c r="P76" s="22">
        <v>0.01</v>
      </c>
      <c r="Q76" s="22">
        <v>0.01</v>
      </c>
      <c r="R76" s="22">
        <v>0.01</v>
      </c>
      <c r="S76" s="22">
        <v>0.02</v>
      </c>
      <c r="T76" s="22"/>
      <c r="U76" s="26"/>
      <c r="V76" s="20" t="s">
        <v>39</v>
      </c>
      <c r="W76" s="20"/>
      <c r="X76" s="23">
        <v>0.03</v>
      </c>
      <c r="Y76" s="24" t="s">
        <v>39</v>
      </c>
      <c r="Z76" s="20"/>
      <c r="AA76" s="19" t="s">
        <v>39</v>
      </c>
      <c r="AB76" s="22" t="s">
        <v>39</v>
      </c>
      <c r="AC76" s="20" t="s">
        <v>39</v>
      </c>
      <c r="AD76" s="57" t="s">
        <v>294</v>
      </c>
      <c r="AE76" s="25" t="s">
        <v>299</v>
      </c>
      <c r="AF76" s="206"/>
    </row>
    <row r="77" s="2" customFormat="1" ht="60" customHeight="1" spans="1:32">
      <c r="A77" s="13">
        <v>75</v>
      </c>
      <c r="B77" s="14" t="s">
        <v>300</v>
      </c>
      <c r="C77" s="15" t="s">
        <v>175</v>
      </c>
      <c r="D77" s="15" t="s">
        <v>290</v>
      </c>
      <c r="E77" s="15" t="s">
        <v>291</v>
      </c>
      <c r="F77" s="13" t="s">
        <v>81</v>
      </c>
      <c r="G77" s="16" t="s">
        <v>103</v>
      </c>
      <c r="H77" s="16" t="s">
        <v>70</v>
      </c>
      <c r="I77" s="17" t="s">
        <v>301</v>
      </c>
      <c r="J77" s="18" t="s">
        <v>302</v>
      </c>
      <c r="K77" s="20" t="s">
        <v>39</v>
      </c>
      <c r="L77" s="21">
        <v>400000</v>
      </c>
      <c r="M77" s="22">
        <v>0.12</v>
      </c>
      <c r="N77" s="22">
        <v>0.01</v>
      </c>
      <c r="O77" s="22"/>
      <c r="P77" s="22">
        <v>0.01</v>
      </c>
      <c r="Q77" s="22">
        <v>0.01</v>
      </c>
      <c r="R77" s="22">
        <v>0.01</v>
      </c>
      <c r="S77" s="22">
        <v>0.02</v>
      </c>
      <c r="T77" s="22">
        <v>0.03</v>
      </c>
      <c r="U77" s="22">
        <v>0.03</v>
      </c>
      <c r="V77" s="20" t="s">
        <v>39</v>
      </c>
      <c r="W77" s="20"/>
      <c r="X77" s="23">
        <v>0.03</v>
      </c>
      <c r="Y77" s="24" t="s">
        <v>39</v>
      </c>
      <c r="Z77" s="20"/>
      <c r="AA77" s="19" t="s">
        <v>39</v>
      </c>
      <c r="AB77" s="22" t="s">
        <v>39</v>
      </c>
      <c r="AC77" s="20" t="s">
        <v>39</v>
      </c>
      <c r="AD77" s="104" t="s">
        <v>294</v>
      </c>
      <c r="AE77" s="25" t="s">
        <v>299</v>
      </c>
      <c r="AF77" s="206"/>
    </row>
    <row r="78" s="2" customFormat="1" ht="60" customHeight="1" spans="1:32">
      <c r="A78" s="13">
        <v>76</v>
      </c>
      <c r="B78" s="14" t="s">
        <v>303</v>
      </c>
      <c r="C78" s="15" t="s">
        <v>175</v>
      </c>
      <c r="D78" s="15" t="s">
        <v>290</v>
      </c>
      <c r="E78" s="15" t="s">
        <v>291</v>
      </c>
      <c r="F78" s="13" t="s">
        <v>81</v>
      </c>
      <c r="G78" s="16" t="s">
        <v>103</v>
      </c>
      <c r="H78" s="16" t="s">
        <v>265</v>
      </c>
      <c r="I78" s="17" t="s">
        <v>98</v>
      </c>
      <c r="J78" s="18" t="s">
        <v>304</v>
      </c>
      <c r="K78" s="20" t="s">
        <v>39</v>
      </c>
      <c r="L78" s="21">
        <v>240000</v>
      </c>
      <c r="M78" s="22">
        <v>0.05</v>
      </c>
      <c r="N78" s="22">
        <v>0.01</v>
      </c>
      <c r="O78" s="22"/>
      <c r="P78" s="22">
        <v>0.01</v>
      </c>
      <c r="Q78" s="22">
        <v>0.01</v>
      </c>
      <c r="R78" s="22">
        <v>0.01</v>
      </c>
      <c r="S78" s="22">
        <v>0.01</v>
      </c>
      <c r="T78" s="22"/>
      <c r="U78" s="26"/>
      <c r="V78" s="20" t="s">
        <v>39</v>
      </c>
      <c r="W78" s="20"/>
      <c r="X78" s="23">
        <v>0.03</v>
      </c>
      <c r="Y78" s="24" t="s">
        <v>39</v>
      </c>
      <c r="Z78" s="20"/>
      <c r="AA78" s="19" t="s">
        <v>39</v>
      </c>
      <c r="AB78" s="22" t="s">
        <v>39</v>
      </c>
      <c r="AC78" s="20" t="s">
        <v>39</v>
      </c>
      <c r="AD78" s="104" t="s">
        <v>294</v>
      </c>
      <c r="AE78" s="25" t="s">
        <v>299</v>
      </c>
      <c r="AF78" s="206"/>
    </row>
    <row r="79" s="2" customFormat="1" ht="60" customHeight="1" spans="1:32">
      <c r="A79" s="13">
        <v>77</v>
      </c>
      <c r="B79" s="14" t="s">
        <v>305</v>
      </c>
      <c r="C79" s="15" t="s">
        <v>175</v>
      </c>
      <c r="D79" s="15" t="s">
        <v>290</v>
      </c>
      <c r="E79" s="15" t="s">
        <v>291</v>
      </c>
      <c r="F79" s="13" t="s">
        <v>81</v>
      </c>
      <c r="G79" s="16" t="s">
        <v>103</v>
      </c>
      <c r="H79" s="16" t="s">
        <v>86</v>
      </c>
      <c r="I79" s="17" t="s">
        <v>306</v>
      </c>
      <c r="J79" s="18" t="s">
        <v>270</v>
      </c>
      <c r="K79" s="20" t="s">
        <v>39</v>
      </c>
      <c r="L79" s="21">
        <v>325000</v>
      </c>
      <c r="M79" s="22">
        <v>0.12</v>
      </c>
      <c r="N79" s="22">
        <v>0.01</v>
      </c>
      <c r="O79" s="22"/>
      <c r="P79" s="22">
        <v>0.01</v>
      </c>
      <c r="Q79" s="22">
        <v>0.01</v>
      </c>
      <c r="R79" s="22">
        <v>0.01</v>
      </c>
      <c r="S79" s="22">
        <v>0.02</v>
      </c>
      <c r="T79" s="22"/>
      <c r="U79" s="26"/>
      <c r="V79" s="20" t="s">
        <v>39</v>
      </c>
      <c r="W79" s="20"/>
      <c r="X79" s="23">
        <v>0.03</v>
      </c>
      <c r="Y79" s="24" t="s">
        <v>39</v>
      </c>
      <c r="Z79" s="20"/>
      <c r="AA79" s="19" t="s">
        <v>39</v>
      </c>
      <c r="AB79" s="22" t="s">
        <v>39</v>
      </c>
      <c r="AC79" s="20" t="s">
        <v>39</v>
      </c>
      <c r="AD79" s="104" t="s">
        <v>294</v>
      </c>
      <c r="AE79" s="25" t="s">
        <v>307</v>
      </c>
      <c r="AF79" s="206"/>
    </row>
    <row r="80" s="2" customFormat="1" ht="60" customHeight="1" spans="1:32">
      <c r="A80" s="13">
        <v>78</v>
      </c>
      <c r="B80" s="14" t="s">
        <v>308</v>
      </c>
      <c r="C80" s="15" t="s">
        <v>175</v>
      </c>
      <c r="D80" s="15" t="s">
        <v>290</v>
      </c>
      <c r="E80" s="15" t="s">
        <v>291</v>
      </c>
      <c r="F80" s="13" t="s">
        <v>81</v>
      </c>
      <c r="G80" s="16" t="s">
        <v>103</v>
      </c>
      <c r="H80" s="16" t="s">
        <v>272</v>
      </c>
      <c r="I80" s="17" t="s">
        <v>309</v>
      </c>
      <c r="J80" s="18" t="s">
        <v>310</v>
      </c>
      <c r="K80" s="20" t="s">
        <v>39</v>
      </c>
      <c r="L80" s="21">
        <v>365000</v>
      </c>
      <c r="M80" s="22">
        <v>0.12</v>
      </c>
      <c r="N80" s="22">
        <v>0.01</v>
      </c>
      <c r="O80" s="22"/>
      <c r="P80" s="22">
        <v>0.01</v>
      </c>
      <c r="Q80" s="22">
        <v>0.01</v>
      </c>
      <c r="R80" s="22">
        <v>0.01</v>
      </c>
      <c r="S80" s="22">
        <v>0.02</v>
      </c>
      <c r="T80" s="22"/>
      <c r="U80" s="26"/>
      <c r="V80" s="20" t="s">
        <v>39</v>
      </c>
      <c r="W80" s="20"/>
      <c r="X80" s="23">
        <v>0.03</v>
      </c>
      <c r="Y80" s="24" t="s">
        <v>39</v>
      </c>
      <c r="Z80" s="20"/>
      <c r="AA80" s="19" t="s">
        <v>39</v>
      </c>
      <c r="AB80" s="22" t="s">
        <v>39</v>
      </c>
      <c r="AC80" s="20" t="s">
        <v>39</v>
      </c>
      <c r="AD80" s="104" t="s">
        <v>294</v>
      </c>
      <c r="AE80" s="25" t="s">
        <v>299</v>
      </c>
      <c r="AF80" s="206"/>
    </row>
    <row r="81" s="2" customFormat="1" ht="60" customHeight="1" spans="1:32">
      <c r="A81" s="13">
        <v>79</v>
      </c>
      <c r="B81" s="14" t="s">
        <v>311</v>
      </c>
      <c r="C81" s="15" t="s">
        <v>175</v>
      </c>
      <c r="D81" s="15" t="s">
        <v>290</v>
      </c>
      <c r="E81" s="15" t="s">
        <v>291</v>
      </c>
      <c r="F81" s="13" t="s">
        <v>81</v>
      </c>
      <c r="G81" s="16" t="s">
        <v>103</v>
      </c>
      <c r="H81" s="16" t="s">
        <v>276</v>
      </c>
      <c r="I81" s="17" t="s">
        <v>312</v>
      </c>
      <c r="J81" s="18" t="s">
        <v>313</v>
      </c>
      <c r="K81" s="20" t="s">
        <v>39</v>
      </c>
      <c r="L81" s="21">
        <v>420000</v>
      </c>
      <c r="M81" s="22">
        <v>0.12</v>
      </c>
      <c r="N81" s="22">
        <v>0.01</v>
      </c>
      <c r="O81" s="22"/>
      <c r="P81" s="22">
        <v>0.01</v>
      </c>
      <c r="Q81" s="22">
        <v>0.01</v>
      </c>
      <c r="R81" s="22">
        <v>0.01</v>
      </c>
      <c r="S81" s="22">
        <v>0.02</v>
      </c>
      <c r="T81" s="22"/>
      <c r="U81" s="26"/>
      <c r="V81" s="20" t="s">
        <v>39</v>
      </c>
      <c r="W81" s="20"/>
      <c r="X81" s="23">
        <v>0.03</v>
      </c>
      <c r="Y81" s="24" t="s">
        <v>39</v>
      </c>
      <c r="Z81" s="20"/>
      <c r="AA81" s="19" t="s">
        <v>39</v>
      </c>
      <c r="AB81" s="22" t="s">
        <v>39</v>
      </c>
      <c r="AC81" s="20" t="s">
        <v>39</v>
      </c>
      <c r="AD81" s="104" t="s">
        <v>294</v>
      </c>
      <c r="AE81" s="25" t="s">
        <v>314</v>
      </c>
      <c r="AF81" s="206"/>
    </row>
    <row r="82" s="2" customFormat="1" ht="60" customHeight="1" spans="1:32">
      <c r="A82" s="13">
        <v>80</v>
      </c>
      <c r="B82" s="14" t="s">
        <v>315</v>
      </c>
      <c r="C82" s="15" t="s">
        <v>175</v>
      </c>
      <c r="D82" s="15" t="s">
        <v>290</v>
      </c>
      <c r="E82" s="15" t="s">
        <v>291</v>
      </c>
      <c r="F82" s="13" t="s">
        <v>81</v>
      </c>
      <c r="G82" s="16" t="s">
        <v>103</v>
      </c>
      <c r="H82" s="16" t="s">
        <v>280</v>
      </c>
      <c r="I82" s="17" t="s">
        <v>316</v>
      </c>
      <c r="J82" s="18" t="s">
        <v>317</v>
      </c>
      <c r="K82" s="20" t="s">
        <v>39</v>
      </c>
      <c r="L82" s="21">
        <v>375000</v>
      </c>
      <c r="M82" s="22">
        <v>0.12</v>
      </c>
      <c r="N82" s="22">
        <v>0.01</v>
      </c>
      <c r="O82" s="22"/>
      <c r="P82" s="22">
        <v>0.01</v>
      </c>
      <c r="Q82" s="22">
        <v>0.01</v>
      </c>
      <c r="R82" s="22">
        <v>0.01</v>
      </c>
      <c r="S82" s="22">
        <v>0.02</v>
      </c>
      <c r="T82" s="22"/>
      <c r="U82" s="26"/>
      <c r="V82" s="20" t="s">
        <v>39</v>
      </c>
      <c r="W82" s="20"/>
      <c r="X82" s="23">
        <v>0.03</v>
      </c>
      <c r="Y82" s="24" t="s">
        <v>39</v>
      </c>
      <c r="Z82" s="20"/>
      <c r="AA82" s="19" t="s">
        <v>39</v>
      </c>
      <c r="AB82" s="22" t="s">
        <v>39</v>
      </c>
      <c r="AC82" s="20" t="s">
        <v>39</v>
      </c>
      <c r="AD82" s="104" t="s">
        <v>294</v>
      </c>
      <c r="AE82" s="25" t="s">
        <v>295</v>
      </c>
      <c r="AF82" s="206"/>
    </row>
    <row r="83" s="2" customFormat="1" ht="60" customHeight="1" spans="1:32">
      <c r="A83" s="13">
        <v>81</v>
      </c>
      <c r="B83" s="14" t="s">
        <v>318</v>
      </c>
      <c r="C83" s="15" t="s">
        <v>175</v>
      </c>
      <c r="D83" s="15" t="s">
        <v>290</v>
      </c>
      <c r="E83" s="15" t="s">
        <v>291</v>
      </c>
      <c r="F83" s="13" t="s">
        <v>81</v>
      </c>
      <c r="G83" s="16" t="s">
        <v>103</v>
      </c>
      <c r="H83" s="16" t="s">
        <v>284</v>
      </c>
      <c r="I83" s="17" t="s">
        <v>319</v>
      </c>
      <c r="J83" s="18" t="s">
        <v>320</v>
      </c>
      <c r="K83" s="20" t="s">
        <v>39</v>
      </c>
      <c r="L83" s="21">
        <v>1440000</v>
      </c>
      <c r="M83" s="22">
        <v>0.12</v>
      </c>
      <c r="N83" s="22">
        <v>0.01</v>
      </c>
      <c r="O83" s="22"/>
      <c r="P83" s="22">
        <v>0.01</v>
      </c>
      <c r="Q83" s="22">
        <v>0.01</v>
      </c>
      <c r="R83" s="22">
        <v>0.01</v>
      </c>
      <c r="S83" s="22">
        <v>0.02</v>
      </c>
      <c r="T83" s="22">
        <v>0.03</v>
      </c>
      <c r="U83" s="22">
        <v>0.02</v>
      </c>
      <c r="V83" s="20" t="s">
        <v>39</v>
      </c>
      <c r="W83" s="20"/>
      <c r="X83" s="23">
        <v>0.03</v>
      </c>
      <c r="Y83" s="24" t="s">
        <v>39</v>
      </c>
      <c r="Z83" s="20"/>
      <c r="AA83" s="19" t="s">
        <v>39</v>
      </c>
      <c r="AB83" s="22" t="s">
        <v>39</v>
      </c>
      <c r="AC83" s="20" t="s">
        <v>39</v>
      </c>
      <c r="AD83" s="104" t="s">
        <v>294</v>
      </c>
      <c r="AE83" s="25" t="s">
        <v>299</v>
      </c>
      <c r="AF83" s="206"/>
    </row>
    <row r="84" s="2" customFormat="1" ht="60" customHeight="1" spans="1:32">
      <c r="A84" s="13">
        <v>82</v>
      </c>
      <c r="B84" s="14" t="s">
        <v>321</v>
      </c>
      <c r="C84" s="15" t="s">
        <v>175</v>
      </c>
      <c r="D84" s="15" t="s">
        <v>290</v>
      </c>
      <c r="E84" s="15" t="s">
        <v>291</v>
      </c>
      <c r="F84" s="13" t="s">
        <v>81</v>
      </c>
      <c r="G84" s="16" t="s">
        <v>103</v>
      </c>
      <c r="H84" s="16" t="s">
        <v>322</v>
      </c>
      <c r="I84" s="17" t="s">
        <v>323</v>
      </c>
      <c r="J84" s="18" t="s">
        <v>324</v>
      </c>
      <c r="K84" s="20" t="s">
        <v>39</v>
      </c>
      <c r="L84" s="21">
        <v>560000</v>
      </c>
      <c r="M84" s="22">
        <v>0.12</v>
      </c>
      <c r="N84" s="22">
        <v>0.01</v>
      </c>
      <c r="O84" s="22"/>
      <c r="P84" s="22">
        <v>0.01</v>
      </c>
      <c r="Q84" s="22">
        <v>0.01</v>
      </c>
      <c r="R84" s="22">
        <v>0.01</v>
      </c>
      <c r="S84" s="22">
        <v>0.02</v>
      </c>
      <c r="T84" s="22">
        <v>0.04</v>
      </c>
      <c r="U84" s="22">
        <v>0.04</v>
      </c>
      <c r="V84" s="20" t="s">
        <v>39</v>
      </c>
      <c r="W84" s="20"/>
      <c r="X84" s="23">
        <v>0.03</v>
      </c>
      <c r="Y84" s="24" t="s">
        <v>39</v>
      </c>
      <c r="Z84" s="20"/>
      <c r="AA84" s="19" t="s">
        <v>39</v>
      </c>
      <c r="AB84" s="22" t="s">
        <v>39</v>
      </c>
      <c r="AC84" s="20" t="s">
        <v>39</v>
      </c>
      <c r="AD84" s="104" t="s">
        <v>294</v>
      </c>
      <c r="AE84" s="25" t="s">
        <v>299</v>
      </c>
      <c r="AF84" s="206"/>
    </row>
    <row r="85" s="2" customFormat="1" ht="60" customHeight="1" spans="1:32">
      <c r="A85" s="13">
        <v>83</v>
      </c>
      <c r="B85" s="14" t="s">
        <v>325</v>
      </c>
      <c r="C85" s="15" t="s">
        <v>175</v>
      </c>
      <c r="D85" s="15" t="s">
        <v>290</v>
      </c>
      <c r="E85" s="15" t="s">
        <v>291</v>
      </c>
      <c r="F85" s="13" t="s">
        <v>81</v>
      </c>
      <c r="G85" s="16" t="s">
        <v>103</v>
      </c>
      <c r="H85" s="16" t="s">
        <v>322</v>
      </c>
      <c r="I85" s="17" t="s">
        <v>94</v>
      </c>
      <c r="J85" s="18" t="s">
        <v>326</v>
      </c>
      <c r="K85" s="20" t="s">
        <v>39</v>
      </c>
      <c r="L85" s="21">
        <v>545000</v>
      </c>
      <c r="M85" s="22">
        <v>0.12</v>
      </c>
      <c r="N85" s="22">
        <v>0.01</v>
      </c>
      <c r="O85" s="22"/>
      <c r="P85" s="22">
        <v>0.01</v>
      </c>
      <c r="Q85" s="22">
        <v>0.01</v>
      </c>
      <c r="R85" s="22">
        <v>0.01</v>
      </c>
      <c r="S85" s="22">
        <v>0.02</v>
      </c>
      <c r="T85" s="22"/>
      <c r="U85" s="26"/>
      <c r="V85" s="20" t="s">
        <v>39</v>
      </c>
      <c r="W85" s="20"/>
      <c r="X85" s="23">
        <v>0.03</v>
      </c>
      <c r="Y85" s="24" t="s">
        <v>39</v>
      </c>
      <c r="Z85" s="20"/>
      <c r="AA85" s="19" t="s">
        <v>39</v>
      </c>
      <c r="AB85" s="22" t="s">
        <v>39</v>
      </c>
      <c r="AC85" s="20" t="s">
        <v>39</v>
      </c>
      <c r="AD85" s="104" t="s">
        <v>294</v>
      </c>
      <c r="AE85" s="25" t="s">
        <v>327</v>
      </c>
      <c r="AF85" s="206"/>
    </row>
    <row r="86" s="2" customFormat="1" ht="60" customHeight="1" spans="1:32">
      <c r="A86" s="13">
        <v>84</v>
      </c>
      <c r="B86" s="14" t="s">
        <v>328</v>
      </c>
      <c r="C86" s="15" t="s">
        <v>175</v>
      </c>
      <c r="D86" s="15" t="s">
        <v>290</v>
      </c>
      <c r="E86" s="15" t="s">
        <v>291</v>
      </c>
      <c r="F86" s="13" t="s">
        <v>81</v>
      </c>
      <c r="G86" s="16" t="s">
        <v>103</v>
      </c>
      <c r="H86" s="16" t="s">
        <v>329</v>
      </c>
      <c r="I86" s="17" t="s">
        <v>330</v>
      </c>
      <c r="J86" s="18" t="s">
        <v>331</v>
      </c>
      <c r="K86" s="20" t="s">
        <v>39</v>
      </c>
      <c r="L86" s="21">
        <v>395000</v>
      </c>
      <c r="M86" s="22">
        <v>0.12</v>
      </c>
      <c r="N86" s="22">
        <v>0.01</v>
      </c>
      <c r="O86" s="22"/>
      <c r="P86" s="22">
        <v>0.01</v>
      </c>
      <c r="Q86" s="22">
        <v>0.01</v>
      </c>
      <c r="R86" s="22">
        <v>0.01</v>
      </c>
      <c r="S86" s="22">
        <v>0.02</v>
      </c>
      <c r="T86" s="22"/>
      <c r="U86" s="26"/>
      <c r="V86" s="20" t="s">
        <v>39</v>
      </c>
      <c r="W86" s="20"/>
      <c r="X86" s="23">
        <v>0.03</v>
      </c>
      <c r="Y86" s="24" t="s">
        <v>39</v>
      </c>
      <c r="Z86" s="20"/>
      <c r="AA86" s="19" t="s">
        <v>39</v>
      </c>
      <c r="AB86" s="22" t="s">
        <v>39</v>
      </c>
      <c r="AC86" s="20" t="s">
        <v>39</v>
      </c>
      <c r="AD86" s="104" t="s">
        <v>294</v>
      </c>
      <c r="AE86" s="25" t="s">
        <v>314</v>
      </c>
      <c r="AF86" s="206"/>
    </row>
    <row r="87" s="2" customFormat="1" ht="60" customHeight="1" spans="1:32">
      <c r="A87" s="13">
        <v>85</v>
      </c>
      <c r="B87" s="14" t="s">
        <v>332</v>
      </c>
      <c r="C87" s="15" t="s">
        <v>175</v>
      </c>
      <c r="D87" s="15" t="s">
        <v>290</v>
      </c>
      <c r="E87" s="15" t="s">
        <v>291</v>
      </c>
      <c r="F87" s="13" t="s">
        <v>81</v>
      </c>
      <c r="G87" s="16" t="s">
        <v>103</v>
      </c>
      <c r="H87" s="16" t="s">
        <v>333</v>
      </c>
      <c r="I87" s="17" t="s">
        <v>334</v>
      </c>
      <c r="J87" s="18" t="s">
        <v>335</v>
      </c>
      <c r="K87" s="20" t="s">
        <v>39</v>
      </c>
      <c r="L87" s="21">
        <v>585000</v>
      </c>
      <c r="M87" s="22">
        <v>0.12</v>
      </c>
      <c r="N87" s="22">
        <v>0.01</v>
      </c>
      <c r="O87" s="22"/>
      <c r="P87" s="22">
        <v>0.01</v>
      </c>
      <c r="Q87" s="22">
        <v>0.01</v>
      </c>
      <c r="R87" s="22">
        <v>0.01</v>
      </c>
      <c r="S87" s="22">
        <v>0.02</v>
      </c>
      <c r="T87" s="22"/>
      <c r="U87" s="26"/>
      <c r="V87" s="20" t="s">
        <v>39</v>
      </c>
      <c r="W87" s="20"/>
      <c r="X87" s="23">
        <v>0.03</v>
      </c>
      <c r="Y87" s="24" t="s">
        <v>39</v>
      </c>
      <c r="Z87" s="20"/>
      <c r="AA87" s="19" t="s">
        <v>39</v>
      </c>
      <c r="AB87" s="22" t="s">
        <v>39</v>
      </c>
      <c r="AC87" s="20" t="s">
        <v>39</v>
      </c>
      <c r="AD87" s="104" t="s">
        <v>294</v>
      </c>
      <c r="AE87" s="25" t="s">
        <v>295</v>
      </c>
      <c r="AF87" s="206"/>
    </row>
    <row r="88" s="2" customFormat="1" ht="12" customHeight="1" spans="1:32">
      <c r="A88" s="13">
        <v>86</v>
      </c>
      <c r="B88" s="521"/>
      <c r="C88" s="15" t="s">
        <v>175</v>
      </c>
      <c r="D88" s="15" t="s">
        <v>336</v>
      </c>
      <c r="E88" s="15" t="s">
        <v>337</v>
      </c>
      <c r="F88" s="88" t="s">
        <v>37</v>
      </c>
      <c r="G88" s="16" t="s">
        <v>103</v>
      </c>
      <c r="H88" s="89" t="s">
        <v>39</v>
      </c>
      <c r="I88" s="89" t="s">
        <v>39</v>
      </c>
      <c r="J88" s="89" t="s">
        <v>39</v>
      </c>
      <c r="K88" s="19" t="s">
        <v>39</v>
      </c>
      <c r="L88" s="21" t="s">
        <v>39</v>
      </c>
      <c r="M88" s="105" t="s">
        <v>39</v>
      </c>
      <c r="N88" s="47"/>
      <c r="O88" s="19" t="s">
        <v>39</v>
      </c>
      <c r="P88" s="19" t="s">
        <v>39</v>
      </c>
      <c r="Q88" s="19" t="s">
        <v>39</v>
      </c>
      <c r="R88" s="47"/>
      <c r="S88" s="47"/>
      <c r="T88" s="47"/>
      <c r="U88" s="47"/>
      <c r="V88" s="47"/>
      <c r="W88" s="47"/>
      <c r="X88" s="23">
        <v>0.13</v>
      </c>
      <c r="Y88" s="106"/>
      <c r="Z88" s="19" t="s">
        <v>39</v>
      </c>
      <c r="AA88" s="19" t="s">
        <v>39</v>
      </c>
      <c r="AB88" s="107">
        <v>0.05</v>
      </c>
      <c r="AC88" s="19" t="s">
        <v>39</v>
      </c>
      <c r="AD88" s="57" t="s">
        <v>104</v>
      </c>
      <c r="AE88" s="25"/>
      <c r="AF88" s="206"/>
    </row>
    <row r="89" s="2" customFormat="1" ht="36" customHeight="1" spans="1:32">
      <c r="A89" s="13">
        <v>87</v>
      </c>
      <c r="B89" s="14" t="s">
        <v>338</v>
      </c>
      <c r="C89" s="15" t="s">
        <v>175</v>
      </c>
      <c r="D89" s="15" t="s">
        <v>336</v>
      </c>
      <c r="E89" s="15" t="s">
        <v>337</v>
      </c>
      <c r="F89" s="13" t="s">
        <v>81</v>
      </c>
      <c r="G89" s="16" t="s">
        <v>103</v>
      </c>
      <c r="H89" s="16" t="s">
        <v>60</v>
      </c>
      <c r="I89" s="167" t="s">
        <v>339</v>
      </c>
      <c r="J89" s="18" t="s">
        <v>340</v>
      </c>
      <c r="K89" s="20" t="s">
        <v>39</v>
      </c>
      <c r="L89" s="21">
        <v>2400000</v>
      </c>
      <c r="M89" s="22">
        <v>0.18</v>
      </c>
      <c r="N89" s="20" t="s">
        <v>39</v>
      </c>
      <c r="O89" s="20" t="s">
        <v>39</v>
      </c>
      <c r="P89" s="22" t="s">
        <v>39</v>
      </c>
      <c r="Q89" s="22" t="s">
        <v>39</v>
      </c>
      <c r="R89" s="22"/>
      <c r="S89" s="108">
        <v>500</v>
      </c>
      <c r="T89" s="22">
        <v>0.03</v>
      </c>
      <c r="U89" s="22">
        <v>0.04</v>
      </c>
      <c r="V89" s="20" t="s">
        <v>39</v>
      </c>
      <c r="W89" s="20">
        <v>0.5</v>
      </c>
      <c r="X89" s="23">
        <v>0.13</v>
      </c>
      <c r="Y89" s="24" t="s">
        <v>39</v>
      </c>
      <c r="Z89" s="24" t="s">
        <v>39</v>
      </c>
      <c r="AA89" s="24" t="s">
        <v>39</v>
      </c>
      <c r="AB89" s="22" t="s">
        <v>39</v>
      </c>
      <c r="AC89" s="20" t="s">
        <v>39</v>
      </c>
      <c r="AD89" s="104" t="s">
        <v>341</v>
      </c>
      <c r="AE89" s="25" t="s">
        <v>299</v>
      </c>
      <c r="AF89" s="17" t="s">
        <v>342</v>
      </c>
    </row>
    <row r="90" s="2" customFormat="1" ht="36" customHeight="1" spans="1:32">
      <c r="A90" s="13">
        <v>88</v>
      </c>
      <c r="B90" s="14" t="s">
        <v>343</v>
      </c>
      <c r="C90" s="15" t="s">
        <v>175</v>
      </c>
      <c r="D90" s="15" t="s">
        <v>336</v>
      </c>
      <c r="E90" s="15" t="s">
        <v>337</v>
      </c>
      <c r="F90" s="13" t="s">
        <v>81</v>
      </c>
      <c r="G90" s="16" t="s">
        <v>103</v>
      </c>
      <c r="H90" s="16" t="s">
        <v>66</v>
      </c>
      <c r="I90" s="167" t="s">
        <v>344</v>
      </c>
      <c r="J90" s="18" t="s">
        <v>340</v>
      </c>
      <c r="K90" s="20" t="s">
        <v>39</v>
      </c>
      <c r="L90" s="21">
        <v>1400000</v>
      </c>
      <c r="M90" s="22">
        <v>0.19</v>
      </c>
      <c r="N90" s="20" t="s">
        <v>39</v>
      </c>
      <c r="O90" s="20" t="s">
        <v>39</v>
      </c>
      <c r="P90" s="22" t="s">
        <v>39</v>
      </c>
      <c r="Q90" s="22" t="s">
        <v>39</v>
      </c>
      <c r="R90" s="22"/>
      <c r="S90" s="108">
        <v>500</v>
      </c>
      <c r="T90" s="22">
        <v>0.03</v>
      </c>
      <c r="U90" s="22">
        <v>0.04</v>
      </c>
      <c r="V90" s="20" t="s">
        <v>39</v>
      </c>
      <c r="W90" s="20">
        <v>0.5</v>
      </c>
      <c r="X90" s="23">
        <v>0.13</v>
      </c>
      <c r="Y90" s="24" t="s">
        <v>39</v>
      </c>
      <c r="Z90" s="24" t="s">
        <v>39</v>
      </c>
      <c r="AA90" s="24" t="s">
        <v>39</v>
      </c>
      <c r="AB90" s="109" t="s">
        <v>39</v>
      </c>
      <c r="AC90" s="20" t="s">
        <v>39</v>
      </c>
      <c r="AD90" s="104" t="s">
        <v>341</v>
      </c>
      <c r="AE90" s="25" t="s">
        <v>299</v>
      </c>
      <c r="AF90" s="17" t="s">
        <v>342</v>
      </c>
    </row>
    <row r="91" s="2" customFormat="1" ht="36" customHeight="1" spans="1:32">
      <c r="A91" s="13">
        <v>89</v>
      </c>
      <c r="B91" s="14" t="s">
        <v>345</v>
      </c>
      <c r="C91" s="15" t="s">
        <v>175</v>
      </c>
      <c r="D91" s="15" t="s">
        <v>336</v>
      </c>
      <c r="E91" s="15" t="s">
        <v>337</v>
      </c>
      <c r="F91" s="13" t="s">
        <v>81</v>
      </c>
      <c r="G91" s="16" t="s">
        <v>103</v>
      </c>
      <c r="H91" s="16" t="s">
        <v>70</v>
      </c>
      <c r="I91" s="167" t="s">
        <v>256</v>
      </c>
      <c r="J91" s="18" t="s">
        <v>346</v>
      </c>
      <c r="K91" s="20" t="s">
        <v>39</v>
      </c>
      <c r="L91" s="21">
        <v>2000000</v>
      </c>
      <c r="M91" s="22">
        <v>0.21</v>
      </c>
      <c r="N91" s="20" t="s">
        <v>39</v>
      </c>
      <c r="O91" s="20" t="s">
        <v>39</v>
      </c>
      <c r="P91" s="22" t="s">
        <v>39</v>
      </c>
      <c r="Q91" s="22" t="s">
        <v>39</v>
      </c>
      <c r="R91" s="22"/>
      <c r="S91" s="108">
        <v>500</v>
      </c>
      <c r="T91" s="22">
        <v>0.03</v>
      </c>
      <c r="U91" s="22">
        <v>0.04</v>
      </c>
      <c r="V91" s="20" t="s">
        <v>39</v>
      </c>
      <c r="W91" s="20">
        <v>0.5</v>
      </c>
      <c r="X91" s="23">
        <v>0.13</v>
      </c>
      <c r="Y91" s="24" t="s">
        <v>39</v>
      </c>
      <c r="Z91" s="24" t="s">
        <v>39</v>
      </c>
      <c r="AA91" s="110" t="s">
        <v>39</v>
      </c>
      <c r="AB91" s="102" t="s">
        <v>39</v>
      </c>
      <c r="AC91" s="111" t="s">
        <v>39</v>
      </c>
      <c r="AD91" s="57" t="s">
        <v>341</v>
      </c>
      <c r="AE91" s="25" t="s">
        <v>299</v>
      </c>
      <c r="AF91" s="17" t="s">
        <v>342</v>
      </c>
    </row>
    <row r="92" s="2" customFormat="1" ht="36" customHeight="1" spans="1:32">
      <c r="A92" s="13">
        <v>90</v>
      </c>
      <c r="B92" s="14" t="s">
        <v>347</v>
      </c>
      <c r="C92" s="15" t="s">
        <v>175</v>
      </c>
      <c r="D92" s="15" t="s">
        <v>336</v>
      </c>
      <c r="E92" s="15" t="s">
        <v>337</v>
      </c>
      <c r="F92" s="13" t="s">
        <v>81</v>
      </c>
      <c r="G92" s="16" t="s">
        <v>103</v>
      </c>
      <c r="H92" s="16" t="s">
        <v>74</v>
      </c>
      <c r="I92" s="167" t="s">
        <v>348</v>
      </c>
      <c r="J92" s="18" t="s">
        <v>349</v>
      </c>
      <c r="K92" s="20" t="s">
        <v>39</v>
      </c>
      <c r="L92" s="21">
        <v>1080000</v>
      </c>
      <c r="M92" s="22">
        <v>0.2</v>
      </c>
      <c r="N92" s="20" t="s">
        <v>39</v>
      </c>
      <c r="O92" s="20" t="s">
        <v>39</v>
      </c>
      <c r="P92" s="22" t="s">
        <v>39</v>
      </c>
      <c r="Q92" s="22" t="s">
        <v>39</v>
      </c>
      <c r="R92" s="22"/>
      <c r="S92" s="108">
        <v>500</v>
      </c>
      <c r="T92" s="22">
        <v>0.03</v>
      </c>
      <c r="U92" s="22">
        <v>0.04</v>
      </c>
      <c r="V92" s="20" t="s">
        <v>39</v>
      </c>
      <c r="W92" s="20">
        <v>0.5</v>
      </c>
      <c r="X92" s="23">
        <v>0.13</v>
      </c>
      <c r="Y92" s="24" t="s">
        <v>39</v>
      </c>
      <c r="Z92" s="24" t="s">
        <v>39</v>
      </c>
      <c r="AA92" s="24" t="s">
        <v>39</v>
      </c>
      <c r="AB92" s="112" t="s">
        <v>39</v>
      </c>
      <c r="AC92" s="20" t="s">
        <v>39</v>
      </c>
      <c r="AD92" s="57" t="s">
        <v>341</v>
      </c>
      <c r="AE92" s="25" t="s">
        <v>299</v>
      </c>
      <c r="AF92" s="17" t="s">
        <v>342</v>
      </c>
    </row>
    <row r="93" s="2" customFormat="1" ht="36" customHeight="1" spans="1:32">
      <c r="A93" s="13">
        <v>91</v>
      </c>
      <c r="B93" s="14" t="s">
        <v>350</v>
      </c>
      <c r="C93" s="15" t="s">
        <v>175</v>
      </c>
      <c r="D93" s="15" t="s">
        <v>336</v>
      </c>
      <c r="E93" s="15" t="s">
        <v>337</v>
      </c>
      <c r="F93" s="13" t="s">
        <v>81</v>
      </c>
      <c r="G93" s="16" t="s">
        <v>103</v>
      </c>
      <c r="H93" s="16" t="s">
        <v>265</v>
      </c>
      <c r="I93" s="167" t="s">
        <v>351</v>
      </c>
      <c r="J93" s="18" t="s">
        <v>349</v>
      </c>
      <c r="K93" s="20" t="s">
        <v>39</v>
      </c>
      <c r="L93" s="21">
        <v>920000</v>
      </c>
      <c r="M93" s="22">
        <v>0.2</v>
      </c>
      <c r="N93" s="20" t="s">
        <v>39</v>
      </c>
      <c r="O93" s="20" t="s">
        <v>39</v>
      </c>
      <c r="P93" s="22" t="s">
        <v>39</v>
      </c>
      <c r="Q93" s="22" t="s">
        <v>39</v>
      </c>
      <c r="R93" s="22"/>
      <c r="S93" s="108">
        <v>500</v>
      </c>
      <c r="T93" s="22">
        <v>0.03</v>
      </c>
      <c r="U93" s="22">
        <v>0.04</v>
      </c>
      <c r="V93" s="20" t="s">
        <v>39</v>
      </c>
      <c r="W93" s="20">
        <v>0.5</v>
      </c>
      <c r="X93" s="23">
        <v>0.13</v>
      </c>
      <c r="Y93" s="24" t="s">
        <v>39</v>
      </c>
      <c r="Z93" s="24" t="s">
        <v>39</v>
      </c>
      <c r="AA93" s="24" t="s">
        <v>39</v>
      </c>
      <c r="AB93" s="22" t="s">
        <v>39</v>
      </c>
      <c r="AC93" s="20" t="s">
        <v>39</v>
      </c>
      <c r="AD93" s="57" t="s">
        <v>341</v>
      </c>
      <c r="AE93" s="25" t="s">
        <v>299</v>
      </c>
      <c r="AF93" s="17" t="s">
        <v>342</v>
      </c>
    </row>
    <row r="94" s="2" customFormat="1" ht="36" customHeight="1" spans="1:32">
      <c r="A94" s="13">
        <v>92</v>
      </c>
      <c r="B94" s="14" t="s">
        <v>352</v>
      </c>
      <c r="C94" s="15" t="s">
        <v>175</v>
      </c>
      <c r="D94" s="15" t="s">
        <v>336</v>
      </c>
      <c r="E94" s="15" t="s">
        <v>337</v>
      </c>
      <c r="F94" s="13" t="s">
        <v>81</v>
      </c>
      <c r="G94" s="16" t="s">
        <v>103</v>
      </c>
      <c r="H94" s="16" t="s">
        <v>86</v>
      </c>
      <c r="I94" s="167" t="s">
        <v>353</v>
      </c>
      <c r="J94" s="18" t="s">
        <v>354</v>
      </c>
      <c r="K94" s="20" t="s">
        <v>39</v>
      </c>
      <c r="L94" s="21">
        <v>720000</v>
      </c>
      <c r="M94" s="22">
        <v>0.23</v>
      </c>
      <c r="N94" s="20" t="s">
        <v>39</v>
      </c>
      <c r="O94" s="20" t="s">
        <v>39</v>
      </c>
      <c r="P94" s="22" t="s">
        <v>39</v>
      </c>
      <c r="Q94" s="22" t="s">
        <v>39</v>
      </c>
      <c r="R94" s="22"/>
      <c r="S94" s="108">
        <v>500</v>
      </c>
      <c r="T94" s="22">
        <v>0.03</v>
      </c>
      <c r="U94" s="22">
        <v>0.04</v>
      </c>
      <c r="V94" s="20" t="s">
        <v>39</v>
      </c>
      <c r="W94" s="20">
        <v>0.5</v>
      </c>
      <c r="X94" s="23">
        <v>0.13</v>
      </c>
      <c r="Y94" s="24" t="s">
        <v>39</v>
      </c>
      <c r="Z94" s="24" t="s">
        <v>39</v>
      </c>
      <c r="AA94" s="24" t="s">
        <v>39</v>
      </c>
      <c r="AB94" s="22" t="s">
        <v>39</v>
      </c>
      <c r="AC94" s="20" t="s">
        <v>39</v>
      </c>
      <c r="AD94" s="57" t="s">
        <v>341</v>
      </c>
      <c r="AE94" s="25" t="s">
        <v>299</v>
      </c>
      <c r="AF94" s="17" t="s">
        <v>342</v>
      </c>
    </row>
    <row r="95" s="2" customFormat="1" ht="36" customHeight="1" spans="1:32">
      <c r="A95" s="13">
        <v>93</v>
      </c>
      <c r="B95" s="14" t="s">
        <v>355</v>
      </c>
      <c r="C95" s="15" t="s">
        <v>175</v>
      </c>
      <c r="D95" s="15" t="s">
        <v>336</v>
      </c>
      <c r="E95" s="15" t="s">
        <v>337</v>
      </c>
      <c r="F95" s="13" t="s">
        <v>81</v>
      </c>
      <c r="G95" s="16" t="s">
        <v>103</v>
      </c>
      <c r="H95" s="16" t="s">
        <v>272</v>
      </c>
      <c r="I95" s="167" t="s">
        <v>356</v>
      </c>
      <c r="J95" s="18" t="s">
        <v>354</v>
      </c>
      <c r="K95" s="20" t="s">
        <v>39</v>
      </c>
      <c r="L95" s="21">
        <v>1080000</v>
      </c>
      <c r="M95" s="22">
        <v>0.23</v>
      </c>
      <c r="N95" s="20" t="s">
        <v>39</v>
      </c>
      <c r="O95" s="20" t="s">
        <v>39</v>
      </c>
      <c r="P95" s="22" t="s">
        <v>39</v>
      </c>
      <c r="Q95" s="22" t="s">
        <v>39</v>
      </c>
      <c r="R95" s="22"/>
      <c r="S95" s="108">
        <v>500</v>
      </c>
      <c r="T95" s="22">
        <v>0.03</v>
      </c>
      <c r="U95" s="22">
        <v>0.04</v>
      </c>
      <c r="V95" s="20" t="s">
        <v>39</v>
      </c>
      <c r="W95" s="20">
        <v>0.5</v>
      </c>
      <c r="X95" s="23">
        <v>0.13</v>
      </c>
      <c r="Y95" s="24" t="s">
        <v>39</v>
      </c>
      <c r="Z95" s="24" t="s">
        <v>39</v>
      </c>
      <c r="AA95" s="24" t="s">
        <v>39</v>
      </c>
      <c r="AB95" s="22" t="s">
        <v>39</v>
      </c>
      <c r="AC95" s="20" t="s">
        <v>39</v>
      </c>
      <c r="AD95" s="57" t="s">
        <v>341</v>
      </c>
      <c r="AE95" s="25" t="s">
        <v>299</v>
      </c>
      <c r="AF95" s="17" t="s">
        <v>342</v>
      </c>
    </row>
    <row r="96" s="2" customFormat="1" ht="36" customHeight="1" spans="1:32">
      <c r="A96" s="13">
        <v>94</v>
      </c>
      <c r="B96" s="14" t="s">
        <v>357</v>
      </c>
      <c r="C96" s="15" t="s">
        <v>175</v>
      </c>
      <c r="D96" s="15" t="s">
        <v>336</v>
      </c>
      <c r="E96" s="15" t="s">
        <v>337</v>
      </c>
      <c r="F96" s="13" t="s">
        <v>81</v>
      </c>
      <c r="G96" s="16" t="s">
        <v>103</v>
      </c>
      <c r="H96" s="16" t="s">
        <v>276</v>
      </c>
      <c r="I96" s="167" t="s">
        <v>358</v>
      </c>
      <c r="J96" s="18" t="s">
        <v>250</v>
      </c>
      <c r="K96" s="20" t="s">
        <v>39</v>
      </c>
      <c r="L96" s="21">
        <v>880000</v>
      </c>
      <c r="M96" s="22">
        <v>0.23</v>
      </c>
      <c r="N96" s="20" t="s">
        <v>39</v>
      </c>
      <c r="O96" s="20" t="s">
        <v>39</v>
      </c>
      <c r="P96" s="22" t="s">
        <v>39</v>
      </c>
      <c r="Q96" s="22" t="s">
        <v>39</v>
      </c>
      <c r="R96" s="22"/>
      <c r="S96" s="108">
        <v>500</v>
      </c>
      <c r="T96" s="22">
        <v>0.03</v>
      </c>
      <c r="U96" s="22">
        <v>0.04</v>
      </c>
      <c r="V96" s="20" t="s">
        <v>39</v>
      </c>
      <c r="W96" s="20">
        <v>0.5</v>
      </c>
      <c r="X96" s="23">
        <v>0.13</v>
      </c>
      <c r="Y96" s="24" t="s">
        <v>39</v>
      </c>
      <c r="Z96" s="24" t="s">
        <v>39</v>
      </c>
      <c r="AA96" s="24" t="s">
        <v>39</v>
      </c>
      <c r="AB96" s="22" t="s">
        <v>39</v>
      </c>
      <c r="AC96" s="20" t="s">
        <v>39</v>
      </c>
      <c r="AD96" s="57" t="s">
        <v>341</v>
      </c>
      <c r="AE96" s="25" t="s">
        <v>299</v>
      </c>
      <c r="AF96" s="17" t="s">
        <v>342</v>
      </c>
    </row>
    <row r="97" s="2" customFormat="1" ht="36" customHeight="1" spans="1:32">
      <c r="A97" s="13">
        <v>95</v>
      </c>
      <c r="B97" s="14" t="s">
        <v>359</v>
      </c>
      <c r="C97" s="15" t="s">
        <v>175</v>
      </c>
      <c r="D97" s="15" t="s">
        <v>336</v>
      </c>
      <c r="E97" s="15" t="s">
        <v>337</v>
      </c>
      <c r="F97" s="13" t="s">
        <v>81</v>
      </c>
      <c r="G97" s="16" t="s">
        <v>103</v>
      </c>
      <c r="H97" s="16" t="s">
        <v>280</v>
      </c>
      <c r="I97" s="167" t="s">
        <v>360</v>
      </c>
      <c r="J97" s="18" t="s">
        <v>346</v>
      </c>
      <c r="K97" s="20" t="s">
        <v>39</v>
      </c>
      <c r="L97" s="21">
        <v>880000</v>
      </c>
      <c r="M97" s="22">
        <v>0.23</v>
      </c>
      <c r="N97" s="20" t="s">
        <v>39</v>
      </c>
      <c r="O97" s="20" t="s">
        <v>39</v>
      </c>
      <c r="P97" s="22" t="s">
        <v>39</v>
      </c>
      <c r="Q97" s="22" t="s">
        <v>39</v>
      </c>
      <c r="R97" s="22"/>
      <c r="S97" s="108">
        <v>500</v>
      </c>
      <c r="T97" s="22">
        <v>0.03</v>
      </c>
      <c r="U97" s="22">
        <v>0.04</v>
      </c>
      <c r="V97" s="20" t="s">
        <v>39</v>
      </c>
      <c r="W97" s="20">
        <v>0.5</v>
      </c>
      <c r="X97" s="23">
        <v>0.13</v>
      </c>
      <c r="Y97" s="24" t="s">
        <v>39</v>
      </c>
      <c r="Z97" s="24" t="s">
        <v>39</v>
      </c>
      <c r="AA97" s="24" t="s">
        <v>39</v>
      </c>
      <c r="AB97" s="22" t="s">
        <v>39</v>
      </c>
      <c r="AC97" s="20" t="s">
        <v>39</v>
      </c>
      <c r="AD97" s="57" t="s">
        <v>341</v>
      </c>
      <c r="AE97" s="25" t="s">
        <v>299</v>
      </c>
      <c r="AF97" s="17" t="s">
        <v>342</v>
      </c>
    </row>
    <row r="98" s="2" customFormat="1" ht="36" customHeight="1" spans="1:32">
      <c r="A98" s="13">
        <v>96</v>
      </c>
      <c r="B98" s="14" t="s">
        <v>361</v>
      </c>
      <c r="C98" s="15" t="s">
        <v>175</v>
      </c>
      <c r="D98" s="15" t="s">
        <v>336</v>
      </c>
      <c r="E98" s="15" t="s">
        <v>337</v>
      </c>
      <c r="F98" s="13" t="s">
        <v>81</v>
      </c>
      <c r="G98" s="16" t="s">
        <v>103</v>
      </c>
      <c r="H98" s="16" t="s">
        <v>284</v>
      </c>
      <c r="I98" s="167" t="s">
        <v>362</v>
      </c>
      <c r="J98" s="18" t="s">
        <v>363</v>
      </c>
      <c r="K98" s="20" t="s">
        <v>39</v>
      </c>
      <c r="L98" s="21">
        <v>1520000</v>
      </c>
      <c r="M98" s="22">
        <v>0.21</v>
      </c>
      <c r="N98" s="20" t="s">
        <v>39</v>
      </c>
      <c r="O98" s="20" t="s">
        <v>39</v>
      </c>
      <c r="P98" s="22" t="s">
        <v>39</v>
      </c>
      <c r="Q98" s="22" t="s">
        <v>39</v>
      </c>
      <c r="R98" s="22"/>
      <c r="S98" s="108">
        <v>500</v>
      </c>
      <c r="T98" s="22">
        <v>0.03</v>
      </c>
      <c r="U98" s="22">
        <v>0.04</v>
      </c>
      <c r="V98" s="20" t="s">
        <v>39</v>
      </c>
      <c r="W98" s="20">
        <v>0.5</v>
      </c>
      <c r="X98" s="23">
        <v>0.13</v>
      </c>
      <c r="Y98" s="24" t="s">
        <v>39</v>
      </c>
      <c r="Z98" s="24" t="s">
        <v>39</v>
      </c>
      <c r="AA98" s="24" t="s">
        <v>39</v>
      </c>
      <c r="AB98" s="22" t="s">
        <v>39</v>
      </c>
      <c r="AC98" s="20" t="s">
        <v>39</v>
      </c>
      <c r="AD98" s="57" t="s">
        <v>341</v>
      </c>
      <c r="AE98" s="25" t="s">
        <v>364</v>
      </c>
      <c r="AF98" s="17" t="s">
        <v>342</v>
      </c>
    </row>
    <row r="99" s="2" customFormat="1" ht="36" customHeight="1" spans="1:32">
      <c r="A99" s="13">
        <v>97</v>
      </c>
      <c r="B99" s="14" t="s">
        <v>365</v>
      </c>
      <c r="C99" s="15" t="s">
        <v>175</v>
      </c>
      <c r="D99" s="15" t="s">
        <v>336</v>
      </c>
      <c r="E99" s="15" t="s">
        <v>337</v>
      </c>
      <c r="F99" s="13" t="s">
        <v>81</v>
      </c>
      <c r="G99" s="16" t="s">
        <v>103</v>
      </c>
      <c r="H99" s="16" t="s">
        <v>322</v>
      </c>
      <c r="I99" s="167" t="s">
        <v>366</v>
      </c>
      <c r="J99" s="18" t="s">
        <v>367</v>
      </c>
      <c r="K99" s="20" t="s">
        <v>39</v>
      </c>
      <c r="L99" s="21">
        <v>1080000</v>
      </c>
      <c r="M99" s="22">
        <v>0.22</v>
      </c>
      <c r="N99" s="20" t="s">
        <v>39</v>
      </c>
      <c r="O99" s="20" t="s">
        <v>39</v>
      </c>
      <c r="P99" s="22" t="s">
        <v>39</v>
      </c>
      <c r="Q99" s="22" t="s">
        <v>39</v>
      </c>
      <c r="R99" s="22"/>
      <c r="S99" s="108">
        <v>500</v>
      </c>
      <c r="T99" s="22">
        <v>0.03</v>
      </c>
      <c r="U99" s="22">
        <v>0.04</v>
      </c>
      <c r="V99" s="20" t="s">
        <v>39</v>
      </c>
      <c r="W99" s="20">
        <v>0.5</v>
      </c>
      <c r="X99" s="23">
        <v>0.13</v>
      </c>
      <c r="Y99" s="24" t="s">
        <v>39</v>
      </c>
      <c r="Z99" s="24" t="s">
        <v>39</v>
      </c>
      <c r="AA99" s="24" t="s">
        <v>39</v>
      </c>
      <c r="AB99" s="22" t="s">
        <v>39</v>
      </c>
      <c r="AC99" s="20" t="s">
        <v>39</v>
      </c>
      <c r="AD99" s="57" t="s">
        <v>341</v>
      </c>
      <c r="AE99" s="25" t="s">
        <v>364</v>
      </c>
      <c r="AF99" s="17" t="s">
        <v>342</v>
      </c>
    </row>
    <row r="100" s="2" customFormat="1" ht="36" customHeight="1" spans="1:32">
      <c r="A100" s="13">
        <v>98</v>
      </c>
      <c r="B100" s="14" t="s">
        <v>368</v>
      </c>
      <c r="C100" s="15" t="s">
        <v>175</v>
      </c>
      <c r="D100" s="15" t="s">
        <v>336</v>
      </c>
      <c r="E100" s="15" t="s">
        <v>337</v>
      </c>
      <c r="F100" s="13" t="s">
        <v>81</v>
      </c>
      <c r="G100" s="16" t="s">
        <v>103</v>
      </c>
      <c r="H100" s="16" t="s">
        <v>329</v>
      </c>
      <c r="I100" s="167" t="s">
        <v>369</v>
      </c>
      <c r="J100" s="18" t="s">
        <v>370</v>
      </c>
      <c r="K100" s="20" t="s">
        <v>39</v>
      </c>
      <c r="L100" s="21">
        <v>880000</v>
      </c>
      <c r="M100" s="22">
        <v>0.23</v>
      </c>
      <c r="N100" s="20" t="s">
        <v>39</v>
      </c>
      <c r="O100" s="20" t="s">
        <v>39</v>
      </c>
      <c r="P100" s="22" t="s">
        <v>39</v>
      </c>
      <c r="Q100" s="22" t="s">
        <v>39</v>
      </c>
      <c r="R100" s="22"/>
      <c r="S100" s="108">
        <v>500</v>
      </c>
      <c r="T100" s="22">
        <v>0.03</v>
      </c>
      <c r="U100" s="22">
        <v>0.04</v>
      </c>
      <c r="V100" s="20" t="s">
        <v>39</v>
      </c>
      <c r="W100" s="20">
        <v>0.5</v>
      </c>
      <c r="X100" s="23">
        <v>0.13</v>
      </c>
      <c r="Y100" s="24" t="s">
        <v>39</v>
      </c>
      <c r="Z100" s="24" t="s">
        <v>39</v>
      </c>
      <c r="AA100" s="24" t="s">
        <v>39</v>
      </c>
      <c r="AB100" s="22" t="s">
        <v>39</v>
      </c>
      <c r="AC100" s="20" t="s">
        <v>39</v>
      </c>
      <c r="AD100" s="57" t="s">
        <v>341</v>
      </c>
      <c r="AE100" s="25" t="s">
        <v>364</v>
      </c>
      <c r="AF100" s="17" t="s">
        <v>342</v>
      </c>
    </row>
    <row r="101" s="2" customFormat="1" ht="12" customHeight="1" spans="1:32">
      <c r="A101" s="13">
        <v>99</v>
      </c>
      <c r="B101" s="14" t="s">
        <v>371</v>
      </c>
      <c r="C101" s="15" t="s">
        <v>175</v>
      </c>
      <c r="D101" s="15" t="s">
        <v>372</v>
      </c>
      <c r="E101" s="15" t="s">
        <v>373</v>
      </c>
      <c r="F101" s="13" t="s">
        <v>53</v>
      </c>
      <c r="G101" s="16" t="s">
        <v>374</v>
      </c>
      <c r="H101" s="16" t="s">
        <v>39</v>
      </c>
      <c r="I101" s="17" t="s">
        <v>39</v>
      </c>
      <c r="J101" s="18" t="s">
        <v>39</v>
      </c>
      <c r="K101" s="20" t="s">
        <v>39</v>
      </c>
      <c r="L101" s="21">
        <v>2462000</v>
      </c>
      <c r="M101" s="58" t="s">
        <v>39</v>
      </c>
      <c r="N101" s="24" t="s">
        <v>39</v>
      </c>
      <c r="O101" s="24" t="s">
        <v>39</v>
      </c>
      <c r="P101" s="24" t="s">
        <v>39</v>
      </c>
      <c r="Q101" s="24" t="s">
        <v>39</v>
      </c>
      <c r="R101" s="20" t="s">
        <v>39</v>
      </c>
      <c r="S101" s="20" t="s">
        <v>39</v>
      </c>
      <c r="T101" s="20" t="s">
        <v>39</v>
      </c>
      <c r="U101" s="20" t="s">
        <v>39</v>
      </c>
      <c r="V101" s="20" t="s">
        <v>39</v>
      </c>
      <c r="W101" s="18" t="s">
        <v>39</v>
      </c>
      <c r="X101" s="51" t="s">
        <v>39</v>
      </c>
      <c r="Y101" s="51" t="s">
        <v>39</v>
      </c>
      <c r="Z101" s="51" t="s">
        <v>39</v>
      </c>
      <c r="AA101" s="51" t="s">
        <v>39</v>
      </c>
      <c r="AB101" s="89"/>
      <c r="AC101" s="46" t="s">
        <v>39</v>
      </c>
      <c r="AD101" s="48" t="s">
        <v>375</v>
      </c>
      <c r="AE101" s="25"/>
      <c r="AF101" s="206"/>
    </row>
    <row r="102" s="2" customFormat="1" ht="12" customHeight="1" spans="1:32">
      <c r="A102" s="13">
        <v>100</v>
      </c>
      <c r="B102" s="14" t="s">
        <v>376</v>
      </c>
      <c r="C102" s="15" t="s">
        <v>175</v>
      </c>
      <c r="D102" s="15" t="s">
        <v>377</v>
      </c>
      <c r="E102" s="15" t="s">
        <v>378</v>
      </c>
      <c r="F102" s="13" t="s">
        <v>53</v>
      </c>
      <c r="G102" s="16" t="s">
        <v>374</v>
      </c>
      <c r="H102" s="16" t="s">
        <v>39</v>
      </c>
      <c r="I102" s="17" t="s">
        <v>39</v>
      </c>
      <c r="J102" s="18" t="s">
        <v>39</v>
      </c>
      <c r="K102" s="20" t="s">
        <v>39</v>
      </c>
      <c r="L102" s="21">
        <v>2465000</v>
      </c>
      <c r="M102" s="58" t="s">
        <v>39</v>
      </c>
      <c r="N102" s="24" t="s">
        <v>39</v>
      </c>
      <c r="O102" s="24" t="s">
        <v>39</v>
      </c>
      <c r="P102" s="24" t="s">
        <v>39</v>
      </c>
      <c r="Q102" s="24" t="s">
        <v>39</v>
      </c>
      <c r="R102" s="20" t="s">
        <v>39</v>
      </c>
      <c r="S102" s="20" t="s">
        <v>39</v>
      </c>
      <c r="T102" s="20" t="s">
        <v>39</v>
      </c>
      <c r="U102" s="20" t="s">
        <v>39</v>
      </c>
      <c r="V102" s="20" t="s">
        <v>39</v>
      </c>
      <c r="W102" s="18" t="s">
        <v>39</v>
      </c>
      <c r="X102" s="51" t="s">
        <v>39</v>
      </c>
      <c r="Y102" s="51" t="s">
        <v>39</v>
      </c>
      <c r="Z102" s="51" t="s">
        <v>39</v>
      </c>
      <c r="AA102" s="51" t="s">
        <v>39</v>
      </c>
      <c r="AB102" s="89"/>
      <c r="AC102" s="46" t="s">
        <v>39</v>
      </c>
      <c r="AD102" s="48" t="s">
        <v>375</v>
      </c>
      <c r="AE102" s="25"/>
      <c r="AF102" s="206"/>
    </row>
    <row r="103" s="2" customFormat="1" ht="12" customHeight="1" spans="1:32">
      <c r="A103" s="13">
        <v>101</v>
      </c>
      <c r="B103" s="14" t="s">
        <v>379</v>
      </c>
      <c r="C103" s="15" t="s">
        <v>175</v>
      </c>
      <c r="D103" s="15" t="s">
        <v>380</v>
      </c>
      <c r="E103" s="15" t="s">
        <v>381</v>
      </c>
      <c r="F103" s="13" t="s">
        <v>53</v>
      </c>
      <c r="G103" s="16" t="s">
        <v>374</v>
      </c>
      <c r="H103" s="16" t="s">
        <v>39</v>
      </c>
      <c r="I103" s="17" t="s">
        <v>39</v>
      </c>
      <c r="J103" s="18" t="s">
        <v>39</v>
      </c>
      <c r="K103" s="20" t="s">
        <v>39</v>
      </c>
      <c r="L103" s="21">
        <v>2650000</v>
      </c>
      <c r="M103" s="58" t="s">
        <v>39</v>
      </c>
      <c r="N103" s="24" t="s">
        <v>39</v>
      </c>
      <c r="O103" s="24" t="s">
        <v>39</v>
      </c>
      <c r="P103" s="24" t="s">
        <v>39</v>
      </c>
      <c r="Q103" s="24" t="s">
        <v>39</v>
      </c>
      <c r="R103" s="20" t="s">
        <v>39</v>
      </c>
      <c r="S103" s="20" t="s">
        <v>39</v>
      </c>
      <c r="T103" s="20" t="s">
        <v>39</v>
      </c>
      <c r="U103" s="20" t="s">
        <v>39</v>
      </c>
      <c r="V103" s="20" t="s">
        <v>39</v>
      </c>
      <c r="W103" s="18" t="s">
        <v>39</v>
      </c>
      <c r="X103" s="51" t="s">
        <v>39</v>
      </c>
      <c r="Y103" s="51" t="s">
        <v>39</v>
      </c>
      <c r="Z103" s="51" t="s">
        <v>39</v>
      </c>
      <c r="AA103" s="51" t="s">
        <v>39</v>
      </c>
      <c r="AB103" s="89"/>
      <c r="AC103" s="46" t="s">
        <v>39</v>
      </c>
      <c r="AD103" s="48" t="s">
        <v>375</v>
      </c>
      <c r="AE103" s="25"/>
      <c r="AF103" s="206"/>
    </row>
    <row r="104" s="2" customFormat="1" ht="12" customHeight="1" spans="1:32">
      <c r="A104" s="13">
        <v>102</v>
      </c>
      <c r="B104" s="14" t="s">
        <v>382</v>
      </c>
      <c r="C104" s="15" t="s">
        <v>175</v>
      </c>
      <c r="D104" s="15" t="s">
        <v>383</v>
      </c>
      <c r="E104" s="15" t="s">
        <v>384</v>
      </c>
      <c r="F104" s="13" t="s">
        <v>53</v>
      </c>
      <c r="G104" s="16" t="s">
        <v>374</v>
      </c>
      <c r="H104" s="16" t="s">
        <v>39</v>
      </c>
      <c r="I104" s="17" t="s">
        <v>39</v>
      </c>
      <c r="J104" s="18" t="s">
        <v>39</v>
      </c>
      <c r="K104" s="20" t="s">
        <v>39</v>
      </c>
      <c r="L104" s="21">
        <v>1574000</v>
      </c>
      <c r="M104" s="58" t="s">
        <v>39</v>
      </c>
      <c r="N104" s="24" t="s">
        <v>39</v>
      </c>
      <c r="O104" s="24" t="s">
        <v>39</v>
      </c>
      <c r="P104" s="24" t="s">
        <v>39</v>
      </c>
      <c r="Q104" s="24" t="s">
        <v>39</v>
      </c>
      <c r="R104" s="20" t="s">
        <v>39</v>
      </c>
      <c r="S104" s="20" t="s">
        <v>39</v>
      </c>
      <c r="T104" s="20" t="s">
        <v>39</v>
      </c>
      <c r="U104" s="20" t="s">
        <v>39</v>
      </c>
      <c r="V104" s="20" t="s">
        <v>39</v>
      </c>
      <c r="W104" s="18" t="s">
        <v>39</v>
      </c>
      <c r="X104" s="51" t="s">
        <v>39</v>
      </c>
      <c r="Y104" s="51" t="s">
        <v>39</v>
      </c>
      <c r="Z104" s="51" t="s">
        <v>39</v>
      </c>
      <c r="AA104" s="51" t="s">
        <v>39</v>
      </c>
      <c r="AB104" s="89"/>
      <c r="AC104" s="46" t="s">
        <v>39</v>
      </c>
      <c r="AD104" s="48" t="s">
        <v>375</v>
      </c>
      <c r="AE104" s="25"/>
      <c r="AF104" s="206"/>
    </row>
    <row r="105" s="2" customFormat="1" ht="12" customHeight="1" spans="1:32">
      <c r="A105" s="13">
        <v>103</v>
      </c>
      <c r="B105" s="14" t="s">
        <v>385</v>
      </c>
      <c r="C105" s="15" t="s">
        <v>175</v>
      </c>
      <c r="D105" s="15" t="s">
        <v>386</v>
      </c>
      <c r="E105" s="15" t="s">
        <v>387</v>
      </c>
      <c r="F105" s="13" t="s">
        <v>53</v>
      </c>
      <c r="G105" s="16" t="s">
        <v>374</v>
      </c>
      <c r="H105" s="16" t="s">
        <v>39</v>
      </c>
      <c r="I105" s="17" t="s">
        <v>39</v>
      </c>
      <c r="J105" s="18" t="s">
        <v>39</v>
      </c>
      <c r="K105" s="20" t="s">
        <v>39</v>
      </c>
      <c r="L105" s="21">
        <v>3130000</v>
      </c>
      <c r="M105" s="58" t="s">
        <v>39</v>
      </c>
      <c r="N105" s="24" t="s">
        <v>39</v>
      </c>
      <c r="O105" s="24" t="s">
        <v>39</v>
      </c>
      <c r="P105" s="24" t="s">
        <v>39</v>
      </c>
      <c r="Q105" s="24" t="s">
        <v>39</v>
      </c>
      <c r="R105" s="20" t="s">
        <v>39</v>
      </c>
      <c r="S105" s="20" t="s">
        <v>39</v>
      </c>
      <c r="T105" s="20" t="s">
        <v>39</v>
      </c>
      <c r="U105" s="20" t="s">
        <v>39</v>
      </c>
      <c r="V105" s="20" t="s">
        <v>39</v>
      </c>
      <c r="W105" s="18" t="s">
        <v>39</v>
      </c>
      <c r="X105" s="51" t="s">
        <v>39</v>
      </c>
      <c r="Y105" s="51" t="s">
        <v>39</v>
      </c>
      <c r="Z105" s="51" t="s">
        <v>39</v>
      </c>
      <c r="AA105" s="51" t="s">
        <v>39</v>
      </c>
      <c r="AB105" s="89"/>
      <c r="AC105" s="46" t="s">
        <v>39</v>
      </c>
      <c r="AD105" s="48" t="s">
        <v>375</v>
      </c>
      <c r="AE105" s="25"/>
      <c r="AF105" s="206"/>
    </row>
    <row r="106" s="2" customFormat="1" ht="12" customHeight="1" spans="1:32">
      <c r="A106" s="13">
        <v>104</v>
      </c>
      <c r="B106" s="14" t="s">
        <v>388</v>
      </c>
      <c r="C106" s="15" t="s">
        <v>175</v>
      </c>
      <c r="D106" s="15" t="s">
        <v>389</v>
      </c>
      <c r="E106" s="15" t="s">
        <v>390</v>
      </c>
      <c r="F106" s="13" t="s">
        <v>53</v>
      </c>
      <c r="G106" s="16" t="s">
        <v>374</v>
      </c>
      <c r="H106" s="16" t="s">
        <v>39</v>
      </c>
      <c r="I106" s="17" t="s">
        <v>39</v>
      </c>
      <c r="J106" s="18" t="s">
        <v>39</v>
      </c>
      <c r="K106" s="20" t="s">
        <v>39</v>
      </c>
      <c r="L106" s="21">
        <v>2588000</v>
      </c>
      <c r="M106" s="58" t="s">
        <v>39</v>
      </c>
      <c r="N106" s="24" t="s">
        <v>39</v>
      </c>
      <c r="O106" s="24" t="s">
        <v>39</v>
      </c>
      <c r="P106" s="24" t="s">
        <v>39</v>
      </c>
      <c r="Q106" s="24" t="s">
        <v>39</v>
      </c>
      <c r="R106" s="20" t="s">
        <v>39</v>
      </c>
      <c r="S106" s="20" t="s">
        <v>39</v>
      </c>
      <c r="T106" s="20" t="s">
        <v>39</v>
      </c>
      <c r="U106" s="20" t="s">
        <v>39</v>
      </c>
      <c r="V106" s="20" t="s">
        <v>39</v>
      </c>
      <c r="W106" s="18" t="s">
        <v>39</v>
      </c>
      <c r="X106" s="51" t="s">
        <v>39</v>
      </c>
      <c r="Y106" s="51" t="s">
        <v>39</v>
      </c>
      <c r="Z106" s="51" t="s">
        <v>39</v>
      </c>
      <c r="AA106" s="51" t="s">
        <v>39</v>
      </c>
      <c r="AB106" s="89"/>
      <c r="AC106" s="46" t="s">
        <v>39</v>
      </c>
      <c r="AD106" s="48" t="s">
        <v>375</v>
      </c>
      <c r="AE106" s="25"/>
      <c r="AF106" s="206"/>
    </row>
    <row r="107" s="2" customFormat="1" ht="12" customHeight="1" spans="1:32">
      <c r="A107" s="13">
        <v>105</v>
      </c>
      <c r="B107" s="14" t="s">
        <v>391</v>
      </c>
      <c r="C107" s="15" t="s">
        <v>175</v>
      </c>
      <c r="D107" s="15" t="s">
        <v>392</v>
      </c>
      <c r="E107" s="15" t="s">
        <v>393</v>
      </c>
      <c r="F107" s="13" t="s">
        <v>53</v>
      </c>
      <c r="G107" s="16" t="s">
        <v>374</v>
      </c>
      <c r="H107" s="16" t="s">
        <v>39</v>
      </c>
      <c r="I107" s="17" t="s">
        <v>39</v>
      </c>
      <c r="J107" s="18" t="s">
        <v>39</v>
      </c>
      <c r="K107" s="20" t="s">
        <v>39</v>
      </c>
      <c r="L107" s="21">
        <v>1249000</v>
      </c>
      <c r="M107" s="58" t="s">
        <v>39</v>
      </c>
      <c r="N107" s="24" t="s">
        <v>39</v>
      </c>
      <c r="O107" s="24" t="s">
        <v>39</v>
      </c>
      <c r="P107" s="24" t="s">
        <v>39</v>
      </c>
      <c r="Q107" s="24" t="s">
        <v>39</v>
      </c>
      <c r="R107" s="20" t="s">
        <v>39</v>
      </c>
      <c r="S107" s="20" t="s">
        <v>39</v>
      </c>
      <c r="T107" s="20" t="s">
        <v>39</v>
      </c>
      <c r="U107" s="20" t="s">
        <v>39</v>
      </c>
      <c r="V107" s="20" t="s">
        <v>39</v>
      </c>
      <c r="W107" s="18" t="s">
        <v>39</v>
      </c>
      <c r="X107" s="51" t="s">
        <v>39</v>
      </c>
      <c r="Y107" s="51" t="s">
        <v>39</v>
      </c>
      <c r="Z107" s="51" t="s">
        <v>39</v>
      </c>
      <c r="AA107" s="51" t="s">
        <v>39</v>
      </c>
      <c r="AB107" s="89"/>
      <c r="AC107" s="46" t="s">
        <v>39</v>
      </c>
      <c r="AD107" s="48" t="s">
        <v>375</v>
      </c>
      <c r="AE107" s="25"/>
      <c r="AF107" s="206"/>
    </row>
    <row r="108" s="2" customFormat="1" ht="12" customHeight="1" spans="1:32">
      <c r="A108" s="13">
        <v>106</v>
      </c>
      <c r="B108" s="14" t="s">
        <v>394</v>
      </c>
      <c r="C108" s="15" t="s">
        <v>175</v>
      </c>
      <c r="D108" s="15" t="s">
        <v>395</v>
      </c>
      <c r="E108" s="15" t="s">
        <v>396</v>
      </c>
      <c r="F108" s="13" t="s">
        <v>53</v>
      </c>
      <c r="G108" s="16" t="s">
        <v>48</v>
      </c>
      <c r="H108" s="16" t="s">
        <v>39</v>
      </c>
      <c r="I108" s="17" t="s">
        <v>39</v>
      </c>
      <c r="J108" s="18" t="s">
        <v>39</v>
      </c>
      <c r="K108" s="20" t="s">
        <v>39</v>
      </c>
      <c r="L108" s="21" t="s">
        <v>39</v>
      </c>
      <c r="M108" s="24" t="s">
        <v>39</v>
      </c>
      <c r="N108" s="24" t="s">
        <v>39</v>
      </c>
      <c r="O108" s="24" t="s">
        <v>39</v>
      </c>
      <c r="P108" s="24" t="s">
        <v>39</v>
      </c>
      <c r="Q108" s="24" t="s">
        <v>39</v>
      </c>
      <c r="R108" s="24" t="s">
        <v>39</v>
      </c>
      <c r="S108" s="24" t="s">
        <v>39</v>
      </c>
      <c r="T108" s="18" t="s">
        <v>39</v>
      </c>
      <c r="U108" s="24" t="s">
        <v>39</v>
      </c>
      <c r="V108" s="24" t="s">
        <v>39</v>
      </c>
      <c r="W108" s="18" t="s">
        <v>39</v>
      </c>
      <c r="X108" s="51" t="s">
        <v>39</v>
      </c>
      <c r="Y108" s="51" t="s">
        <v>39</v>
      </c>
      <c r="Z108" s="51" t="s">
        <v>39</v>
      </c>
      <c r="AA108" s="51" t="s">
        <v>39</v>
      </c>
      <c r="AB108" s="51">
        <v>0.08</v>
      </c>
      <c r="AC108" s="46">
        <v>0.015</v>
      </c>
      <c r="AD108" s="17"/>
      <c r="AE108" s="25"/>
      <c r="AF108" s="206"/>
    </row>
    <row r="109" s="2" customFormat="1" ht="12" customHeight="1" spans="1:32">
      <c r="A109" s="13">
        <v>107</v>
      </c>
      <c r="B109" s="14" t="s">
        <v>397</v>
      </c>
      <c r="C109" s="15" t="s">
        <v>175</v>
      </c>
      <c r="D109" s="15" t="s">
        <v>395</v>
      </c>
      <c r="E109" s="15" t="s">
        <v>396</v>
      </c>
      <c r="F109" s="13" t="s">
        <v>37</v>
      </c>
      <c r="G109" s="16" t="s">
        <v>48</v>
      </c>
      <c r="H109" s="16" t="s">
        <v>39</v>
      </c>
      <c r="I109" s="167" t="s">
        <v>39</v>
      </c>
      <c r="J109" s="16" t="s">
        <v>39</v>
      </c>
      <c r="K109" s="20" t="s">
        <v>39</v>
      </c>
      <c r="L109" s="21" t="s">
        <v>39</v>
      </c>
      <c r="M109" s="20" t="s">
        <v>39</v>
      </c>
      <c r="N109" s="20" t="s">
        <v>39</v>
      </c>
      <c r="O109" s="23">
        <v>0.02</v>
      </c>
      <c r="P109" s="20" t="s">
        <v>39</v>
      </c>
      <c r="Q109" s="20" t="s">
        <v>39</v>
      </c>
      <c r="R109" s="20" t="s">
        <v>39</v>
      </c>
      <c r="S109" s="20" t="s">
        <v>39</v>
      </c>
      <c r="T109" s="20" t="s">
        <v>39</v>
      </c>
      <c r="U109" s="20" t="s">
        <v>39</v>
      </c>
      <c r="V109" s="20" t="s">
        <v>39</v>
      </c>
      <c r="W109" s="55" t="s">
        <v>39</v>
      </c>
      <c r="X109" s="51" t="s">
        <v>39</v>
      </c>
      <c r="Y109" s="51" t="s">
        <v>39</v>
      </c>
      <c r="Z109" s="51" t="s">
        <v>39</v>
      </c>
      <c r="AA109" s="51" t="s">
        <v>39</v>
      </c>
      <c r="AB109" s="51">
        <v>0.08</v>
      </c>
      <c r="AC109" s="46">
        <v>0.015</v>
      </c>
      <c r="AD109" s="17"/>
      <c r="AE109" s="25"/>
      <c r="AF109" s="206"/>
    </row>
    <row r="110" s="2" customFormat="1" ht="12" customHeight="1" spans="1:32">
      <c r="A110" s="13">
        <v>108</v>
      </c>
      <c r="B110" s="14" t="s">
        <v>398</v>
      </c>
      <c r="C110" s="15" t="s">
        <v>175</v>
      </c>
      <c r="D110" s="15" t="s">
        <v>399</v>
      </c>
      <c r="E110" s="15" t="s">
        <v>400</v>
      </c>
      <c r="F110" s="13" t="s">
        <v>47</v>
      </c>
      <c r="G110" s="16" t="s">
        <v>48</v>
      </c>
      <c r="H110" s="16" t="s">
        <v>39</v>
      </c>
      <c r="I110" s="17" t="s">
        <v>39</v>
      </c>
      <c r="J110" s="18" t="s">
        <v>401</v>
      </c>
      <c r="K110" s="20" t="s">
        <v>39</v>
      </c>
      <c r="L110" s="21" t="s">
        <v>39</v>
      </c>
      <c r="M110" s="24" t="s">
        <v>39</v>
      </c>
      <c r="N110" s="24" t="s">
        <v>39</v>
      </c>
      <c r="O110" s="24" t="s">
        <v>39</v>
      </c>
      <c r="P110" s="24" t="s">
        <v>39</v>
      </c>
      <c r="Q110" s="24" t="s">
        <v>39</v>
      </c>
      <c r="R110" s="24" t="s">
        <v>39</v>
      </c>
      <c r="S110" s="24" t="s">
        <v>39</v>
      </c>
      <c r="T110" s="18" t="s">
        <v>39</v>
      </c>
      <c r="U110" s="24" t="s">
        <v>39</v>
      </c>
      <c r="V110" s="24" t="s">
        <v>39</v>
      </c>
      <c r="W110" s="44"/>
      <c r="X110" s="51" t="s">
        <v>39</v>
      </c>
      <c r="Y110" s="51" t="s">
        <v>39</v>
      </c>
      <c r="Z110" s="51" t="s">
        <v>39</v>
      </c>
      <c r="AA110" s="51" t="s">
        <v>39</v>
      </c>
      <c r="AB110" s="113">
        <v>0.03</v>
      </c>
      <c r="AC110" s="24" t="s">
        <v>39</v>
      </c>
      <c r="AD110" s="17"/>
      <c r="AE110" s="25"/>
      <c r="AF110" s="206"/>
    </row>
    <row r="111" s="2" customFormat="1" ht="72" customHeight="1" spans="1:32">
      <c r="A111" s="13">
        <v>109</v>
      </c>
      <c r="B111" s="14" t="s">
        <v>402</v>
      </c>
      <c r="C111" s="15" t="s">
        <v>175</v>
      </c>
      <c r="D111" s="15" t="s">
        <v>399</v>
      </c>
      <c r="E111" s="15" t="s">
        <v>400</v>
      </c>
      <c r="F111" s="13" t="s">
        <v>47</v>
      </c>
      <c r="G111" s="16" t="s">
        <v>48</v>
      </c>
      <c r="H111" s="18" t="s">
        <v>39</v>
      </c>
      <c r="I111" s="17" t="s">
        <v>403</v>
      </c>
      <c r="J111" s="18" t="s">
        <v>404</v>
      </c>
      <c r="K111" s="20" t="s">
        <v>39</v>
      </c>
      <c r="L111" s="21">
        <v>400000</v>
      </c>
      <c r="M111" s="113">
        <v>0.17</v>
      </c>
      <c r="N111" s="24" t="s">
        <v>39</v>
      </c>
      <c r="O111" s="113">
        <v>0.02</v>
      </c>
      <c r="P111" s="24" t="s">
        <v>39</v>
      </c>
      <c r="Q111" s="24" t="s">
        <v>39</v>
      </c>
      <c r="R111" s="24" t="s">
        <v>39</v>
      </c>
      <c r="S111" s="24" t="s">
        <v>39</v>
      </c>
      <c r="T111" s="20">
        <v>0.04</v>
      </c>
      <c r="U111" s="20">
        <v>0.04</v>
      </c>
      <c r="V111" s="24" t="s">
        <v>39</v>
      </c>
      <c r="W111" s="114">
        <v>0.5</v>
      </c>
      <c r="X111" s="51" t="s">
        <v>39</v>
      </c>
      <c r="Y111" s="51" t="s">
        <v>39</v>
      </c>
      <c r="Z111" s="51" t="s">
        <v>39</v>
      </c>
      <c r="AA111" s="51" t="s">
        <v>39</v>
      </c>
      <c r="AB111" s="24" t="s">
        <v>39</v>
      </c>
      <c r="AC111" s="24" t="s">
        <v>39</v>
      </c>
      <c r="AD111" s="17"/>
      <c r="AE111" s="25" t="s">
        <v>405</v>
      </c>
      <c r="AF111" s="17" t="s">
        <v>406</v>
      </c>
    </row>
    <row r="112" s="2" customFormat="1" ht="72" customHeight="1" spans="1:32">
      <c r="A112" s="13">
        <v>110</v>
      </c>
      <c r="B112" s="14" t="s">
        <v>407</v>
      </c>
      <c r="C112" s="15" t="s">
        <v>175</v>
      </c>
      <c r="D112" s="15" t="s">
        <v>399</v>
      </c>
      <c r="E112" s="15" t="s">
        <v>400</v>
      </c>
      <c r="F112" s="13" t="s">
        <v>47</v>
      </c>
      <c r="G112" s="16" t="s">
        <v>48</v>
      </c>
      <c r="H112" s="18" t="s">
        <v>39</v>
      </c>
      <c r="I112" s="167" t="s">
        <v>408</v>
      </c>
      <c r="J112" s="18" t="s">
        <v>409</v>
      </c>
      <c r="K112" s="20" t="s">
        <v>39</v>
      </c>
      <c r="L112" s="21">
        <v>380000</v>
      </c>
      <c r="M112" s="113">
        <v>0.15</v>
      </c>
      <c r="N112" s="24" t="s">
        <v>39</v>
      </c>
      <c r="O112" s="113">
        <v>0.02</v>
      </c>
      <c r="P112" s="24" t="s">
        <v>39</v>
      </c>
      <c r="Q112" s="24" t="s">
        <v>39</v>
      </c>
      <c r="R112" s="24" t="s">
        <v>39</v>
      </c>
      <c r="S112" s="24" t="s">
        <v>39</v>
      </c>
      <c r="T112" s="20">
        <v>0.04</v>
      </c>
      <c r="U112" s="20">
        <v>0.04</v>
      </c>
      <c r="V112" s="24" t="s">
        <v>39</v>
      </c>
      <c r="W112" s="114">
        <v>0.5</v>
      </c>
      <c r="X112" s="51" t="s">
        <v>39</v>
      </c>
      <c r="Y112" s="51" t="s">
        <v>39</v>
      </c>
      <c r="Z112" s="51" t="s">
        <v>39</v>
      </c>
      <c r="AA112" s="51" t="s">
        <v>39</v>
      </c>
      <c r="AB112" s="24" t="s">
        <v>39</v>
      </c>
      <c r="AC112" s="24" t="s">
        <v>39</v>
      </c>
      <c r="AD112" s="17"/>
      <c r="AE112" s="25" t="s">
        <v>405</v>
      </c>
      <c r="AF112" s="17" t="s">
        <v>406</v>
      </c>
    </row>
    <row r="113" s="2" customFormat="1" ht="72" customHeight="1" spans="1:32">
      <c r="A113" s="13">
        <v>111</v>
      </c>
      <c r="B113" s="14" t="s">
        <v>410</v>
      </c>
      <c r="C113" s="15" t="s">
        <v>175</v>
      </c>
      <c r="D113" s="15" t="s">
        <v>399</v>
      </c>
      <c r="E113" s="15" t="s">
        <v>400</v>
      </c>
      <c r="F113" s="13" t="s">
        <v>47</v>
      </c>
      <c r="G113" s="16" t="s">
        <v>48</v>
      </c>
      <c r="H113" s="18" t="s">
        <v>39</v>
      </c>
      <c r="I113" s="167" t="s">
        <v>209</v>
      </c>
      <c r="J113" s="18" t="s">
        <v>411</v>
      </c>
      <c r="K113" s="20" t="s">
        <v>39</v>
      </c>
      <c r="L113" s="21">
        <v>500000</v>
      </c>
      <c r="M113" s="113">
        <v>0.18</v>
      </c>
      <c r="N113" s="24" t="s">
        <v>39</v>
      </c>
      <c r="O113" s="113">
        <v>0.02</v>
      </c>
      <c r="P113" s="24" t="s">
        <v>39</v>
      </c>
      <c r="Q113" s="24" t="s">
        <v>39</v>
      </c>
      <c r="R113" s="24" t="s">
        <v>39</v>
      </c>
      <c r="S113" s="24" t="s">
        <v>39</v>
      </c>
      <c r="T113" s="20">
        <v>0.04</v>
      </c>
      <c r="U113" s="20">
        <v>0.04</v>
      </c>
      <c r="V113" s="24" t="s">
        <v>39</v>
      </c>
      <c r="W113" s="114">
        <v>0.5</v>
      </c>
      <c r="X113" s="51" t="s">
        <v>39</v>
      </c>
      <c r="Y113" s="51" t="s">
        <v>39</v>
      </c>
      <c r="Z113" s="51" t="s">
        <v>39</v>
      </c>
      <c r="AA113" s="51" t="s">
        <v>39</v>
      </c>
      <c r="AB113" s="24" t="s">
        <v>39</v>
      </c>
      <c r="AC113" s="24" t="s">
        <v>39</v>
      </c>
      <c r="AD113" s="17"/>
      <c r="AE113" s="25" t="s">
        <v>405</v>
      </c>
      <c r="AF113" s="17" t="s">
        <v>406</v>
      </c>
    </row>
    <row r="114" s="2" customFormat="1" ht="72" customHeight="1" spans="1:32">
      <c r="A114" s="13">
        <v>112</v>
      </c>
      <c r="B114" s="14" t="s">
        <v>412</v>
      </c>
      <c r="C114" s="15" t="s">
        <v>175</v>
      </c>
      <c r="D114" s="15" t="s">
        <v>399</v>
      </c>
      <c r="E114" s="15" t="s">
        <v>400</v>
      </c>
      <c r="F114" s="13" t="s">
        <v>47</v>
      </c>
      <c r="G114" s="16" t="s">
        <v>48</v>
      </c>
      <c r="H114" s="18" t="s">
        <v>39</v>
      </c>
      <c r="I114" s="167" t="s">
        <v>413</v>
      </c>
      <c r="J114" s="18" t="s">
        <v>414</v>
      </c>
      <c r="K114" s="20" t="s">
        <v>39</v>
      </c>
      <c r="L114" s="21">
        <v>800000</v>
      </c>
      <c r="M114" s="113">
        <v>0.1</v>
      </c>
      <c r="N114" s="24" t="s">
        <v>39</v>
      </c>
      <c r="O114" s="24" t="s">
        <v>39</v>
      </c>
      <c r="P114" s="24" t="s">
        <v>39</v>
      </c>
      <c r="Q114" s="24" t="s">
        <v>39</v>
      </c>
      <c r="R114" s="24" t="s">
        <v>39</v>
      </c>
      <c r="S114" s="24" t="s">
        <v>39</v>
      </c>
      <c r="T114" s="20">
        <v>0.04</v>
      </c>
      <c r="U114" s="20">
        <v>0.04</v>
      </c>
      <c r="V114" s="24" t="s">
        <v>39</v>
      </c>
      <c r="W114" s="114">
        <v>0.5</v>
      </c>
      <c r="X114" s="51" t="s">
        <v>39</v>
      </c>
      <c r="Y114" s="51" t="s">
        <v>39</v>
      </c>
      <c r="Z114" s="51" t="s">
        <v>39</v>
      </c>
      <c r="AA114" s="51" t="s">
        <v>39</v>
      </c>
      <c r="AB114" s="24" t="s">
        <v>39</v>
      </c>
      <c r="AC114" s="24" t="s">
        <v>39</v>
      </c>
      <c r="AD114" s="17"/>
      <c r="AE114" s="25" t="s">
        <v>405</v>
      </c>
      <c r="AF114" s="17" t="s">
        <v>406</v>
      </c>
    </row>
    <row r="115" s="2" customFormat="1" ht="72" customHeight="1" spans="1:32">
      <c r="A115" s="13">
        <v>113</v>
      </c>
      <c r="B115" s="14" t="s">
        <v>415</v>
      </c>
      <c r="C115" s="15" t="s">
        <v>175</v>
      </c>
      <c r="D115" s="15" t="s">
        <v>399</v>
      </c>
      <c r="E115" s="15" t="s">
        <v>400</v>
      </c>
      <c r="F115" s="13" t="s">
        <v>47</v>
      </c>
      <c r="G115" s="16" t="s">
        <v>48</v>
      </c>
      <c r="H115" s="18" t="s">
        <v>39</v>
      </c>
      <c r="I115" s="167" t="s">
        <v>416</v>
      </c>
      <c r="J115" s="18" t="s">
        <v>417</v>
      </c>
      <c r="K115" s="20" t="s">
        <v>39</v>
      </c>
      <c r="L115" s="21">
        <v>240000</v>
      </c>
      <c r="M115" s="113">
        <v>0.02</v>
      </c>
      <c r="N115" s="24" t="s">
        <v>39</v>
      </c>
      <c r="O115" s="113">
        <v>0.02</v>
      </c>
      <c r="P115" s="24" t="s">
        <v>39</v>
      </c>
      <c r="Q115" s="24" t="s">
        <v>39</v>
      </c>
      <c r="R115" s="24" t="s">
        <v>39</v>
      </c>
      <c r="S115" s="24" t="s">
        <v>39</v>
      </c>
      <c r="T115" s="20">
        <v>0.04</v>
      </c>
      <c r="U115" s="113">
        <v>0.01</v>
      </c>
      <c r="V115" s="24" t="s">
        <v>39</v>
      </c>
      <c r="W115" s="114">
        <v>0.5</v>
      </c>
      <c r="X115" s="51" t="s">
        <v>39</v>
      </c>
      <c r="Y115" s="51" t="s">
        <v>39</v>
      </c>
      <c r="Z115" s="51" t="s">
        <v>39</v>
      </c>
      <c r="AA115" s="51" t="s">
        <v>39</v>
      </c>
      <c r="AB115" s="24" t="s">
        <v>39</v>
      </c>
      <c r="AC115" s="24" t="s">
        <v>39</v>
      </c>
      <c r="AD115" s="17"/>
      <c r="AE115" s="25" t="s">
        <v>405</v>
      </c>
      <c r="AF115" s="17" t="s">
        <v>406</v>
      </c>
    </row>
    <row r="116" s="2" customFormat="1" ht="72" customHeight="1" spans="1:32">
      <c r="A116" s="13">
        <v>114</v>
      </c>
      <c r="B116" s="14" t="s">
        <v>418</v>
      </c>
      <c r="C116" s="15" t="s">
        <v>175</v>
      </c>
      <c r="D116" s="15" t="s">
        <v>399</v>
      </c>
      <c r="E116" s="15" t="s">
        <v>400</v>
      </c>
      <c r="F116" s="13" t="s">
        <v>47</v>
      </c>
      <c r="G116" s="16" t="s">
        <v>48</v>
      </c>
      <c r="H116" s="18" t="s">
        <v>39</v>
      </c>
      <c r="I116" s="167" t="s">
        <v>419</v>
      </c>
      <c r="J116" s="18" t="s">
        <v>420</v>
      </c>
      <c r="K116" s="20" t="s">
        <v>39</v>
      </c>
      <c r="L116" s="21">
        <v>480000</v>
      </c>
      <c r="M116" s="113">
        <v>0.18</v>
      </c>
      <c r="N116" s="24" t="s">
        <v>39</v>
      </c>
      <c r="O116" s="113">
        <v>0.02</v>
      </c>
      <c r="P116" s="24" t="s">
        <v>39</v>
      </c>
      <c r="Q116" s="24" t="s">
        <v>39</v>
      </c>
      <c r="R116" s="24" t="s">
        <v>39</v>
      </c>
      <c r="S116" s="24" t="s">
        <v>39</v>
      </c>
      <c r="T116" s="20">
        <v>0.04</v>
      </c>
      <c r="U116" s="20">
        <v>0.04</v>
      </c>
      <c r="V116" s="24" t="s">
        <v>39</v>
      </c>
      <c r="W116" s="114">
        <v>0.5</v>
      </c>
      <c r="X116" s="51" t="s">
        <v>39</v>
      </c>
      <c r="Y116" s="51" t="s">
        <v>39</v>
      </c>
      <c r="Z116" s="51" t="s">
        <v>39</v>
      </c>
      <c r="AA116" s="51" t="s">
        <v>39</v>
      </c>
      <c r="AB116" s="24" t="s">
        <v>39</v>
      </c>
      <c r="AC116" s="24" t="s">
        <v>39</v>
      </c>
      <c r="AD116" s="17"/>
      <c r="AE116" s="25" t="s">
        <v>405</v>
      </c>
      <c r="AF116" s="17" t="s">
        <v>406</v>
      </c>
    </row>
    <row r="117" s="2" customFormat="1" ht="72" customHeight="1" spans="1:32">
      <c r="A117" s="13">
        <v>115</v>
      </c>
      <c r="B117" s="14" t="s">
        <v>421</v>
      </c>
      <c r="C117" s="15" t="s">
        <v>175</v>
      </c>
      <c r="D117" s="15" t="s">
        <v>399</v>
      </c>
      <c r="E117" s="15" t="s">
        <v>400</v>
      </c>
      <c r="F117" s="13" t="s">
        <v>47</v>
      </c>
      <c r="G117" s="16" t="s">
        <v>48</v>
      </c>
      <c r="H117" s="18" t="s">
        <v>39</v>
      </c>
      <c r="I117" s="167" t="s">
        <v>422</v>
      </c>
      <c r="J117" s="18" t="s">
        <v>414</v>
      </c>
      <c r="K117" s="20" t="s">
        <v>39</v>
      </c>
      <c r="L117" s="21">
        <v>240000</v>
      </c>
      <c r="M117" s="113">
        <v>0.18</v>
      </c>
      <c r="N117" s="24" t="s">
        <v>39</v>
      </c>
      <c r="O117" s="113">
        <v>0.02</v>
      </c>
      <c r="P117" s="24" t="s">
        <v>39</v>
      </c>
      <c r="Q117" s="24" t="s">
        <v>39</v>
      </c>
      <c r="R117" s="24" t="s">
        <v>39</v>
      </c>
      <c r="S117" s="24" t="s">
        <v>39</v>
      </c>
      <c r="T117" s="20">
        <v>0.04</v>
      </c>
      <c r="U117" s="20">
        <v>0.04</v>
      </c>
      <c r="V117" s="24" t="s">
        <v>39</v>
      </c>
      <c r="W117" s="114">
        <v>0.5</v>
      </c>
      <c r="X117" s="51" t="s">
        <v>39</v>
      </c>
      <c r="Y117" s="51" t="s">
        <v>39</v>
      </c>
      <c r="Z117" s="51" t="s">
        <v>39</v>
      </c>
      <c r="AA117" s="51" t="s">
        <v>39</v>
      </c>
      <c r="AB117" s="24" t="s">
        <v>39</v>
      </c>
      <c r="AC117" s="24" t="s">
        <v>39</v>
      </c>
      <c r="AD117" s="17"/>
      <c r="AE117" s="25" t="s">
        <v>405</v>
      </c>
      <c r="AF117" s="17" t="s">
        <v>406</v>
      </c>
    </row>
    <row r="118" s="2" customFormat="1" ht="72" customHeight="1" spans="1:32">
      <c r="A118" s="13">
        <v>116</v>
      </c>
      <c r="B118" s="14" t="s">
        <v>423</v>
      </c>
      <c r="C118" s="15" t="s">
        <v>175</v>
      </c>
      <c r="D118" s="15" t="s">
        <v>399</v>
      </c>
      <c r="E118" s="15" t="s">
        <v>400</v>
      </c>
      <c r="F118" s="13" t="s">
        <v>47</v>
      </c>
      <c r="G118" s="16" t="s">
        <v>48</v>
      </c>
      <c r="H118" s="18" t="s">
        <v>39</v>
      </c>
      <c r="I118" s="167" t="s">
        <v>424</v>
      </c>
      <c r="J118" s="18" t="s">
        <v>425</v>
      </c>
      <c r="K118" s="20" t="s">
        <v>39</v>
      </c>
      <c r="L118" s="21">
        <v>220000</v>
      </c>
      <c r="M118" s="113">
        <v>0.18</v>
      </c>
      <c r="N118" s="24" t="s">
        <v>39</v>
      </c>
      <c r="O118" s="113">
        <v>0.02</v>
      </c>
      <c r="P118" s="24" t="s">
        <v>39</v>
      </c>
      <c r="Q118" s="24" t="s">
        <v>39</v>
      </c>
      <c r="R118" s="24" t="s">
        <v>39</v>
      </c>
      <c r="S118" s="24" t="s">
        <v>39</v>
      </c>
      <c r="T118" s="20">
        <v>0.04</v>
      </c>
      <c r="U118" s="20">
        <v>0.04</v>
      </c>
      <c r="V118" s="24" t="s">
        <v>39</v>
      </c>
      <c r="W118" s="114">
        <v>0.5</v>
      </c>
      <c r="X118" s="51" t="s">
        <v>39</v>
      </c>
      <c r="Y118" s="51" t="s">
        <v>39</v>
      </c>
      <c r="Z118" s="51" t="s">
        <v>39</v>
      </c>
      <c r="AA118" s="51" t="s">
        <v>39</v>
      </c>
      <c r="AB118" s="24" t="s">
        <v>39</v>
      </c>
      <c r="AC118" s="24" t="s">
        <v>39</v>
      </c>
      <c r="AD118" s="17"/>
      <c r="AE118" s="25" t="s">
        <v>405</v>
      </c>
      <c r="AF118" s="17" t="s">
        <v>406</v>
      </c>
    </row>
    <row r="119" s="2" customFormat="1" ht="72" customHeight="1" spans="1:32">
      <c r="A119" s="13">
        <v>117</v>
      </c>
      <c r="B119" s="14" t="s">
        <v>426</v>
      </c>
      <c r="C119" s="15" t="s">
        <v>175</v>
      </c>
      <c r="D119" s="15" t="s">
        <v>399</v>
      </c>
      <c r="E119" s="15" t="s">
        <v>400</v>
      </c>
      <c r="F119" s="13" t="s">
        <v>47</v>
      </c>
      <c r="G119" s="16" t="s">
        <v>48</v>
      </c>
      <c r="H119" s="18" t="s">
        <v>39</v>
      </c>
      <c r="I119" s="167" t="s">
        <v>186</v>
      </c>
      <c r="J119" s="18" t="s">
        <v>427</v>
      </c>
      <c r="K119" s="20" t="s">
        <v>39</v>
      </c>
      <c r="L119" s="21">
        <v>300000</v>
      </c>
      <c r="M119" s="113">
        <v>0.18</v>
      </c>
      <c r="N119" s="24" t="s">
        <v>39</v>
      </c>
      <c r="O119" s="113">
        <v>0.02</v>
      </c>
      <c r="P119" s="24" t="s">
        <v>39</v>
      </c>
      <c r="Q119" s="24" t="s">
        <v>39</v>
      </c>
      <c r="R119" s="24" t="s">
        <v>39</v>
      </c>
      <c r="S119" s="24" t="s">
        <v>39</v>
      </c>
      <c r="T119" s="20">
        <v>0.04</v>
      </c>
      <c r="U119" s="20">
        <v>0.04</v>
      </c>
      <c r="V119" s="24" t="s">
        <v>39</v>
      </c>
      <c r="W119" s="114">
        <v>0.5</v>
      </c>
      <c r="X119" s="51" t="s">
        <v>39</v>
      </c>
      <c r="Y119" s="51" t="s">
        <v>39</v>
      </c>
      <c r="Z119" s="51" t="s">
        <v>39</v>
      </c>
      <c r="AA119" s="51" t="s">
        <v>39</v>
      </c>
      <c r="AB119" s="24" t="s">
        <v>39</v>
      </c>
      <c r="AC119" s="24" t="s">
        <v>39</v>
      </c>
      <c r="AD119" s="17"/>
      <c r="AE119" s="25" t="s">
        <v>405</v>
      </c>
      <c r="AF119" s="17" t="s">
        <v>406</v>
      </c>
    </row>
    <row r="120" s="2" customFormat="1" ht="72" customHeight="1" spans="1:32">
      <c r="A120" s="13">
        <v>118</v>
      </c>
      <c r="B120" s="14" t="s">
        <v>428</v>
      </c>
      <c r="C120" s="15" t="s">
        <v>175</v>
      </c>
      <c r="D120" s="15" t="s">
        <v>399</v>
      </c>
      <c r="E120" s="15" t="s">
        <v>400</v>
      </c>
      <c r="F120" s="13" t="s">
        <v>47</v>
      </c>
      <c r="G120" s="16" t="s">
        <v>48</v>
      </c>
      <c r="H120" s="18" t="s">
        <v>39</v>
      </c>
      <c r="I120" s="167" t="s">
        <v>319</v>
      </c>
      <c r="J120" s="18" t="s">
        <v>429</v>
      </c>
      <c r="K120" s="20" t="s">
        <v>39</v>
      </c>
      <c r="L120" s="21">
        <v>400000</v>
      </c>
      <c r="M120" s="113">
        <v>0.18</v>
      </c>
      <c r="N120" s="24" t="s">
        <v>39</v>
      </c>
      <c r="O120" s="113">
        <v>0.02</v>
      </c>
      <c r="P120" s="24" t="s">
        <v>39</v>
      </c>
      <c r="Q120" s="24" t="s">
        <v>39</v>
      </c>
      <c r="R120" s="24" t="s">
        <v>39</v>
      </c>
      <c r="S120" s="24" t="s">
        <v>39</v>
      </c>
      <c r="T120" s="20">
        <v>0.04</v>
      </c>
      <c r="U120" s="20">
        <v>0.04</v>
      </c>
      <c r="V120" s="24" t="s">
        <v>39</v>
      </c>
      <c r="W120" s="114">
        <v>0.5</v>
      </c>
      <c r="X120" s="51" t="s">
        <v>39</v>
      </c>
      <c r="Y120" s="51" t="s">
        <v>39</v>
      </c>
      <c r="Z120" s="51" t="s">
        <v>39</v>
      </c>
      <c r="AA120" s="51" t="s">
        <v>39</v>
      </c>
      <c r="AB120" s="24" t="s">
        <v>39</v>
      </c>
      <c r="AC120" s="24" t="s">
        <v>39</v>
      </c>
      <c r="AD120" s="17"/>
      <c r="AE120" s="25" t="s">
        <v>405</v>
      </c>
      <c r="AF120" s="17" t="s">
        <v>406</v>
      </c>
    </row>
    <row r="121" s="2" customFormat="1" ht="72" customHeight="1" spans="1:32">
      <c r="A121" s="13">
        <v>119</v>
      </c>
      <c r="B121" s="14" t="s">
        <v>430</v>
      </c>
      <c r="C121" s="15" t="s">
        <v>175</v>
      </c>
      <c r="D121" s="15" t="s">
        <v>399</v>
      </c>
      <c r="E121" s="15" t="s">
        <v>400</v>
      </c>
      <c r="F121" s="13" t="s">
        <v>47</v>
      </c>
      <c r="G121" s="16" t="s">
        <v>48</v>
      </c>
      <c r="H121" s="18" t="s">
        <v>39</v>
      </c>
      <c r="I121" s="167" t="s">
        <v>431</v>
      </c>
      <c r="J121" s="18" t="s">
        <v>432</v>
      </c>
      <c r="K121" s="20" t="s">
        <v>39</v>
      </c>
      <c r="L121" s="21">
        <v>300000</v>
      </c>
      <c r="M121" s="113">
        <v>0.18</v>
      </c>
      <c r="N121" s="24" t="s">
        <v>39</v>
      </c>
      <c r="O121" s="113">
        <v>0.02</v>
      </c>
      <c r="P121" s="24" t="s">
        <v>39</v>
      </c>
      <c r="Q121" s="24" t="s">
        <v>39</v>
      </c>
      <c r="R121" s="24" t="s">
        <v>39</v>
      </c>
      <c r="S121" s="24" t="s">
        <v>39</v>
      </c>
      <c r="T121" s="20">
        <v>0.04</v>
      </c>
      <c r="U121" s="20">
        <v>0.04</v>
      </c>
      <c r="V121" s="24" t="s">
        <v>39</v>
      </c>
      <c r="W121" s="114">
        <v>0.5</v>
      </c>
      <c r="X121" s="51" t="s">
        <v>39</v>
      </c>
      <c r="Y121" s="51" t="s">
        <v>39</v>
      </c>
      <c r="Z121" s="51" t="s">
        <v>39</v>
      </c>
      <c r="AA121" s="51" t="s">
        <v>39</v>
      </c>
      <c r="AB121" s="24" t="s">
        <v>39</v>
      </c>
      <c r="AC121" s="24" t="s">
        <v>39</v>
      </c>
      <c r="AD121" s="17"/>
      <c r="AE121" s="25" t="s">
        <v>405</v>
      </c>
      <c r="AF121" s="17" t="s">
        <v>406</v>
      </c>
    </row>
    <row r="122" s="2" customFormat="1" ht="72" customHeight="1" spans="1:32">
      <c r="A122" s="13">
        <v>120</v>
      </c>
      <c r="B122" s="14" t="s">
        <v>433</v>
      </c>
      <c r="C122" s="15" t="s">
        <v>175</v>
      </c>
      <c r="D122" s="15" t="s">
        <v>399</v>
      </c>
      <c r="E122" s="15" t="s">
        <v>400</v>
      </c>
      <c r="F122" s="13" t="s">
        <v>47</v>
      </c>
      <c r="G122" s="16" t="s">
        <v>48</v>
      </c>
      <c r="H122" s="18" t="s">
        <v>39</v>
      </c>
      <c r="I122" s="167" t="s">
        <v>434</v>
      </c>
      <c r="J122" s="18" t="s">
        <v>435</v>
      </c>
      <c r="K122" s="20" t="s">
        <v>39</v>
      </c>
      <c r="L122" s="21">
        <v>220000</v>
      </c>
      <c r="M122" s="113">
        <v>0.18</v>
      </c>
      <c r="N122" s="24" t="s">
        <v>39</v>
      </c>
      <c r="O122" s="113">
        <v>0.02</v>
      </c>
      <c r="P122" s="24" t="s">
        <v>39</v>
      </c>
      <c r="Q122" s="24" t="s">
        <v>39</v>
      </c>
      <c r="R122" s="24" t="s">
        <v>39</v>
      </c>
      <c r="S122" s="24" t="s">
        <v>39</v>
      </c>
      <c r="T122" s="20">
        <v>0.04</v>
      </c>
      <c r="U122" s="20">
        <v>0.04</v>
      </c>
      <c r="V122" s="24" t="s">
        <v>39</v>
      </c>
      <c r="W122" s="114">
        <v>0.5</v>
      </c>
      <c r="X122" s="51" t="s">
        <v>39</v>
      </c>
      <c r="Y122" s="51" t="s">
        <v>39</v>
      </c>
      <c r="Z122" s="51" t="s">
        <v>39</v>
      </c>
      <c r="AA122" s="51" t="s">
        <v>39</v>
      </c>
      <c r="AB122" s="24" t="s">
        <v>39</v>
      </c>
      <c r="AC122" s="24" t="s">
        <v>39</v>
      </c>
      <c r="AD122" s="17"/>
      <c r="AE122" s="25" t="s">
        <v>405</v>
      </c>
      <c r="AF122" s="17" t="s">
        <v>406</v>
      </c>
    </row>
    <row r="123" s="2" customFormat="1" ht="12" customHeight="1" spans="1:32">
      <c r="A123" s="13">
        <v>121</v>
      </c>
      <c r="B123" s="14" t="s">
        <v>436</v>
      </c>
      <c r="C123" s="15" t="s">
        <v>175</v>
      </c>
      <c r="D123" s="15" t="s">
        <v>437</v>
      </c>
      <c r="E123" s="15" t="s">
        <v>438</v>
      </c>
      <c r="F123" s="13" t="s">
        <v>53</v>
      </c>
      <c r="G123" s="16" t="s">
        <v>48</v>
      </c>
      <c r="H123" s="16" t="s">
        <v>39</v>
      </c>
      <c r="I123" s="17" t="s">
        <v>39</v>
      </c>
      <c r="J123" s="18" t="s">
        <v>39</v>
      </c>
      <c r="K123" s="20" t="s">
        <v>39</v>
      </c>
      <c r="L123" s="21">
        <v>566000</v>
      </c>
      <c r="M123" s="24" t="s">
        <v>39</v>
      </c>
      <c r="N123" s="24" t="s">
        <v>39</v>
      </c>
      <c r="O123" s="24" t="s">
        <v>39</v>
      </c>
      <c r="P123" s="24" t="s">
        <v>39</v>
      </c>
      <c r="Q123" s="24" t="s">
        <v>39</v>
      </c>
      <c r="R123" s="24" t="s">
        <v>39</v>
      </c>
      <c r="S123" s="24" t="s">
        <v>39</v>
      </c>
      <c r="T123" s="18" t="s">
        <v>39</v>
      </c>
      <c r="U123" s="24" t="s">
        <v>39</v>
      </c>
      <c r="V123" s="24" t="s">
        <v>39</v>
      </c>
      <c r="W123" s="18" t="s">
        <v>39</v>
      </c>
      <c r="X123" s="51" t="s">
        <v>39</v>
      </c>
      <c r="Y123" s="51" t="s">
        <v>39</v>
      </c>
      <c r="Z123" s="51" t="s">
        <v>39</v>
      </c>
      <c r="AA123" s="51" t="s">
        <v>39</v>
      </c>
      <c r="AB123" s="16">
        <v>100000</v>
      </c>
      <c r="AC123" s="46" t="s">
        <v>39</v>
      </c>
      <c r="AD123" s="17" t="s">
        <v>439</v>
      </c>
      <c r="AE123" s="25"/>
      <c r="AF123" s="206"/>
    </row>
    <row r="124" s="2" customFormat="1" ht="12" customHeight="1" spans="1:32">
      <c r="A124" s="13">
        <v>122</v>
      </c>
      <c r="B124" s="14" t="s">
        <v>440</v>
      </c>
      <c r="C124" s="15" t="s">
        <v>175</v>
      </c>
      <c r="D124" s="15" t="s">
        <v>441</v>
      </c>
      <c r="E124" s="15" t="s">
        <v>442</v>
      </c>
      <c r="F124" s="13" t="s">
        <v>53</v>
      </c>
      <c r="G124" s="16" t="s">
        <v>48</v>
      </c>
      <c r="H124" s="16" t="s">
        <v>39</v>
      </c>
      <c r="I124" s="17" t="s">
        <v>39</v>
      </c>
      <c r="J124" s="18" t="s">
        <v>39</v>
      </c>
      <c r="K124" s="20" t="s">
        <v>39</v>
      </c>
      <c r="L124" s="21">
        <v>710000</v>
      </c>
      <c r="M124" s="24" t="s">
        <v>39</v>
      </c>
      <c r="N124" s="24" t="s">
        <v>39</v>
      </c>
      <c r="O124" s="24" t="s">
        <v>39</v>
      </c>
      <c r="P124" s="24" t="s">
        <v>39</v>
      </c>
      <c r="Q124" s="24" t="s">
        <v>39</v>
      </c>
      <c r="R124" s="24" t="s">
        <v>39</v>
      </c>
      <c r="S124" s="24" t="s">
        <v>39</v>
      </c>
      <c r="T124" s="18" t="s">
        <v>39</v>
      </c>
      <c r="U124" s="24" t="s">
        <v>39</v>
      </c>
      <c r="V124" s="24" t="s">
        <v>39</v>
      </c>
      <c r="W124" s="18" t="s">
        <v>39</v>
      </c>
      <c r="X124" s="51" t="s">
        <v>39</v>
      </c>
      <c r="Y124" s="51" t="s">
        <v>39</v>
      </c>
      <c r="Z124" s="51" t="s">
        <v>39</v>
      </c>
      <c r="AA124" s="51" t="s">
        <v>39</v>
      </c>
      <c r="AB124" s="16">
        <v>100000</v>
      </c>
      <c r="AC124" s="46" t="s">
        <v>39</v>
      </c>
      <c r="AD124" s="17" t="s">
        <v>439</v>
      </c>
      <c r="AE124" s="25"/>
      <c r="AF124" s="206"/>
    </row>
    <row r="125" s="2" customFormat="1" ht="24" customHeight="1" spans="1:32">
      <c r="A125" s="13">
        <v>123</v>
      </c>
      <c r="B125" s="521"/>
      <c r="C125" s="15" t="s">
        <v>443</v>
      </c>
      <c r="D125" s="15" t="s">
        <v>444</v>
      </c>
      <c r="E125" s="15" t="s">
        <v>445</v>
      </c>
      <c r="F125" s="15" t="s">
        <v>53</v>
      </c>
      <c r="G125" s="89" t="s">
        <v>103</v>
      </c>
      <c r="H125" s="89" t="s">
        <v>39</v>
      </c>
      <c r="I125" s="89" t="s">
        <v>39</v>
      </c>
      <c r="J125" s="89" t="s">
        <v>39</v>
      </c>
      <c r="K125" s="19" t="s">
        <v>39</v>
      </c>
      <c r="L125" s="21" t="s">
        <v>39</v>
      </c>
      <c r="M125" s="90" t="s">
        <v>39</v>
      </c>
      <c r="N125" s="47"/>
      <c r="O125" s="106"/>
      <c r="P125" s="106"/>
      <c r="Q125" s="90" t="s">
        <v>39</v>
      </c>
      <c r="R125" s="90" t="s">
        <v>39</v>
      </c>
      <c r="S125" s="90" t="s">
        <v>39</v>
      </c>
      <c r="T125" s="55" t="s">
        <v>39</v>
      </c>
      <c r="U125" s="90" t="s">
        <v>39</v>
      </c>
      <c r="V125" s="90" t="s">
        <v>39</v>
      </c>
      <c r="W125" s="55" t="s">
        <v>39</v>
      </c>
      <c r="X125" s="115" t="s">
        <v>39</v>
      </c>
      <c r="Y125" s="115" t="s">
        <v>39</v>
      </c>
      <c r="Z125" s="115" t="s">
        <v>39</v>
      </c>
      <c r="AA125" s="115" t="s">
        <v>39</v>
      </c>
      <c r="AB125" s="89"/>
      <c r="AC125" s="20" t="s">
        <v>39</v>
      </c>
      <c r="AD125" s="48" t="s">
        <v>446</v>
      </c>
      <c r="AE125" s="25"/>
      <c r="AF125" s="206"/>
    </row>
    <row r="126" s="2" customFormat="1" ht="24" customHeight="1" spans="1:32">
      <c r="A126" s="13">
        <v>124</v>
      </c>
      <c r="B126" s="14" t="s">
        <v>447</v>
      </c>
      <c r="C126" s="15" t="s">
        <v>443</v>
      </c>
      <c r="D126" s="15" t="s">
        <v>444</v>
      </c>
      <c r="E126" s="15" t="s">
        <v>445</v>
      </c>
      <c r="F126" s="15" t="s">
        <v>53</v>
      </c>
      <c r="G126" s="16" t="s">
        <v>103</v>
      </c>
      <c r="H126" s="16" t="s">
        <v>60</v>
      </c>
      <c r="I126" s="17" t="s">
        <v>448</v>
      </c>
      <c r="J126" s="18" t="s">
        <v>449</v>
      </c>
      <c r="K126" s="20" t="s">
        <v>39</v>
      </c>
      <c r="L126" s="21">
        <v>280000</v>
      </c>
      <c r="M126" s="22">
        <v>0.09</v>
      </c>
      <c r="N126" s="20" t="s">
        <v>39</v>
      </c>
      <c r="O126" s="20" t="s">
        <v>39</v>
      </c>
      <c r="P126" s="24">
        <v>137.45</v>
      </c>
      <c r="Q126" s="113">
        <v>0.02</v>
      </c>
      <c r="R126" s="22" t="s">
        <v>39</v>
      </c>
      <c r="S126" s="20" t="s">
        <v>39</v>
      </c>
      <c r="T126" s="22"/>
      <c r="U126" s="116" t="s">
        <v>39</v>
      </c>
      <c r="V126" s="20">
        <v>0.04</v>
      </c>
      <c r="W126" s="20">
        <v>0.54</v>
      </c>
      <c r="X126" s="24" t="s">
        <v>39</v>
      </c>
      <c r="Y126" s="24" t="s">
        <v>39</v>
      </c>
      <c r="Z126" s="24" t="s">
        <v>39</v>
      </c>
      <c r="AA126" s="24" t="s">
        <v>39</v>
      </c>
      <c r="AB126" s="22" t="s">
        <v>39</v>
      </c>
      <c r="AC126" s="18" t="s">
        <v>39</v>
      </c>
      <c r="AD126" s="17" t="s">
        <v>450</v>
      </c>
      <c r="AE126" s="25" t="s">
        <v>451</v>
      </c>
      <c r="AF126" s="17"/>
    </row>
    <row r="127" s="2" customFormat="1" ht="24" customHeight="1" spans="1:32">
      <c r="A127" s="13">
        <v>125</v>
      </c>
      <c r="B127" s="14" t="s">
        <v>452</v>
      </c>
      <c r="C127" s="15" t="s">
        <v>443</v>
      </c>
      <c r="D127" s="15" t="s">
        <v>444</v>
      </c>
      <c r="E127" s="15" t="s">
        <v>445</v>
      </c>
      <c r="F127" s="15" t="s">
        <v>53</v>
      </c>
      <c r="G127" s="16" t="s">
        <v>103</v>
      </c>
      <c r="H127" s="16" t="s">
        <v>66</v>
      </c>
      <c r="I127" s="17" t="s">
        <v>453</v>
      </c>
      <c r="J127" s="18" t="s">
        <v>454</v>
      </c>
      <c r="K127" s="20" t="s">
        <v>39</v>
      </c>
      <c r="L127" s="21">
        <v>560000</v>
      </c>
      <c r="M127" s="22">
        <v>0.1</v>
      </c>
      <c r="N127" s="20" t="s">
        <v>39</v>
      </c>
      <c r="O127" s="20" t="s">
        <v>39</v>
      </c>
      <c r="P127" s="24">
        <v>308.9</v>
      </c>
      <c r="Q127" s="113">
        <v>0.02</v>
      </c>
      <c r="R127" s="22" t="s">
        <v>39</v>
      </c>
      <c r="S127" s="20" t="s">
        <v>39</v>
      </c>
      <c r="T127" s="22"/>
      <c r="U127" s="116" t="s">
        <v>39</v>
      </c>
      <c r="V127" s="20">
        <v>0.04</v>
      </c>
      <c r="W127" s="20">
        <v>0.52</v>
      </c>
      <c r="X127" s="24" t="s">
        <v>39</v>
      </c>
      <c r="Y127" s="24" t="s">
        <v>39</v>
      </c>
      <c r="Z127" s="24" t="s">
        <v>39</v>
      </c>
      <c r="AA127" s="24" t="s">
        <v>39</v>
      </c>
      <c r="AB127" s="22" t="s">
        <v>39</v>
      </c>
      <c r="AC127" s="18" t="s">
        <v>39</v>
      </c>
      <c r="AD127" s="17" t="s">
        <v>450</v>
      </c>
      <c r="AE127" s="25" t="s">
        <v>451</v>
      </c>
      <c r="AF127" s="17"/>
    </row>
    <row r="128" s="2" customFormat="1" ht="24" customHeight="1" spans="1:32">
      <c r="A128" s="13">
        <v>126</v>
      </c>
      <c r="B128" s="14" t="s">
        <v>455</v>
      </c>
      <c r="C128" s="15" t="s">
        <v>443</v>
      </c>
      <c r="D128" s="15" t="s">
        <v>444</v>
      </c>
      <c r="E128" s="15" t="s">
        <v>445</v>
      </c>
      <c r="F128" s="15" t="s">
        <v>53</v>
      </c>
      <c r="G128" s="16" t="s">
        <v>103</v>
      </c>
      <c r="H128" s="16" t="s">
        <v>70</v>
      </c>
      <c r="I128" s="17" t="s">
        <v>456</v>
      </c>
      <c r="J128" s="18" t="s">
        <v>457</v>
      </c>
      <c r="K128" s="20" t="s">
        <v>39</v>
      </c>
      <c r="L128" s="21">
        <v>420000</v>
      </c>
      <c r="M128" s="22">
        <v>0.1</v>
      </c>
      <c r="N128" s="20" t="s">
        <v>39</v>
      </c>
      <c r="O128" s="20" t="s">
        <v>39</v>
      </c>
      <c r="P128" s="24">
        <v>217.9</v>
      </c>
      <c r="Q128" s="113">
        <v>0.02</v>
      </c>
      <c r="R128" s="22" t="s">
        <v>39</v>
      </c>
      <c r="S128" s="20" t="s">
        <v>39</v>
      </c>
      <c r="T128" s="22"/>
      <c r="U128" s="116" t="s">
        <v>39</v>
      </c>
      <c r="V128" s="20">
        <v>0.04</v>
      </c>
      <c r="W128" s="20">
        <v>0.52</v>
      </c>
      <c r="X128" s="24" t="s">
        <v>39</v>
      </c>
      <c r="Y128" s="24" t="s">
        <v>39</v>
      </c>
      <c r="Z128" s="24" t="s">
        <v>39</v>
      </c>
      <c r="AA128" s="24" t="s">
        <v>39</v>
      </c>
      <c r="AB128" s="22" t="s">
        <v>39</v>
      </c>
      <c r="AC128" s="18" t="s">
        <v>39</v>
      </c>
      <c r="AD128" s="17" t="s">
        <v>450</v>
      </c>
      <c r="AE128" s="25" t="s">
        <v>451</v>
      </c>
      <c r="AF128" s="17"/>
    </row>
    <row r="129" s="2" customFormat="1" ht="24" customHeight="1" spans="1:32">
      <c r="A129" s="13">
        <v>127</v>
      </c>
      <c r="B129" s="14" t="s">
        <v>458</v>
      </c>
      <c r="C129" s="15" t="s">
        <v>443</v>
      </c>
      <c r="D129" s="15" t="s">
        <v>444</v>
      </c>
      <c r="E129" s="15" t="s">
        <v>445</v>
      </c>
      <c r="F129" s="15" t="s">
        <v>53</v>
      </c>
      <c r="G129" s="16" t="s">
        <v>103</v>
      </c>
      <c r="H129" s="16" t="s">
        <v>74</v>
      </c>
      <c r="I129" s="17" t="s">
        <v>459</v>
      </c>
      <c r="J129" s="18" t="s">
        <v>460</v>
      </c>
      <c r="K129" s="20" t="s">
        <v>39</v>
      </c>
      <c r="L129" s="21">
        <v>210000</v>
      </c>
      <c r="M129" s="22">
        <v>0.1</v>
      </c>
      <c r="N129" s="20" t="s">
        <v>39</v>
      </c>
      <c r="O129" s="20" t="s">
        <v>39</v>
      </c>
      <c r="P129" s="24">
        <v>175.4</v>
      </c>
      <c r="Q129" s="113">
        <v>0.02</v>
      </c>
      <c r="R129" s="22" t="s">
        <v>39</v>
      </c>
      <c r="S129" s="20" t="s">
        <v>39</v>
      </c>
      <c r="T129" s="22"/>
      <c r="U129" s="116" t="s">
        <v>39</v>
      </c>
      <c r="V129" s="20">
        <v>0.04</v>
      </c>
      <c r="W129" s="20">
        <v>0.52</v>
      </c>
      <c r="X129" s="24" t="s">
        <v>39</v>
      </c>
      <c r="Y129" s="24" t="s">
        <v>39</v>
      </c>
      <c r="Z129" s="24" t="s">
        <v>39</v>
      </c>
      <c r="AA129" s="24" t="s">
        <v>39</v>
      </c>
      <c r="AB129" s="22" t="s">
        <v>39</v>
      </c>
      <c r="AC129" s="18" t="s">
        <v>39</v>
      </c>
      <c r="AD129" s="17" t="s">
        <v>450</v>
      </c>
      <c r="AE129" s="25" t="s">
        <v>451</v>
      </c>
      <c r="AF129" s="17"/>
    </row>
    <row r="130" s="2" customFormat="1" ht="24" customHeight="1" spans="1:32">
      <c r="A130" s="13">
        <v>128</v>
      </c>
      <c r="B130" s="14" t="s">
        <v>461</v>
      </c>
      <c r="C130" s="15" t="s">
        <v>443</v>
      </c>
      <c r="D130" s="15" t="s">
        <v>444</v>
      </c>
      <c r="E130" s="15" t="s">
        <v>445</v>
      </c>
      <c r="F130" s="15" t="s">
        <v>53</v>
      </c>
      <c r="G130" s="16" t="s">
        <v>103</v>
      </c>
      <c r="H130" s="16" t="s">
        <v>265</v>
      </c>
      <c r="I130" s="17" t="s">
        <v>316</v>
      </c>
      <c r="J130" s="18" t="s">
        <v>462</v>
      </c>
      <c r="K130" s="20" t="s">
        <v>39</v>
      </c>
      <c r="L130" s="21">
        <v>490000</v>
      </c>
      <c r="M130" s="22">
        <v>0.1</v>
      </c>
      <c r="N130" s="20" t="s">
        <v>39</v>
      </c>
      <c r="O130" s="20" t="s">
        <v>39</v>
      </c>
      <c r="P130" s="24">
        <v>268.7</v>
      </c>
      <c r="Q130" s="113">
        <v>0.02</v>
      </c>
      <c r="R130" s="22" t="s">
        <v>39</v>
      </c>
      <c r="S130" s="20" t="s">
        <v>39</v>
      </c>
      <c r="T130" s="22"/>
      <c r="U130" s="116" t="s">
        <v>39</v>
      </c>
      <c r="V130" s="20">
        <v>0.04</v>
      </c>
      <c r="W130" s="20">
        <v>0.52</v>
      </c>
      <c r="X130" s="24" t="s">
        <v>39</v>
      </c>
      <c r="Y130" s="24" t="s">
        <v>39</v>
      </c>
      <c r="Z130" s="24" t="s">
        <v>39</v>
      </c>
      <c r="AA130" s="24" t="s">
        <v>39</v>
      </c>
      <c r="AB130" s="22" t="s">
        <v>39</v>
      </c>
      <c r="AC130" s="18" t="s">
        <v>39</v>
      </c>
      <c r="AD130" s="17" t="s">
        <v>450</v>
      </c>
      <c r="AE130" s="25" t="s">
        <v>451</v>
      </c>
      <c r="AF130" s="17"/>
    </row>
    <row r="131" s="2" customFormat="1" ht="24" customHeight="1" spans="1:32">
      <c r="A131" s="13">
        <v>129</v>
      </c>
      <c r="B131" s="14" t="s">
        <v>463</v>
      </c>
      <c r="C131" s="15" t="s">
        <v>443</v>
      </c>
      <c r="D131" s="15" t="s">
        <v>444</v>
      </c>
      <c r="E131" s="15" t="s">
        <v>445</v>
      </c>
      <c r="F131" s="15" t="s">
        <v>53</v>
      </c>
      <c r="G131" s="16" t="s">
        <v>103</v>
      </c>
      <c r="H131" s="16" t="s">
        <v>86</v>
      </c>
      <c r="I131" s="17" t="s">
        <v>464</v>
      </c>
      <c r="J131" s="18" t="s">
        <v>465</v>
      </c>
      <c r="K131" s="20" t="s">
        <v>39</v>
      </c>
      <c r="L131" s="21">
        <v>560000</v>
      </c>
      <c r="M131" s="22">
        <v>0.09</v>
      </c>
      <c r="N131" s="20" t="s">
        <v>39</v>
      </c>
      <c r="O131" s="20" t="s">
        <v>39</v>
      </c>
      <c r="P131" s="24">
        <v>139.2</v>
      </c>
      <c r="Q131" s="113">
        <v>0.02</v>
      </c>
      <c r="R131" s="22" t="s">
        <v>39</v>
      </c>
      <c r="S131" s="20" t="s">
        <v>39</v>
      </c>
      <c r="T131" s="22"/>
      <c r="U131" s="116" t="s">
        <v>39</v>
      </c>
      <c r="V131" s="20">
        <v>0.04</v>
      </c>
      <c r="W131" s="20">
        <v>0.54</v>
      </c>
      <c r="X131" s="24" t="s">
        <v>39</v>
      </c>
      <c r="Y131" s="24" t="s">
        <v>39</v>
      </c>
      <c r="Z131" s="24" t="s">
        <v>39</v>
      </c>
      <c r="AA131" s="24" t="s">
        <v>39</v>
      </c>
      <c r="AB131" s="22" t="s">
        <v>39</v>
      </c>
      <c r="AC131" s="18" t="s">
        <v>39</v>
      </c>
      <c r="AD131" s="17" t="s">
        <v>450</v>
      </c>
      <c r="AE131" s="25" t="s">
        <v>451</v>
      </c>
      <c r="AF131" s="17"/>
    </row>
    <row r="132" s="2" customFormat="1" ht="24" customHeight="1" spans="1:32">
      <c r="A132" s="13">
        <v>130</v>
      </c>
      <c r="B132" s="14" t="s">
        <v>466</v>
      </c>
      <c r="C132" s="15" t="s">
        <v>443</v>
      </c>
      <c r="D132" s="15" t="s">
        <v>444</v>
      </c>
      <c r="E132" s="15" t="s">
        <v>445</v>
      </c>
      <c r="F132" s="15" t="s">
        <v>53</v>
      </c>
      <c r="G132" s="16" t="s">
        <v>103</v>
      </c>
      <c r="H132" s="16" t="s">
        <v>272</v>
      </c>
      <c r="I132" s="17" t="s">
        <v>186</v>
      </c>
      <c r="J132" s="18" t="s">
        <v>467</v>
      </c>
      <c r="K132" s="20" t="s">
        <v>39</v>
      </c>
      <c r="L132" s="21">
        <v>210000</v>
      </c>
      <c r="M132" s="22">
        <v>0.09</v>
      </c>
      <c r="N132" s="20" t="s">
        <v>39</v>
      </c>
      <c r="O132" s="20" t="s">
        <v>39</v>
      </c>
      <c r="P132" s="24">
        <v>137.45</v>
      </c>
      <c r="Q132" s="113">
        <v>0.02</v>
      </c>
      <c r="R132" s="22" t="s">
        <v>39</v>
      </c>
      <c r="S132" s="20" t="s">
        <v>39</v>
      </c>
      <c r="T132" s="22"/>
      <c r="U132" s="116" t="s">
        <v>39</v>
      </c>
      <c r="V132" s="20">
        <v>0.04</v>
      </c>
      <c r="W132" s="20">
        <v>0.54</v>
      </c>
      <c r="X132" s="24" t="s">
        <v>39</v>
      </c>
      <c r="Y132" s="24" t="s">
        <v>39</v>
      </c>
      <c r="Z132" s="24" t="s">
        <v>39</v>
      </c>
      <c r="AA132" s="24" t="s">
        <v>39</v>
      </c>
      <c r="AB132" s="22" t="s">
        <v>39</v>
      </c>
      <c r="AC132" s="18" t="s">
        <v>39</v>
      </c>
      <c r="AD132" s="17" t="s">
        <v>450</v>
      </c>
      <c r="AE132" s="25" t="s">
        <v>451</v>
      </c>
      <c r="AF132" s="17"/>
    </row>
    <row r="133" s="2" customFormat="1" ht="12" customHeight="1" spans="1:32">
      <c r="A133" s="13">
        <v>131</v>
      </c>
      <c r="B133" s="14" t="s">
        <v>468</v>
      </c>
      <c r="C133" s="15" t="s">
        <v>443</v>
      </c>
      <c r="D133" s="15" t="s">
        <v>469</v>
      </c>
      <c r="E133" s="15" t="s">
        <v>470</v>
      </c>
      <c r="F133" s="13" t="s">
        <v>37</v>
      </c>
      <c r="G133" s="16" t="s">
        <v>103</v>
      </c>
      <c r="H133" s="16" t="s">
        <v>39</v>
      </c>
      <c r="I133" s="167" t="s">
        <v>39</v>
      </c>
      <c r="J133" s="16" t="s">
        <v>39</v>
      </c>
      <c r="K133" s="20" t="s">
        <v>39</v>
      </c>
      <c r="L133" s="21" t="s">
        <v>39</v>
      </c>
      <c r="M133" s="20" t="s">
        <v>39</v>
      </c>
      <c r="N133" s="19"/>
      <c r="O133" s="47">
        <v>0.05</v>
      </c>
      <c r="P133" s="19"/>
      <c r="Q133" s="20" t="s">
        <v>39</v>
      </c>
      <c r="R133" s="20" t="s">
        <v>39</v>
      </c>
      <c r="S133" s="20" t="s">
        <v>39</v>
      </c>
      <c r="T133" s="20" t="s">
        <v>39</v>
      </c>
      <c r="U133" s="20" t="s">
        <v>39</v>
      </c>
      <c r="V133" s="20" t="s">
        <v>39</v>
      </c>
      <c r="W133" s="47"/>
      <c r="X133" s="24" t="s">
        <v>39</v>
      </c>
      <c r="Y133" s="24" t="s">
        <v>39</v>
      </c>
      <c r="Z133" s="24" t="s">
        <v>39</v>
      </c>
      <c r="AA133" s="24" t="s">
        <v>39</v>
      </c>
      <c r="AB133" s="22">
        <v>0.05</v>
      </c>
      <c r="AC133" s="18" t="s">
        <v>39</v>
      </c>
      <c r="AD133" s="17" t="s">
        <v>471</v>
      </c>
      <c r="AE133" s="25"/>
      <c r="AF133" s="206"/>
    </row>
    <row r="134" s="2" customFormat="1" ht="84" customHeight="1" spans="1:32">
      <c r="A134" s="13">
        <v>132</v>
      </c>
      <c r="B134" s="14" t="s">
        <v>472</v>
      </c>
      <c r="C134" s="15" t="s">
        <v>443</v>
      </c>
      <c r="D134" s="15" t="s">
        <v>469</v>
      </c>
      <c r="E134" s="15" t="s">
        <v>470</v>
      </c>
      <c r="F134" s="13" t="s">
        <v>81</v>
      </c>
      <c r="G134" s="16" t="s">
        <v>103</v>
      </c>
      <c r="H134" s="16" t="s">
        <v>60</v>
      </c>
      <c r="I134" s="17" t="s">
        <v>473</v>
      </c>
      <c r="J134" s="18" t="s">
        <v>474</v>
      </c>
      <c r="K134" s="20" t="s">
        <v>39</v>
      </c>
      <c r="L134" s="21" t="s">
        <v>39</v>
      </c>
      <c r="M134" s="22">
        <v>0.035</v>
      </c>
      <c r="N134" s="20" t="s">
        <v>39</v>
      </c>
      <c r="O134" s="20" t="s">
        <v>39</v>
      </c>
      <c r="P134" s="59" t="s">
        <v>39</v>
      </c>
      <c r="Q134" s="22" t="s">
        <v>39</v>
      </c>
      <c r="R134" s="22" t="s">
        <v>39</v>
      </c>
      <c r="S134" s="20" t="s">
        <v>39</v>
      </c>
      <c r="T134" s="22">
        <v>0.035</v>
      </c>
      <c r="U134" s="22">
        <v>0.06</v>
      </c>
      <c r="V134" s="26">
        <v>20000</v>
      </c>
      <c r="W134" s="47"/>
      <c r="X134" s="24" t="s">
        <v>39</v>
      </c>
      <c r="Y134" s="24" t="s">
        <v>39</v>
      </c>
      <c r="Z134" s="24" t="s">
        <v>39</v>
      </c>
      <c r="AA134" s="24" t="s">
        <v>39</v>
      </c>
      <c r="AB134" s="22" t="s">
        <v>39</v>
      </c>
      <c r="AC134" s="18" t="s">
        <v>39</v>
      </c>
      <c r="AD134" s="48" t="s">
        <v>475</v>
      </c>
      <c r="AE134" s="25" t="s">
        <v>288</v>
      </c>
      <c r="AF134" s="60" t="s">
        <v>476</v>
      </c>
    </row>
    <row r="135" s="2" customFormat="1" ht="84" customHeight="1" spans="1:32">
      <c r="A135" s="13">
        <v>133</v>
      </c>
      <c r="B135" s="14" t="s">
        <v>477</v>
      </c>
      <c r="C135" s="15" t="s">
        <v>443</v>
      </c>
      <c r="D135" s="15" t="s">
        <v>469</v>
      </c>
      <c r="E135" s="15" t="s">
        <v>470</v>
      </c>
      <c r="F135" s="13" t="s">
        <v>81</v>
      </c>
      <c r="G135" s="16" t="s">
        <v>103</v>
      </c>
      <c r="H135" s="16" t="s">
        <v>66</v>
      </c>
      <c r="I135" s="17" t="s">
        <v>478</v>
      </c>
      <c r="J135" s="18" t="s">
        <v>479</v>
      </c>
      <c r="K135" s="20" t="s">
        <v>39</v>
      </c>
      <c r="L135" s="21" t="s">
        <v>39</v>
      </c>
      <c r="M135" s="22">
        <v>0.025</v>
      </c>
      <c r="N135" s="20" t="s">
        <v>39</v>
      </c>
      <c r="O135" s="20" t="s">
        <v>39</v>
      </c>
      <c r="P135" s="59" t="s">
        <v>39</v>
      </c>
      <c r="Q135" s="22" t="s">
        <v>39</v>
      </c>
      <c r="R135" s="22" t="s">
        <v>39</v>
      </c>
      <c r="S135" s="20" t="s">
        <v>39</v>
      </c>
      <c r="T135" s="22">
        <v>0.035</v>
      </c>
      <c r="U135" s="22">
        <v>0.07</v>
      </c>
      <c r="V135" s="26">
        <v>20000</v>
      </c>
      <c r="W135" s="47"/>
      <c r="X135" s="24" t="s">
        <v>39</v>
      </c>
      <c r="Y135" s="24" t="s">
        <v>39</v>
      </c>
      <c r="Z135" s="24" t="s">
        <v>39</v>
      </c>
      <c r="AA135" s="24" t="s">
        <v>39</v>
      </c>
      <c r="AB135" s="22" t="s">
        <v>39</v>
      </c>
      <c r="AC135" s="18" t="s">
        <v>39</v>
      </c>
      <c r="AD135" s="48" t="s">
        <v>475</v>
      </c>
      <c r="AE135" s="25" t="s">
        <v>288</v>
      </c>
      <c r="AF135" s="60" t="s">
        <v>476</v>
      </c>
    </row>
    <row r="136" s="2" customFormat="1" ht="84" customHeight="1" spans="1:32">
      <c r="A136" s="13">
        <v>134</v>
      </c>
      <c r="B136" s="14" t="s">
        <v>480</v>
      </c>
      <c r="C136" s="15" t="s">
        <v>443</v>
      </c>
      <c r="D136" s="15" t="s">
        <v>469</v>
      </c>
      <c r="E136" s="15" t="s">
        <v>470</v>
      </c>
      <c r="F136" s="13" t="s">
        <v>81</v>
      </c>
      <c r="G136" s="16" t="s">
        <v>103</v>
      </c>
      <c r="H136" s="16" t="s">
        <v>70</v>
      </c>
      <c r="I136" s="167" t="s">
        <v>481</v>
      </c>
      <c r="J136" s="18" t="s">
        <v>482</v>
      </c>
      <c r="K136" s="20" t="s">
        <v>39</v>
      </c>
      <c r="L136" s="21" t="s">
        <v>39</v>
      </c>
      <c r="M136" s="22">
        <v>0.025</v>
      </c>
      <c r="N136" s="20" t="s">
        <v>39</v>
      </c>
      <c r="O136" s="20" t="s">
        <v>39</v>
      </c>
      <c r="P136" s="59" t="s">
        <v>39</v>
      </c>
      <c r="Q136" s="22" t="s">
        <v>39</v>
      </c>
      <c r="R136" s="22" t="s">
        <v>39</v>
      </c>
      <c r="S136" s="20" t="s">
        <v>39</v>
      </c>
      <c r="T136" s="22">
        <v>0.035</v>
      </c>
      <c r="U136" s="22">
        <v>0.07</v>
      </c>
      <c r="V136" s="26">
        <v>15000</v>
      </c>
      <c r="W136" s="47"/>
      <c r="X136" s="24" t="s">
        <v>39</v>
      </c>
      <c r="Y136" s="24" t="s">
        <v>39</v>
      </c>
      <c r="Z136" s="24" t="s">
        <v>39</v>
      </c>
      <c r="AA136" s="24" t="s">
        <v>39</v>
      </c>
      <c r="AB136" s="22" t="s">
        <v>39</v>
      </c>
      <c r="AC136" s="18" t="s">
        <v>39</v>
      </c>
      <c r="AD136" s="48" t="s">
        <v>483</v>
      </c>
      <c r="AE136" s="25" t="s">
        <v>288</v>
      </c>
      <c r="AF136" s="60" t="s">
        <v>476</v>
      </c>
    </row>
    <row r="137" s="2" customFormat="1" ht="84" customHeight="1" spans="1:32">
      <c r="A137" s="13">
        <v>135</v>
      </c>
      <c r="B137" s="14" t="s">
        <v>484</v>
      </c>
      <c r="C137" s="15" t="s">
        <v>443</v>
      </c>
      <c r="D137" s="15" t="s">
        <v>469</v>
      </c>
      <c r="E137" s="15" t="s">
        <v>470</v>
      </c>
      <c r="F137" s="13" t="s">
        <v>81</v>
      </c>
      <c r="G137" s="16" t="s">
        <v>103</v>
      </c>
      <c r="H137" s="16" t="s">
        <v>74</v>
      </c>
      <c r="I137" s="167" t="s">
        <v>485</v>
      </c>
      <c r="J137" s="18" t="s">
        <v>486</v>
      </c>
      <c r="K137" s="20" t="s">
        <v>39</v>
      </c>
      <c r="L137" s="21" t="s">
        <v>39</v>
      </c>
      <c r="M137" s="22">
        <v>0.025</v>
      </c>
      <c r="N137" s="20" t="s">
        <v>39</v>
      </c>
      <c r="O137" s="20" t="s">
        <v>39</v>
      </c>
      <c r="P137" s="59" t="s">
        <v>39</v>
      </c>
      <c r="Q137" s="22" t="s">
        <v>39</v>
      </c>
      <c r="R137" s="22" t="s">
        <v>39</v>
      </c>
      <c r="S137" s="20" t="s">
        <v>39</v>
      </c>
      <c r="T137" s="22">
        <v>0.035</v>
      </c>
      <c r="U137" s="22">
        <v>0.07</v>
      </c>
      <c r="V137" s="26">
        <v>20000</v>
      </c>
      <c r="W137" s="47"/>
      <c r="X137" s="24" t="s">
        <v>39</v>
      </c>
      <c r="Y137" s="24" t="s">
        <v>39</v>
      </c>
      <c r="Z137" s="24" t="s">
        <v>39</v>
      </c>
      <c r="AA137" s="24" t="s">
        <v>39</v>
      </c>
      <c r="AB137" s="22" t="s">
        <v>39</v>
      </c>
      <c r="AC137" s="18" t="s">
        <v>39</v>
      </c>
      <c r="AD137" s="48" t="s">
        <v>475</v>
      </c>
      <c r="AE137" s="25" t="s">
        <v>288</v>
      </c>
      <c r="AF137" s="60" t="s">
        <v>476</v>
      </c>
    </row>
    <row r="138" s="2" customFormat="1" ht="84" customHeight="1" spans="1:32">
      <c r="A138" s="13">
        <v>136</v>
      </c>
      <c r="B138" s="14" t="s">
        <v>487</v>
      </c>
      <c r="C138" s="15" t="s">
        <v>443</v>
      </c>
      <c r="D138" s="15" t="s">
        <v>469</v>
      </c>
      <c r="E138" s="15" t="s">
        <v>470</v>
      </c>
      <c r="F138" s="13" t="s">
        <v>81</v>
      </c>
      <c r="G138" s="16" t="s">
        <v>103</v>
      </c>
      <c r="H138" s="16" t="s">
        <v>265</v>
      </c>
      <c r="I138" s="167" t="s">
        <v>488</v>
      </c>
      <c r="J138" s="18" t="s">
        <v>489</v>
      </c>
      <c r="K138" s="20" t="s">
        <v>39</v>
      </c>
      <c r="L138" s="21" t="s">
        <v>39</v>
      </c>
      <c r="M138" s="22" t="s">
        <v>39</v>
      </c>
      <c r="N138" s="22" t="s">
        <v>39</v>
      </c>
      <c r="O138" s="20" t="s">
        <v>39</v>
      </c>
      <c r="P138" s="59" t="s">
        <v>39</v>
      </c>
      <c r="Q138" s="22" t="s">
        <v>39</v>
      </c>
      <c r="R138" s="22" t="s">
        <v>39</v>
      </c>
      <c r="S138" s="22" t="s">
        <v>39</v>
      </c>
      <c r="T138" s="22">
        <v>0.035</v>
      </c>
      <c r="U138" s="22">
        <v>0.065</v>
      </c>
      <c r="V138" s="26">
        <v>20000</v>
      </c>
      <c r="W138" s="19" t="s">
        <v>39</v>
      </c>
      <c r="X138" s="24" t="s">
        <v>39</v>
      </c>
      <c r="Y138" s="24" t="s">
        <v>39</v>
      </c>
      <c r="Z138" s="24" t="s">
        <v>39</v>
      </c>
      <c r="AA138" s="24" t="s">
        <v>39</v>
      </c>
      <c r="AB138" s="22" t="s">
        <v>39</v>
      </c>
      <c r="AC138" s="18" t="s">
        <v>39</v>
      </c>
      <c r="AD138" s="48" t="s">
        <v>490</v>
      </c>
      <c r="AE138" s="25" t="s">
        <v>288</v>
      </c>
      <c r="AF138" s="60" t="s">
        <v>476</v>
      </c>
    </row>
    <row r="139" s="2" customFormat="1" ht="84" customHeight="1" spans="1:32">
      <c r="A139" s="13">
        <v>137</v>
      </c>
      <c r="B139" s="14" t="s">
        <v>491</v>
      </c>
      <c r="C139" s="15" t="s">
        <v>443</v>
      </c>
      <c r="D139" s="15" t="s">
        <v>469</v>
      </c>
      <c r="E139" s="15" t="s">
        <v>470</v>
      </c>
      <c r="F139" s="13" t="s">
        <v>81</v>
      </c>
      <c r="G139" s="16" t="s">
        <v>103</v>
      </c>
      <c r="H139" s="16" t="s">
        <v>86</v>
      </c>
      <c r="I139" s="167" t="s">
        <v>492</v>
      </c>
      <c r="J139" s="18" t="s">
        <v>493</v>
      </c>
      <c r="K139" s="20" t="s">
        <v>39</v>
      </c>
      <c r="L139" s="21" t="s">
        <v>39</v>
      </c>
      <c r="M139" s="22">
        <v>0.025</v>
      </c>
      <c r="N139" s="20" t="s">
        <v>39</v>
      </c>
      <c r="O139" s="20" t="s">
        <v>39</v>
      </c>
      <c r="P139" s="59" t="s">
        <v>39</v>
      </c>
      <c r="Q139" s="22" t="s">
        <v>39</v>
      </c>
      <c r="R139" s="22" t="s">
        <v>39</v>
      </c>
      <c r="S139" s="20" t="s">
        <v>39</v>
      </c>
      <c r="T139" s="22">
        <v>0.035</v>
      </c>
      <c r="U139" s="22">
        <v>0.07</v>
      </c>
      <c r="V139" s="26">
        <v>22500</v>
      </c>
      <c r="W139" s="47"/>
      <c r="X139" s="24" t="s">
        <v>39</v>
      </c>
      <c r="Y139" s="24" t="s">
        <v>39</v>
      </c>
      <c r="Z139" s="24" t="s">
        <v>39</v>
      </c>
      <c r="AA139" s="24" t="s">
        <v>39</v>
      </c>
      <c r="AB139" s="22" t="s">
        <v>39</v>
      </c>
      <c r="AC139" s="18" t="s">
        <v>39</v>
      </c>
      <c r="AD139" s="48" t="s">
        <v>494</v>
      </c>
      <c r="AE139" s="25" t="s">
        <v>288</v>
      </c>
      <c r="AF139" s="60" t="s">
        <v>476</v>
      </c>
    </row>
    <row r="140" s="2" customFormat="1" ht="84" customHeight="1" spans="1:32">
      <c r="A140" s="13">
        <v>138</v>
      </c>
      <c r="B140" s="14" t="s">
        <v>495</v>
      </c>
      <c r="C140" s="15" t="s">
        <v>443</v>
      </c>
      <c r="D140" s="15" t="s">
        <v>469</v>
      </c>
      <c r="E140" s="15" t="s">
        <v>470</v>
      </c>
      <c r="F140" s="13" t="s">
        <v>81</v>
      </c>
      <c r="G140" s="16" t="s">
        <v>103</v>
      </c>
      <c r="H140" s="16" t="s">
        <v>272</v>
      </c>
      <c r="I140" s="167" t="s">
        <v>240</v>
      </c>
      <c r="J140" s="18" t="s">
        <v>496</v>
      </c>
      <c r="K140" s="20" t="s">
        <v>39</v>
      </c>
      <c r="L140" s="21" t="s">
        <v>39</v>
      </c>
      <c r="M140" s="22">
        <v>0.025</v>
      </c>
      <c r="N140" s="20" t="s">
        <v>39</v>
      </c>
      <c r="O140" s="20" t="s">
        <v>39</v>
      </c>
      <c r="P140" s="59" t="s">
        <v>39</v>
      </c>
      <c r="Q140" s="22" t="s">
        <v>39</v>
      </c>
      <c r="R140" s="22" t="s">
        <v>39</v>
      </c>
      <c r="S140" s="20" t="s">
        <v>39</v>
      </c>
      <c r="T140" s="22">
        <v>0.035</v>
      </c>
      <c r="U140" s="22">
        <v>0.07</v>
      </c>
      <c r="V140" s="20" t="s">
        <v>39</v>
      </c>
      <c r="W140" s="19" t="s">
        <v>39</v>
      </c>
      <c r="X140" s="24" t="s">
        <v>39</v>
      </c>
      <c r="Y140" s="24" t="s">
        <v>39</v>
      </c>
      <c r="Z140" s="24" t="s">
        <v>39</v>
      </c>
      <c r="AA140" s="24" t="s">
        <v>39</v>
      </c>
      <c r="AB140" s="22" t="s">
        <v>39</v>
      </c>
      <c r="AC140" s="18" t="s">
        <v>39</v>
      </c>
      <c r="AD140" s="57" t="s">
        <v>497</v>
      </c>
      <c r="AE140" s="25" t="s">
        <v>288</v>
      </c>
      <c r="AF140" s="60" t="s">
        <v>476</v>
      </c>
    </row>
    <row r="141" s="2" customFormat="1" ht="84" customHeight="1" spans="1:32">
      <c r="A141" s="13">
        <v>139</v>
      </c>
      <c r="B141" s="14" t="s">
        <v>498</v>
      </c>
      <c r="C141" s="15" t="s">
        <v>443</v>
      </c>
      <c r="D141" s="15" t="s">
        <v>469</v>
      </c>
      <c r="E141" s="15" t="s">
        <v>470</v>
      </c>
      <c r="F141" s="13" t="s">
        <v>81</v>
      </c>
      <c r="G141" s="16" t="s">
        <v>103</v>
      </c>
      <c r="H141" s="16" t="s">
        <v>276</v>
      </c>
      <c r="I141" s="167" t="s">
        <v>499</v>
      </c>
      <c r="J141" s="18" t="s">
        <v>496</v>
      </c>
      <c r="K141" s="20" t="s">
        <v>39</v>
      </c>
      <c r="L141" s="21" t="s">
        <v>39</v>
      </c>
      <c r="M141" s="22" t="s">
        <v>39</v>
      </c>
      <c r="N141" s="22" t="s">
        <v>39</v>
      </c>
      <c r="O141" s="20" t="s">
        <v>39</v>
      </c>
      <c r="P141" s="59" t="s">
        <v>39</v>
      </c>
      <c r="Q141" s="22" t="s">
        <v>39</v>
      </c>
      <c r="R141" s="22" t="s">
        <v>39</v>
      </c>
      <c r="S141" s="22" t="s">
        <v>39</v>
      </c>
      <c r="T141" s="22">
        <v>0.035</v>
      </c>
      <c r="U141" s="22"/>
      <c r="V141" s="26">
        <v>5000</v>
      </c>
      <c r="W141" s="19" t="s">
        <v>39</v>
      </c>
      <c r="X141" s="24" t="s">
        <v>39</v>
      </c>
      <c r="Y141" s="24" t="s">
        <v>39</v>
      </c>
      <c r="Z141" s="24" t="s">
        <v>39</v>
      </c>
      <c r="AA141" s="24" t="s">
        <v>39</v>
      </c>
      <c r="AB141" s="22" t="s">
        <v>39</v>
      </c>
      <c r="AC141" s="18" t="s">
        <v>39</v>
      </c>
      <c r="AD141" s="57" t="s">
        <v>497</v>
      </c>
      <c r="AE141" s="25" t="s">
        <v>288</v>
      </c>
      <c r="AF141" s="60" t="s">
        <v>476</v>
      </c>
    </row>
    <row r="142" s="2" customFormat="1" ht="12" customHeight="1" spans="1:32">
      <c r="A142" s="13">
        <v>140</v>
      </c>
      <c r="B142" s="14" t="s">
        <v>500</v>
      </c>
      <c r="C142" s="15" t="s">
        <v>443</v>
      </c>
      <c r="D142" s="15" t="s">
        <v>501</v>
      </c>
      <c r="E142" s="15" t="s">
        <v>502</v>
      </c>
      <c r="F142" s="13" t="s">
        <v>37</v>
      </c>
      <c r="G142" s="16" t="s">
        <v>103</v>
      </c>
      <c r="H142" s="16" t="s">
        <v>39</v>
      </c>
      <c r="I142" s="167" t="s">
        <v>39</v>
      </c>
      <c r="J142" s="16" t="s">
        <v>39</v>
      </c>
      <c r="K142" s="20" t="s">
        <v>39</v>
      </c>
      <c r="L142" s="21">
        <v>17000000</v>
      </c>
      <c r="M142" s="20" t="s">
        <v>39</v>
      </c>
      <c r="N142" s="20" t="s">
        <v>39</v>
      </c>
      <c r="O142" s="23">
        <v>0.02</v>
      </c>
      <c r="P142" s="20" t="s">
        <v>39</v>
      </c>
      <c r="Q142" s="20" t="s">
        <v>39</v>
      </c>
      <c r="R142" s="20" t="s">
        <v>39</v>
      </c>
      <c r="S142" s="20" t="s">
        <v>39</v>
      </c>
      <c r="T142" s="20" t="s">
        <v>39</v>
      </c>
      <c r="U142" s="20" t="s">
        <v>39</v>
      </c>
      <c r="V142" s="20" t="s">
        <v>39</v>
      </c>
      <c r="W142" s="47"/>
      <c r="X142" s="117">
        <v>0.045</v>
      </c>
      <c r="Y142" s="24" t="s">
        <v>39</v>
      </c>
      <c r="Z142" s="24" t="s">
        <v>39</v>
      </c>
      <c r="AA142" s="24" t="s">
        <v>39</v>
      </c>
      <c r="AB142" s="46">
        <v>0.045</v>
      </c>
      <c r="AC142" s="46" t="s">
        <v>39</v>
      </c>
      <c r="AD142" s="17"/>
      <c r="AE142" s="25"/>
      <c r="AF142" s="206"/>
    </row>
    <row r="143" s="2" customFormat="1" ht="12" customHeight="1" spans="1:32">
      <c r="A143" s="13">
        <v>141</v>
      </c>
      <c r="B143" s="14" t="s">
        <v>503</v>
      </c>
      <c r="C143" s="15" t="s">
        <v>443</v>
      </c>
      <c r="D143" s="15" t="s">
        <v>504</v>
      </c>
      <c r="E143" s="15" t="s">
        <v>505</v>
      </c>
      <c r="F143" s="13" t="s">
        <v>53</v>
      </c>
      <c r="G143" s="16" t="s">
        <v>48</v>
      </c>
      <c r="H143" s="16" t="s">
        <v>39</v>
      </c>
      <c r="I143" s="17" t="s">
        <v>39</v>
      </c>
      <c r="J143" s="18" t="s">
        <v>39</v>
      </c>
      <c r="K143" s="20" t="s">
        <v>39</v>
      </c>
      <c r="L143" s="21">
        <v>522000</v>
      </c>
      <c r="M143" s="24" t="s">
        <v>39</v>
      </c>
      <c r="N143" s="24" t="s">
        <v>39</v>
      </c>
      <c r="O143" s="24" t="s">
        <v>39</v>
      </c>
      <c r="P143" s="24" t="s">
        <v>39</v>
      </c>
      <c r="Q143" s="24" t="s">
        <v>39</v>
      </c>
      <c r="R143" s="24" t="s">
        <v>39</v>
      </c>
      <c r="S143" s="24" t="s">
        <v>39</v>
      </c>
      <c r="T143" s="18" t="s">
        <v>39</v>
      </c>
      <c r="U143" s="24" t="s">
        <v>39</v>
      </c>
      <c r="V143" s="24" t="s">
        <v>39</v>
      </c>
      <c r="W143" s="18" t="s">
        <v>39</v>
      </c>
      <c r="X143" s="51" t="s">
        <v>39</v>
      </c>
      <c r="Y143" s="51" t="s">
        <v>39</v>
      </c>
      <c r="Z143" s="51" t="s">
        <v>39</v>
      </c>
      <c r="AA143" s="51" t="s">
        <v>39</v>
      </c>
      <c r="AB143" s="16">
        <v>100000</v>
      </c>
      <c r="AC143" s="46" t="s">
        <v>39</v>
      </c>
      <c r="AD143" s="17" t="s">
        <v>439</v>
      </c>
      <c r="AE143" s="25"/>
      <c r="AF143" s="206"/>
    </row>
    <row r="144" s="2" customFormat="1" ht="12" customHeight="1" spans="1:32">
      <c r="A144" s="13">
        <v>142</v>
      </c>
      <c r="B144" s="521"/>
      <c r="C144" s="15" t="s">
        <v>443</v>
      </c>
      <c r="D144" s="15" t="s">
        <v>506</v>
      </c>
      <c r="E144" s="15" t="s">
        <v>507</v>
      </c>
      <c r="F144" s="88" t="s">
        <v>37</v>
      </c>
      <c r="G144" s="16" t="s">
        <v>48</v>
      </c>
      <c r="H144" s="89" t="s">
        <v>39</v>
      </c>
      <c r="I144" s="55" t="s">
        <v>39</v>
      </c>
      <c r="J144" s="55" t="s">
        <v>39</v>
      </c>
      <c r="K144" s="19" t="s">
        <v>39</v>
      </c>
      <c r="L144" s="21" t="s">
        <v>39</v>
      </c>
      <c r="M144" s="90" t="s">
        <v>39</v>
      </c>
      <c r="N144" s="90" t="s">
        <v>39</v>
      </c>
      <c r="O144" s="90" t="s">
        <v>39</v>
      </c>
      <c r="P144" s="106"/>
      <c r="Q144" s="90" t="s">
        <v>39</v>
      </c>
      <c r="R144" s="90" t="s">
        <v>39</v>
      </c>
      <c r="S144" s="90" t="s">
        <v>39</v>
      </c>
      <c r="T144" s="44"/>
      <c r="U144" s="90" t="s">
        <v>39</v>
      </c>
      <c r="V144" s="90" t="s">
        <v>39</v>
      </c>
      <c r="W144" s="55" t="s">
        <v>39</v>
      </c>
      <c r="X144" s="115" t="s">
        <v>39</v>
      </c>
      <c r="Y144" s="115" t="s">
        <v>39</v>
      </c>
      <c r="Z144" s="115" t="s">
        <v>39</v>
      </c>
      <c r="AA144" s="115" t="s">
        <v>39</v>
      </c>
      <c r="AB144" s="46">
        <v>0.05</v>
      </c>
      <c r="AC144" s="118" t="s">
        <v>39</v>
      </c>
      <c r="AD144" s="48" t="s">
        <v>104</v>
      </c>
      <c r="AE144" s="25"/>
      <c r="AF144" s="206"/>
    </row>
    <row r="145" s="2" customFormat="1" ht="84" customHeight="1" spans="1:32">
      <c r="A145" s="13">
        <v>143</v>
      </c>
      <c r="B145" s="14" t="s">
        <v>508</v>
      </c>
      <c r="C145" s="15" t="s">
        <v>443</v>
      </c>
      <c r="D145" s="15" t="s">
        <v>506</v>
      </c>
      <c r="E145" s="15" t="s">
        <v>507</v>
      </c>
      <c r="F145" s="13" t="s">
        <v>81</v>
      </c>
      <c r="G145" s="16" t="s">
        <v>48</v>
      </c>
      <c r="H145" s="18" t="s">
        <v>39</v>
      </c>
      <c r="I145" s="43" t="s">
        <v>186</v>
      </c>
      <c r="J145" s="18" t="s">
        <v>509</v>
      </c>
      <c r="K145" s="20" t="s">
        <v>39</v>
      </c>
      <c r="L145" s="21">
        <v>564000</v>
      </c>
      <c r="M145" s="113">
        <v>0.18</v>
      </c>
      <c r="N145" s="24" t="s">
        <v>39</v>
      </c>
      <c r="O145" s="119"/>
      <c r="P145" s="24" t="s">
        <v>39</v>
      </c>
      <c r="Q145" s="24" t="s">
        <v>39</v>
      </c>
      <c r="R145" s="24" t="s">
        <v>39</v>
      </c>
      <c r="S145" s="24" t="s">
        <v>39</v>
      </c>
      <c r="T145" s="26">
        <v>1500</v>
      </c>
      <c r="U145" s="26"/>
      <c r="V145" s="24" t="s">
        <v>39</v>
      </c>
      <c r="W145" s="22">
        <v>0.501</v>
      </c>
      <c r="X145" s="51" t="s">
        <v>39</v>
      </c>
      <c r="Y145" s="51" t="s">
        <v>39</v>
      </c>
      <c r="Z145" s="51" t="s">
        <v>39</v>
      </c>
      <c r="AA145" s="51" t="s">
        <v>39</v>
      </c>
      <c r="AB145" s="51" t="s">
        <v>39</v>
      </c>
      <c r="AC145" s="46" t="s">
        <v>39</v>
      </c>
      <c r="AD145" s="120" t="s">
        <v>510</v>
      </c>
      <c r="AE145" s="25" t="s">
        <v>511</v>
      </c>
      <c r="AF145" s="17" t="s">
        <v>512</v>
      </c>
    </row>
    <row r="146" s="2" customFormat="1" ht="84" customHeight="1" spans="1:32">
      <c r="A146" s="13">
        <v>144</v>
      </c>
      <c r="B146" s="14" t="s">
        <v>513</v>
      </c>
      <c r="C146" s="15" t="s">
        <v>443</v>
      </c>
      <c r="D146" s="15" t="s">
        <v>506</v>
      </c>
      <c r="E146" s="15" t="s">
        <v>507</v>
      </c>
      <c r="F146" s="13" t="s">
        <v>81</v>
      </c>
      <c r="G146" s="16" t="s">
        <v>48</v>
      </c>
      <c r="H146" s="18" t="s">
        <v>39</v>
      </c>
      <c r="I146" s="43" t="s">
        <v>514</v>
      </c>
      <c r="J146" s="18" t="s">
        <v>515</v>
      </c>
      <c r="K146" s="20" t="s">
        <v>39</v>
      </c>
      <c r="L146" s="21">
        <v>924000</v>
      </c>
      <c r="M146" s="113">
        <v>0.19</v>
      </c>
      <c r="N146" s="24" t="s">
        <v>39</v>
      </c>
      <c r="O146" s="119"/>
      <c r="P146" s="24" t="s">
        <v>39</v>
      </c>
      <c r="Q146" s="24" t="s">
        <v>39</v>
      </c>
      <c r="R146" s="24" t="s">
        <v>39</v>
      </c>
      <c r="S146" s="24" t="s">
        <v>39</v>
      </c>
      <c r="T146" s="26">
        <v>1500</v>
      </c>
      <c r="U146" s="26"/>
      <c r="V146" s="24" t="s">
        <v>39</v>
      </c>
      <c r="W146" s="22">
        <v>0.501</v>
      </c>
      <c r="X146" s="51" t="s">
        <v>39</v>
      </c>
      <c r="Y146" s="51" t="s">
        <v>39</v>
      </c>
      <c r="Z146" s="51" t="s">
        <v>39</v>
      </c>
      <c r="AA146" s="51" t="s">
        <v>39</v>
      </c>
      <c r="AB146" s="51" t="s">
        <v>39</v>
      </c>
      <c r="AC146" s="46" t="s">
        <v>39</v>
      </c>
      <c r="AD146" s="120" t="s">
        <v>510</v>
      </c>
      <c r="AE146" s="25" t="s">
        <v>516</v>
      </c>
      <c r="AF146" s="17" t="s">
        <v>512</v>
      </c>
    </row>
    <row r="147" s="2" customFormat="1" ht="84" customHeight="1" spans="1:32">
      <c r="A147" s="13">
        <v>145</v>
      </c>
      <c r="B147" s="14" t="s">
        <v>517</v>
      </c>
      <c r="C147" s="15" t="s">
        <v>443</v>
      </c>
      <c r="D147" s="15" t="s">
        <v>506</v>
      </c>
      <c r="E147" s="15" t="s">
        <v>507</v>
      </c>
      <c r="F147" s="13" t="s">
        <v>81</v>
      </c>
      <c r="G147" s="16" t="s">
        <v>48</v>
      </c>
      <c r="H147" s="18" t="s">
        <v>39</v>
      </c>
      <c r="I147" s="43" t="s">
        <v>518</v>
      </c>
      <c r="J147" s="18" t="s">
        <v>519</v>
      </c>
      <c r="K147" s="20" t="s">
        <v>39</v>
      </c>
      <c r="L147" s="21">
        <v>384000</v>
      </c>
      <c r="M147" s="113">
        <v>0.19</v>
      </c>
      <c r="N147" s="24" t="s">
        <v>39</v>
      </c>
      <c r="O147" s="119"/>
      <c r="P147" s="24" t="s">
        <v>39</v>
      </c>
      <c r="Q147" s="24" t="s">
        <v>39</v>
      </c>
      <c r="R147" s="24" t="s">
        <v>39</v>
      </c>
      <c r="S147" s="24" t="s">
        <v>39</v>
      </c>
      <c r="T147" s="26">
        <v>1000</v>
      </c>
      <c r="U147" s="26"/>
      <c r="V147" s="24" t="s">
        <v>39</v>
      </c>
      <c r="W147" s="22">
        <v>0.501</v>
      </c>
      <c r="X147" s="51" t="s">
        <v>39</v>
      </c>
      <c r="Y147" s="51" t="s">
        <v>39</v>
      </c>
      <c r="Z147" s="51" t="s">
        <v>39</v>
      </c>
      <c r="AA147" s="51" t="s">
        <v>39</v>
      </c>
      <c r="AB147" s="51" t="s">
        <v>39</v>
      </c>
      <c r="AC147" s="46" t="s">
        <v>39</v>
      </c>
      <c r="AD147" s="121" t="s">
        <v>520</v>
      </c>
      <c r="AE147" s="25" t="s">
        <v>516</v>
      </c>
      <c r="AF147" s="17" t="s">
        <v>512</v>
      </c>
    </row>
    <row r="148" s="2" customFormat="1" ht="84" customHeight="1" spans="1:32">
      <c r="A148" s="13">
        <v>146</v>
      </c>
      <c r="B148" s="14" t="s">
        <v>521</v>
      </c>
      <c r="C148" s="15" t="s">
        <v>443</v>
      </c>
      <c r="D148" s="15" t="s">
        <v>506</v>
      </c>
      <c r="E148" s="15" t="s">
        <v>507</v>
      </c>
      <c r="F148" s="13" t="s">
        <v>81</v>
      </c>
      <c r="G148" s="16" t="s">
        <v>48</v>
      </c>
      <c r="H148" s="18" t="s">
        <v>39</v>
      </c>
      <c r="I148" s="43" t="s">
        <v>522</v>
      </c>
      <c r="J148" s="18" t="s">
        <v>523</v>
      </c>
      <c r="K148" s="20" t="s">
        <v>39</v>
      </c>
      <c r="L148" s="21">
        <v>588000</v>
      </c>
      <c r="M148" s="113">
        <v>0.19</v>
      </c>
      <c r="N148" s="24" t="s">
        <v>39</v>
      </c>
      <c r="O148" s="119"/>
      <c r="P148" s="24" t="s">
        <v>39</v>
      </c>
      <c r="Q148" s="24" t="s">
        <v>39</v>
      </c>
      <c r="R148" s="24" t="s">
        <v>39</v>
      </c>
      <c r="S148" s="24" t="s">
        <v>39</v>
      </c>
      <c r="T148" s="26">
        <v>1500</v>
      </c>
      <c r="U148" s="26"/>
      <c r="V148" s="24" t="s">
        <v>39</v>
      </c>
      <c r="W148" s="22">
        <v>0.501</v>
      </c>
      <c r="X148" s="51" t="s">
        <v>39</v>
      </c>
      <c r="Y148" s="51" t="s">
        <v>39</v>
      </c>
      <c r="Z148" s="51" t="s">
        <v>39</v>
      </c>
      <c r="AA148" s="51" t="s">
        <v>39</v>
      </c>
      <c r="AB148" s="51" t="s">
        <v>39</v>
      </c>
      <c r="AC148" s="46" t="s">
        <v>39</v>
      </c>
      <c r="AD148" s="120" t="s">
        <v>510</v>
      </c>
      <c r="AE148" s="25" t="s">
        <v>516</v>
      </c>
      <c r="AF148" s="17" t="s">
        <v>512</v>
      </c>
    </row>
    <row r="149" s="2" customFormat="1" ht="84" customHeight="1" spans="1:32">
      <c r="A149" s="13">
        <v>147</v>
      </c>
      <c r="B149" s="14" t="s">
        <v>524</v>
      </c>
      <c r="C149" s="15" t="s">
        <v>443</v>
      </c>
      <c r="D149" s="15" t="s">
        <v>506</v>
      </c>
      <c r="E149" s="15" t="s">
        <v>507</v>
      </c>
      <c r="F149" s="13" t="s">
        <v>81</v>
      </c>
      <c r="G149" s="16" t="s">
        <v>48</v>
      </c>
      <c r="H149" s="18" t="s">
        <v>39</v>
      </c>
      <c r="I149" s="43" t="s">
        <v>448</v>
      </c>
      <c r="J149" s="18" t="s">
        <v>525</v>
      </c>
      <c r="K149" s="20" t="s">
        <v>39</v>
      </c>
      <c r="L149" s="21">
        <v>660000</v>
      </c>
      <c r="M149" s="113">
        <v>0.19</v>
      </c>
      <c r="N149" s="24" t="s">
        <v>39</v>
      </c>
      <c r="O149" s="119"/>
      <c r="P149" s="24" t="s">
        <v>39</v>
      </c>
      <c r="Q149" s="24" t="s">
        <v>39</v>
      </c>
      <c r="R149" s="24" t="s">
        <v>39</v>
      </c>
      <c r="S149" s="24" t="s">
        <v>39</v>
      </c>
      <c r="T149" s="26">
        <v>1500</v>
      </c>
      <c r="U149" s="26"/>
      <c r="V149" s="24" t="s">
        <v>39</v>
      </c>
      <c r="W149" s="22">
        <v>0.501</v>
      </c>
      <c r="X149" s="51" t="s">
        <v>39</v>
      </c>
      <c r="Y149" s="51" t="s">
        <v>39</v>
      </c>
      <c r="Z149" s="51" t="s">
        <v>39</v>
      </c>
      <c r="AA149" s="51" t="s">
        <v>39</v>
      </c>
      <c r="AB149" s="51" t="s">
        <v>39</v>
      </c>
      <c r="AC149" s="46" t="s">
        <v>39</v>
      </c>
      <c r="AD149" s="120" t="s">
        <v>510</v>
      </c>
      <c r="AE149" s="25" t="s">
        <v>511</v>
      </c>
      <c r="AF149" s="17" t="s">
        <v>512</v>
      </c>
    </row>
    <row r="150" s="2" customFormat="1" ht="84" customHeight="1" spans="1:32">
      <c r="A150" s="13">
        <v>148</v>
      </c>
      <c r="B150" s="14" t="s">
        <v>526</v>
      </c>
      <c r="C150" s="15" t="s">
        <v>443</v>
      </c>
      <c r="D150" s="15" t="s">
        <v>506</v>
      </c>
      <c r="E150" s="15" t="s">
        <v>507</v>
      </c>
      <c r="F150" s="13" t="s">
        <v>81</v>
      </c>
      <c r="G150" s="16" t="s">
        <v>48</v>
      </c>
      <c r="H150" s="18" t="s">
        <v>39</v>
      </c>
      <c r="I150" s="43" t="s">
        <v>527</v>
      </c>
      <c r="J150" s="93" t="s">
        <v>528</v>
      </c>
      <c r="K150" s="20" t="s">
        <v>39</v>
      </c>
      <c r="L150" s="21">
        <v>660000</v>
      </c>
      <c r="M150" s="113">
        <v>0.19</v>
      </c>
      <c r="N150" s="24" t="s">
        <v>39</v>
      </c>
      <c r="O150" s="119"/>
      <c r="P150" s="24" t="s">
        <v>39</v>
      </c>
      <c r="Q150" s="24" t="s">
        <v>39</v>
      </c>
      <c r="R150" s="24" t="s">
        <v>39</v>
      </c>
      <c r="S150" s="24" t="s">
        <v>39</v>
      </c>
      <c r="T150" s="26">
        <v>1000</v>
      </c>
      <c r="U150" s="26"/>
      <c r="V150" s="24" t="s">
        <v>39</v>
      </c>
      <c r="W150" s="22">
        <v>0.501</v>
      </c>
      <c r="X150" s="51" t="s">
        <v>39</v>
      </c>
      <c r="Y150" s="51" t="s">
        <v>39</v>
      </c>
      <c r="Z150" s="51" t="s">
        <v>39</v>
      </c>
      <c r="AA150" s="51" t="s">
        <v>39</v>
      </c>
      <c r="AB150" s="51" t="s">
        <v>39</v>
      </c>
      <c r="AC150" s="46" t="s">
        <v>39</v>
      </c>
      <c r="AD150" s="121" t="s">
        <v>520</v>
      </c>
      <c r="AE150" s="25" t="s">
        <v>511</v>
      </c>
      <c r="AF150" s="17" t="s">
        <v>512</v>
      </c>
    </row>
    <row r="151" s="2" customFormat="1" ht="84" customHeight="1" spans="1:32">
      <c r="A151" s="13">
        <v>149</v>
      </c>
      <c r="B151" s="14" t="s">
        <v>529</v>
      </c>
      <c r="C151" s="15" t="s">
        <v>443</v>
      </c>
      <c r="D151" s="15" t="s">
        <v>506</v>
      </c>
      <c r="E151" s="15" t="s">
        <v>507</v>
      </c>
      <c r="F151" s="13" t="s">
        <v>81</v>
      </c>
      <c r="G151" s="16" t="s">
        <v>48</v>
      </c>
      <c r="H151" s="18" t="s">
        <v>39</v>
      </c>
      <c r="I151" s="43" t="s">
        <v>530</v>
      </c>
      <c r="J151" s="93" t="s">
        <v>531</v>
      </c>
      <c r="K151" s="20" t="s">
        <v>39</v>
      </c>
      <c r="L151" s="21">
        <v>588000</v>
      </c>
      <c r="M151" s="113">
        <v>0.16</v>
      </c>
      <c r="N151" s="24" t="s">
        <v>39</v>
      </c>
      <c r="O151" s="119"/>
      <c r="P151" s="24" t="s">
        <v>39</v>
      </c>
      <c r="Q151" s="24" t="s">
        <v>39</v>
      </c>
      <c r="R151" s="24" t="s">
        <v>39</v>
      </c>
      <c r="S151" s="24" t="s">
        <v>39</v>
      </c>
      <c r="T151" s="26">
        <v>1500</v>
      </c>
      <c r="U151" s="26"/>
      <c r="V151" s="24" t="s">
        <v>39</v>
      </c>
      <c r="W151" s="22">
        <v>0.501</v>
      </c>
      <c r="X151" s="51" t="s">
        <v>39</v>
      </c>
      <c r="Y151" s="51" t="s">
        <v>39</v>
      </c>
      <c r="Z151" s="51" t="s">
        <v>39</v>
      </c>
      <c r="AA151" s="51" t="s">
        <v>39</v>
      </c>
      <c r="AB151" s="51" t="s">
        <v>39</v>
      </c>
      <c r="AC151" s="46" t="s">
        <v>39</v>
      </c>
      <c r="AD151" s="120" t="s">
        <v>510</v>
      </c>
      <c r="AE151" s="25" t="s">
        <v>511</v>
      </c>
      <c r="AF151" s="17" t="s">
        <v>512</v>
      </c>
    </row>
    <row r="152" s="2" customFormat="1" ht="84" customHeight="1" spans="1:32">
      <c r="A152" s="13">
        <v>150</v>
      </c>
      <c r="B152" s="14" t="s">
        <v>532</v>
      </c>
      <c r="C152" s="15" t="s">
        <v>443</v>
      </c>
      <c r="D152" s="15" t="s">
        <v>506</v>
      </c>
      <c r="E152" s="15" t="s">
        <v>507</v>
      </c>
      <c r="F152" s="13" t="s">
        <v>81</v>
      </c>
      <c r="G152" s="16" t="s">
        <v>48</v>
      </c>
      <c r="H152" s="18" t="s">
        <v>39</v>
      </c>
      <c r="I152" s="43" t="s">
        <v>533</v>
      </c>
      <c r="J152" s="93" t="s">
        <v>534</v>
      </c>
      <c r="K152" s="20" t="s">
        <v>39</v>
      </c>
      <c r="L152" s="21">
        <v>564000</v>
      </c>
      <c r="M152" s="113">
        <v>0.19</v>
      </c>
      <c r="N152" s="24" t="s">
        <v>39</v>
      </c>
      <c r="O152" s="119"/>
      <c r="P152" s="24" t="s">
        <v>39</v>
      </c>
      <c r="Q152" s="24" t="s">
        <v>39</v>
      </c>
      <c r="R152" s="24" t="s">
        <v>39</v>
      </c>
      <c r="S152" s="24" t="s">
        <v>39</v>
      </c>
      <c r="T152" s="26">
        <v>1500</v>
      </c>
      <c r="U152" s="26"/>
      <c r="V152" s="24" t="s">
        <v>39</v>
      </c>
      <c r="W152" s="22">
        <v>0.501</v>
      </c>
      <c r="X152" s="51" t="s">
        <v>39</v>
      </c>
      <c r="Y152" s="51" t="s">
        <v>39</v>
      </c>
      <c r="Z152" s="51" t="s">
        <v>39</v>
      </c>
      <c r="AA152" s="51" t="s">
        <v>39</v>
      </c>
      <c r="AB152" s="51" t="s">
        <v>39</v>
      </c>
      <c r="AC152" s="46" t="s">
        <v>39</v>
      </c>
      <c r="AD152" s="120" t="s">
        <v>510</v>
      </c>
      <c r="AE152" s="25" t="s">
        <v>511</v>
      </c>
      <c r="AF152" s="17" t="s">
        <v>512</v>
      </c>
    </row>
    <row r="153" s="2" customFormat="1" ht="84" customHeight="1" spans="1:32">
      <c r="A153" s="13">
        <v>151</v>
      </c>
      <c r="B153" s="14" t="s">
        <v>535</v>
      </c>
      <c r="C153" s="15" t="s">
        <v>443</v>
      </c>
      <c r="D153" s="15" t="s">
        <v>506</v>
      </c>
      <c r="E153" s="15" t="s">
        <v>507</v>
      </c>
      <c r="F153" s="13" t="s">
        <v>81</v>
      </c>
      <c r="G153" s="16" t="s">
        <v>48</v>
      </c>
      <c r="H153" s="18" t="s">
        <v>39</v>
      </c>
      <c r="I153" s="43" t="s">
        <v>536</v>
      </c>
      <c r="J153" s="93" t="s">
        <v>537</v>
      </c>
      <c r="K153" s="20" t="s">
        <v>39</v>
      </c>
      <c r="L153" s="21">
        <v>672000</v>
      </c>
      <c r="M153" s="113">
        <v>0.16</v>
      </c>
      <c r="N153" s="24" t="s">
        <v>39</v>
      </c>
      <c r="O153" s="119"/>
      <c r="P153" s="24" t="s">
        <v>39</v>
      </c>
      <c r="Q153" s="24" t="s">
        <v>39</v>
      </c>
      <c r="R153" s="24" t="s">
        <v>39</v>
      </c>
      <c r="S153" s="24" t="s">
        <v>39</v>
      </c>
      <c r="T153" s="26">
        <v>1000</v>
      </c>
      <c r="U153" s="26"/>
      <c r="V153" s="24" t="s">
        <v>39</v>
      </c>
      <c r="W153" s="22">
        <v>0.501</v>
      </c>
      <c r="X153" s="51" t="s">
        <v>39</v>
      </c>
      <c r="Y153" s="51" t="s">
        <v>39</v>
      </c>
      <c r="Z153" s="51" t="s">
        <v>39</v>
      </c>
      <c r="AA153" s="51" t="s">
        <v>39</v>
      </c>
      <c r="AB153" s="51" t="s">
        <v>39</v>
      </c>
      <c r="AC153" s="46" t="s">
        <v>39</v>
      </c>
      <c r="AD153" s="121" t="s">
        <v>538</v>
      </c>
      <c r="AE153" s="25" t="s">
        <v>511</v>
      </c>
      <c r="AF153" s="17" t="s">
        <v>512</v>
      </c>
    </row>
    <row r="154" s="2" customFormat="1" ht="84" customHeight="1" spans="1:32">
      <c r="A154" s="13">
        <v>152</v>
      </c>
      <c r="B154" s="14" t="s">
        <v>539</v>
      </c>
      <c r="C154" s="15" t="s">
        <v>443</v>
      </c>
      <c r="D154" s="15" t="s">
        <v>506</v>
      </c>
      <c r="E154" s="15" t="s">
        <v>507</v>
      </c>
      <c r="F154" s="13" t="s">
        <v>81</v>
      </c>
      <c r="G154" s="16" t="s">
        <v>48</v>
      </c>
      <c r="H154" s="18" t="s">
        <v>39</v>
      </c>
      <c r="I154" s="43" t="s">
        <v>459</v>
      </c>
      <c r="J154" s="93" t="s">
        <v>540</v>
      </c>
      <c r="K154" s="20" t="s">
        <v>39</v>
      </c>
      <c r="L154" s="21">
        <v>588000</v>
      </c>
      <c r="M154" s="113">
        <v>0.19</v>
      </c>
      <c r="N154" s="24" t="s">
        <v>39</v>
      </c>
      <c r="O154" s="119"/>
      <c r="P154" s="24" t="s">
        <v>39</v>
      </c>
      <c r="Q154" s="24" t="s">
        <v>39</v>
      </c>
      <c r="R154" s="24" t="s">
        <v>39</v>
      </c>
      <c r="S154" s="24" t="s">
        <v>39</v>
      </c>
      <c r="T154" s="26">
        <v>600</v>
      </c>
      <c r="U154" s="26"/>
      <c r="V154" s="24" t="s">
        <v>39</v>
      </c>
      <c r="W154" s="22">
        <v>0.501</v>
      </c>
      <c r="X154" s="51" t="s">
        <v>39</v>
      </c>
      <c r="Y154" s="51" t="s">
        <v>39</v>
      </c>
      <c r="Z154" s="51" t="s">
        <v>39</v>
      </c>
      <c r="AA154" s="51" t="s">
        <v>39</v>
      </c>
      <c r="AB154" s="51" t="s">
        <v>39</v>
      </c>
      <c r="AC154" s="46" t="s">
        <v>39</v>
      </c>
      <c r="AD154" s="120" t="s">
        <v>541</v>
      </c>
      <c r="AE154" s="25" t="s">
        <v>511</v>
      </c>
      <c r="AF154" s="17" t="s">
        <v>512</v>
      </c>
    </row>
    <row r="155" s="2" customFormat="1" ht="84" customHeight="1" spans="1:32">
      <c r="A155" s="13">
        <v>153</v>
      </c>
      <c r="B155" s="14" t="s">
        <v>542</v>
      </c>
      <c r="C155" s="15" t="s">
        <v>443</v>
      </c>
      <c r="D155" s="15" t="s">
        <v>506</v>
      </c>
      <c r="E155" s="15" t="s">
        <v>507</v>
      </c>
      <c r="F155" s="13" t="s">
        <v>81</v>
      </c>
      <c r="G155" s="16" t="s">
        <v>48</v>
      </c>
      <c r="H155" s="18" t="s">
        <v>39</v>
      </c>
      <c r="I155" s="43" t="s">
        <v>98</v>
      </c>
      <c r="J155" s="93" t="s">
        <v>543</v>
      </c>
      <c r="K155" s="20" t="s">
        <v>39</v>
      </c>
      <c r="L155" s="21">
        <v>1056000</v>
      </c>
      <c r="M155" s="113">
        <v>0.16</v>
      </c>
      <c r="N155" s="24" t="s">
        <v>39</v>
      </c>
      <c r="O155" s="119"/>
      <c r="P155" s="24" t="s">
        <v>39</v>
      </c>
      <c r="Q155" s="24" t="s">
        <v>39</v>
      </c>
      <c r="R155" s="24" t="s">
        <v>39</v>
      </c>
      <c r="S155" s="24" t="s">
        <v>39</v>
      </c>
      <c r="T155" s="26">
        <v>1000</v>
      </c>
      <c r="U155" s="26"/>
      <c r="V155" s="24" t="s">
        <v>39</v>
      </c>
      <c r="W155" s="22">
        <v>0.501</v>
      </c>
      <c r="X155" s="51" t="s">
        <v>39</v>
      </c>
      <c r="Y155" s="51" t="s">
        <v>39</v>
      </c>
      <c r="Z155" s="51" t="s">
        <v>39</v>
      </c>
      <c r="AA155" s="51" t="s">
        <v>39</v>
      </c>
      <c r="AB155" s="51" t="s">
        <v>39</v>
      </c>
      <c r="AC155" s="46" t="s">
        <v>39</v>
      </c>
      <c r="AD155" s="120" t="s">
        <v>538</v>
      </c>
      <c r="AE155" s="25" t="s">
        <v>511</v>
      </c>
      <c r="AF155" s="17" t="s">
        <v>512</v>
      </c>
    </row>
    <row r="156" s="2" customFormat="1" ht="84" customHeight="1" spans="1:32">
      <c r="A156" s="13">
        <v>154</v>
      </c>
      <c r="B156" s="14" t="s">
        <v>544</v>
      </c>
      <c r="C156" s="15" t="s">
        <v>443</v>
      </c>
      <c r="D156" s="15" t="s">
        <v>506</v>
      </c>
      <c r="E156" s="15" t="s">
        <v>507</v>
      </c>
      <c r="F156" s="13" t="s">
        <v>81</v>
      </c>
      <c r="G156" s="16" t="s">
        <v>48</v>
      </c>
      <c r="H156" s="18" t="s">
        <v>39</v>
      </c>
      <c r="I156" s="43" t="s">
        <v>240</v>
      </c>
      <c r="J156" s="93" t="s">
        <v>545</v>
      </c>
      <c r="K156" s="20" t="s">
        <v>39</v>
      </c>
      <c r="L156" s="21">
        <v>1548000</v>
      </c>
      <c r="M156" s="113">
        <v>0.16</v>
      </c>
      <c r="N156" s="24" t="s">
        <v>39</v>
      </c>
      <c r="O156" s="119"/>
      <c r="P156" s="24" t="s">
        <v>39</v>
      </c>
      <c r="Q156" s="24" t="s">
        <v>39</v>
      </c>
      <c r="R156" s="24" t="s">
        <v>39</v>
      </c>
      <c r="S156" s="24" t="s">
        <v>39</v>
      </c>
      <c r="T156" s="26">
        <v>2500</v>
      </c>
      <c r="U156" s="26"/>
      <c r="V156" s="24" t="s">
        <v>39</v>
      </c>
      <c r="W156" s="22">
        <v>0.501</v>
      </c>
      <c r="X156" s="51" t="s">
        <v>39</v>
      </c>
      <c r="Y156" s="51" t="s">
        <v>39</v>
      </c>
      <c r="Z156" s="51" t="s">
        <v>39</v>
      </c>
      <c r="AA156" s="51" t="s">
        <v>39</v>
      </c>
      <c r="AB156" s="51" t="s">
        <v>39</v>
      </c>
      <c r="AC156" s="46" t="s">
        <v>39</v>
      </c>
      <c r="AD156" s="120" t="s">
        <v>546</v>
      </c>
      <c r="AE156" s="25" t="s">
        <v>511</v>
      </c>
      <c r="AF156" s="17" t="s">
        <v>512</v>
      </c>
    </row>
    <row r="157" s="2" customFormat="1" ht="84" customHeight="1" spans="1:32">
      <c r="A157" s="13">
        <v>155</v>
      </c>
      <c r="B157" s="14" t="s">
        <v>547</v>
      </c>
      <c r="C157" s="15" t="s">
        <v>443</v>
      </c>
      <c r="D157" s="15" t="s">
        <v>506</v>
      </c>
      <c r="E157" s="15" t="s">
        <v>507</v>
      </c>
      <c r="F157" s="13" t="s">
        <v>81</v>
      </c>
      <c r="G157" s="16" t="s">
        <v>48</v>
      </c>
      <c r="H157" s="18" t="s">
        <v>39</v>
      </c>
      <c r="I157" s="43" t="s">
        <v>548</v>
      </c>
      <c r="J157" s="93" t="s">
        <v>545</v>
      </c>
      <c r="K157" s="20" t="s">
        <v>39</v>
      </c>
      <c r="L157" s="21">
        <v>564000</v>
      </c>
      <c r="M157" s="113">
        <v>0.15</v>
      </c>
      <c r="N157" s="24" t="s">
        <v>39</v>
      </c>
      <c r="O157" s="119"/>
      <c r="P157" s="24" t="s">
        <v>39</v>
      </c>
      <c r="Q157" s="24" t="s">
        <v>39</v>
      </c>
      <c r="R157" s="24" t="s">
        <v>39</v>
      </c>
      <c r="S157" s="24" t="s">
        <v>39</v>
      </c>
      <c r="T157" s="26">
        <v>1500</v>
      </c>
      <c r="U157" s="26"/>
      <c r="V157" s="24" t="s">
        <v>39</v>
      </c>
      <c r="W157" s="22">
        <v>0.501</v>
      </c>
      <c r="X157" s="51" t="s">
        <v>39</v>
      </c>
      <c r="Y157" s="51" t="s">
        <v>39</v>
      </c>
      <c r="Z157" s="51" t="s">
        <v>39</v>
      </c>
      <c r="AA157" s="51" t="s">
        <v>39</v>
      </c>
      <c r="AB157" s="51" t="s">
        <v>39</v>
      </c>
      <c r="AC157" s="46" t="s">
        <v>39</v>
      </c>
      <c r="AD157" s="120" t="s">
        <v>549</v>
      </c>
      <c r="AE157" s="25" t="s">
        <v>511</v>
      </c>
      <c r="AF157" s="17" t="s">
        <v>512</v>
      </c>
    </row>
    <row r="158" s="2" customFormat="1" ht="84" customHeight="1" spans="1:32">
      <c r="A158" s="13">
        <v>156</v>
      </c>
      <c r="B158" s="14" t="s">
        <v>550</v>
      </c>
      <c r="C158" s="15" t="s">
        <v>443</v>
      </c>
      <c r="D158" s="15" t="s">
        <v>506</v>
      </c>
      <c r="E158" s="15" t="s">
        <v>507</v>
      </c>
      <c r="F158" s="13" t="s">
        <v>81</v>
      </c>
      <c r="G158" s="16" t="s">
        <v>48</v>
      </c>
      <c r="H158" s="18" t="s">
        <v>39</v>
      </c>
      <c r="I158" s="43" t="s">
        <v>551</v>
      </c>
      <c r="J158" s="93" t="s">
        <v>552</v>
      </c>
      <c r="K158" s="20" t="s">
        <v>39</v>
      </c>
      <c r="L158" s="21">
        <v>672000</v>
      </c>
      <c r="M158" s="113">
        <v>0.19</v>
      </c>
      <c r="N158" s="24" t="s">
        <v>39</v>
      </c>
      <c r="O158" s="119"/>
      <c r="P158" s="24" t="s">
        <v>39</v>
      </c>
      <c r="Q158" s="24" t="s">
        <v>39</v>
      </c>
      <c r="R158" s="24" t="s">
        <v>39</v>
      </c>
      <c r="S158" s="24" t="s">
        <v>39</v>
      </c>
      <c r="T158" s="26">
        <v>600</v>
      </c>
      <c r="U158" s="26"/>
      <c r="V158" s="24" t="s">
        <v>39</v>
      </c>
      <c r="W158" s="22">
        <v>0.501</v>
      </c>
      <c r="X158" s="51" t="s">
        <v>39</v>
      </c>
      <c r="Y158" s="51" t="s">
        <v>39</v>
      </c>
      <c r="Z158" s="51" t="s">
        <v>39</v>
      </c>
      <c r="AA158" s="51" t="s">
        <v>39</v>
      </c>
      <c r="AB158" s="51" t="s">
        <v>39</v>
      </c>
      <c r="AC158" s="46" t="s">
        <v>39</v>
      </c>
      <c r="AD158" s="120" t="s">
        <v>553</v>
      </c>
      <c r="AE158" s="25" t="s">
        <v>511</v>
      </c>
      <c r="AF158" s="17" t="s">
        <v>512</v>
      </c>
    </row>
    <row r="159" s="2" customFormat="1" ht="84" customHeight="1" spans="1:32">
      <c r="A159" s="13">
        <v>157</v>
      </c>
      <c r="B159" s="14" t="s">
        <v>554</v>
      </c>
      <c r="C159" s="15" t="s">
        <v>443</v>
      </c>
      <c r="D159" s="15" t="s">
        <v>506</v>
      </c>
      <c r="E159" s="15" t="s">
        <v>507</v>
      </c>
      <c r="F159" s="13" t="s">
        <v>81</v>
      </c>
      <c r="G159" s="16" t="s">
        <v>48</v>
      </c>
      <c r="H159" s="18" t="s">
        <v>39</v>
      </c>
      <c r="I159" s="43" t="s">
        <v>555</v>
      </c>
      <c r="J159" s="93" t="s">
        <v>556</v>
      </c>
      <c r="K159" s="20" t="s">
        <v>39</v>
      </c>
      <c r="L159" s="21">
        <v>660000</v>
      </c>
      <c r="M159" s="113">
        <v>0.19</v>
      </c>
      <c r="N159" s="24" t="s">
        <v>39</v>
      </c>
      <c r="O159" s="119"/>
      <c r="P159" s="24" t="s">
        <v>39</v>
      </c>
      <c r="Q159" s="24" t="s">
        <v>39</v>
      </c>
      <c r="R159" s="24" t="s">
        <v>39</v>
      </c>
      <c r="S159" s="24" t="s">
        <v>39</v>
      </c>
      <c r="T159" s="26">
        <v>800</v>
      </c>
      <c r="U159" s="26"/>
      <c r="V159" s="24" t="s">
        <v>39</v>
      </c>
      <c r="W159" s="22">
        <v>0.501</v>
      </c>
      <c r="X159" s="51" t="s">
        <v>39</v>
      </c>
      <c r="Y159" s="51" t="s">
        <v>39</v>
      </c>
      <c r="Z159" s="51" t="s">
        <v>39</v>
      </c>
      <c r="AA159" s="51" t="s">
        <v>39</v>
      </c>
      <c r="AB159" s="51" t="s">
        <v>39</v>
      </c>
      <c r="AC159" s="46" t="s">
        <v>39</v>
      </c>
      <c r="AD159" s="120" t="s">
        <v>557</v>
      </c>
      <c r="AE159" s="25" t="s">
        <v>511</v>
      </c>
      <c r="AF159" s="17" t="s">
        <v>512</v>
      </c>
    </row>
    <row r="160" s="2" customFormat="1" ht="84" customHeight="1" spans="1:32">
      <c r="A160" s="13">
        <v>158</v>
      </c>
      <c r="B160" s="14" t="s">
        <v>558</v>
      </c>
      <c r="C160" s="15" t="s">
        <v>443</v>
      </c>
      <c r="D160" s="15" t="s">
        <v>506</v>
      </c>
      <c r="E160" s="15" t="s">
        <v>507</v>
      </c>
      <c r="F160" s="13" t="s">
        <v>81</v>
      </c>
      <c r="G160" s="16" t="s">
        <v>48</v>
      </c>
      <c r="H160" s="18" t="s">
        <v>39</v>
      </c>
      <c r="I160" s="43" t="s">
        <v>559</v>
      </c>
      <c r="J160" s="93" t="s">
        <v>560</v>
      </c>
      <c r="K160" s="20" t="s">
        <v>39</v>
      </c>
      <c r="L160" s="21">
        <v>660000</v>
      </c>
      <c r="M160" s="113">
        <v>0.17</v>
      </c>
      <c r="N160" s="24" t="s">
        <v>39</v>
      </c>
      <c r="O160" s="119"/>
      <c r="P160" s="24" t="s">
        <v>39</v>
      </c>
      <c r="Q160" s="24" t="s">
        <v>39</v>
      </c>
      <c r="R160" s="24" t="s">
        <v>39</v>
      </c>
      <c r="S160" s="24" t="s">
        <v>39</v>
      </c>
      <c r="T160" s="26">
        <v>1500</v>
      </c>
      <c r="U160" s="26"/>
      <c r="V160" s="24" t="s">
        <v>39</v>
      </c>
      <c r="W160" s="22">
        <v>0.501</v>
      </c>
      <c r="X160" s="51" t="s">
        <v>39</v>
      </c>
      <c r="Y160" s="51" t="s">
        <v>39</v>
      </c>
      <c r="Z160" s="51" t="s">
        <v>39</v>
      </c>
      <c r="AA160" s="51" t="s">
        <v>39</v>
      </c>
      <c r="AB160" s="51" t="s">
        <v>39</v>
      </c>
      <c r="AC160" s="46" t="s">
        <v>39</v>
      </c>
      <c r="AD160" s="120" t="s">
        <v>510</v>
      </c>
      <c r="AE160" s="25" t="s">
        <v>511</v>
      </c>
      <c r="AF160" s="17" t="s">
        <v>512</v>
      </c>
    </row>
    <row r="161" s="2" customFormat="1" ht="84" customHeight="1" spans="1:32">
      <c r="A161" s="13">
        <v>159</v>
      </c>
      <c r="B161" s="14" t="s">
        <v>561</v>
      </c>
      <c r="C161" s="15" t="s">
        <v>443</v>
      </c>
      <c r="D161" s="15" t="s">
        <v>506</v>
      </c>
      <c r="E161" s="15" t="s">
        <v>507</v>
      </c>
      <c r="F161" s="13" t="s">
        <v>81</v>
      </c>
      <c r="G161" s="16" t="s">
        <v>48</v>
      </c>
      <c r="H161" s="18" t="s">
        <v>39</v>
      </c>
      <c r="I161" s="43" t="s">
        <v>562</v>
      </c>
      <c r="J161" s="93" t="s">
        <v>563</v>
      </c>
      <c r="K161" s="20" t="s">
        <v>39</v>
      </c>
      <c r="L161" s="21">
        <v>2004000</v>
      </c>
      <c r="M161" s="113">
        <v>0.15</v>
      </c>
      <c r="N161" s="24" t="s">
        <v>39</v>
      </c>
      <c r="O161" s="119"/>
      <c r="P161" s="24" t="s">
        <v>39</v>
      </c>
      <c r="Q161" s="24" t="s">
        <v>39</v>
      </c>
      <c r="R161" s="24" t="s">
        <v>39</v>
      </c>
      <c r="S161" s="24" t="s">
        <v>39</v>
      </c>
      <c r="T161" s="26">
        <v>2000</v>
      </c>
      <c r="U161" s="26"/>
      <c r="V161" s="24" t="s">
        <v>39</v>
      </c>
      <c r="W161" s="22">
        <v>0.501</v>
      </c>
      <c r="X161" s="51" t="s">
        <v>39</v>
      </c>
      <c r="Y161" s="51" t="s">
        <v>39</v>
      </c>
      <c r="Z161" s="51" t="s">
        <v>39</v>
      </c>
      <c r="AA161" s="51" t="s">
        <v>39</v>
      </c>
      <c r="AB161" s="51" t="s">
        <v>39</v>
      </c>
      <c r="AC161" s="46" t="s">
        <v>39</v>
      </c>
      <c r="AD161" s="120" t="s">
        <v>564</v>
      </c>
      <c r="AE161" s="25" t="s">
        <v>511</v>
      </c>
      <c r="AF161" s="17" t="s">
        <v>512</v>
      </c>
    </row>
    <row r="162" s="2" customFormat="1" ht="84" customHeight="1" spans="1:32">
      <c r="A162" s="13">
        <v>160</v>
      </c>
      <c r="B162" s="14" t="s">
        <v>565</v>
      </c>
      <c r="C162" s="15" t="s">
        <v>443</v>
      </c>
      <c r="D162" s="15" t="s">
        <v>506</v>
      </c>
      <c r="E162" s="15" t="s">
        <v>507</v>
      </c>
      <c r="F162" s="13" t="s">
        <v>81</v>
      </c>
      <c r="G162" s="16" t="s">
        <v>48</v>
      </c>
      <c r="H162" s="18" t="s">
        <v>39</v>
      </c>
      <c r="I162" s="43" t="s">
        <v>566</v>
      </c>
      <c r="J162" s="93" t="s">
        <v>567</v>
      </c>
      <c r="K162" s="20" t="s">
        <v>39</v>
      </c>
      <c r="L162" s="21">
        <v>348000</v>
      </c>
      <c r="M162" s="113">
        <v>0.19</v>
      </c>
      <c r="N162" s="24" t="s">
        <v>39</v>
      </c>
      <c r="O162" s="119"/>
      <c r="P162" s="24" t="s">
        <v>39</v>
      </c>
      <c r="Q162" s="24" t="s">
        <v>39</v>
      </c>
      <c r="R162" s="24" t="s">
        <v>39</v>
      </c>
      <c r="S162" s="24" t="s">
        <v>39</v>
      </c>
      <c r="T162" s="26">
        <v>1500</v>
      </c>
      <c r="U162" s="26"/>
      <c r="V162" s="24" t="s">
        <v>39</v>
      </c>
      <c r="W162" s="22">
        <v>0.501</v>
      </c>
      <c r="X162" s="51" t="s">
        <v>39</v>
      </c>
      <c r="Y162" s="51" t="s">
        <v>39</v>
      </c>
      <c r="Z162" s="51" t="s">
        <v>39</v>
      </c>
      <c r="AA162" s="51" t="s">
        <v>39</v>
      </c>
      <c r="AB162" s="51" t="s">
        <v>39</v>
      </c>
      <c r="AC162" s="46" t="s">
        <v>39</v>
      </c>
      <c r="AD162" s="120" t="s">
        <v>510</v>
      </c>
      <c r="AE162" s="25" t="s">
        <v>511</v>
      </c>
      <c r="AF162" s="17" t="s">
        <v>512</v>
      </c>
    </row>
    <row r="163" s="2" customFormat="1" ht="84" customHeight="1" spans="1:32">
      <c r="A163" s="13">
        <v>161</v>
      </c>
      <c r="B163" s="14" t="s">
        <v>568</v>
      </c>
      <c r="C163" s="15" t="s">
        <v>443</v>
      </c>
      <c r="D163" s="15" t="s">
        <v>506</v>
      </c>
      <c r="E163" s="15" t="s">
        <v>507</v>
      </c>
      <c r="F163" s="13" t="s">
        <v>81</v>
      </c>
      <c r="G163" s="16" t="s">
        <v>48</v>
      </c>
      <c r="H163" s="18" t="s">
        <v>39</v>
      </c>
      <c r="I163" s="43" t="s">
        <v>569</v>
      </c>
      <c r="J163" s="93" t="s">
        <v>570</v>
      </c>
      <c r="K163" s="20" t="s">
        <v>39</v>
      </c>
      <c r="L163" s="21">
        <v>1032000</v>
      </c>
      <c r="M163" s="113">
        <v>0.19</v>
      </c>
      <c r="N163" s="24" t="s">
        <v>39</v>
      </c>
      <c r="O163" s="119"/>
      <c r="P163" s="24" t="s">
        <v>39</v>
      </c>
      <c r="Q163" s="24" t="s">
        <v>39</v>
      </c>
      <c r="R163" s="24" t="s">
        <v>39</v>
      </c>
      <c r="S163" s="24" t="s">
        <v>39</v>
      </c>
      <c r="T163" s="26">
        <v>1500</v>
      </c>
      <c r="U163" s="26"/>
      <c r="V163" s="24" t="s">
        <v>39</v>
      </c>
      <c r="W163" s="22">
        <v>0.501</v>
      </c>
      <c r="X163" s="51" t="s">
        <v>39</v>
      </c>
      <c r="Y163" s="51" t="s">
        <v>39</v>
      </c>
      <c r="Z163" s="51" t="s">
        <v>39</v>
      </c>
      <c r="AA163" s="51" t="s">
        <v>39</v>
      </c>
      <c r="AB163" s="51" t="s">
        <v>39</v>
      </c>
      <c r="AC163" s="46" t="s">
        <v>39</v>
      </c>
      <c r="AD163" s="120" t="s">
        <v>510</v>
      </c>
      <c r="AE163" s="25" t="s">
        <v>511</v>
      </c>
      <c r="AF163" s="17" t="s">
        <v>512</v>
      </c>
    </row>
    <row r="164" s="2" customFormat="1" ht="84" customHeight="1" spans="1:32">
      <c r="A164" s="13">
        <v>162</v>
      </c>
      <c r="B164" s="14" t="s">
        <v>571</v>
      </c>
      <c r="C164" s="15" t="s">
        <v>443</v>
      </c>
      <c r="D164" s="15" t="s">
        <v>506</v>
      </c>
      <c r="E164" s="15" t="s">
        <v>507</v>
      </c>
      <c r="F164" s="13" t="s">
        <v>81</v>
      </c>
      <c r="G164" s="16" t="s">
        <v>48</v>
      </c>
      <c r="H164" s="18" t="s">
        <v>39</v>
      </c>
      <c r="I164" s="43" t="s">
        <v>572</v>
      </c>
      <c r="J164" s="93" t="s">
        <v>573</v>
      </c>
      <c r="K164" s="20" t="s">
        <v>39</v>
      </c>
      <c r="L164" s="21">
        <v>1128000</v>
      </c>
      <c r="M164" s="113">
        <v>0.18</v>
      </c>
      <c r="N164" s="24" t="s">
        <v>39</v>
      </c>
      <c r="O164" s="119"/>
      <c r="P164" s="24" t="s">
        <v>39</v>
      </c>
      <c r="Q164" s="24" t="s">
        <v>39</v>
      </c>
      <c r="R164" s="24" t="s">
        <v>39</v>
      </c>
      <c r="S164" s="24" t="s">
        <v>39</v>
      </c>
      <c r="T164" s="26">
        <v>1000</v>
      </c>
      <c r="U164" s="26"/>
      <c r="V164" s="24" t="s">
        <v>39</v>
      </c>
      <c r="W164" s="22">
        <v>0.501</v>
      </c>
      <c r="X164" s="51" t="s">
        <v>39</v>
      </c>
      <c r="Y164" s="51" t="s">
        <v>39</v>
      </c>
      <c r="Z164" s="51" t="s">
        <v>39</v>
      </c>
      <c r="AA164" s="51" t="s">
        <v>39</v>
      </c>
      <c r="AB164" s="51" t="s">
        <v>39</v>
      </c>
      <c r="AC164" s="46" t="s">
        <v>39</v>
      </c>
      <c r="AD164" s="120" t="s">
        <v>520</v>
      </c>
      <c r="AE164" s="25" t="s">
        <v>511</v>
      </c>
      <c r="AF164" s="17" t="s">
        <v>512</v>
      </c>
    </row>
    <row r="165" s="2" customFormat="1" ht="84" customHeight="1" spans="1:32">
      <c r="A165" s="13">
        <v>163</v>
      </c>
      <c r="B165" s="14" t="s">
        <v>574</v>
      </c>
      <c r="C165" s="15" t="s">
        <v>443</v>
      </c>
      <c r="D165" s="15" t="s">
        <v>506</v>
      </c>
      <c r="E165" s="15" t="s">
        <v>507</v>
      </c>
      <c r="F165" s="13" t="s">
        <v>81</v>
      </c>
      <c r="G165" s="16" t="s">
        <v>48</v>
      </c>
      <c r="H165" s="18" t="s">
        <v>39</v>
      </c>
      <c r="I165" s="43" t="s">
        <v>87</v>
      </c>
      <c r="J165" s="93" t="s">
        <v>575</v>
      </c>
      <c r="K165" s="20" t="s">
        <v>39</v>
      </c>
      <c r="L165" s="21">
        <v>912000</v>
      </c>
      <c r="M165" s="113">
        <v>0.19</v>
      </c>
      <c r="N165" s="24" t="s">
        <v>39</v>
      </c>
      <c r="O165" s="119"/>
      <c r="P165" s="24" t="s">
        <v>39</v>
      </c>
      <c r="Q165" s="24" t="s">
        <v>39</v>
      </c>
      <c r="R165" s="24" t="s">
        <v>39</v>
      </c>
      <c r="S165" s="24" t="s">
        <v>39</v>
      </c>
      <c r="T165" s="26">
        <v>600</v>
      </c>
      <c r="U165" s="26"/>
      <c r="V165" s="24" t="s">
        <v>39</v>
      </c>
      <c r="W165" s="22">
        <v>0.501</v>
      </c>
      <c r="X165" s="51" t="s">
        <v>39</v>
      </c>
      <c r="Y165" s="51" t="s">
        <v>39</v>
      </c>
      <c r="Z165" s="51" t="s">
        <v>39</v>
      </c>
      <c r="AA165" s="51" t="s">
        <v>39</v>
      </c>
      <c r="AB165" s="51" t="s">
        <v>39</v>
      </c>
      <c r="AC165" s="46" t="s">
        <v>39</v>
      </c>
      <c r="AD165" s="120" t="s">
        <v>553</v>
      </c>
      <c r="AE165" s="25" t="s">
        <v>511</v>
      </c>
      <c r="AF165" s="17" t="s">
        <v>512</v>
      </c>
    </row>
    <row r="166" s="2" customFormat="1" ht="12" customHeight="1" spans="1:32">
      <c r="A166" s="13">
        <v>164</v>
      </c>
      <c r="B166" s="521"/>
      <c r="C166" s="15" t="s">
        <v>443</v>
      </c>
      <c r="D166" s="15" t="s">
        <v>576</v>
      </c>
      <c r="E166" s="15" t="s">
        <v>577</v>
      </c>
      <c r="F166" s="88" t="s">
        <v>37</v>
      </c>
      <c r="G166" s="16" t="s">
        <v>578</v>
      </c>
      <c r="H166" s="55" t="s">
        <v>39</v>
      </c>
      <c r="I166" s="88" t="s">
        <v>39</v>
      </c>
      <c r="J166" s="55" t="s">
        <v>39</v>
      </c>
      <c r="K166" s="19" t="s">
        <v>39</v>
      </c>
      <c r="L166" s="21" t="s">
        <v>39</v>
      </c>
      <c r="M166" s="92" t="s">
        <v>39</v>
      </c>
      <c r="N166" s="90" t="s">
        <v>39</v>
      </c>
      <c r="O166" s="119"/>
      <c r="P166" s="106"/>
      <c r="Q166" s="90" t="s">
        <v>39</v>
      </c>
      <c r="R166" s="90" t="s">
        <v>39</v>
      </c>
      <c r="S166" s="90" t="s">
        <v>39</v>
      </c>
      <c r="T166" s="119"/>
      <c r="U166" s="119"/>
      <c r="V166" s="90" t="s">
        <v>39</v>
      </c>
      <c r="W166" s="55" t="s">
        <v>39</v>
      </c>
      <c r="X166" s="115" t="s">
        <v>39</v>
      </c>
      <c r="Y166" s="119"/>
      <c r="Z166" s="122"/>
      <c r="AA166" s="115" t="s">
        <v>39</v>
      </c>
      <c r="AB166" s="46">
        <v>0.05</v>
      </c>
      <c r="AC166" s="46">
        <v>0.005</v>
      </c>
      <c r="AD166" s="121" t="s">
        <v>104</v>
      </c>
      <c r="AE166" s="25"/>
      <c r="AF166" s="17"/>
    </row>
    <row r="167" s="2" customFormat="1" ht="48" customHeight="1" spans="1:32">
      <c r="A167" s="13">
        <v>165</v>
      </c>
      <c r="B167" s="14" t="s">
        <v>579</v>
      </c>
      <c r="C167" s="15" t="s">
        <v>443</v>
      </c>
      <c r="D167" s="15" t="s">
        <v>576</v>
      </c>
      <c r="E167" s="15" t="s">
        <v>577</v>
      </c>
      <c r="F167" s="13" t="s">
        <v>81</v>
      </c>
      <c r="G167" s="16" t="s">
        <v>578</v>
      </c>
      <c r="H167" s="16" t="s">
        <v>60</v>
      </c>
      <c r="I167" s="17" t="s">
        <v>580</v>
      </c>
      <c r="J167" s="93" t="s">
        <v>581</v>
      </c>
      <c r="K167" s="20" t="s">
        <v>39</v>
      </c>
      <c r="L167" s="21" t="s">
        <v>39</v>
      </c>
      <c r="M167" s="116">
        <v>0.05</v>
      </c>
      <c r="N167" s="20" t="s">
        <v>39</v>
      </c>
      <c r="O167" s="90" t="s">
        <v>39</v>
      </c>
      <c r="P167" s="90" t="s">
        <v>39</v>
      </c>
      <c r="Q167" s="24" t="s">
        <v>39</v>
      </c>
      <c r="R167" s="24" t="s">
        <v>39</v>
      </c>
      <c r="S167" s="24" t="s">
        <v>39</v>
      </c>
      <c r="T167" s="59" t="s">
        <v>39</v>
      </c>
      <c r="U167" s="116">
        <v>0.06</v>
      </c>
      <c r="V167" s="26">
        <v>30000</v>
      </c>
      <c r="W167" s="44"/>
      <c r="X167" s="24" t="s">
        <v>39</v>
      </c>
      <c r="Y167" s="115" t="s">
        <v>39</v>
      </c>
      <c r="Z167" s="51" t="s">
        <v>39</v>
      </c>
      <c r="AA167" s="51" t="s">
        <v>39</v>
      </c>
      <c r="AB167" s="46" t="s">
        <v>39</v>
      </c>
      <c r="AC167" s="46" t="s">
        <v>39</v>
      </c>
      <c r="AD167" s="48" t="s">
        <v>582</v>
      </c>
      <c r="AE167" s="25" t="s">
        <v>288</v>
      </c>
      <c r="AF167" s="17" t="s">
        <v>583</v>
      </c>
    </row>
    <row r="168" s="2" customFormat="1" ht="60" customHeight="1" spans="1:32">
      <c r="A168" s="13">
        <v>166</v>
      </c>
      <c r="B168" s="14" t="s">
        <v>584</v>
      </c>
      <c r="C168" s="15" t="s">
        <v>443</v>
      </c>
      <c r="D168" s="15" t="s">
        <v>576</v>
      </c>
      <c r="E168" s="15" t="s">
        <v>577</v>
      </c>
      <c r="F168" s="13" t="s">
        <v>81</v>
      </c>
      <c r="G168" s="16" t="s">
        <v>578</v>
      </c>
      <c r="H168" s="16" t="s">
        <v>66</v>
      </c>
      <c r="I168" s="17" t="s">
        <v>585</v>
      </c>
      <c r="J168" s="93" t="s">
        <v>586</v>
      </c>
      <c r="K168" s="20" t="s">
        <v>39</v>
      </c>
      <c r="L168" s="21" t="s">
        <v>39</v>
      </c>
      <c r="M168" s="116">
        <v>0.19</v>
      </c>
      <c r="N168" s="20" t="s">
        <v>39</v>
      </c>
      <c r="O168" s="90" t="s">
        <v>39</v>
      </c>
      <c r="P168" s="92" t="s">
        <v>39</v>
      </c>
      <c r="Q168" s="24" t="s">
        <v>39</v>
      </c>
      <c r="R168" s="24" t="s">
        <v>39</v>
      </c>
      <c r="S168" s="24" t="s">
        <v>39</v>
      </c>
      <c r="T168" s="59" t="s">
        <v>39</v>
      </c>
      <c r="U168" s="116">
        <v>0.06</v>
      </c>
      <c r="V168" s="24" t="s">
        <v>39</v>
      </c>
      <c r="W168" s="50"/>
      <c r="X168" s="24" t="s">
        <v>39</v>
      </c>
      <c r="Y168" s="115" t="s">
        <v>39</v>
      </c>
      <c r="Z168" s="51" t="s">
        <v>39</v>
      </c>
      <c r="AA168" s="51" t="s">
        <v>39</v>
      </c>
      <c r="AB168" s="46" t="s">
        <v>39</v>
      </c>
      <c r="AC168" s="46" t="s">
        <v>39</v>
      </c>
      <c r="AD168" s="48" t="s">
        <v>587</v>
      </c>
      <c r="AE168" s="25" t="s">
        <v>288</v>
      </c>
      <c r="AF168" s="17" t="s">
        <v>583</v>
      </c>
    </row>
    <row r="169" s="2" customFormat="1" ht="36" customHeight="1" spans="1:32">
      <c r="A169" s="13">
        <v>167</v>
      </c>
      <c r="B169" s="14" t="s">
        <v>588</v>
      </c>
      <c r="C169" s="15" t="s">
        <v>443</v>
      </c>
      <c r="D169" s="15" t="s">
        <v>576</v>
      </c>
      <c r="E169" s="15" t="s">
        <v>577</v>
      </c>
      <c r="F169" s="13" t="s">
        <v>81</v>
      </c>
      <c r="G169" s="16" t="s">
        <v>578</v>
      </c>
      <c r="H169" s="16" t="s">
        <v>70</v>
      </c>
      <c r="I169" s="17" t="s">
        <v>589</v>
      </c>
      <c r="J169" s="93" t="s">
        <v>590</v>
      </c>
      <c r="K169" s="20" t="s">
        <v>39</v>
      </c>
      <c r="L169" s="21" t="s">
        <v>39</v>
      </c>
      <c r="M169" s="116">
        <v>0.165</v>
      </c>
      <c r="N169" s="20" t="s">
        <v>39</v>
      </c>
      <c r="O169" s="90" t="s">
        <v>39</v>
      </c>
      <c r="P169" s="92" t="s">
        <v>39</v>
      </c>
      <c r="Q169" s="24" t="s">
        <v>39</v>
      </c>
      <c r="R169" s="24" t="s">
        <v>39</v>
      </c>
      <c r="S169" s="24" t="s">
        <v>39</v>
      </c>
      <c r="T169" s="22">
        <v>0.035</v>
      </c>
      <c r="U169" s="116">
        <v>0.06</v>
      </c>
      <c r="V169" s="24" t="s">
        <v>39</v>
      </c>
      <c r="W169" s="50"/>
      <c r="X169" s="24" t="s">
        <v>39</v>
      </c>
      <c r="Y169" s="115" t="s">
        <v>39</v>
      </c>
      <c r="Z169" s="51" t="s">
        <v>39</v>
      </c>
      <c r="AA169" s="51" t="s">
        <v>39</v>
      </c>
      <c r="AB169" s="46" t="s">
        <v>39</v>
      </c>
      <c r="AC169" s="46" t="s">
        <v>39</v>
      </c>
      <c r="AD169" s="48" t="s">
        <v>591</v>
      </c>
      <c r="AE169" s="25" t="s">
        <v>288</v>
      </c>
      <c r="AF169" s="17" t="s">
        <v>583</v>
      </c>
    </row>
    <row r="170" s="2" customFormat="1" ht="48" customHeight="1" spans="1:32">
      <c r="A170" s="13">
        <v>168</v>
      </c>
      <c r="B170" s="14" t="s">
        <v>592</v>
      </c>
      <c r="C170" s="15" t="s">
        <v>443</v>
      </c>
      <c r="D170" s="15" t="s">
        <v>576</v>
      </c>
      <c r="E170" s="15" t="s">
        <v>577</v>
      </c>
      <c r="F170" s="13" t="s">
        <v>81</v>
      </c>
      <c r="G170" s="16" t="s">
        <v>578</v>
      </c>
      <c r="H170" s="16" t="s">
        <v>74</v>
      </c>
      <c r="I170" s="17" t="s">
        <v>240</v>
      </c>
      <c r="J170" s="93" t="s">
        <v>593</v>
      </c>
      <c r="K170" s="20" t="s">
        <v>39</v>
      </c>
      <c r="L170" s="21" t="s">
        <v>39</v>
      </c>
      <c r="M170" s="116">
        <v>0.135</v>
      </c>
      <c r="N170" s="20" t="s">
        <v>39</v>
      </c>
      <c r="O170" s="90" t="s">
        <v>39</v>
      </c>
      <c r="P170" s="92" t="s">
        <v>39</v>
      </c>
      <c r="Q170" s="24" t="s">
        <v>39</v>
      </c>
      <c r="R170" s="24" t="s">
        <v>39</v>
      </c>
      <c r="S170" s="24" t="s">
        <v>39</v>
      </c>
      <c r="T170" s="22">
        <v>0.035</v>
      </c>
      <c r="U170" s="116">
        <v>0.06</v>
      </c>
      <c r="V170" s="24" t="s">
        <v>39</v>
      </c>
      <c r="W170" s="50"/>
      <c r="X170" s="24" t="s">
        <v>39</v>
      </c>
      <c r="Y170" s="124">
        <v>4000</v>
      </c>
      <c r="Z170" s="51" t="s">
        <v>39</v>
      </c>
      <c r="AA170" s="51" t="s">
        <v>39</v>
      </c>
      <c r="AB170" s="46" t="s">
        <v>39</v>
      </c>
      <c r="AC170" s="46" t="s">
        <v>39</v>
      </c>
      <c r="AD170" s="48" t="s">
        <v>594</v>
      </c>
      <c r="AE170" s="125" t="s">
        <v>288</v>
      </c>
      <c r="AF170" s="17" t="s">
        <v>583</v>
      </c>
    </row>
    <row r="171" s="2" customFormat="1" ht="48" customHeight="1" spans="1:32">
      <c r="A171" s="13">
        <v>169</v>
      </c>
      <c r="B171" s="14" t="s">
        <v>595</v>
      </c>
      <c r="C171" s="15" t="s">
        <v>443</v>
      </c>
      <c r="D171" s="15" t="s">
        <v>576</v>
      </c>
      <c r="E171" s="15" t="s">
        <v>577</v>
      </c>
      <c r="F171" s="13" t="s">
        <v>81</v>
      </c>
      <c r="G171" s="16" t="s">
        <v>578</v>
      </c>
      <c r="H171" s="16" t="s">
        <v>265</v>
      </c>
      <c r="I171" s="17" t="s">
        <v>596</v>
      </c>
      <c r="J171" s="93" t="s">
        <v>597</v>
      </c>
      <c r="K171" s="20" t="s">
        <v>39</v>
      </c>
      <c r="L171" s="21" t="s">
        <v>39</v>
      </c>
      <c r="M171" s="116">
        <v>0.155</v>
      </c>
      <c r="N171" s="20" t="s">
        <v>39</v>
      </c>
      <c r="O171" s="90" t="s">
        <v>39</v>
      </c>
      <c r="P171" s="92" t="s">
        <v>39</v>
      </c>
      <c r="Q171" s="24" t="s">
        <v>39</v>
      </c>
      <c r="R171" s="24" t="s">
        <v>39</v>
      </c>
      <c r="S171" s="24" t="s">
        <v>39</v>
      </c>
      <c r="T171" s="22">
        <v>0.035</v>
      </c>
      <c r="U171" s="116">
        <v>0.06</v>
      </c>
      <c r="V171" s="24" t="s">
        <v>39</v>
      </c>
      <c r="W171" s="50"/>
      <c r="X171" s="24" t="s">
        <v>39</v>
      </c>
      <c r="Y171" s="126">
        <v>4000</v>
      </c>
      <c r="Z171" s="51" t="s">
        <v>39</v>
      </c>
      <c r="AA171" s="51" t="s">
        <v>39</v>
      </c>
      <c r="AB171" s="46" t="s">
        <v>39</v>
      </c>
      <c r="AC171" s="46" t="s">
        <v>39</v>
      </c>
      <c r="AD171" s="48" t="s">
        <v>598</v>
      </c>
      <c r="AE171" s="25" t="s">
        <v>288</v>
      </c>
      <c r="AF171" s="17" t="s">
        <v>583</v>
      </c>
    </row>
    <row r="172" s="2" customFormat="1" ht="36" customHeight="1" spans="1:32">
      <c r="A172" s="13">
        <v>170</v>
      </c>
      <c r="B172" s="14" t="s">
        <v>599</v>
      </c>
      <c r="C172" s="15" t="s">
        <v>443</v>
      </c>
      <c r="D172" s="15" t="s">
        <v>576</v>
      </c>
      <c r="E172" s="15" t="s">
        <v>577</v>
      </c>
      <c r="F172" s="13" t="s">
        <v>81</v>
      </c>
      <c r="G172" s="16" t="s">
        <v>578</v>
      </c>
      <c r="H172" s="16" t="s">
        <v>86</v>
      </c>
      <c r="I172" s="17" t="s">
        <v>419</v>
      </c>
      <c r="J172" s="18" t="s">
        <v>600</v>
      </c>
      <c r="K172" s="20" t="s">
        <v>39</v>
      </c>
      <c r="L172" s="21" t="s">
        <v>39</v>
      </c>
      <c r="M172" s="116">
        <v>0.155</v>
      </c>
      <c r="N172" s="20" t="s">
        <v>39</v>
      </c>
      <c r="O172" s="90" t="s">
        <v>39</v>
      </c>
      <c r="P172" s="92" t="s">
        <v>39</v>
      </c>
      <c r="Q172" s="24" t="s">
        <v>39</v>
      </c>
      <c r="R172" s="24" t="s">
        <v>39</v>
      </c>
      <c r="S172" s="24" t="s">
        <v>39</v>
      </c>
      <c r="T172" s="22">
        <v>0.035</v>
      </c>
      <c r="U172" s="116">
        <v>0.06</v>
      </c>
      <c r="V172" s="24" t="s">
        <v>39</v>
      </c>
      <c r="W172" s="50"/>
      <c r="X172" s="24" t="s">
        <v>39</v>
      </c>
      <c r="Y172" s="115" t="s">
        <v>39</v>
      </c>
      <c r="Z172" s="51" t="s">
        <v>39</v>
      </c>
      <c r="AA172" s="51" t="s">
        <v>39</v>
      </c>
      <c r="AB172" s="46" t="s">
        <v>39</v>
      </c>
      <c r="AC172" s="46" t="s">
        <v>39</v>
      </c>
      <c r="AD172" s="48" t="s">
        <v>591</v>
      </c>
      <c r="AE172" s="25" t="s">
        <v>288</v>
      </c>
      <c r="AF172" s="17" t="s">
        <v>583</v>
      </c>
    </row>
    <row r="173" s="2" customFormat="1" ht="36" customHeight="1" spans="1:32">
      <c r="A173" s="13">
        <v>171</v>
      </c>
      <c r="B173" s="14" t="s">
        <v>601</v>
      </c>
      <c r="C173" s="15" t="s">
        <v>443</v>
      </c>
      <c r="D173" s="15" t="s">
        <v>576</v>
      </c>
      <c r="E173" s="15" t="s">
        <v>577</v>
      </c>
      <c r="F173" s="13" t="s">
        <v>81</v>
      </c>
      <c r="G173" s="16" t="s">
        <v>578</v>
      </c>
      <c r="H173" s="16" t="s">
        <v>272</v>
      </c>
      <c r="I173" s="17" t="s">
        <v>459</v>
      </c>
      <c r="J173" s="18" t="s">
        <v>602</v>
      </c>
      <c r="K173" s="20" t="s">
        <v>39</v>
      </c>
      <c r="L173" s="21" t="s">
        <v>39</v>
      </c>
      <c r="M173" s="116">
        <v>0.185</v>
      </c>
      <c r="N173" s="20" t="s">
        <v>39</v>
      </c>
      <c r="O173" s="90" t="s">
        <v>39</v>
      </c>
      <c r="P173" s="92" t="s">
        <v>39</v>
      </c>
      <c r="Q173" s="24" t="s">
        <v>39</v>
      </c>
      <c r="R173" s="24" t="s">
        <v>39</v>
      </c>
      <c r="S173" s="24" t="s">
        <v>39</v>
      </c>
      <c r="T173" s="22">
        <v>0.035</v>
      </c>
      <c r="U173" s="116">
        <v>0.06</v>
      </c>
      <c r="V173" s="24" t="s">
        <v>39</v>
      </c>
      <c r="W173" s="50"/>
      <c r="X173" s="24" t="s">
        <v>39</v>
      </c>
      <c r="Y173" s="115" t="s">
        <v>39</v>
      </c>
      <c r="Z173" s="51" t="s">
        <v>39</v>
      </c>
      <c r="AA173" s="51" t="s">
        <v>39</v>
      </c>
      <c r="AB173" s="46" t="s">
        <v>39</v>
      </c>
      <c r="AC173" s="46" t="s">
        <v>39</v>
      </c>
      <c r="AD173" s="48" t="s">
        <v>591</v>
      </c>
      <c r="AE173" s="25" t="s">
        <v>288</v>
      </c>
      <c r="AF173" s="17" t="s">
        <v>583</v>
      </c>
    </row>
    <row r="174" s="2" customFormat="1" ht="36" customHeight="1" spans="1:32">
      <c r="A174" s="13">
        <v>172</v>
      </c>
      <c r="B174" s="14" t="s">
        <v>603</v>
      </c>
      <c r="C174" s="15" t="s">
        <v>443</v>
      </c>
      <c r="D174" s="127" t="s">
        <v>576</v>
      </c>
      <c r="E174" s="15" t="s">
        <v>577</v>
      </c>
      <c r="F174" s="13" t="s">
        <v>81</v>
      </c>
      <c r="G174" s="16" t="s">
        <v>578</v>
      </c>
      <c r="H174" s="16" t="s">
        <v>276</v>
      </c>
      <c r="I174" s="17" t="s">
        <v>604</v>
      </c>
      <c r="J174" s="18" t="s">
        <v>605</v>
      </c>
      <c r="K174" s="20" t="s">
        <v>39</v>
      </c>
      <c r="L174" s="21" t="s">
        <v>39</v>
      </c>
      <c r="M174" s="116">
        <v>0.185</v>
      </c>
      <c r="N174" s="20" t="s">
        <v>39</v>
      </c>
      <c r="O174" s="90" t="s">
        <v>39</v>
      </c>
      <c r="P174" s="92" t="s">
        <v>39</v>
      </c>
      <c r="Q174" s="24" t="s">
        <v>39</v>
      </c>
      <c r="R174" s="24" t="s">
        <v>39</v>
      </c>
      <c r="S174" s="24" t="s">
        <v>39</v>
      </c>
      <c r="T174" s="22">
        <v>0.035</v>
      </c>
      <c r="U174" s="116">
        <v>0.06</v>
      </c>
      <c r="V174" s="24" t="s">
        <v>39</v>
      </c>
      <c r="W174" s="50"/>
      <c r="X174" s="24" t="s">
        <v>39</v>
      </c>
      <c r="Y174" s="115" t="s">
        <v>39</v>
      </c>
      <c r="Z174" s="51" t="s">
        <v>39</v>
      </c>
      <c r="AA174" s="51" t="s">
        <v>39</v>
      </c>
      <c r="AB174" s="46" t="s">
        <v>39</v>
      </c>
      <c r="AC174" s="46" t="s">
        <v>39</v>
      </c>
      <c r="AD174" s="48" t="s">
        <v>591</v>
      </c>
      <c r="AE174" s="25" t="s">
        <v>288</v>
      </c>
      <c r="AF174" s="17" t="s">
        <v>583</v>
      </c>
    </row>
    <row r="175" s="2" customFormat="1" ht="36" customHeight="1" spans="1:32">
      <c r="A175" s="13">
        <v>173</v>
      </c>
      <c r="B175" s="14" t="s">
        <v>606</v>
      </c>
      <c r="C175" s="15" t="s">
        <v>443</v>
      </c>
      <c r="D175" s="127" t="s">
        <v>576</v>
      </c>
      <c r="E175" s="15" t="s">
        <v>577</v>
      </c>
      <c r="F175" s="13" t="s">
        <v>81</v>
      </c>
      <c r="G175" s="16" t="s">
        <v>578</v>
      </c>
      <c r="H175" s="16" t="s">
        <v>280</v>
      </c>
      <c r="I175" s="17" t="s">
        <v>607</v>
      </c>
      <c r="J175" s="18" t="s">
        <v>608</v>
      </c>
      <c r="K175" s="20" t="s">
        <v>39</v>
      </c>
      <c r="L175" s="21" t="s">
        <v>39</v>
      </c>
      <c r="M175" s="116">
        <v>0.175</v>
      </c>
      <c r="N175" s="20" t="s">
        <v>39</v>
      </c>
      <c r="O175" s="90" t="s">
        <v>39</v>
      </c>
      <c r="P175" s="92" t="s">
        <v>39</v>
      </c>
      <c r="Q175" s="24" t="s">
        <v>39</v>
      </c>
      <c r="R175" s="24" t="s">
        <v>39</v>
      </c>
      <c r="S175" s="24" t="s">
        <v>39</v>
      </c>
      <c r="T175" s="22">
        <v>0.035</v>
      </c>
      <c r="U175" s="116">
        <v>0.06</v>
      </c>
      <c r="V175" s="24" t="s">
        <v>39</v>
      </c>
      <c r="W175" s="50"/>
      <c r="X175" s="24" t="s">
        <v>39</v>
      </c>
      <c r="Y175" s="115" t="s">
        <v>39</v>
      </c>
      <c r="Z175" s="51" t="s">
        <v>39</v>
      </c>
      <c r="AA175" s="51" t="s">
        <v>39</v>
      </c>
      <c r="AB175" s="46" t="s">
        <v>39</v>
      </c>
      <c r="AC175" s="46" t="s">
        <v>39</v>
      </c>
      <c r="AD175" s="48" t="s">
        <v>591</v>
      </c>
      <c r="AE175" s="25" t="s">
        <v>288</v>
      </c>
      <c r="AF175" s="17" t="s">
        <v>583</v>
      </c>
    </row>
    <row r="176" s="2" customFormat="1" ht="48" customHeight="1" spans="1:32">
      <c r="A176" s="13">
        <v>174</v>
      </c>
      <c r="B176" s="14" t="s">
        <v>609</v>
      </c>
      <c r="C176" s="15" t="s">
        <v>443</v>
      </c>
      <c r="D176" s="127" t="s">
        <v>576</v>
      </c>
      <c r="E176" s="15" t="s">
        <v>577</v>
      </c>
      <c r="F176" s="13" t="s">
        <v>81</v>
      </c>
      <c r="G176" s="16" t="s">
        <v>578</v>
      </c>
      <c r="H176" s="16" t="s">
        <v>284</v>
      </c>
      <c r="I176" s="17" t="s">
        <v>488</v>
      </c>
      <c r="J176" s="18" t="s">
        <v>610</v>
      </c>
      <c r="K176" s="20" t="s">
        <v>39</v>
      </c>
      <c r="L176" s="21" t="s">
        <v>39</v>
      </c>
      <c r="M176" s="116">
        <v>0.19</v>
      </c>
      <c r="N176" s="20" t="s">
        <v>39</v>
      </c>
      <c r="O176" s="90" t="s">
        <v>39</v>
      </c>
      <c r="P176" s="92" t="s">
        <v>39</v>
      </c>
      <c r="Q176" s="24" t="s">
        <v>39</v>
      </c>
      <c r="R176" s="24" t="s">
        <v>39</v>
      </c>
      <c r="S176" s="24" t="s">
        <v>39</v>
      </c>
      <c r="T176" s="59" t="s">
        <v>39</v>
      </c>
      <c r="U176" s="116">
        <v>0.06</v>
      </c>
      <c r="V176" s="24" t="s">
        <v>39</v>
      </c>
      <c r="W176" s="50"/>
      <c r="X176" s="24" t="s">
        <v>39</v>
      </c>
      <c r="Y176" s="115" t="s">
        <v>39</v>
      </c>
      <c r="Z176" s="51" t="s">
        <v>39</v>
      </c>
      <c r="AA176" s="51" t="s">
        <v>39</v>
      </c>
      <c r="AB176" s="46" t="s">
        <v>39</v>
      </c>
      <c r="AC176" s="46" t="s">
        <v>39</v>
      </c>
      <c r="AD176" s="48" t="s">
        <v>611</v>
      </c>
      <c r="AE176" s="25" t="s">
        <v>288</v>
      </c>
      <c r="AF176" s="17" t="s">
        <v>583</v>
      </c>
    </row>
    <row r="177" s="2" customFormat="1" ht="36" customHeight="1" spans="1:32">
      <c r="A177" s="13">
        <v>175</v>
      </c>
      <c r="B177" s="14" t="s">
        <v>612</v>
      </c>
      <c r="C177" s="15" t="s">
        <v>443</v>
      </c>
      <c r="D177" s="127" t="s">
        <v>576</v>
      </c>
      <c r="E177" s="15" t="s">
        <v>577</v>
      </c>
      <c r="F177" s="13" t="s">
        <v>81</v>
      </c>
      <c r="G177" s="16" t="s">
        <v>578</v>
      </c>
      <c r="H177" s="16" t="s">
        <v>322</v>
      </c>
      <c r="I177" s="17" t="s">
        <v>186</v>
      </c>
      <c r="J177" s="18" t="s">
        <v>613</v>
      </c>
      <c r="K177" s="20" t="s">
        <v>39</v>
      </c>
      <c r="L177" s="21" t="s">
        <v>39</v>
      </c>
      <c r="M177" s="116">
        <v>0.145</v>
      </c>
      <c r="N177" s="20" t="s">
        <v>39</v>
      </c>
      <c r="O177" s="90" t="s">
        <v>39</v>
      </c>
      <c r="P177" s="92" t="s">
        <v>39</v>
      </c>
      <c r="Q177" s="24" t="s">
        <v>39</v>
      </c>
      <c r="R177" s="24" t="s">
        <v>39</v>
      </c>
      <c r="S177" s="24" t="s">
        <v>39</v>
      </c>
      <c r="T177" s="22">
        <v>0.035</v>
      </c>
      <c r="U177" s="116">
        <v>0.06</v>
      </c>
      <c r="V177" s="24" t="s">
        <v>39</v>
      </c>
      <c r="W177" s="50"/>
      <c r="X177" s="24" t="s">
        <v>39</v>
      </c>
      <c r="Y177" s="115" t="s">
        <v>39</v>
      </c>
      <c r="Z177" s="51" t="s">
        <v>39</v>
      </c>
      <c r="AA177" s="51" t="s">
        <v>39</v>
      </c>
      <c r="AB177" s="46" t="s">
        <v>39</v>
      </c>
      <c r="AC177" s="46" t="s">
        <v>39</v>
      </c>
      <c r="AD177" s="48" t="s">
        <v>591</v>
      </c>
      <c r="AE177" s="25" t="s">
        <v>288</v>
      </c>
      <c r="AF177" s="17" t="s">
        <v>583</v>
      </c>
    </row>
    <row r="178" s="2" customFormat="1" ht="36" customHeight="1" spans="1:32">
      <c r="A178" s="13">
        <v>176</v>
      </c>
      <c r="B178" s="14" t="s">
        <v>614</v>
      </c>
      <c r="C178" s="15" t="s">
        <v>443</v>
      </c>
      <c r="D178" s="127" t="s">
        <v>576</v>
      </c>
      <c r="E178" s="15" t="s">
        <v>577</v>
      </c>
      <c r="F178" s="13" t="s">
        <v>81</v>
      </c>
      <c r="G178" s="16" t="s">
        <v>578</v>
      </c>
      <c r="H178" s="16" t="s">
        <v>329</v>
      </c>
      <c r="I178" s="17" t="s">
        <v>615</v>
      </c>
      <c r="J178" s="18" t="s">
        <v>616</v>
      </c>
      <c r="K178" s="20" t="s">
        <v>39</v>
      </c>
      <c r="L178" s="21" t="s">
        <v>39</v>
      </c>
      <c r="M178" s="116">
        <v>0.145</v>
      </c>
      <c r="N178" s="20" t="s">
        <v>39</v>
      </c>
      <c r="O178" s="90" t="s">
        <v>39</v>
      </c>
      <c r="P178" s="92" t="s">
        <v>39</v>
      </c>
      <c r="Q178" s="24" t="s">
        <v>39</v>
      </c>
      <c r="R178" s="24" t="s">
        <v>39</v>
      </c>
      <c r="S178" s="24" t="s">
        <v>39</v>
      </c>
      <c r="T178" s="22">
        <v>0.035</v>
      </c>
      <c r="U178" s="116">
        <v>0.06</v>
      </c>
      <c r="V178" s="24" t="s">
        <v>39</v>
      </c>
      <c r="W178" s="50"/>
      <c r="X178" s="24" t="s">
        <v>39</v>
      </c>
      <c r="Y178" s="115" t="s">
        <v>39</v>
      </c>
      <c r="Z178" s="51" t="s">
        <v>39</v>
      </c>
      <c r="AA178" s="51" t="s">
        <v>39</v>
      </c>
      <c r="AB178" s="46" t="s">
        <v>39</v>
      </c>
      <c r="AC178" s="46" t="s">
        <v>39</v>
      </c>
      <c r="AD178" s="48" t="s">
        <v>591</v>
      </c>
      <c r="AE178" s="25" t="s">
        <v>288</v>
      </c>
      <c r="AF178" s="17" t="s">
        <v>583</v>
      </c>
    </row>
    <row r="179" s="2" customFormat="1" ht="36" customHeight="1" spans="1:32">
      <c r="A179" s="13">
        <v>177</v>
      </c>
      <c r="B179" s="14" t="s">
        <v>617</v>
      </c>
      <c r="C179" s="15" t="s">
        <v>443</v>
      </c>
      <c r="D179" s="127" t="s">
        <v>576</v>
      </c>
      <c r="E179" s="15" t="s">
        <v>577</v>
      </c>
      <c r="F179" s="13" t="s">
        <v>81</v>
      </c>
      <c r="G179" s="16" t="s">
        <v>578</v>
      </c>
      <c r="H179" s="16" t="s">
        <v>333</v>
      </c>
      <c r="I179" s="17" t="s">
        <v>618</v>
      </c>
      <c r="J179" s="18" t="s">
        <v>619</v>
      </c>
      <c r="K179" s="20" t="s">
        <v>39</v>
      </c>
      <c r="L179" s="21" t="s">
        <v>39</v>
      </c>
      <c r="M179" s="116">
        <v>0.145</v>
      </c>
      <c r="N179" s="20" t="s">
        <v>39</v>
      </c>
      <c r="O179" s="90" t="s">
        <v>39</v>
      </c>
      <c r="P179" s="92" t="s">
        <v>39</v>
      </c>
      <c r="Q179" s="24" t="s">
        <v>39</v>
      </c>
      <c r="R179" s="24" t="s">
        <v>39</v>
      </c>
      <c r="S179" s="24" t="s">
        <v>39</v>
      </c>
      <c r="T179" s="22">
        <v>0.035</v>
      </c>
      <c r="U179" s="116">
        <v>0.06</v>
      </c>
      <c r="V179" s="24" t="s">
        <v>39</v>
      </c>
      <c r="W179" s="50"/>
      <c r="X179" s="24" t="s">
        <v>39</v>
      </c>
      <c r="Y179" s="115" t="s">
        <v>39</v>
      </c>
      <c r="Z179" s="51" t="s">
        <v>39</v>
      </c>
      <c r="AA179" s="51" t="s">
        <v>39</v>
      </c>
      <c r="AB179" s="46" t="s">
        <v>39</v>
      </c>
      <c r="AC179" s="46" t="s">
        <v>39</v>
      </c>
      <c r="AD179" s="48" t="s">
        <v>591</v>
      </c>
      <c r="AE179" s="25" t="s">
        <v>288</v>
      </c>
      <c r="AF179" s="17" t="s">
        <v>583</v>
      </c>
    </row>
    <row r="180" s="2" customFormat="1" ht="36" customHeight="1" spans="1:32">
      <c r="A180" s="13">
        <v>178</v>
      </c>
      <c r="B180" s="14" t="s">
        <v>620</v>
      </c>
      <c r="C180" s="15" t="s">
        <v>443</v>
      </c>
      <c r="D180" s="127" t="s">
        <v>576</v>
      </c>
      <c r="E180" s="15" t="s">
        <v>577</v>
      </c>
      <c r="F180" s="13" t="s">
        <v>81</v>
      </c>
      <c r="G180" s="16" t="s">
        <v>578</v>
      </c>
      <c r="H180" s="16" t="s">
        <v>621</v>
      </c>
      <c r="I180" s="17" t="s">
        <v>485</v>
      </c>
      <c r="J180" s="18" t="s">
        <v>622</v>
      </c>
      <c r="K180" s="20" t="s">
        <v>39</v>
      </c>
      <c r="L180" s="21" t="s">
        <v>39</v>
      </c>
      <c r="M180" s="116">
        <v>0.165</v>
      </c>
      <c r="N180" s="20" t="s">
        <v>39</v>
      </c>
      <c r="O180" s="90" t="s">
        <v>39</v>
      </c>
      <c r="P180" s="92" t="s">
        <v>39</v>
      </c>
      <c r="Q180" s="24" t="s">
        <v>39</v>
      </c>
      <c r="R180" s="24" t="s">
        <v>39</v>
      </c>
      <c r="S180" s="24" t="s">
        <v>39</v>
      </c>
      <c r="T180" s="22">
        <v>0.035</v>
      </c>
      <c r="U180" s="116">
        <v>0.06</v>
      </c>
      <c r="V180" s="24" t="s">
        <v>39</v>
      </c>
      <c r="W180" s="50"/>
      <c r="X180" s="24" t="s">
        <v>39</v>
      </c>
      <c r="Y180" s="115" t="s">
        <v>39</v>
      </c>
      <c r="Z180" s="51" t="s">
        <v>39</v>
      </c>
      <c r="AA180" s="51" t="s">
        <v>39</v>
      </c>
      <c r="AB180" s="46" t="s">
        <v>39</v>
      </c>
      <c r="AC180" s="46" t="s">
        <v>39</v>
      </c>
      <c r="AD180" s="48" t="s">
        <v>591</v>
      </c>
      <c r="AE180" s="25" t="s">
        <v>288</v>
      </c>
      <c r="AF180" s="17" t="s">
        <v>583</v>
      </c>
    </row>
    <row r="181" s="2" customFormat="1" ht="36" customHeight="1" spans="1:32">
      <c r="A181" s="13">
        <v>179</v>
      </c>
      <c r="B181" s="14" t="s">
        <v>623</v>
      </c>
      <c r="C181" s="15" t="s">
        <v>443</v>
      </c>
      <c r="D181" s="127" t="s">
        <v>576</v>
      </c>
      <c r="E181" s="15" t="s">
        <v>577</v>
      </c>
      <c r="F181" s="13" t="s">
        <v>81</v>
      </c>
      <c r="G181" s="16" t="s">
        <v>578</v>
      </c>
      <c r="H181" s="16" t="s">
        <v>624</v>
      </c>
      <c r="I181" s="17" t="s">
        <v>625</v>
      </c>
      <c r="J181" s="18" t="s">
        <v>626</v>
      </c>
      <c r="K181" s="20" t="s">
        <v>39</v>
      </c>
      <c r="L181" s="21" t="s">
        <v>39</v>
      </c>
      <c r="M181" s="116">
        <v>0.165</v>
      </c>
      <c r="N181" s="20" t="s">
        <v>39</v>
      </c>
      <c r="O181" s="90" t="s">
        <v>39</v>
      </c>
      <c r="P181" s="92" t="s">
        <v>39</v>
      </c>
      <c r="Q181" s="24" t="s">
        <v>39</v>
      </c>
      <c r="R181" s="24" t="s">
        <v>39</v>
      </c>
      <c r="S181" s="24" t="s">
        <v>39</v>
      </c>
      <c r="T181" s="22">
        <v>0.035</v>
      </c>
      <c r="U181" s="116">
        <v>0.06</v>
      </c>
      <c r="V181" s="24" t="s">
        <v>39</v>
      </c>
      <c r="W181" s="50"/>
      <c r="X181" s="24" t="s">
        <v>39</v>
      </c>
      <c r="Y181" s="115" t="s">
        <v>39</v>
      </c>
      <c r="Z181" s="51" t="s">
        <v>39</v>
      </c>
      <c r="AA181" s="51" t="s">
        <v>39</v>
      </c>
      <c r="AB181" s="46" t="s">
        <v>39</v>
      </c>
      <c r="AC181" s="46" t="s">
        <v>39</v>
      </c>
      <c r="AD181" s="48" t="s">
        <v>591</v>
      </c>
      <c r="AE181" s="25" t="s">
        <v>288</v>
      </c>
      <c r="AF181" s="17" t="s">
        <v>583</v>
      </c>
    </row>
    <row r="182" s="2" customFormat="1" ht="48" customHeight="1" spans="1:32">
      <c r="A182" s="13">
        <v>180</v>
      </c>
      <c r="B182" s="14" t="s">
        <v>627</v>
      </c>
      <c r="C182" s="15" t="s">
        <v>443</v>
      </c>
      <c r="D182" s="127" t="s">
        <v>576</v>
      </c>
      <c r="E182" s="15" t="s">
        <v>577</v>
      </c>
      <c r="F182" s="13" t="s">
        <v>81</v>
      </c>
      <c r="G182" s="16" t="s">
        <v>578</v>
      </c>
      <c r="H182" s="16" t="s">
        <v>628</v>
      </c>
      <c r="I182" s="17" t="s">
        <v>144</v>
      </c>
      <c r="J182" s="18" t="s">
        <v>629</v>
      </c>
      <c r="K182" s="20" t="s">
        <v>39</v>
      </c>
      <c r="L182" s="21" t="s">
        <v>39</v>
      </c>
      <c r="M182" s="116">
        <v>0.155</v>
      </c>
      <c r="N182" s="20" t="s">
        <v>39</v>
      </c>
      <c r="O182" s="90" t="s">
        <v>39</v>
      </c>
      <c r="P182" s="92" t="s">
        <v>39</v>
      </c>
      <c r="Q182" s="24" t="s">
        <v>39</v>
      </c>
      <c r="R182" s="24" t="s">
        <v>39</v>
      </c>
      <c r="S182" s="24" t="s">
        <v>39</v>
      </c>
      <c r="T182" s="22">
        <v>0.035</v>
      </c>
      <c r="U182" s="116">
        <v>0.06</v>
      </c>
      <c r="V182" s="24" t="s">
        <v>39</v>
      </c>
      <c r="W182" s="50"/>
      <c r="X182" s="24" t="s">
        <v>39</v>
      </c>
      <c r="Y182" s="124">
        <v>2000</v>
      </c>
      <c r="Z182" s="51" t="s">
        <v>39</v>
      </c>
      <c r="AA182" s="51" t="s">
        <v>39</v>
      </c>
      <c r="AB182" s="46" t="s">
        <v>39</v>
      </c>
      <c r="AC182" s="46" t="s">
        <v>39</v>
      </c>
      <c r="AD182" s="48" t="s">
        <v>630</v>
      </c>
      <c r="AE182" s="25" t="s">
        <v>288</v>
      </c>
      <c r="AF182" s="17" t="s">
        <v>583</v>
      </c>
    </row>
    <row r="183" s="2" customFormat="1" ht="36" customHeight="1" spans="1:32">
      <c r="A183" s="13">
        <v>181</v>
      </c>
      <c r="B183" s="14" t="s">
        <v>631</v>
      </c>
      <c r="C183" s="15" t="s">
        <v>443</v>
      </c>
      <c r="D183" s="127" t="s">
        <v>576</v>
      </c>
      <c r="E183" s="15" t="s">
        <v>577</v>
      </c>
      <c r="F183" s="13" t="s">
        <v>81</v>
      </c>
      <c r="G183" s="16" t="s">
        <v>578</v>
      </c>
      <c r="H183" s="16" t="s">
        <v>632</v>
      </c>
      <c r="I183" s="17" t="s">
        <v>214</v>
      </c>
      <c r="J183" s="18" t="s">
        <v>633</v>
      </c>
      <c r="K183" s="20" t="s">
        <v>39</v>
      </c>
      <c r="L183" s="21" t="s">
        <v>39</v>
      </c>
      <c r="M183" s="116">
        <v>0.155</v>
      </c>
      <c r="N183" s="20" t="s">
        <v>39</v>
      </c>
      <c r="O183" s="90" t="s">
        <v>39</v>
      </c>
      <c r="P183" s="92" t="s">
        <v>39</v>
      </c>
      <c r="Q183" s="24" t="s">
        <v>39</v>
      </c>
      <c r="R183" s="24" t="s">
        <v>39</v>
      </c>
      <c r="S183" s="24" t="s">
        <v>39</v>
      </c>
      <c r="T183" s="22">
        <v>0.035</v>
      </c>
      <c r="U183" s="116">
        <v>0.06</v>
      </c>
      <c r="V183" s="24" t="s">
        <v>39</v>
      </c>
      <c r="W183" s="50"/>
      <c r="X183" s="24" t="s">
        <v>39</v>
      </c>
      <c r="Y183" s="115" t="s">
        <v>39</v>
      </c>
      <c r="Z183" s="51" t="s">
        <v>39</v>
      </c>
      <c r="AA183" s="51" t="s">
        <v>39</v>
      </c>
      <c r="AB183" s="46" t="s">
        <v>39</v>
      </c>
      <c r="AC183" s="46" t="s">
        <v>39</v>
      </c>
      <c r="AD183" s="48" t="s">
        <v>591</v>
      </c>
      <c r="AE183" s="25" t="s">
        <v>288</v>
      </c>
      <c r="AF183" s="17" t="s">
        <v>583</v>
      </c>
    </row>
    <row r="184" s="2" customFormat="1" ht="36" customHeight="1" spans="1:32">
      <c r="A184" s="13">
        <v>182</v>
      </c>
      <c r="B184" s="14" t="s">
        <v>634</v>
      </c>
      <c r="C184" s="15" t="s">
        <v>443</v>
      </c>
      <c r="D184" s="127" t="s">
        <v>576</v>
      </c>
      <c r="E184" s="15" t="s">
        <v>577</v>
      </c>
      <c r="F184" s="13" t="s">
        <v>81</v>
      </c>
      <c r="G184" s="16" t="s">
        <v>578</v>
      </c>
      <c r="H184" s="16" t="s">
        <v>635</v>
      </c>
      <c r="I184" s="17" t="s">
        <v>636</v>
      </c>
      <c r="J184" s="18" t="s">
        <v>637</v>
      </c>
      <c r="K184" s="20" t="s">
        <v>39</v>
      </c>
      <c r="L184" s="21" t="s">
        <v>39</v>
      </c>
      <c r="M184" s="116">
        <v>0.135</v>
      </c>
      <c r="N184" s="20" t="s">
        <v>39</v>
      </c>
      <c r="O184" s="90" t="s">
        <v>39</v>
      </c>
      <c r="P184" s="92" t="s">
        <v>39</v>
      </c>
      <c r="Q184" s="24" t="s">
        <v>39</v>
      </c>
      <c r="R184" s="24" t="s">
        <v>39</v>
      </c>
      <c r="S184" s="24" t="s">
        <v>39</v>
      </c>
      <c r="T184" s="22">
        <v>0.035</v>
      </c>
      <c r="U184" s="116">
        <v>0.06</v>
      </c>
      <c r="V184" s="24" t="s">
        <v>39</v>
      </c>
      <c r="W184" s="50"/>
      <c r="X184" s="24" t="s">
        <v>39</v>
      </c>
      <c r="Y184" s="115" t="s">
        <v>39</v>
      </c>
      <c r="Z184" s="51" t="s">
        <v>39</v>
      </c>
      <c r="AA184" s="51" t="s">
        <v>39</v>
      </c>
      <c r="AB184" s="46" t="s">
        <v>39</v>
      </c>
      <c r="AC184" s="46" t="s">
        <v>39</v>
      </c>
      <c r="AD184" s="48" t="s">
        <v>591</v>
      </c>
      <c r="AE184" s="25" t="s">
        <v>288</v>
      </c>
      <c r="AF184" s="17" t="s">
        <v>583</v>
      </c>
    </row>
    <row r="185" s="2" customFormat="1" ht="12" customHeight="1" spans="1:32">
      <c r="A185" s="13">
        <v>183</v>
      </c>
      <c r="B185" s="14" t="s">
        <v>638</v>
      </c>
      <c r="C185" s="15" t="s">
        <v>443</v>
      </c>
      <c r="D185" s="127" t="s">
        <v>639</v>
      </c>
      <c r="E185" s="15" t="s">
        <v>640</v>
      </c>
      <c r="F185" s="13" t="s">
        <v>37</v>
      </c>
      <c r="G185" s="16" t="s">
        <v>178</v>
      </c>
      <c r="H185" s="16" t="s">
        <v>39</v>
      </c>
      <c r="I185" s="167" t="s">
        <v>39</v>
      </c>
      <c r="J185" s="16" t="s">
        <v>39</v>
      </c>
      <c r="K185" s="20" t="s">
        <v>39</v>
      </c>
      <c r="L185" s="21" t="s">
        <v>39</v>
      </c>
      <c r="M185" s="67" t="s">
        <v>39</v>
      </c>
      <c r="N185" s="47"/>
      <c r="O185" s="67" t="s">
        <v>39</v>
      </c>
      <c r="P185" s="47"/>
      <c r="Q185" s="67" t="s">
        <v>39</v>
      </c>
      <c r="R185" s="67" t="s">
        <v>39</v>
      </c>
      <c r="S185" s="67" t="s">
        <v>39</v>
      </c>
      <c r="T185" s="47"/>
      <c r="U185" s="47"/>
      <c r="V185" s="67" t="s">
        <v>39</v>
      </c>
      <c r="W185" s="44"/>
      <c r="X185" s="65" t="s">
        <v>39</v>
      </c>
      <c r="Y185" s="65" t="s">
        <v>39</v>
      </c>
      <c r="Z185" s="65" t="s">
        <v>39</v>
      </c>
      <c r="AA185" s="44"/>
      <c r="AB185" s="46">
        <v>0.05</v>
      </c>
      <c r="AC185" s="46" t="s">
        <v>39</v>
      </c>
      <c r="AD185" s="69"/>
      <c r="AE185" s="25"/>
      <c r="AF185" s="206"/>
    </row>
    <row r="186" s="2" customFormat="1" ht="96" customHeight="1" spans="1:32">
      <c r="A186" s="13">
        <v>184</v>
      </c>
      <c r="B186" s="14" t="s">
        <v>641</v>
      </c>
      <c r="C186" s="15" t="s">
        <v>443</v>
      </c>
      <c r="D186" s="127" t="s">
        <v>639</v>
      </c>
      <c r="E186" s="15" t="s">
        <v>640</v>
      </c>
      <c r="F186" s="13" t="s">
        <v>81</v>
      </c>
      <c r="G186" s="16" t="s">
        <v>178</v>
      </c>
      <c r="H186" s="18" t="s">
        <v>39</v>
      </c>
      <c r="I186" s="43" t="s">
        <v>589</v>
      </c>
      <c r="J186" s="16" t="s">
        <v>642</v>
      </c>
      <c r="K186" s="20" t="s">
        <v>39</v>
      </c>
      <c r="L186" s="21">
        <v>2352000</v>
      </c>
      <c r="M186" s="67">
        <v>0.15</v>
      </c>
      <c r="N186" s="67">
        <v>0.01</v>
      </c>
      <c r="O186" s="67" t="s">
        <v>39</v>
      </c>
      <c r="P186" s="67">
        <v>0.04</v>
      </c>
      <c r="Q186" s="67">
        <v>0.03</v>
      </c>
      <c r="R186" s="67">
        <v>0.01</v>
      </c>
      <c r="S186" s="67">
        <v>0.01</v>
      </c>
      <c r="T186" s="67"/>
      <c r="U186" s="66"/>
      <c r="V186" s="67" t="s">
        <v>39</v>
      </c>
      <c r="W186" s="128">
        <v>0.4</v>
      </c>
      <c r="X186" s="67" t="s">
        <v>39</v>
      </c>
      <c r="Y186" s="65" t="s">
        <v>39</v>
      </c>
      <c r="Z186" s="65" t="s">
        <v>39</v>
      </c>
      <c r="AA186" s="65" t="s">
        <v>39</v>
      </c>
      <c r="AB186" s="46" t="s">
        <v>39</v>
      </c>
      <c r="AC186" s="46" t="s">
        <v>39</v>
      </c>
      <c r="AD186" s="69" t="s">
        <v>643</v>
      </c>
      <c r="AE186" s="25" t="s">
        <v>644</v>
      </c>
      <c r="AF186" s="17" t="s">
        <v>645</v>
      </c>
    </row>
    <row r="187" s="2" customFormat="1" ht="96" customHeight="1" spans="1:32">
      <c r="A187" s="13">
        <v>185</v>
      </c>
      <c r="B187" s="14" t="s">
        <v>646</v>
      </c>
      <c r="C187" s="15" t="s">
        <v>443</v>
      </c>
      <c r="D187" s="127" t="s">
        <v>639</v>
      </c>
      <c r="E187" s="15" t="s">
        <v>640</v>
      </c>
      <c r="F187" s="13" t="s">
        <v>81</v>
      </c>
      <c r="G187" s="16" t="s">
        <v>178</v>
      </c>
      <c r="H187" s="18" t="s">
        <v>39</v>
      </c>
      <c r="I187" s="43" t="s">
        <v>647</v>
      </c>
      <c r="J187" s="16" t="s">
        <v>648</v>
      </c>
      <c r="K187" s="20" t="s">
        <v>39</v>
      </c>
      <c r="L187" s="21">
        <v>2280000</v>
      </c>
      <c r="M187" s="67" t="s">
        <v>649</v>
      </c>
      <c r="N187" s="67">
        <v>0.01</v>
      </c>
      <c r="O187" s="67" t="s">
        <v>39</v>
      </c>
      <c r="P187" s="67">
        <v>0.04</v>
      </c>
      <c r="Q187" s="67">
        <v>0.03</v>
      </c>
      <c r="R187" s="67">
        <v>0.01</v>
      </c>
      <c r="S187" s="67">
        <v>0.01</v>
      </c>
      <c r="T187" s="67"/>
      <c r="U187" s="66"/>
      <c r="V187" s="67" t="s">
        <v>39</v>
      </c>
      <c r="W187" s="128">
        <v>0.4</v>
      </c>
      <c r="X187" s="67" t="s">
        <v>39</v>
      </c>
      <c r="Y187" s="65" t="s">
        <v>39</v>
      </c>
      <c r="Z187" s="65" t="s">
        <v>39</v>
      </c>
      <c r="AA187" s="65" t="s">
        <v>39</v>
      </c>
      <c r="AB187" s="46" t="s">
        <v>39</v>
      </c>
      <c r="AC187" s="46" t="s">
        <v>39</v>
      </c>
      <c r="AD187" s="69" t="s">
        <v>650</v>
      </c>
      <c r="AE187" s="25" t="s">
        <v>651</v>
      </c>
      <c r="AF187" s="17" t="s">
        <v>645</v>
      </c>
    </row>
    <row r="188" s="2" customFormat="1" ht="96" customHeight="1" spans="1:32">
      <c r="A188" s="13">
        <v>186</v>
      </c>
      <c r="B188" s="14" t="s">
        <v>652</v>
      </c>
      <c r="C188" s="15" t="s">
        <v>443</v>
      </c>
      <c r="D188" s="127" t="s">
        <v>639</v>
      </c>
      <c r="E188" s="15" t="s">
        <v>640</v>
      </c>
      <c r="F188" s="13" t="s">
        <v>81</v>
      </c>
      <c r="G188" s="16" t="s">
        <v>178</v>
      </c>
      <c r="H188" s="18" t="s">
        <v>39</v>
      </c>
      <c r="I188" s="43" t="s">
        <v>653</v>
      </c>
      <c r="J188" s="16" t="s">
        <v>654</v>
      </c>
      <c r="K188" s="20" t="s">
        <v>39</v>
      </c>
      <c r="L188" s="21">
        <v>816000</v>
      </c>
      <c r="M188" s="67" t="s">
        <v>649</v>
      </c>
      <c r="N188" s="67">
        <v>0.01</v>
      </c>
      <c r="O188" s="67" t="s">
        <v>39</v>
      </c>
      <c r="P188" s="67">
        <v>0.04</v>
      </c>
      <c r="Q188" s="67">
        <v>0.03</v>
      </c>
      <c r="R188" s="67">
        <v>0.01</v>
      </c>
      <c r="S188" s="67">
        <v>0.01</v>
      </c>
      <c r="T188" s="67"/>
      <c r="U188" s="66"/>
      <c r="V188" s="67" t="s">
        <v>39</v>
      </c>
      <c r="W188" s="128">
        <v>0.4</v>
      </c>
      <c r="X188" s="67" t="s">
        <v>39</v>
      </c>
      <c r="Y188" s="65" t="s">
        <v>39</v>
      </c>
      <c r="Z188" s="65" t="s">
        <v>39</v>
      </c>
      <c r="AA188" s="65" t="s">
        <v>39</v>
      </c>
      <c r="AB188" s="46" t="s">
        <v>39</v>
      </c>
      <c r="AC188" s="46" t="s">
        <v>39</v>
      </c>
      <c r="AD188" s="69" t="s">
        <v>650</v>
      </c>
      <c r="AE188" s="25" t="s">
        <v>651</v>
      </c>
      <c r="AF188" s="17" t="s">
        <v>645</v>
      </c>
    </row>
    <row r="189" s="2" customFormat="1" ht="96" customHeight="1" spans="1:32">
      <c r="A189" s="13">
        <v>187</v>
      </c>
      <c r="B189" s="14" t="s">
        <v>655</v>
      </c>
      <c r="C189" s="15" t="s">
        <v>443</v>
      </c>
      <c r="D189" s="127" t="s">
        <v>639</v>
      </c>
      <c r="E189" s="15" t="s">
        <v>640</v>
      </c>
      <c r="F189" s="13" t="s">
        <v>81</v>
      </c>
      <c r="G189" s="16" t="s">
        <v>178</v>
      </c>
      <c r="H189" s="18" t="s">
        <v>39</v>
      </c>
      <c r="I189" s="43" t="s">
        <v>656</v>
      </c>
      <c r="J189" s="16" t="s">
        <v>657</v>
      </c>
      <c r="K189" s="20" t="s">
        <v>39</v>
      </c>
      <c r="L189" s="21">
        <v>700800</v>
      </c>
      <c r="M189" s="67">
        <v>0.1</v>
      </c>
      <c r="N189" s="67">
        <v>0.01</v>
      </c>
      <c r="O189" s="67" t="s">
        <v>39</v>
      </c>
      <c r="P189" s="67">
        <v>0.04</v>
      </c>
      <c r="Q189" s="67">
        <v>0.03</v>
      </c>
      <c r="R189" s="67">
        <v>0.01</v>
      </c>
      <c r="S189" s="67">
        <v>0.01</v>
      </c>
      <c r="T189" s="67"/>
      <c r="U189" s="66"/>
      <c r="V189" s="67" t="s">
        <v>39</v>
      </c>
      <c r="W189" s="128">
        <v>0.4</v>
      </c>
      <c r="X189" s="67" t="s">
        <v>39</v>
      </c>
      <c r="Y189" s="65" t="s">
        <v>39</v>
      </c>
      <c r="Z189" s="65" t="s">
        <v>39</v>
      </c>
      <c r="AA189" s="65" t="s">
        <v>39</v>
      </c>
      <c r="AB189" s="46" t="s">
        <v>39</v>
      </c>
      <c r="AC189" s="46" t="s">
        <v>39</v>
      </c>
      <c r="AD189" s="69" t="s">
        <v>643</v>
      </c>
      <c r="AE189" s="25" t="s">
        <v>644</v>
      </c>
      <c r="AF189" s="17" t="s">
        <v>645</v>
      </c>
    </row>
    <row r="190" s="2" customFormat="1" ht="96" customHeight="1" spans="1:32">
      <c r="A190" s="13">
        <v>188</v>
      </c>
      <c r="B190" s="14" t="s">
        <v>658</v>
      </c>
      <c r="C190" s="15" t="s">
        <v>443</v>
      </c>
      <c r="D190" s="127" t="s">
        <v>639</v>
      </c>
      <c r="E190" s="15" t="s">
        <v>640</v>
      </c>
      <c r="F190" s="13" t="s">
        <v>81</v>
      </c>
      <c r="G190" s="16" t="s">
        <v>178</v>
      </c>
      <c r="H190" s="18" t="s">
        <v>39</v>
      </c>
      <c r="I190" s="43" t="s">
        <v>659</v>
      </c>
      <c r="J190" s="16" t="s">
        <v>660</v>
      </c>
      <c r="K190" s="20" t="s">
        <v>39</v>
      </c>
      <c r="L190" s="21">
        <v>720000</v>
      </c>
      <c r="M190" s="67">
        <v>0.1</v>
      </c>
      <c r="N190" s="67">
        <v>0.01</v>
      </c>
      <c r="O190" s="67" t="s">
        <v>39</v>
      </c>
      <c r="P190" s="67">
        <v>0.04</v>
      </c>
      <c r="Q190" s="67">
        <v>0.03</v>
      </c>
      <c r="R190" s="67">
        <v>0.01</v>
      </c>
      <c r="S190" s="67">
        <v>0.01</v>
      </c>
      <c r="T190" s="67"/>
      <c r="U190" s="66"/>
      <c r="V190" s="67" t="s">
        <v>39</v>
      </c>
      <c r="W190" s="128">
        <v>0.4</v>
      </c>
      <c r="X190" s="67" t="s">
        <v>39</v>
      </c>
      <c r="Y190" s="65" t="s">
        <v>39</v>
      </c>
      <c r="Z190" s="65" t="s">
        <v>39</v>
      </c>
      <c r="AA190" s="65" t="s">
        <v>39</v>
      </c>
      <c r="AB190" s="46" t="s">
        <v>39</v>
      </c>
      <c r="AC190" s="46" t="s">
        <v>39</v>
      </c>
      <c r="AD190" s="69" t="s">
        <v>643</v>
      </c>
      <c r="AE190" s="25" t="s">
        <v>644</v>
      </c>
      <c r="AF190" s="17" t="s">
        <v>645</v>
      </c>
    </row>
    <row r="191" s="2" customFormat="1" ht="96" customHeight="1" spans="1:32">
      <c r="A191" s="13">
        <v>189</v>
      </c>
      <c r="B191" s="14" t="s">
        <v>661</v>
      </c>
      <c r="C191" s="15" t="s">
        <v>443</v>
      </c>
      <c r="D191" s="15" t="s">
        <v>639</v>
      </c>
      <c r="E191" s="15" t="s">
        <v>640</v>
      </c>
      <c r="F191" s="129" t="s">
        <v>81</v>
      </c>
      <c r="G191" s="130" t="s">
        <v>178</v>
      </c>
      <c r="H191" s="18" t="s">
        <v>39</v>
      </c>
      <c r="I191" s="43" t="s">
        <v>662</v>
      </c>
      <c r="J191" s="16" t="s">
        <v>663</v>
      </c>
      <c r="K191" s="20" t="s">
        <v>39</v>
      </c>
      <c r="L191" s="21">
        <v>960000</v>
      </c>
      <c r="M191" s="77">
        <v>0.1</v>
      </c>
      <c r="N191" s="77">
        <v>0.01</v>
      </c>
      <c r="O191" s="77" t="s">
        <v>39</v>
      </c>
      <c r="P191" s="77">
        <v>0.04</v>
      </c>
      <c r="Q191" s="77">
        <v>0.03</v>
      </c>
      <c r="R191" s="77">
        <v>0.01</v>
      </c>
      <c r="S191" s="77">
        <v>0.01</v>
      </c>
      <c r="T191" s="77"/>
      <c r="U191" s="73"/>
      <c r="V191" s="77" t="s">
        <v>39</v>
      </c>
      <c r="W191" s="131">
        <v>0.4</v>
      </c>
      <c r="X191" s="77" t="s">
        <v>39</v>
      </c>
      <c r="Y191" s="72" t="s">
        <v>39</v>
      </c>
      <c r="Z191" s="72" t="s">
        <v>39</v>
      </c>
      <c r="AA191" s="72" t="s">
        <v>39</v>
      </c>
      <c r="AB191" s="46" t="s">
        <v>39</v>
      </c>
      <c r="AC191" s="46" t="s">
        <v>39</v>
      </c>
      <c r="AD191" s="82" t="s">
        <v>643</v>
      </c>
      <c r="AE191" s="25" t="s">
        <v>644</v>
      </c>
      <c r="AF191" s="17" t="s">
        <v>645</v>
      </c>
    </row>
    <row r="192" s="2" customFormat="1" ht="96" customHeight="1" spans="1:32">
      <c r="A192" s="13">
        <v>190</v>
      </c>
      <c r="B192" s="14" t="s">
        <v>664</v>
      </c>
      <c r="C192" s="15" t="s">
        <v>443</v>
      </c>
      <c r="D192" s="15" t="s">
        <v>639</v>
      </c>
      <c r="E192" s="522" t="s">
        <v>640</v>
      </c>
      <c r="F192" s="133" t="s">
        <v>81</v>
      </c>
      <c r="G192" s="134" t="s">
        <v>178</v>
      </c>
      <c r="H192" s="18" t="s">
        <v>39</v>
      </c>
      <c r="I192" s="135" t="s">
        <v>665</v>
      </c>
      <c r="J192" s="136" t="s">
        <v>666</v>
      </c>
      <c r="K192" s="20" t="s">
        <v>39</v>
      </c>
      <c r="L192" s="21">
        <v>1032000</v>
      </c>
      <c r="M192" s="77">
        <v>0.1</v>
      </c>
      <c r="N192" s="77">
        <v>0.01</v>
      </c>
      <c r="O192" s="77" t="s">
        <v>39</v>
      </c>
      <c r="P192" s="77">
        <v>0.04</v>
      </c>
      <c r="Q192" s="77">
        <v>0.03</v>
      </c>
      <c r="R192" s="77">
        <v>0.01</v>
      </c>
      <c r="S192" s="77">
        <v>0.01</v>
      </c>
      <c r="T192" s="77"/>
      <c r="U192" s="73"/>
      <c r="V192" s="77" t="s">
        <v>39</v>
      </c>
      <c r="W192" s="131">
        <v>0.4</v>
      </c>
      <c r="X192" s="77" t="s">
        <v>39</v>
      </c>
      <c r="Y192" s="72" t="s">
        <v>39</v>
      </c>
      <c r="Z192" s="72" t="s">
        <v>39</v>
      </c>
      <c r="AA192" s="72" t="s">
        <v>39</v>
      </c>
      <c r="AB192" s="46" t="s">
        <v>39</v>
      </c>
      <c r="AC192" s="46" t="s">
        <v>39</v>
      </c>
      <c r="AD192" s="82" t="s">
        <v>643</v>
      </c>
      <c r="AE192" s="25" t="s">
        <v>644</v>
      </c>
      <c r="AF192" s="17" t="s">
        <v>645</v>
      </c>
    </row>
    <row r="193" s="2" customFormat="1" ht="96" customHeight="1" spans="1:32">
      <c r="A193" s="13">
        <v>191</v>
      </c>
      <c r="B193" s="14" t="s">
        <v>667</v>
      </c>
      <c r="C193" s="15" t="s">
        <v>443</v>
      </c>
      <c r="D193" s="15" t="s">
        <v>639</v>
      </c>
      <c r="E193" s="522" t="s">
        <v>640</v>
      </c>
      <c r="F193" s="133" t="s">
        <v>81</v>
      </c>
      <c r="G193" s="134" t="s">
        <v>178</v>
      </c>
      <c r="H193" s="18" t="s">
        <v>39</v>
      </c>
      <c r="I193" s="135" t="s">
        <v>530</v>
      </c>
      <c r="J193" s="136" t="s">
        <v>668</v>
      </c>
      <c r="K193" s="20" t="s">
        <v>39</v>
      </c>
      <c r="L193" s="21">
        <v>912000</v>
      </c>
      <c r="M193" s="77">
        <v>0.1</v>
      </c>
      <c r="N193" s="77">
        <v>0.01</v>
      </c>
      <c r="O193" s="77" t="s">
        <v>39</v>
      </c>
      <c r="P193" s="77">
        <v>0.04</v>
      </c>
      <c r="Q193" s="77">
        <v>0.03</v>
      </c>
      <c r="R193" s="77">
        <v>0.01</v>
      </c>
      <c r="S193" s="77">
        <v>0.01</v>
      </c>
      <c r="T193" s="77"/>
      <c r="U193" s="73"/>
      <c r="V193" s="77" t="s">
        <v>39</v>
      </c>
      <c r="W193" s="131">
        <v>0.4</v>
      </c>
      <c r="X193" s="77" t="s">
        <v>39</v>
      </c>
      <c r="Y193" s="72" t="s">
        <v>39</v>
      </c>
      <c r="Z193" s="72" t="s">
        <v>39</v>
      </c>
      <c r="AA193" s="72" t="s">
        <v>39</v>
      </c>
      <c r="AB193" s="46" t="s">
        <v>39</v>
      </c>
      <c r="AC193" s="46" t="s">
        <v>39</v>
      </c>
      <c r="AD193" s="82" t="s">
        <v>643</v>
      </c>
      <c r="AE193" s="25" t="s">
        <v>644</v>
      </c>
      <c r="AF193" s="17" t="s">
        <v>645</v>
      </c>
    </row>
    <row r="194" s="2" customFormat="1" ht="96" customHeight="1" spans="1:32">
      <c r="A194" s="13">
        <v>192</v>
      </c>
      <c r="B194" s="14" t="s">
        <v>669</v>
      </c>
      <c r="C194" s="15" t="s">
        <v>443</v>
      </c>
      <c r="D194" s="15" t="s">
        <v>639</v>
      </c>
      <c r="E194" s="522" t="s">
        <v>640</v>
      </c>
      <c r="F194" s="133" t="s">
        <v>81</v>
      </c>
      <c r="G194" s="134" t="s">
        <v>178</v>
      </c>
      <c r="H194" s="18" t="s">
        <v>39</v>
      </c>
      <c r="I194" s="135" t="s">
        <v>670</v>
      </c>
      <c r="J194" s="136" t="s">
        <v>671</v>
      </c>
      <c r="K194" s="20" t="s">
        <v>39</v>
      </c>
      <c r="L194" s="21">
        <v>792000</v>
      </c>
      <c r="M194" s="77">
        <v>0.1</v>
      </c>
      <c r="N194" s="77">
        <v>0.01</v>
      </c>
      <c r="O194" s="77" t="s">
        <v>39</v>
      </c>
      <c r="P194" s="77">
        <v>0.04</v>
      </c>
      <c r="Q194" s="77">
        <v>0.03</v>
      </c>
      <c r="R194" s="77">
        <v>0.01</v>
      </c>
      <c r="S194" s="77">
        <v>0.01</v>
      </c>
      <c r="T194" s="77"/>
      <c r="U194" s="73"/>
      <c r="V194" s="77" t="s">
        <v>39</v>
      </c>
      <c r="W194" s="131">
        <v>0.4</v>
      </c>
      <c r="X194" s="77" t="s">
        <v>39</v>
      </c>
      <c r="Y194" s="72" t="s">
        <v>39</v>
      </c>
      <c r="Z194" s="72" t="s">
        <v>39</v>
      </c>
      <c r="AA194" s="72" t="s">
        <v>39</v>
      </c>
      <c r="AB194" s="46" t="s">
        <v>39</v>
      </c>
      <c r="AC194" s="46" t="s">
        <v>39</v>
      </c>
      <c r="AD194" s="82" t="s">
        <v>643</v>
      </c>
      <c r="AE194" s="25" t="s">
        <v>644</v>
      </c>
      <c r="AF194" s="17" t="s">
        <v>645</v>
      </c>
    </row>
    <row r="195" s="2" customFormat="1" ht="96" customHeight="1" spans="1:32">
      <c r="A195" s="13">
        <v>193</v>
      </c>
      <c r="B195" s="14" t="s">
        <v>672</v>
      </c>
      <c r="C195" s="15" t="s">
        <v>443</v>
      </c>
      <c r="D195" s="15" t="s">
        <v>639</v>
      </c>
      <c r="E195" s="522" t="s">
        <v>640</v>
      </c>
      <c r="F195" s="133" t="s">
        <v>81</v>
      </c>
      <c r="G195" s="134" t="s">
        <v>178</v>
      </c>
      <c r="H195" s="18" t="s">
        <v>39</v>
      </c>
      <c r="I195" s="135" t="s">
        <v>673</v>
      </c>
      <c r="J195" s="136" t="s">
        <v>674</v>
      </c>
      <c r="K195" s="20" t="s">
        <v>39</v>
      </c>
      <c r="L195" s="21">
        <v>840000</v>
      </c>
      <c r="M195" s="77">
        <v>0.1</v>
      </c>
      <c r="N195" s="77">
        <v>0.01</v>
      </c>
      <c r="O195" s="77" t="s">
        <v>39</v>
      </c>
      <c r="P195" s="77">
        <v>0.04</v>
      </c>
      <c r="Q195" s="77">
        <v>0.03</v>
      </c>
      <c r="R195" s="77">
        <v>0.01</v>
      </c>
      <c r="S195" s="77">
        <v>0.01</v>
      </c>
      <c r="T195" s="77"/>
      <c r="U195" s="73"/>
      <c r="V195" s="77" t="s">
        <v>39</v>
      </c>
      <c r="W195" s="131">
        <v>0.4</v>
      </c>
      <c r="X195" s="77" t="s">
        <v>39</v>
      </c>
      <c r="Y195" s="72" t="s">
        <v>39</v>
      </c>
      <c r="Z195" s="72" t="s">
        <v>39</v>
      </c>
      <c r="AA195" s="72" t="s">
        <v>39</v>
      </c>
      <c r="AB195" s="46" t="s">
        <v>39</v>
      </c>
      <c r="AC195" s="46" t="s">
        <v>39</v>
      </c>
      <c r="AD195" s="82" t="s">
        <v>643</v>
      </c>
      <c r="AE195" s="25" t="s">
        <v>644</v>
      </c>
      <c r="AF195" s="17" t="s">
        <v>645</v>
      </c>
    </row>
    <row r="196" s="2" customFormat="1" ht="96" customHeight="1" spans="1:32">
      <c r="A196" s="13">
        <v>194</v>
      </c>
      <c r="B196" s="14" t="s">
        <v>675</v>
      </c>
      <c r="C196" s="15" t="s">
        <v>443</v>
      </c>
      <c r="D196" s="15" t="s">
        <v>639</v>
      </c>
      <c r="E196" s="522" t="s">
        <v>640</v>
      </c>
      <c r="F196" s="133" t="s">
        <v>81</v>
      </c>
      <c r="G196" s="134" t="s">
        <v>178</v>
      </c>
      <c r="H196" s="18" t="s">
        <v>39</v>
      </c>
      <c r="I196" s="135" t="s">
        <v>676</v>
      </c>
      <c r="J196" s="136" t="s">
        <v>677</v>
      </c>
      <c r="K196" s="20" t="s">
        <v>39</v>
      </c>
      <c r="L196" s="21">
        <v>912000</v>
      </c>
      <c r="M196" s="77">
        <v>0.1</v>
      </c>
      <c r="N196" s="77">
        <v>0.01</v>
      </c>
      <c r="O196" s="77" t="s">
        <v>39</v>
      </c>
      <c r="P196" s="77">
        <v>0.04</v>
      </c>
      <c r="Q196" s="77">
        <v>0.03</v>
      </c>
      <c r="R196" s="77">
        <v>0.01</v>
      </c>
      <c r="S196" s="77">
        <v>0.01</v>
      </c>
      <c r="T196" s="77"/>
      <c r="U196" s="73"/>
      <c r="V196" s="77" t="s">
        <v>39</v>
      </c>
      <c r="W196" s="131">
        <v>0.4</v>
      </c>
      <c r="X196" s="77" t="s">
        <v>39</v>
      </c>
      <c r="Y196" s="72" t="s">
        <v>39</v>
      </c>
      <c r="Z196" s="72" t="s">
        <v>39</v>
      </c>
      <c r="AA196" s="72" t="s">
        <v>39</v>
      </c>
      <c r="AB196" s="46" t="s">
        <v>39</v>
      </c>
      <c r="AC196" s="46" t="s">
        <v>39</v>
      </c>
      <c r="AD196" s="82" t="s">
        <v>643</v>
      </c>
      <c r="AE196" s="25" t="s">
        <v>644</v>
      </c>
      <c r="AF196" s="17" t="s">
        <v>645</v>
      </c>
    </row>
    <row r="197" s="2" customFormat="1" ht="96" customHeight="1" spans="1:32">
      <c r="A197" s="13">
        <v>195</v>
      </c>
      <c r="B197" s="14" t="s">
        <v>678</v>
      </c>
      <c r="C197" s="15" t="s">
        <v>443</v>
      </c>
      <c r="D197" s="15" t="s">
        <v>639</v>
      </c>
      <c r="E197" s="522" t="s">
        <v>640</v>
      </c>
      <c r="F197" s="133" t="s">
        <v>81</v>
      </c>
      <c r="G197" s="134" t="s">
        <v>178</v>
      </c>
      <c r="H197" s="18" t="s">
        <v>39</v>
      </c>
      <c r="I197" s="135" t="s">
        <v>679</v>
      </c>
      <c r="J197" s="136" t="s">
        <v>680</v>
      </c>
      <c r="K197" s="20" t="s">
        <v>39</v>
      </c>
      <c r="L197" s="21">
        <v>1020000</v>
      </c>
      <c r="M197" s="77">
        <v>0.1</v>
      </c>
      <c r="N197" s="77">
        <v>0.01</v>
      </c>
      <c r="O197" s="77" t="s">
        <v>39</v>
      </c>
      <c r="P197" s="77">
        <v>0.04</v>
      </c>
      <c r="Q197" s="77">
        <v>0.03</v>
      </c>
      <c r="R197" s="77">
        <v>0.01</v>
      </c>
      <c r="S197" s="77">
        <v>0.01</v>
      </c>
      <c r="T197" s="77"/>
      <c r="U197" s="73"/>
      <c r="V197" s="77" t="s">
        <v>39</v>
      </c>
      <c r="W197" s="131">
        <v>0.4</v>
      </c>
      <c r="X197" s="77" t="s">
        <v>39</v>
      </c>
      <c r="Y197" s="72" t="s">
        <v>39</v>
      </c>
      <c r="Z197" s="72" t="s">
        <v>39</v>
      </c>
      <c r="AA197" s="72" t="s">
        <v>39</v>
      </c>
      <c r="AB197" s="46" t="s">
        <v>39</v>
      </c>
      <c r="AC197" s="46" t="s">
        <v>39</v>
      </c>
      <c r="AD197" s="82" t="s">
        <v>643</v>
      </c>
      <c r="AE197" s="25" t="s">
        <v>644</v>
      </c>
      <c r="AF197" s="17" t="s">
        <v>645</v>
      </c>
    </row>
    <row r="198" s="2" customFormat="1" ht="96" customHeight="1" spans="1:32">
      <c r="A198" s="13">
        <v>196</v>
      </c>
      <c r="B198" s="14" t="s">
        <v>681</v>
      </c>
      <c r="C198" s="15" t="s">
        <v>443</v>
      </c>
      <c r="D198" s="15" t="s">
        <v>639</v>
      </c>
      <c r="E198" s="522" t="s">
        <v>640</v>
      </c>
      <c r="F198" s="133" t="s">
        <v>81</v>
      </c>
      <c r="G198" s="134" t="s">
        <v>178</v>
      </c>
      <c r="H198" s="18" t="s">
        <v>39</v>
      </c>
      <c r="I198" s="135" t="s">
        <v>618</v>
      </c>
      <c r="J198" s="136" t="s">
        <v>668</v>
      </c>
      <c r="K198" s="20" t="s">
        <v>39</v>
      </c>
      <c r="L198" s="21">
        <v>736800</v>
      </c>
      <c r="M198" s="77">
        <v>0.1</v>
      </c>
      <c r="N198" s="77">
        <v>0.01</v>
      </c>
      <c r="O198" s="77" t="s">
        <v>39</v>
      </c>
      <c r="P198" s="77">
        <v>0.04</v>
      </c>
      <c r="Q198" s="77">
        <v>0.03</v>
      </c>
      <c r="R198" s="77">
        <v>0.01</v>
      </c>
      <c r="S198" s="77">
        <v>0.01</v>
      </c>
      <c r="T198" s="77"/>
      <c r="U198" s="73"/>
      <c r="V198" s="77" t="s">
        <v>39</v>
      </c>
      <c r="W198" s="131">
        <v>0.4</v>
      </c>
      <c r="X198" s="77" t="s">
        <v>39</v>
      </c>
      <c r="Y198" s="72" t="s">
        <v>39</v>
      </c>
      <c r="Z198" s="72" t="s">
        <v>39</v>
      </c>
      <c r="AA198" s="72" t="s">
        <v>39</v>
      </c>
      <c r="AB198" s="46" t="s">
        <v>39</v>
      </c>
      <c r="AC198" s="46" t="s">
        <v>39</v>
      </c>
      <c r="AD198" s="82" t="s">
        <v>643</v>
      </c>
      <c r="AE198" s="25" t="s">
        <v>644</v>
      </c>
      <c r="AF198" s="17" t="s">
        <v>645</v>
      </c>
    </row>
    <row r="199" s="2" customFormat="1" ht="96" customHeight="1" spans="1:32">
      <c r="A199" s="13">
        <v>197</v>
      </c>
      <c r="B199" s="14" t="s">
        <v>682</v>
      </c>
      <c r="C199" s="15" t="s">
        <v>443</v>
      </c>
      <c r="D199" s="15" t="s">
        <v>639</v>
      </c>
      <c r="E199" s="522" t="s">
        <v>640</v>
      </c>
      <c r="F199" s="133" t="s">
        <v>81</v>
      </c>
      <c r="G199" s="134" t="s">
        <v>178</v>
      </c>
      <c r="H199" s="18" t="s">
        <v>39</v>
      </c>
      <c r="I199" s="135" t="s">
        <v>683</v>
      </c>
      <c r="J199" s="136" t="s">
        <v>684</v>
      </c>
      <c r="K199" s="20" t="s">
        <v>39</v>
      </c>
      <c r="L199" s="21">
        <v>948000</v>
      </c>
      <c r="M199" s="77">
        <v>0.1</v>
      </c>
      <c r="N199" s="77">
        <v>0.01</v>
      </c>
      <c r="O199" s="77" t="s">
        <v>39</v>
      </c>
      <c r="P199" s="77">
        <v>0.04</v>
      </c>
      <c r="Q199" s="77">
        <v>0.03</v>
      </c>
      <c r="R199" s="77">
        <v>0.01</v>
      </c>
      <c r="S199" s="77">
        <v>0.01</v>
      </c>
      <c r="T199" s="77"/>
      <c r="U199" s="73"/>
      <c r="V199" s="77" t="s">
        <v>39</v>
      </c>
      <c r="W199" s="131">
        <v>0.4</v>
      </c>
      <c r="X199" s="77" t="s">
        <v>39</v>
      </c>
      <c r="Y199" s="72" t="s">
        <v>39</v>
      </c>
      <c r="Z199" s="72" t="s">
        <v>39</v>
      </c>
      <c r="AA199" s="72" t="s">
        <v>39</v>
      </c>
      <c r="AB199" s="46" t="s">
        <v>39</v>
      </c>
      <c r="AC199" s="46" t="s">
        <v>39</v>
      </c>
      <c r="AD199" s="82" t="s">
        <v>643</v>
      </c>
      <c r="AE199" s="25" t="s">
        <v>644</v>
      </c>
      <c r="AF199" s="17" t="s">
        <v>645</v>
      </c>
    </row>
    <row r="200" s="2" customFormat="1" ht="96" customHeight="1" spans="1:32">
      <c r="A200" s="13">
        <v>198</v>
      </c>
      <c r="B200" s="14" t="s">
        <v>685</v>
      </c>
      <c r="C200" s="15" t="s">
        <v>443</v>
      </c>
      <c r="D200" s="15" t="s">
        <v>639</v>
      </c>
      <c r="E200" s="522" t="s">
        <v>640</v>
      </c>
      <c r="F200" s="133" t="s">
        <v>81</v>
      </c>
      <c r="G200" s="134" t="s">
        <v>178</v>
      </c>
      <c r="H200" s="18" t="s">
        <v>39</v>
      </c>
      <c r="I200" s="135" t="s">
        <v>686</v>
      </c>
      <c r="J200" s="136" t="s">
        <v>687</v>
      </c>
      <c r="K200" s="20" t="s">
        <v>39</v>
      </c>
      <c r="L200" s="21">
        <v>1464000</v>
      </c>
      <c r="M200" s="77">
        <v>0.1</v>
      </c>
      <c r="N200" s="77">
        <v>0.01</v>
      </c>
      <c r="O200" s="77" t="s">
        <v>39</v>
      </c>
      <c r="P200" s="77">
        <v>0.04</v>
      </c>
      <c r="Q200" s="77">
        <v>0.03</v>
      </c>
      <c r="R200" s="77">
        <v>0.01</v>
      </c>
      <c r="S200" s="77">
        <v>0.01</v>
      </c>
      <c r="T200" s="77"/>
      <c r="U200" s="73"/>
      <c r="V200" s="77" t="s">
        <v>39</v>
      </c>
      <c r="W200" s="131">
        <v>0.4</v>
      </c>
      <c r="X200" s="77" t="s">
        <v>39</v>
      </c>
      <c r="Y200" s="72" t="s">
        <v>39</v>
      </c>
      <c r="Z200" s="72" t="s">
        <v>39</v>
      </c>
      <c r="AA200" s="72" t="s">
        <v>39</v>
      </c>
      <c r="AB200" s="46" t="s">
        <v>39</v>
      </c>
      <c r="AC200" s="46" t="s">
        <v>39</v>
      </c>
      <c r="AD200" s="82" t="s">
        <v>643</v>
      </c>
      <c r="AE200" s="25" t="s">
        <v>644</v>
      </c>
      <c r="AF200" s="17" t="s">
        <v>645</v>
      </c>
    </row>
    <row r="201" s="2" customFormat="1" ht="96" customHeight="1" spans="1:32">
      <c r="A201" s="13">
        <v>199</v>
      </c>
      <c r="B201" s="14" t="s">
        <v>688</v>
      </c>
      <c r="C201" s="15" t="s">
        <v>443</v>
      </c>
      <c r="D201" s="15" t="s">
        <v>639</v>
      </c>
      <c r="E201" s="522" t="s">
        <v>640</v>
      </c>
      <c r="F201" s="133" t="s">
        <v>81</v>
      </c>
      <c r="G201" s="134" t="s">
        <v>178</v>
      </c>
      <c r="H201" s="18" t="s">
        <v>39</v>
      </c>
      <c r="I201" s="135" t="s">
        <v>689</v>
      </c>
      <c r="J201" s="136" t="s">
        <v>690</v>
      </c>
      <c r="K201" s="20" t="s">
        <v>39</v>
      </c>
      <c r="L201" s="21">
        <v>465600</v>
      </c>
      <c r="M201" s="77">
        <v>0.1</v>
      </c>
      <c r="N201" s="77">
        <v>0.01</v>
      </c>
      <c r="O201" s="77" t="s">
        <v>39</v>
      </c>
      <c r="P201" s="77">
        <v>0.04</v>
      </c>
      <c r="Q201" s="77">
        <v>0.03</v>
      </c>
      <c r="R201" s="77">
        <v>0.01</v>
      </c>
      <c r="S201" s="77">
        <v>0.01</v>
      </c>
      <c r="T201" s="77"/>
      <c r="U201" s="73"/>
      <c r="V201" s="77" t="s">
        <v>39</v>
      </c>
      <c r="W201" s="131">
        <v>0.4</v>
      </c>
      <c r="X201" s="77" t="s">
        <v>39</v>
      </c>
      <c r="Y201" s="72" t="s">
        <v>39</v>
      </c>
      <c r="Z201" s="72" t="s">
        <v>39</v>
      </c>
      <c r="AA201" s="72" t="s">
        <v>39</v>
      </c>
      <c r="AB201" s="46" t="s">
        <v>39</v>
      </c>
      <c r="AC201" s="46" t="s">
        <v>39</v>
      </c>
      <c r="AD201" s="82" t="s">
        <v>643</v>
      </c>
      <c r="AE201" s="25" t="s">
        <v>644</v>
      </c>
      <c r="AF201" s="17" t="s">
        <v>645</v>
      </c>
    </row>
    <row r="202" s="2" customFormat="1" ht="96" customHeight="1" spans="1:32">
      <c r="A202" s="13">
        <v>200</v>
      </c>
      <c r="B202" s="14" t="s">
        <v>691</v>
      </c>
      <c r="C202" s="15" t="s">
        <v>443</v>
      </c>
      <c r="D202" s="15" t="s">
        <v>639</v>
      </c>
      <c r="E202" s="522" t="s">
        <v>640</v>
      </c>
      <c r="F202" s="133" t="s">
        <v>81</v>
      </c>
      <c r="G202" s="134" t="s">
        <v>178</v>
      </c>
      <c r="H202" s="18" t="s">
        <v>39</v>
      </c>
      <c r="I202" s="135" t="s">
        <v>692</v>
      </c>
      <c r="J202" s="136" t="s">
        <v>693</v>
      </c>
      <c r="K202" s="20" t="s">
        <v>39</v>
      </c>
      <c r="L202" s="21">
        <v>686400</v>
      </c>
      <c r="M202" s="77">
        <v>0.1</v>
      </c>
      <c r="N202" s="77">
        <v>0.01</v>
      </c>
      <c r="O202" s="77" t="s">
        <v>39</v>
      </c>
      <c r="P202" s="77">
        <v>0.04</v>
      </c>
      <c r="Q202" s="77">
        <v>0.03</v>
      </c>
      <c r="R202" s="77">
        <v>0.01</v>
      </c>
      <c r="S202" s="77">
        <v>0.01</v>
      </c>
      <c r="T202" s="77"/>
      <c r="U202" s="73"/>
      <c r="V202" s="77" t="s">
        <v>39</v>
      </c>
      <c r="W202" s="131">
        <v>0.4</v>
      </c>
      <c r="X202" s="77" t="s">
        <v>39</v>
      </c>
      <c r="Y202" s="72" t="s">
        <v>39</v>
      </c>
      <c r="Z202" s="72" t="s">
        <v>39</v>
      </c>
      <c r="AA202" s="72" t="s">
        <v>39</v>
      </c>
      <c r="AB202" s="46" t="s">
        <v>39</v>
      </c>
      <c r="AC202" s="46" t="s">
        <v>39</v>
      </c>
      <c r="AD202" s="82" t="s">
        <v>643</v>
      </c>
      <c r="AE202" s="25" t="s">
        <v>644</v>
      </c>
      <c r="AF202" s="17" t="s">
        <v>645</v>
      </c>
    </row>
    <row r="203" s="2" customFormat="1" ht="96" customHeight="1" spans="1:32">
      <c r="A203" s="13">
        <v>201</v>
      </c>
      <c r="B203" s="14" t="s">
        <v>694</v>
      </c>
      <c r="C203" s="15" t="s">
        <v>443</v>
      </c>
      <c r="D203" s="15" t="s">
        <v>639</v>
      </c>
      <c r="E203" s="522" t="s">
        <v>640</v>
      </c>
      <c r="F203" s="133" t="s">
        <v>81</v>
      </c>
      <c r="G203" s="134" t="s">
        <v>178</v>
      </c>
      <c r="H203" s="18" t="s">
        <v>39</v>
      </c>
      <c r="I203" s="135" t="s">
        <v>695</v>
      </c>
      <c r="J203" s="136" t="s">
        <v>696</v>
      </c>
      <c r="K203" s="20" t="s">
        <v>39</v>
      </c>
      <c r="L203" s="21">
        <v>720000</v>
      </c>
      <c r="M203" s="77">
        <v>0.1</v>
      </c>
      <c r="N203" s="77">
        <v>0.01</v>
      </c>
      <c r="O203" s="77" t="s">
        <v>39</v>
      </c>
      <c r="P203" s="77">
        <v>0.04</v>
      </c>
      <c r="Q203" s="77">
        <v>0.03</v>
      </c>
      <c r="R203" s="77">
        <v>0.01</v>
      </c>
      <c r="S203" s="77">
        <v>0.01</v>
      </c>
      <c r="T203" s="77"/>
      <c r="U203" s="73"/>
      <c r="V203" s="77" t="s">
        <v>39</v>
      </c>
      <c r="W203" s="131">
        <v>0.4</v>
      </c>
      <c r="X203" s="77" t="s">
        <v>39</v>
      </c>
      <c r="Y203" s="72" t="s">
        <v>39</v>
      </c>
      <c r="Z203" s="72" t="s">
        <v>39</v>
      </c>
      <c r="AA203" s="72" t="s">
        <v>39</v>
      </c>
      <c r="AB203" s="46" t="s">
        <v>39</v>
      </c>
      <c r="AC203" s="46" t="s">
        <v>39</v>
      </c>
      <c r="AD203" s="82" t="s">
        <v>643</v>
      </c>
      <c r="AE203" s="25" t="s">
        <v>644</v>
      </c>
      <c r="AF203" s="17" t="s">
        <v>645</v>
      </c>
    </row>
    <row r="204" s="2" customFormat="1" ht="96" customHeight="1" spans="1:32">
      <c r="A204" s="13">
        <v>202</v>
      </c>
      <c r="B204" s="14" t="s">
        <v>697</v>
      </c>
      <c r="C204" s="15" t="s">
        <v>443</v>
      </c>
      <c r="D204" s="15" t="s">
        <v>639</v>
      </c>
      <c r="E204" s="522" t="s">
        <v>640</v>
      </c>
      <c r="F204" s="133" t="s">
        <v>81</v>
      </c>
      <c r="G204" s="134" t="s">
        <v>178</v>
      </c>
      <c r="H204" s="18" t="s">
        <v>39</v>
      </c>
      <c r="I204" s="135" t="s">
        <v>319</v>
      </c>
      <c r="J204" s="136" t="s">
        <v>698</v>
      </c>
      <c r="K204" s="20" t="s">
        <v>39</v>
      </c>
      <c r="L204" s="21">
        <v>1128000</v>
      </c>
      <c r="M204" s="77">
        <v>0.1</v>
      </c>
      <c r="N204" s="77">
        <v>0.01</v>
      </c>
      <c r="O204" s="77" t="s">
        <v>39</v>
      </c>
      <c r="P204" s="77">
        <v>0.04</v>
      </c>
      <c r="Q204" s="77">
        <v>0.03</v>
      </c>
      <c r="R204" s="77">
        <v>0.01</v>
      </c>
      <c r="S204" s="77">
        <v>0.01</v>
      </c>
      <c r="T204" s="77"/>
      <c r="U204" s="73"/>
      <c r="V204" s="77" t="s">
        <v>39</v>
      </c>
      <c r="W204" s="131">
        <v>0.4</v>
      </c>
      <c r="X204" s="77" t="s">
        <v>39</v>
      </c>
      <c r="Y204" s="72" t="s">
        <v>39</v>
      </c>
      <c r="Z204" s="72" t="s">
        <v>39</v>
      </c>
      <c r="AA204" s="72" t="s">
        <v>39</v>
      </c>
      <c r="AB204" s="46" t="s">
        <v>39</v>
      </c>
      <c r="AC204" s="46" t="s">
        <v>39</v>
      </c>
      <c r="AD204" s="82" t="s">
        <v>643</v>
      </c>
      <c r="AE204" s="25" t="s">
        <v>644</v>
      </c>
      <c r="AF204" s="17" t="s">
        <v>645</v>
      </c>
    </row>
    <row r="205" s="2" customFormat="1" ht="96" customHeight="1" spans="1:32">
      <c r="A205" s="13">
        <v>203</v>
      </c>
      <c r="B205" s="14" t="s">
        <v>699</v>
      </c>
      <c r="C205" s="15" t="s">
        <v>443</v>
      </c>
      <c r="D205" s="15" t="s">
        <v>639</v>
      </c>
      <c r="E205" s="522" t="s">
        <v>640</v>
      </c>
      <c r="F205" s="133" t="s">
        <v>81</v>
      </c>
      <c r="G205" s="134" t="s">
        <v>178</v>
      </c>
      <c r="H205" s="18" t="s">
        <v>39</v>
      </c>
      <c r="I205" s="135" t="s">
        <v>700</v>
      </c>
      <c r="J205" s="136" t="s">
        <v>701</v>
      </c>
      <c r="K205" s="20" t="s">
        <v>39</v>
      </c>
      <c r="L205" s="21">
        <v>2244000</v>
      </c>
      <c r="M205" s="77">
        <v>0.1</v>
      </c>
      <c r="N205" s="77">
        <v>0.01</v>
      </c>
      <c r="O205" s="77" t="s">
        <v>39</v>
      </c>
      <c r="P205" s="77">
        <v>0.04</v>
      </c>
      <c r="Q205" s="77">
        <v>0.03</v>
      </c>
      <c r="R205" s="77">
        <v>0.01</v>
      </c>
      <c r="S205" s="77">
        <v>0.01</v>
      </c>
      <c r="T205" s="77"/>
      <c r="U205" s="73"/>
      <c r="V205" s="77" t="s">
        <v>39</v>
      </c>
      <c r="W205" s="131">
        <v>0.4</v>
      </c>
      <c r="X205" s="77" t="s">
        <v>39</v>
      </c>
      <c r="Y205" s="72" t="s">
        <v>39</v>
      </c>
      <c r="Z205" s="72" t="s">
        <v>39</v>
      </c>
      <c r="AA205" s="72" t="s">
        <v>39</v>
      </c>
      <c r="AB205" s="46" t="s">
        <v>39</v>
      </c>
      <c r="AC205" s="46" t="s">
        <v>39</v>
      </c>
      <c r="AD205" s="82" t="s">
        <v>643</v>
      </c>
      <c r="AE205" s="25" t="s">
        <v>644</v>
      </c>
      <c r="AF205" s="17" t="s">
        <v>645</v>
      </c>
    </row>
    <row r="206" s="2" customFormat="1" ht="96" customHeight="1" spans="1:32">
      <c r="A206" s="13">
        <v>204</v>
      </c>
      <c r="B206" s="14" t="s">
        <v>702</v>
      </c>
      <c r="C206" s="15" t="s">
        <v>443</v>
      </c>
      <c r="D206" s="15" t="s">
        <v>639</v>
      </c>
      <c r="E206" s="522" t="s">
        <v>640</v>
      </c>
      <c r="F206" s="133" t="s">
        <v>81</v>
      </c>
      <c r="G206" s="134" t="s">
        <v>178</v>
      </c>
      <c r="H206" s="18" t="s">
        <v>39</v>
      </c>
      <c r="I206" s="135" t="s">
        <v>703</v>
      </c>
      <c r="J206" s="136" t="s">
        <v>704</v>
      </c>
      <c r="K206" s="20" t="s">
        <v>39</v>
      </c>
      <c r="L206" s="21">
        <v>684000</v>
      </c>
      <c r="M206" s="77">
        <v>0.1</v>
      </c>
      <c r="N206" s="77">
        <v>0.01</v>
      </c>
      <c r="O206" s="77" t="s">
        <v>39</v>
      </c>
      <c r="P206" s="77">
        <v>0.04</v>
      </c>
      <c r="Q206" s="77">
        <v>0.03</v>
      </c>
      <c r="R206" s="77">
        <v>0.01</v>
      </c>
      <c r="S206" s="77">
        <v>0.01</v>
      </c>
      <c r="T206" s="77"/>
      <c r="U206" s="73"/>
      <c r="V206" s="77" t="s">
        <v>39</v>
      </c>
      <c r="W206" s="131">
        <v>0.4</v>
      </c>
      <c r="X206" s="77" t="s">
        <v>39</v>
      </c>
      <c r="Y206" s="72" t="s">
        <v>39</v>
      </c>
      <c r="Z206" s="72" t="s">
        <v>39</v>
      </c>
      <c r="AA206" s="72" t="s">
        <v>39</v>
      </c>
      <c r="AB206" s="46" t="s">
        <v>39</v>
      </c>
      <c r="AC206" s="46" t="s">
        <v>39</v>
      </c>
      <c r="AD206" s="82" t="s">
        <v>643</v>
      </c>
      <c r="AE206" s="25" t="s">
        <v>644</v>
      </c>
      <c r="AF206" s="17" t="s">
        <v>645</v>
      </c>
    </row>
    <row r="207" s="2" customFormat="1" ht="96" customHeight="1" spans="1:32">
      <c r="A207" s="13">
        <v>205</v>
      </c>
      <c r="B207" s="14" t="s">
        <v>705</v>
      </c>
      <c r="C207" s="15" t="s">
        <v>443</v>
      </c>
      <c r="D207" s="15" t="s">
        <v>639</v>
      </c>
      <c r="E207" s="522" t="s">
        <v>640</v>
      </c>
      <c r="F207" s="133" t="s">
        <v>81</v>
      </c>
      <c r="G207" s="134" t="s">
        <v>178</v>
      </c>
      <c r="H207" s="18" t="s">
        <v>39</v>
      </c>
      <c r="I207" s="135" t="s">
        <v>706</v>
      </c>
      <c r="J207" s="136" t="s">
        <v>707</v>
      </c>
      <c r="K207" s="20" t="s">
        <v>39</v>
      </c>
      <c r="L207" s="21">
        <v>816000</v>
      </c>
      <c r="M207" s="77">
        <v>0.1</v>
      </c>
      <c r="N207" s="77">
        <v>0.01</v>
      </c>
      <c r="O207" s="77" t="s">
        <v>39</v>
      </c>
      <c r="P207" s="77">
        <v>0.04</v>
      </c>
      <c r="Q207" s="77">
        <v>0.03</v>
      </c>
      <c r="R207" s="77">
        <v>0.01</v>
      </c>
      <c r="S207" s="77">
        <v>0.01</v>
      </c>
      <c r="T207" s="77"/>
      <c r="U207" s="73"/>
      <c r="V207" s="77" t="s">
        <v>39</v>
      </c>
      <c r="W207" s="131">
        <v>0.4</v>
      </c>
      <c r="X207" s="77" t="s">
        <v>39</v>
      </c>
      <c r="Y207" s="72" t="s">
        <v>39</v>
      </c>
      <c r="Z207" s="72" t="s">
        <v>39</v>
      </c>
      <c r="AA207" s="72" t="s">
        <v>39</v>
      </c>
      <c r="AB207" s="46" t="s">
        <v>39</v>
      </c>
      <c r="AC207" s="46" t="s">
        <v>39</v>
      </c>
      <c r="AD207" s="82" t="s">
        <v>643</v>
      </c>
      <c r="AE207" s="25" t="s">
        <v>644</v>
      </c>
      <c r="AF207" s="17" t="s">
        <v>645</v>
      </c>
    </row>
    <row r="208" s="2" customFormat="1" ht="96" customHeight="1" spans="1:32">
      <c r="A208" s="13">
        <v>206</v>
      </c>
      <c r="B208" s="14" t="s">
        <v>708</v>
      </c>
      <c r="C208" s="15" t="s">
        <v>443</v>
      </c>
      <c r="D208" s="15" t="s">
        <v>639</v>
      </c>
      <c r="E208" s="522" t="s">
        <v>640</v>
      </c>
      <c r="F208" s="133" t="s">
        <v>81</v>
      </c>
      <c r="G208" s="134" t="s">
        <v>178</v>
      </c>
      <c r="H208" s="18" t="s">
        <v>39</v>
      </c>
      <c r="I208" s="135" t="s">
        <v>709</v>
      </c>
      <c r="J208" s="136" t="s">
        <v>710</v>
      </c>
      <c r="K208" s="20" t="s">
        <v>39</v>
      </c>
      <c r="L208" s="21">
        <v>1015200</v>
      </c>
      <c r="M208" s="77">
        <v>0.1</v>
      </c>
      <c r="N208" s="77">
        <v>0.01</v>
      </c>
      <c r="O208" s="77" t="s">
        <v>39</v>
      </c>
      <c r="P208" s="77">
        <v>0.04</v>
      </c>
      <c r="Q208" s="77">
        <v>0.03</v>
      </c>
      <c r="R208" s="77">
        <v>0.01</v>
      </c>
      <c r="S208" s="77">
        <v>0.01</v>
      </c>
      <c r="T208" s="77"/>
      <c r="U208" s="73"/>
      <c r="V208" s="77" t="s">
        <v>39</v>
      </c>
      <c r="W208" s="131">
        <v>0.4</v>
      </c>
      <c r="X208" s="77" t="s">
        <v>39</v>
      </c>
      <c r="Y208" s="72" t="s">
        <v>39</v>
      </c>
      <c r="Z208" s="72" t="s">
        <v>39</v>
      </c>
      <c r="AA208" s="72" t="s">
        <v>39</v>
      </c>
      <c r="AB208" s="46" t="s">
        <v>39</v>
      </c>
      <c r="AC208" s="46" t="s">
        <v>39</v>
      </c>
      <c r="AD208" s="82" t="s">
        <v>643</v>
      </c>
      <c r="AE208" s="25" t="s">
        <v>644</v>
      </c>
      <c r="AF208" s="17" t="s">
        <v>645</v>
      </c>
    </row>
    <row r="209" s="2" customFormat="1" ht="96" customHeight="1" spans="1:32">
      <c r="A209" s="13">
        <v>207</v>
      </c>
      <c r="B209" s="14" t="s">
        <v>711</v>
      </c>
      <c r="C209" s="15" t="s">
        <v>443</v>
      </c>
      <c r="D209" s="15" t="s">
        <v>639</v>
      </c>
      <c r="E209" s="522" t="s">
        <v>640</v>
      </c>
      <c r="F209" s="133" t="s">
        <v>81</v>
      </c>
      <c r="G209" s="134" t="s">
        <v>178</v>
      </c>
      <c r="H209" s="18" t="s">
        <v>39</v>
      </c>
      <c r="I209" s="135" t="s">
        <v>485</v>
      </c>
      <c r="J209" s="136" t="s">
        <v>712</v>
      </c>
      <c r="K209" s="20" t="s">
        <v>39</v>
      </c>
      <c r="L209" s="21">
        <v>1363200</v>
      </c>
      <c r="M209" s="77">
        <v>0.1</v>
      </c>
      <c r="N209" s="77">
        <v>0.01</v>
      </c>
      <c r="O209" s="77" t="s">
        <v>39</v>
      </c>
      <c r="P209" s="77">
        <v>0.04</v>
      </c>
      <c r="Q209" s="77">
        <v>0.03</v>
      </c>
      <c r="R209" s="77">
        <v>0.01</v>
      </c>
      <c r="S209" s="77">
        <v>0.01</v>
      </c>
      <c r="T209" s="77"/>
      <c r="U209" s="73"/>
      <c r="V209" s="77" t="s">
        <v>39</v>
      </c>
      <c r="W209" s="131">
        <v>0.4</v>
      </c>
      <c r="X209" s="77" t="s">
        <v>39</v>
      </c>
      <c r="Y209" s="72" t="s">
        <v>39</v>
      </c>
      <c r="Z209" s="72" t="s">
        <v>39</v>
      </c>
      <c r="AA209" s="72" t="s">
        <v>39</v>
      </c>
      <c r="AB209" s="46" t="s">
        <v>39</v>
      </c>
      <c r="AC209" s="46" t="s">
        <v>39</v>
      </c>
      <c r="AD209" s="82" t="s">
        <v>643</v>
      </c>
      <c r="AE209" s="25" t="s">
        <v>644</v>
      </c>
      <c r="AF209" s="17" t="s">
        <v>645</v>
      </c>
    </row>
    <row r="210" s="2" customFormat="1" ht="96" customHeight="1" spans="1:32">
      <c r="A210" s="13">
        <v>208</v>
      </c>
      <c r="B210" s="14" t="s">
        <v>713</v>
      </c>
      <c r="C210" s="15" t="s">
        <v>443</v>
      </c>
      <c r="D210" s="15" t="s">
        <v>639</v>
      </c>
      <c r="E210" s="522" t="s">
        <v>640</v>
      </c>
      <c r="F210" s="133" t="s">
        <v>81</v>
      </c>
      <c r="G210" s="134" t="s">
        <v>178</v>
      </c>
      <c r="H210" s="18" t="s">
        <v>39</v>
      </c>
      <c r="I210" s="135" t="s">
        <v>714</v>
      </c>
      <c r="J210" s="136" t="s">
        <v>715</v>
      </c>
      <c r="K210" s="20" t="s">
        <v>39</v>
      </c>
      <c r="L210" s="21">
        <v>847200</v>
      </c>
      <c r="M210" s="77">
        <v>0.1</v>
      </c>
      <c r="N210" s="77">
        <v>0.01</v>
      </c>
      <c r="O210" s="77" t="s">
        <v>39</v>
      </c>
      <c r="P210" s="77">
        <v>0.04</v>
      </c>
      <c r="Q210" s="77">
        <v>0.03</v>
      </c>
      <c r="R210" s="77">
        <v>0.01</v>
      </c>
      <c r="S210" s="77">
        <v>0.01</v>
      </c>
      <c r="T210" s="77"/>
      <c r="U210" s="73"/>
      <c r="V210" s="77" t="s">
        <v>39</v>
      </c>
      <c r="W210" s="131">
        <v>0.4</v>
      </c>
      <c r="X210" s="77" t="s">
        <v>39</v>
      </c>
      <c r="Y210" s="72" t="s">
        <v>39</v>
      </c>
      <c r="Z210" s="72" t="s">
        <v>39</v>
      </c>
      <c r="AA210" s="72" t="s">
        <v>39</v>
      </c>
      <c r="AB210" s="46" t="s">
        <v>39</v>
      </c>
      <c r="AC210" s="46" t="s">
        <v>39</v>
      </c>
      <c r="AD210" s="82" t="s">
        <v>643</v>
      </c>
      <c r="AE210" s="25" t="s">
        <v>644</v>
      </c>
      <c r="AF210" s="17" t="s">
        <v>645</v>
      </c>
    </row>
    <row r="211" s="2" customFormat="1" ht="96" customHeight="1" spans="1:32">
      <c r="A211" s="13">
        <v>209</v>
      </c>
      <c r="B211" s="14" t="s">
        <v>716</v>
      </c>
      <c r="C211" s="15" t="s">
        <v>443</v>
      </c>
      <c r="D211" s="15" t="s">
        <v>639</v>
      </c>
      <c r="E211" s="522" t="s">
        <v>640</v>
      </c>
      <c r="F211" s="133" t="s">
        <v>81</v>
      </c>
      <c r="G211" s="134" t="s">
        <v>178</v>
      </c>
      <c r="H211" s="18" t="s">
        <v>39</v>
      </c>
      <c r="I211" s="135" t="s">
        <v>717</v>
      </c>
      <c r="J211" s="136" t="s">
        <v>718</v>
      </c>
      <c r="K211" s="20" t="s">
        <v>39</v>
      </c>
      <c r="L211" s="21">
        <v>936000</v>
      </c>
      <c r="M211" s="77">
        <v>0.1</v>
      </c>
      <c r="N211" s="77">
        <v>0.01</v>
      </c>
      <c r="O211" s="77" t="s">
        <v>39</v>
      </c>
      <c r="P211" s="77">
        <v>0.04</v>
      </c>
      <c r="Q211" s="77">
        <v>0.03</v>
      </c>
      <c r="R211" s="77">
        <v>0.01</v>
      </c>
      <c r="S211" s="77">
        <v>0.01</v>
      </c>
      <c r="T211" s="77"/>
      <c r="U211" s="73"/>
      <c r="V211" s="77" t="s">
        <v>39</v>
      </c>
      <c r="W211" s="131">
        <v>0.4</v>
      </c>
      <c r="X211" s="77" t="s">
        <v>39</v>
      </c>
      <c r="Y211" s="72" t="s">
        <v>39</v>
      </c>
      <c r="Z211" s="72" t="s">
        <v>39</v>
      </c>
      <c r="AA211" s="72" t="s">
        <v>39</v>
      </c>
      <c r="AB211" s="46" t="s">
        <v>39</v>
      </c>
      <c r="AC211" s="46" t="s">
        <v>39</v>
      </c>
      <c r="AD211" s="82" t="s">
        <v>643</v>
      </c>
      <c r="AE211" s="25" t="s">
        <v>644</v>
      </c>
      <c r="AF211" s="17" t="s">
        <v>645</v>
      </c>
    </row>
    <row r="212" s="2" customFormat="1" ht="96" customHeight="1" spans="1:32">
      <c r="A212" s="13">
        <v>210</v>
      </c>
      <c r="B212" s="14" t="s">
        <v>719</v>
      </c>
      <c r="C212" s="15" t="s">
        <v>443</v>
      </c>
      <c r="D212" s="15" t="s">
        <v>639</v>
      </c>
      <c r="E212" s="522" t="s">
        <v>640</v>
      </c>
      <c r="F212" s="133" t="s">
        <v>81</v>
      </c>
      <c r="G212" s="134" t="s">
        <v>178</v>
      </c>
      <c r="H212" s="18" t="s">
        <v>39</v>
      </c>
      <c r="I212" s="135" t="s">
        <v>720</v>
      </c>
      <c r="J212" s="136" t="s">
        <v>721</v>
      </c>
      <c r="K212" s="20" t="s">
        <v>39</v>
      </c>
      <c r="L212" s="21">
        <v>456000</v>
      </c>
      <c r="M212" s="77">
        <v>0.1</v>
      </c>
      <c r="N212" s="77">
        <v>0.01</v>
      </c>
      <c r="O212" s="77" t="s">
        <v>39</v>
      </c>
      <c r="P212" s="77">
        <v>0.04</v>
      </c>
      <c r="Q212" s="77">
        <v>0.03</v>
      </c>
      <c r="R212" s="77">
        <v>0.01</v>
      </c>
      <c r="S212" s="77">
        <v>0.01</v>
      </c>
      <c r="T212" s="77"/>
      <c r="U212" s="73"/>
      <c r="V212" s="77" t="s">
        <v>39</v>
      </c>
      <c r="W212" s="131">
        <v>0.4</v>
      </c>
      <c r="X212" s="77" t="s">
        <v>39</v>
      </c>
      <c r="Y212" s="72" t="s">
        <v>39</v>
      </c>
      <c r="Z212" s="72" t="s">
        <v>39</v>
      </c>
      <c r="AA212" s="72" t="s">
        <v>39</v>
      </c>
      <c r="AB212" s="46" t="s">
        <v>39</v>
      </c>
      <c r="AC212" s="46" t="s">
        <v>39</v>
      </c>
      <c r="AD212" s="82" t="s">
        <v>643</v>
      </c>
      <c r="AE212" s="25" t="s">
        <v>644</v>
      </c>
      <c r="AF212" s="17" t="s">
        <v>645</v>
      </c>
    </row>
    <row r="213" s="2" customFormat="1" ht="96" customHeight="1" spans="1:32">
      <c r="A213" s="13">
        <v>211</v>
      </c>
      <c r="B213" s="14" t="s">
        <v>722</v>
      </c>
      <c r="C213" s="15" t="s">
        <v>443</v>
      </c>
      <c r="D213" s="15" t="s">
        <v>639</v>
      </c>
      <c r="E213" s="522" t="s">
        <v>640</v>
      </c>
      <c r="F213" s="133" t="s">
        <v>81</v>
      </c>
      <c r="G213" s="134" t="s">
        <v>178</v>
      </c>
      <c r="H213" s="18" t="s">
        <v>39</v>
      </c>
      <c r="I213" s="135" t="s">
        <v>723</v>
      </c>
      <c r="J213" s="136" t="s">
        <v>724</v>
      </c>
      <c r="K213" s="20" t="s">
        <v>39</v>
      </c>
      <c r="L213" s="21">
        <v>676800</v>
      </c>
      <c r="M213" s="77">
        <v>0.1</v>
      </c>
      <c r="N213" s="77">
        <v>0.01</v>
      </c>
      <c r="O213" s="77" t="s">
        <v>39</v>
      </c>
      <c r="P213" s="77">
        <v>0.04</v>
      </c>
      <c r="Q213" s="77">
        <v>0.03</v>
      </c>
      <c r="R213" s="77">
        <v>0.01</v>
      </c>
      <c r="S213" s="77">
        <v>0.01</v>
      </c>
      <c r="T213" s="77"/>
      <c r="U213" s="73"/>
      <c r="V213" s="77" t="s">
        <v>39</v>
      </c>
      <c r="W213" s="131">
        <v>0.4</v>
      </c>
      <c r="X213" s="77" t="s">
        <v>39</v>
      </c>
      <c r="Y213" s="72" t="s">
        <v>39</v>
      </c>
      <c r="Z213" s="72" t="s">
        <v>39</v>
      </c>
      <c r="AA213" s="72" t="s">
        <v>39</v>
      </c>
      <c r="AB213" s="46" t="s">
        <v>39</v>
      </c>
      <c r="AC213" s="46" t="s">
        <v>39</v>
      </c>
      <c r="AD213" s="82" t="s">
        <v>643</v>
      </c>
      <c r="AE213" s="25" t="s">
        <v>644</v>
      </c>
      <c r="AF213" s="17" t="s">
        <v>645</v>
      </c>
    </row>
    <row r="214" s="2" customFormat="1" ht="96" customHeight="1" spans="1:32">
      <c r="A214" s="13">
        <v>212</v>
      </c>
      <c r="B214" s="14" t="s">
        <v>725</v>
      </c>
      <c r="C214" s="15" t="s">
        <v>443</v>
      </c>
      <c r="D214" s="15" t="s">
        <v>639</v>
      </c>
      <c r="E214" s="522" t="s">
        <v>640</v>
      </c>
      <c r="F214" s="133" t="s">
        <v>81</v>
      </c>
      <c r="G214" s="134" t="s">
        <v>178</v>
      </c>
      <c r="H214" s="18" t="s">
        <v>39</v>
      </c>
      <c r="I214" s="135" t="s">
        <v>726</v>
      </c>
      <c r="J214" s="136" t="s">
        <v>727</v>
      </c>
      <c r="K214" s="20" t="s">
        <v>39</v>
      </c>
      <c r="L214" s="21">
        <v>468000</v>
      </c>
      <c r="M214" s="77">
        <v>0.1</v>
      </c>
      <c r="N214" s="77">
        <v>0.01</v>
      </c>
      <c r="O214" s="77" t="s">
        <v>39</v>
      </c>
      <c r="P214" s="77">
        <v>0.04</v>
      </c>
      <c r="Q214" s="77">
        <v>0.03</v>
      </c>
      <c r="R214" s="77">
        <v>0.01</v>
      </c>
      <c r="S214" s="77">
        <v>0.01</v>
      </c>
      <c r="T214" s="77"/>
      <c r="U214" s="73"/>
      <c r="V214" s="77" t="s">
        <v>39</v>
      </c>
      <c r="W214" s="131">
        <v>0.4</v>
      </c>
      <c r="X214" s="77" t="s">
        <v>39</v>
      </c>
      <c r="Y214" s="72" t="s">
        <v>39</v>
      </c>
      <c r="Z214" s="72" t="s">
        <v>39</v>
      </c>
      <c r="AA214" s="72" t="s">
        <v>39</v>
      </c>
      <c r="AB214" s="46" t="s">
        <v>39</v>
      </c>
      <c r="AC214" s="46" t="s">
        <v>39</v>
      </c>
      <c r="AD214" s="82" t="s">
        <v>643</v>
      </c>
      <c r="AE214" s="25" t="s">
        <v>644</v>
      </c>
      <c r="AF214" s="17" t="s">
        <v>645</v>
      </c>
    </row>
    <row r="215" s="2" customFormat="1" ht="96" customHeight="1" spans="1:32">
      <c r="A215" s="13">
        <v>213</v>
      </c>
      <c r="B215" s="14" t="s">
        <v>728</v>
      </c>
      <c r="C215" s="15" t="s">
        <v>443</v>
      </c>
      <c r="D215" s="15" t="s">
        <v>639</v>
      </c>
      <c r="E215" s="522" t="s">
        <v>640</v>
      </c>
      <c r="F215" s="133" t="s">
        <v>81</v>
      </c>
      <c r="G215" s="134" t="s">
        <v>178</v>
      </c>
      <c r="H215" s="18" t="s">
        <v>39</v>
      </c>
      <c r="I215" s="135" t="s">
        <v>459</v>
      </c>
      <c r="J215" s="136" t="s">
        <v>729</v>
      </c>
      <c r="K215" s="20" t="s">
        <v>39</v>
      </c>
      <c r="L215" s="21">
        <v>460800</v>
      </c>
      <c r="M215" s="77">
        <v>0.1</v>
      </c>
      <c r="N215" s="77">
        <v>0.01</v>
      </c>
      <c r="O215" s="77" t="s">
        <v>39</v>
      </c>
      <c r="P215" s="77">
        <v>0.04</v>
      </c>
      <c r="Q215" s="77">
        <v>0.03</v>
      </c>
      <c r="R215" s="77">
        <v>0.01</v>
      </c>
      <c r="S215" s="77">
        <v>0.01</v>
      </c>
      <c r="T215" s="77"/>
      <c r="U215" s="73"/>
      <c r="V215" s="77" t="s">
        <v>39</v>
      </c>
      <c r="W215" s="131">
        <v>0.4</v>
      </c>
      <c r="X215" s="77" t="s">
        <v>39</v>
      </c>
      <c r="Y215" s="72" t="s">
        <v>39</v>
      </c>
      <c r="Z215" s="72" t="s">
        <v>39</v>
      </c>
      <c r="AA215" s="72" t="s">
        <v>39</v>
      </c>
      <c r="AB215" s="46" t="s">
        <v>39</v>
      </c>
      <c r="AC215" s="46" t="s">
        <v>39</v>
      </c>
      <c r="AD215" s="82" t="s">
        <v>643</v>
      </c>
      <c r="AE215" s="25" t="s">
        <v>644</v>
      </c>
      <c r="AF215" s="17" t="s">
        <v>645</v>
      </c>
    </row>
    <row r="216" s="2" customFormat="1" ht="96" customHeight="1" spans="1:32">
      <c r="A216" s="13">
        <v>214</v>
      </c>
      <c r="B216" s="14" t="s">
        <v>730</v>
      </c>
      <c r="C216" s="15" t="s">
        <v>443</v>
      </c>
      <c r="D216" s="15" t="s">
        <v>639</v>
      </c>
      <c r="E216" s="522" t="s">
        <v>640</v>
      </c>
      <c r="F216" s="133" t="s">
        <v>81</v>
      </c>
      <c r="G216" s="134" t="s">
        <v>178</v>
      </c>
      <c r="H216" s="18" t="s">
        <v>39</v>
      </c>
      <c r="I216" s="135" t="s">
        <v>731</v>
      </c>
      <c r="J216" s="136" t="s">
        <v>732</v>
      </c>
      <c r="K216" s="20" t="s">
        <v>39</v>
      </c>
      <c r="L216" s="21">
        <v>1363200</v>
      </c>
      <c r="M216" s="77">
        <v>0.06</v>
      </c>
      <c r="N216" s="77">
        <v>0.01</v>
      </c>
      <c r="O216" s="77" t="s">
        <v>39</v>
      </c>
      <c r="P216" s="77">
        <v>0.04</v>
      </c>
      <c r="Q216" s="77">
        <v>0.03</v>
      </c>
      <c r="R216" s="77">
        <v>0.01</v>
      </c>
      <c r="S216" s="77">
        <v>0.01</v>
      </c>
      <c r="T216" s="77"/>
      <c r="U216" s="73"/>
      <c r="V216" s="77" t="s">
        <v>39</v>
      </c>
      <c r="W216" s="131">
        <v>0.4</v>
      </c>
      <c r="X216" s="77" t="s">
        <v>39</v>
      </c>
      <c r="Y216" s="72" t="s">
        <v>39</v>
      </c>
      <c r="Z216" s="72" t="s">
        <v>39</v>
      </c>
      <c r="AA216" s="72" t="s">
        <v>39</v>
      </c>
      <c r="AB216" s="46" t="s">
        <v>39</v>
      </c>
      <c r="AC216" s="46" t="s">
        <v>39</v>
      </c>
      <c r="AD216" s="82" t="s">
        <v>643</v>
      </c>
      <c r="AE216" s="25" t="s">
        <v>644</v>
      </c>
      <c r="AF216" s="17" t="s">
        <v>645</v>
      </c>
    </row>
    <row r="217" s="2" customFormat="1" ht="12" customHeight="1" spans="1:32">
      <c r="A217" s="13">
        <v>215</v>
      </c>
      <c r="B217" s="521"/>
      <c r="C217" s="86" t="s">
        <v>443</v>
      </c>
      <c r="D217" s="86" t="s">
        <v>733</v>
      </c>
      <c r="E217" s="86" t="s">
        <v>734</v>
      </c>
      <c r="F217" s="88" t="s">
        <v>37</v>
      </c>
      <c r="G217" s="89" t="s">
        <v>178</v>
      </c>
      <c r="H217" s="55" t="s">
        <v>39</v>
      </c>
      <c r="I217" s="88" t="s">
        <v>39</v>
      </c>
      <c r="J217" s="89" t="s">
        <v>39</v>
      </c>
      <c r="K217" s="19" t="s">
        <v>39</v>
      </c>
      <c r="L217" s="21" t="s">
        <v>39</v>
      </c>
      <c r="M217" s="19" t="s">
        <v>39</v>
      </c>
      <c r="N217" s="47"/>
      <c r="O217" s="47"/>
      <c r="P217" s="47"/>
      <c r="Q217" s="19" t="s">
        <v>39</v>
      </c>
      <c r="R217" s="19" t="s">
        <v>39</v>
      </c>
      <c r="S217" s="19" t="s">
        <v>39</v>
      </c>
      <c r="T217" s="44"/>
      <c r="U217" s="106"/>
      <c r="V217" s="19" t="s">
        <v>39</v>
      </c>
      <c r="W217" s="138" t="s">
        <v>39</v>
      </c>
      <c r="X217" s="47"/>
      <c r="Y217" s="55" t="s">
        <v>39</v>
      </c>
      <c r="Z217" s="55" t="s">
        <v>39</v>
      </c>
      <c r="AA217" s="55" t="s">
        <v>39</v>
      </c>
      <c r="AB217" s="46">
        <v>0.045</v>
      </c>
      <c r="AC217" s="118" t="s">
        <v>39</v>
      </c>
      <c r="AD217" s="48" t="s">
        <v>104</v>
      </c>
      <c r="AE217" s="25"/>
      <c r="AF217" s="17"/>
    </row>
    <row r="218" s="2" customFormat="1" ht="24" customHeight="1" spans="1:32">
      <c r="A218" s="13">
        <v>216</v>
      </c>
      <c r="B218" s="14" t="s">
        <v>735</v>
      </c>
      <c r="C218" s="15" t="s">
        <v>443</v>
      </c>
      <c r="D218" s="15" t="s">
        <v>733</v>
      </c>
      <c r="E218" s="522" t="s">
        <v>734</v>
      </c>
      <c r="F218" s="133" t="s">
        <v>81</v>
      </c>
      <c r="G218" s="134" t="s">
        <v>178</v>
      </c>
      <c r="H218" s="16" t="s">
        <v>60</v>
      </c>
      <c r="I218" s="98" t="s">
        <v>736</v>
      </c>
      <c r="J218" s="139" t="s">
        <v>737</v>
      </c>
      <c r="K218" s="20" t="s">
        <v>39</v>
      </c>
      <c r="L218" s="21">
        <v>2400000</v>
      </c>
      <c r="M218" s="70">
        <v>0.03</v>
      </c>
      <c r="N218" s="70">
        <v>0.01</v>
      </c>
      <c r="O218" s="70">
        <v>0.06</v>
      </c>
      <c r="P218" s="70">
        <v>0.02</v>
      </c>
      <c r="Q218" s="70">
        <v>0.03</v>
      </c>
      <c r="R218" s="70">
        <v>0.01</v>
      </c>
      <c r="S218" s="70">
        <v>0.01</v>
      </c>
      <c r="T218" s="74"/>
      <c r="U218" s="94"/>
      <c r="V218" s="70">
        <v>0.002</v>
      </c>
      <c r="W218" s="79"/>
      <c r="X218" s="77" t="s">
        <v>39</v>
      </c>
      <c r="Y218" s="72" t="s">
        <v>39</v>
      </c>
      <c r="Z218" s="77" t="s">
        <v>39</v>
      </c>
      <c r="AA218" s="77" t="s">
        <v>39</v>
      </c>
      <c r="AB218" s="46" t="s">
        <v>39</v>
      </c>
      <c r="AC218" s="46" t="s">
        <v>39</v>
      </c>
      <c r="AD218" s="82" t="s">
        <v>738</v>
      </c>
      <c r="AE218" s="25" t="s">
        <v>739</v>
      </c>
      <c r="AF218" s="17" t="s">
        <v>740</v>
      </c>
    </row>
    <row r="219" s="2" customFormat="1" ht="24" customHeight="1" spans="1:32">
      <c r="A219" s="13">
        <v>217</v>
      </c>
      <c r="B219" s="14" t="s">
        <v>741</v>
      </c>
      <c r="C219" s="15" t="s">
        <v>443</v>
      </c>
      <c r="D219" s="15" t="s">
        <v>733</v>
      </c>
      <c r="E219" s="522" t="s">
        <v>734</v>
      </c>
      <c r="F219" s="133" t="s">
        <v>81</v>
      </c>
      <c r="G219" s="134" t="s">
        <v>178</v>
      </c>
      <c r="H219" s="16" t="s">
        <v>66</v>
      </c>
      <c r="I219" s="98" t="s">
        <v>742</v>
      </c>
      <c r="J219" s="139" t="s">
        <v>743</v>
      </c>
      <c r="K219" s="20" t="s">
        <v>39</v>
      </c>
      <c r="L219" s="21">
        <v>640000</v>
      </c>
      <c r="M219" s="70">
        <v>0.03</v>
      </c>
      <c r="N219" s="70">
        <v>0.01</v>
      </c>
      <c r="O219" s="70">
        <v>0.06</v>
      </c>
      <c r="P219" s="70">
        <v>0.02</v>
      </c>
      <c r="Q219" s="70">
        <v>0.03</v>
      </c>
      <c r="R219" s="70">
        <v>0.01</v>
      </c>
      <c r="S219" s="70">
        <v>0.01</v>
      </c>
      <c r="T219" s="74"/>
      <c r="U219" s="94"/>
      <c r="V219" s="70">
        <v>0.002</v>
      </c>
      <c r="W219" s="79"/>
      <c r="X219" s="77" t="s">
        <v>39</v>
      </c>
      <c r="Y219" s="72" t="s">
        <v>39</v>
      </c>
      <c r="Z219" s="77" t="s">
        <v>39</v>
      </c>
      <c r="AA219" s="77" t="s">
        <v>39</v>
      </c>
      <c r="AB219" s="46" t="s">
        <v>39</v>
      </c>
      <c r="AC219" s="46" t="s">
        <v>39</v>
      </c>
      <c r="AD219" s="82" t="s">
        <v>738</v>
      </c>
      <c r="AE219" s="25" t="s">
        <v>739</v>
      </c>
      <c r="AF219" s="17" t="s">
        <v>740</v>
      </c>
    </row>
    <row r="220" s="2" customFormat="1" ht="24" customHeight="1" spans="1:32">
      <c r="A220" s="13">
        <v>218</v>
      </c>
      <c r="B220" s="14" t="s">
        <v>744</v>
      </c>
      <c r="C220" s="15" t="s">
        <v>443</v>
      </c>
      <c r="D220" s="15" t="s">
        <v>733</v>
      </c>
      <c r="E220" s="522" t="s">
        <v>734</v>
      </c>
      <c r="F220" s="133" t="s">
        <v>81</v>
      </c>
      <c r="G220" s="134" t="s">
        <v>178</v>
      </c>
      <c r="H220" s="16" t="s">
        <v>70</v>
      </c>
      <c r="I220" s="98" t="s">
        <v>745</v>
      </c>
      <c r="J220" s="139" t="s">
        <v>746</v>
      </c>
      <c r="K220" s="20" t="s">
        <v>39</v>
      </c>
      <c r="L220" s="21">
        <v>640000</v>
      </c>
      <c r="M220" s="70">
        <v>0.03</v>
      </c>
      <c r="N220" s="70">
        <v>0.01</v>
      </c>
      <c r="O220" s="70">
        <v>0.06</v>
      </c>
      <c r="P220" s="70">
        <v>0.02</v>
      </c>
      <c r="Q220" s="70">
        <v>0.03</v>
      </c>
      <c r="R220" s="70">
        <v>0.01</v>
      </c>
      <c r="S220" s="70">
        <v>0.01</v>
      </c>
      <c r="T220" s="74"/>
      <c r="U220" s="94"/>
      <c r="V220" s="70">
        <v>0.002</v>
      </c>
      <c r="W220" s="79"/>
      <c r="X220" s="77" t="s">
        <v>39</v>
      </c>
      <c r="Y220" s="72" t="s">
        <v>39</v>
      </c>
      <c r="Z220" s="77" t="s">
        <v>39</v>
      </c>
      <c r="AA220" s="77" t="s">
        <v>39</v>
      </c>
      <c r="AB220" s="46" t="s">
        <v>39</v>
      </c>
      <c r="AC220" s="46" t="s">
        <v>39</v>
      </c>
      <c r="AD220" s="82" t="s">
        <v>738</v>
      </c>
      <c r="AE220" s="25" t="s">
        <v>739</v>
      </c>
      <c r="AF220" s="17" t="s">
        <v>740</v>
      </c>
    </row>
    <row r="221" s="2" customFormat="1" ht="24" customHeight="1" spans="1:32">
      <c r="A221" s="13">
        <v>219</v>
      </c>
      <c r="B221" s="14" t="s">
        <v>747</v>
      </c>
      <c r="C221" s="15" t="s">
        <v>443</v>
      </c>
      <c r="D221" s="15" t="s">
        <v>733</v>
      </c>
      <c r="E221" s="522" t="s">
        <v>734</v>
      </c>
      <c r="F221" s="133" t="s">
        <v>81</v>
      </c>
      <c r="G221" s="134" t="s">
        <v>178</v>
      </c>
      <c r="H221" s="16" t="s">
        <v>74</v>
      </c>
      <c r="I221" s="98" t="s">
        <v>748</v>
      </c>
      <c r="J221" s="139" t="s">
        <v>749</v>
      </c>
      <c r="K221" s="20" t="s">
        <v>39</v>
      </c>
      <c r="L221" s="21">
        <v>640000</v>
      </c>
      <c r="M221" s="70">
        <v>0.03</v>
      </c>
      <c r="N221" s="70">
        <v>0.01</v>
      </c>
      <c r="O221" s="70">
        <v>0.06</v>
      </c>
      <c r="P221" s="70">
        <v>0.02</v>
      </c>
      <c r="Q221" s="70">
        <v>0.03</v>
      </c>
      <c r="R221" s="70">
        <v>0.01</v>
      </c>
      <c r="S221" s="70">
        <v>0.01</v>
      </c>
      <c r="T221" s="74"/>
      <c r="U221" s="94"/>
      <c r="V221" s="70">
        <v>0.002</v>
      </c>
      <c r="W221" s="79"/>
      <c r="X221" s="77" t="s">
        <v>39</v>
      </c>
      <c r="Y221" s="72" t="s">
        <v>39</v>
      </c>
      <c r="Z221" s="77" t="s">
        <v>39</v>
      </c>
      <c r="AA221" s="77" t="s">
        <v>39</v>
      </c>
      <c r="AB221" s="46" t="s">
        <v>39</v>
      </c>
      <c r="AC221" s="46" t="s">
        <v>39</v>
      </c>
      <c r="AD221" s="82" t="s">
        <v>738</v>
      </c>
      <c r="AE221" s="25" t="s">
        <v>739</v>
      </c>
      <c r="AF221" s="17" t="s">
        <v>740</v>
      </c>
    </row>
    <row r="222" s="2" customFormat="1" ht="24" customHeight="1" spans="1:32">
      <c r="A222" s="13">
        <v>220</v>
      </c>
      <c r="B222" s="14" t="s">
        <v>750</v>
      </c>
      <c r="C222" s="15" t="s">
        <v>443</v>
      </c>
      <c r="D222" s="15" t="s">
        <v>733</v>
      </c>
      <c r="E222" s="522" t="s">
        <v>734</v>
      </c>
      <c r="F222" s="133" t="s">
        <v>81</v>
      </c>
      <c r="G222" s="134" t="s">
        <v>178</v>
      </c>
      <c r="H222" s="16" t="s">
        <v>265</v>
      </c>
      <c r="I222" s="98" t="s">
        <v>751</v>
      </c>
      <c r="J222" s="139" t="s">
        <v>752</v>
      </c>
      <c r="K222" s="20" t="s">
        <v>39</v>
      </c>
      <c r="L222" s="21">
        <v>640000</v>
      </c>
      <c r="M222" s="70">
        <v>0.03</v>
      </c>
      <c r="N222" s="70">
        <v>0.01</v>
      </c>
      <c r="O222" s="70">
        <v>0.06</v>
      </c>
      <c r="P222" s="70">
        <v>0.02</v>
      </c>
      <c r="Q222" s="70">
        <v>0.03</v>
      </c>
      <c r="R222" s="70">
        <v>0.01</v>
      </c>
      <c r="S222" s="70">
        <v>0.01</v>
      </c>
      <c r="T222" s="74"/>
      <c r="U222" s="94"/>
      <c r="V222" s="70">
        <v>0.002</v>
      </c>
      <c r="W222" s="79"/>
      <c r="X222" s="77" t="s">
        <v>39</v>
      </c>
      <c r="Y222" s="72" t="s">
        <v>39</v>
      </c>
      <c r="Z222" s="77" t="s">
        <v>39</v>
      </c>
      <c r="AA222" s="77" t="s">
        <v>39</v>
      </c>
      <c r="AB222" s="46" t="s">
        <v>39</v>
      </c>
      <c r="AC222" s="46" t="s">
        <v>39</v>
      </c>
      <c r="AD222" s="82" t="s">
        <v>738</v>
      </c>
      <c r="AE222" s="53" t="s">
        <v>753</v>
      </c>
      <c r="AF222" s="17" t="s">
        <v>740</v>
      </c>
    </row>
    <row r="223" s="2" customFormat="1" ht="12" customHeight="1" spans="1:32">
      <c r="A223" s="13">
        <v>221</v>
      </c>
      <c r="B223" s="521"/>
      <c r="C223" s="86" t="s">
        <v>443</v>
      </c>
      <c r="D223" s="86" t="s">
        <v>754</v>
      </c>
      <c r="E223" s="86" t="s">
        <v>755</v>
      </c>
      <c r="F223" s="88" t="s">
        <v>37</v>
      </c>
      <c r="G223" s="89" t="s">
        <v>178</v>
      </c>
      <c r="H223" s="89" t="s">
        <v>39</v>
      </c>
      <c r="I223" s="55" t="s">
        <v>39</v>
      </c>
      <c r="J223" s="55" t="s">
        <v>39</v>
      </c>
      <c r="K223" s="19" t="s">
        <v>39</v>
      </c>
      <c r="L223" s="21" t="s">
        <v>39</v>
      </c>
      <c r="M223" s="90" t="s">
        <v>39</v>
      </c>
      <c r="N223" s="90" t="s">
        <v>39</v>
      </c>
      <c r="O223" s="90" t="s">
        <v>39</v>
      </c>
      <c r="P223" s="140"/>
      <c r="Q223" s="59" t="s">
        <v>39</v>
      </c>
      <c r="R223" s="90" t="s">
        <v>39</v>
      </c>
      <c r="S223" s="19" t="s">
        <v>39</v>
      </c>
      <c r="T223" s="44"/>
      <c r="U223" s="106"/>
      <c r="V223" s="19" t="s">
        <v>39</v>
      </c>
      <c r="W223" s="19" t="s">
        <v>39</v>
      </c>
      <c r="X223" s="47"/>
      <c r="Y223" s="55" t="s">
        <v>39</v>
      </c>
      <c r="Z223" s="19" t="s">
        <v>39</v>
      </c>
      <c r="AA223" s="19" t="s">
        <v>39</v>
      </c>
      <c r="AB223" s="89" t="s">
        <v>39</v>
      </c>
      <c r="AC223" s="118" t="s">
        <v>39</v>
      </c>
      <c r="AD223" s="48" t="s">
        <v>104</v>
      </c>
      <c r="AE223" s="53"/>
      <c r="AF223" s="17"/>
    </row>
    <row r="224" s="2" customFormat="1" ht="60" customHeight="1" spans="1:32">
      <c r="A224" s="13">
        <v>222</v>
      </c>
      <c r="B224" s="14" t="s">
        <v>756</v>
      </c>
      <c r="C224" s="15" t="s">
        <v>443</v>
      </c>
      <c r="D224" s="15" t="s">
        <v>754</v>
      </c>
      <c r="E224" s="522" t="s">
        <v>755</v>
      </c>
      <c r="F224" s="133" t="s">
        <v>81</v>
      </c>
      <c r="G224" s="134" t="s">
        <v>178</v>
      </c>
      <c r="H224" s="16" t="s">
        <v>60</v>
      </c>
      <c r="I224" s="98" t="s">
        <v>757</v>
      </c>
      <c r="J224" s="139" t="s">
        <v>758</v>
      </c>
      <c r="K224" s="20" t="s">
        <v>39</v>
      </c>
      <c r="L224" s="21">
        <v>1200000</v>
      </c>
      <c r="M224" s="71">
        <v>10000</v>
      </c>
      <c r="N224" s="71"/>
      <c r="O224" s="71"/>
      <c r="P224" s="81" t="s">
        <v>39</v>
      </c>
      <c r="Q224" s="81" t="s">
        <v>39</v>
      </c>
      <c r="R224" s="71"/>
      <c r="S224" s="77" t="s">
        <v>39</v>
      </c>
      <c r="T224" s="72"/>
      <c r="U224" s="71"/>
      <c r="V224" s="77" t="s">
        <v>39</v>
      </c>
      <c r="W224" s="79"/>
      <c r="X224" s="77" t="s">
        <v>39</v>
      </c>
      <c r="Y224" s="72" t="s">
        <v>39</v>
      </c>
      <c r="Z224" s="77" t="s">
        <v>39</v>
      </c>
      <c r="AA224" s="77" t="s">
        <v>39</v>
      </c>
      <c r="AB224" s="16" t="s">
        <v>39</v>
      </c>
      <c r="AC224" s="46" t="s">
        <v>39</v>
      </c>
      <c r="AD224" s="82" t="s">
        <v>759</v>
      </c>
      <c r="AE224" s="53" t="s">
        <v>760</v>
      </c>
      <c r="AF224" s="17" t="s">
        <v>761</v>
      </c>
    </row>
    <row r="225" s="2" customFormat="1" ht="12" customHeight="1" spans="1:32">
      <c r="A225" s="13">
        <v>223</v>
      </c>
      <c r="B225" s="521"/>
      <c r="C225" s="86" t="s">
        <v>443</v>
      </c>
      <c r="D225" s="86" t="s">
        <v>762</v>
      </c>
      <c r="E225" s="86" t="s">
        <v>763</v>
      </c>
      <c r="F225" s="88" t="s">
        <v>37</v>
      </c>
      <c r="G225" s="89" t="s">
        <v>178</v>
      </c>
      <c r="H225" s="55" t="s">
        <v>39</v>
      </c>
      <c r="I225" s="55" t="s">
        <v>39</v>
      </c>
      <c r="J225" s="55" t="s">
        <v>39</v>
      </c>
      <c r="K225" s="19" t="s">
        <v>39</v>
      </c>
      <c r="L225" s="21" t="s">
        <v>39</v>
      </c>
      <c r="M225" s="92" t="s">
        <v>39</v>
      </c>
      <c r="N225" s="140"/>
      <c r="O225" s="140"/>
      <c r="P225" s="140"/>
      <c r="Q225" s="140"/>
      <c r="R225" s="140"/>
      <c r="S225" s="19" t="s">
        <v>39</v>
      </c>
      <c r="T225" s="106"/>
      <c r="U225" s="106"/>
      <c r="V225" s="64"/>
      <c r="W225" s="44"/>
      <c r="X225" s="55" t="s">
        <v>39</v>
      </c>
      <c r="Y225" s="55" t="s">
        <v>39</v>
      </c>
      <c r="Z225" s="55" t="s">
        <v>39</v>
      </c>
      <c r="AA225" s="55" t="s">
        <v>39</v>
      </c>
      <c r="AB225" s="46">
        <v>0.05</v>
      </c>
      <c r="AC225" s="118" t="s">
        <v>39</v>
      </c>
      <c r="AD225" s="48" t="s">
        <v>104</v>
      </c>
      <c r="AE225" s="25"/>
      <c r="AF225" s="17"/>
    </row>
    <row r="226" s="2" customFormat="1" ht="84" customHeight="1" spans="1:32">
      <c r="A226" s="13">
        <v>224</v>
      </c>
      <c r="B226" s="14" t="s">
        <v>764</v>
      </c>
      <c r="C226" s="15" t="s">
        <v>443</v>
      </c>
      <c r="D226" s="15" t="s">
        <v>762</v>
      </c>
      <c r="E226" s="522" t="s">
        <v>763</v>
      </c>
      <c r="F226" s="13" t="s">
        <v>81</v>
      </c>
      <c r="G226" s="16" t="s">
        <v>178</v>
      </c>
      <c r="H226" s="18" t="s">
        <v>39</v>
      </c>
      <c r="I226" s="17" t="s">
        <v>765</v>
      </c>
      <c r="J226" s="139" t="s">
        <v>766</v>
      </c>
      <c r="K226" s="20" t="s">
        <v>39</v>
      </c>
      <c r="L226" s="21" t="s">
        <v>39</v>
      </c>
      <c r="M226" s="84">
        <v>0.23</v>
      </c>
      <c r="N226" s="81" t="s">
        <v>39</v>
      </c>
      <c r="O226" s="81" t="s">
        <v>39</v>
      </c>
      <c r="P226" s="81" t="s">
        <v>39</v>
      </c>
      <c r="Q226" s="81" t="s">
        <v>39</v>
      </c>
      <c r="R226" s="81" t="s">
        <v>39</v>
      </c>
      <c r="S226" s="77" t="s">
        <v>39</v>
      </c>
      <c r="T226" s="71" t="s">
        <v>39</v>
      </c>
      <c r="U226" s="70" t="s">
        <v>39</v>
      </c>
      <c r="V226" s="71" t="s">
        <v>39</v>
      </c>
      <c r="W226" s="74"/>
      <c r="X226" s="72" t="s">
        <v>39</v>
      </c>
      <c r="Y226" s="72" t="s">
        <v>39</v>
      </c>
      <c r="Z226" s="72" t="s">
        <v>39</v>
      </c>
      <c r="AA226" s="72" t="s">
        <v>39</v>
      </c>
      <c r="AB226" s="16" t="s">
        <v>39</v>
      </c>
      <c r="AC226" s="46" t="s">
        <v>39</v>
      </c>
      <c r="AD226" s="76" t="s">
        <v>767</v>
      </c>
      <c r="AE226" s="25" t="s">
        <v>768</v>
      </c>
      <c r="AF226" s="17" t="s">
        <v>769</v>
      </c>
    </row>
    <row r="227" s="2" customFormat="1" ht="36" customHeight="1" spans="1:32">
      <c r="A227" s="13">
        <v>225</v>
      </c>
      <c r="B227" s="14" t="s">
        <v>770</v>
      </c>
      <c r="C227" s="15" t="s">
        <v>443</v>
      </c>
      <c r="D227" s="15" t="s">
        <v>762</v>
      </c>
      <c r="E227" s="15" t="s">
        <v>763</v>
      </c>
      <c r="F227" s="13" t="s">
        <v>81</v>
      </c>
      <c r="G227" s="16" t="s">
        <v>178</v>
      </c>
      <c r="H227" s="18" t="s">
        <v>39</v>
      </c>
      <c r="I227" s="167" t="s">
        <v>771</v>
      </c>
      <c r="J227" s="16" t="s">
        <v>772</v>
      </c>
      <c r="K227" s="20" t="s">
        <v>39</v>
      </c>
      <c r="L227" s="21">
        <v>250000</v>
      </c>
      <c r="M227" s="84">
        <v>0.12</v>
      </c>
      <c r="N227" s="84">
        <v>0.02</v>
      </c>
      <c r="O227" s="84">
        <v>0.02</v>
      </c>
      <c r="P227" s="84">
        <v>0.02</v>
      </c>
      <c r="Q227" s="84">
        <v>0.02</v>
      </c>
      <c r="R227" s="84">
        <v>0.01</v>
      </c>
      <c r="S227" s="71" t="s">
        <v>39</v>
      </c>
      <c r="T227" s="84">
        <v>0.02</v>
      </c>
      <c r="U227" s="84">
        <v>0.05</v>
      </c>
      <c r="V227" s="71" t="s">
        <v>39</v>
      </c>
      <c r="W227" s="94"/>
      <c r="X227" s="72" t="s">
        <v>39</v>
      </c>
      <c r="Y227" s="72" t="s">
        <v>39</v>
      </c>
      <c r="Z227" s="71" t="s">
        <v>39</v>
      </c>
      <c r="AA227" s="71" t="s">
        <v>39</v>
      </c>
      <c r="AB227" s="16" t="s">
        <v>39</v>
      </c>
      <c r="AC227" s="46" t="s">
        <v>39</v>
      </c>
      <c r="AD227" s="141"/>
      <c r="AE227" s="25" t="s">
        <v>773</v>
      </c>
      <c r="AF227" s="17" t="s">
        <v>583</v>
      </c>
    </row>
    <row r="228" s="2" customFormat="1" ht="36" customHeight="1" spans="1:32">
      <c r="A228" s="13">
        <v>226</v>
      </c>
      <c r="B228" s="14" t="s">
        <v>774</v>
      </c>
      <c r="C228" s="15" t="s">
        <v>443</v>
      </c>
      <c r="D228" s="15" t="s">
        <v>762</v>
      </c>
      <c r="E228" s="15" t="s">
        <v>763</v>
      </c>
      <c r="F228" s="13" t="s">
        <v>81</v>
      </c>
      <c r="G228" s="16" t="s">
        <v>178</v>
      </c>
      <c r="H228" s="18" t="s">
        <v>39</v>
      </c>
      <c r="I228" s="167" t="s">
        <v>589</v>
      </c>
      <c r="J228" s="16" t="s">
        <v>642</v>
      </c>
      <c r="K228" s="20" t="s">
        <v>39</v>
      </c>
      <c r="L228" s="21">
        <v>530000</v>
      </c>
      <c r="M228" s="84">
        <v>0.12</v>
      </c>
      <c r="N228" s="84">
        <v>0.02</v>
      </c>
      <c r="O228" s="84">
        <v>0.02</v>
      </c>
      <c r="P228" s="84">
        <v>0.02</v>
      </c>
      <c r="Q228" s="84">
        <v>0.02</v>
      </c>
      <c r="R228" s="84">
        <v>0.01</v>
      </c>
      <c r="S228" s="71" t="s">
        <v>39</v>
      </c>
      <c r="T228" s="84">
        <v>0.02</v>
      </c>
      <c r="U228" s="84">
        <v>0.05</v>
      </c>
      <c r="V228" s="71" t="s">
        <v>39</v>
      </c>
      <c r="W228" s="94"/>
      <c r="X228" s="72" t="s">
        <v>39</v>
      </c>
      <c r="Y228" s="72" t="s">
        <v>39</v>
      </c>
      <c r="Z228" s="71" t="s">
        <v>39</v>
      </c>
      <c r="AA228" s="71" t="s">
        <v>39</v>
      </c>
      <c r="AB228" s="16" t="s">
        <v>39</v>
      </c>
      <c r="AC228" s="46" t="s">
        <v>39</v>
      </c>
      <c r="AD228" s="141"/>
      <c r="AE228" s="25" t="s">
        <v>773</v>
      </c>
      <c r="AF228" s="17" t="s">
        <v>583</v>
      </c>
    </row>
    <row r="229" s="2" customFormat="1" ht="36" customHeight="1" spans="1:32">
      <c r="A229" s="13">
        <v>227</v>
      </c>
      <c r="B229" s="14" t="s">
        <v>775</v>
      </c>
      <c r="C229" s="15" t="s">
        <v>443</v>
      </c>
      <c r="D229" s="15" t="s">
        <v>762</v>
      </c>
      <c r="E229" s="15" t="s">
        <v>763</v>
      </c>
      <c r="F229" s="13" t="s">
        <v>81</v>
      </c>
      <c r="G229" s="16" t="s">
        <v>178</v>
      </c>
      <c r="H229" s="18" t="s">
        <v>39</v>
      </c>
      <c r="I229" s="167" t="s">
        <v>240</v>
      </c>
      <c r="J229" s="16" t="s">
        <v>776</v>
      </c>
      <c r="K229" s="20" t="s">
        <v>39</v>
      </c>
      <c r="L229" s="21">
        <v>1240000</v>
      </c>
      <c r="M229" s="84">
        <v>0.1</v>
      </c>
      <c r="N229" s="84">
        <v>0.01</v>
      </c>
      <c r="O229" s="84">
        <v>0.01</v>
      </c>
      <c r="P229" s="84">
        <v>0.02</v>
      </c>
      <c r="Q229" s="84">
        <v>0.01</v>
      </c>
      <c r="R229" s="84">
        <v>0.01</v>
      </c>
      <c r="S229" s="71" t="s">
        <v>39</v>
      </c>
      <c r="T229" s="84">
        <v>0.01</v>
      </c>
      <c r="U229" s="84">
        <v>0.05</v>
      </c>
      <c r="V229" s="71" t="s">
        <v>39</v>
      </c>
      <c r="W229" s="94"/>
      <c r="X229" s="72" t="s">
        <v>39</v>
      </c>
      <c r="Y229" s="72" t="s">
        <v>39</v>
      </c>
      <c r="Z229" s="71" t="s">
        <v>39</v>
      </c>
      <c r="AA229" s="71" t="s">
        <v>39</v>
      </c>
      <c r="AB229" s="16" t="s">
        <v>39</v>
      </c>
      <c r="AC229" s="46" t="s">
        <v>39</v>
      </c>
      <c r="AD229" s="141"/>
      <c r="AE229" s="25" t="s">
        <v>773</v>
      </c>
      <c r="AF229" s="17" t="s">
        <v>583</v>
      </c>
    </row>
    <row r="230" s="2" customFormat="1" ht="36" customHeight="1" spans="1:32">
      <c r="A230" s="13">
        <v>228</v>
      </c>
      <c r="B230" s="14" t="s">
        <v>777</v>
      </c>
      <c r="C230" s="15" t="s">
        <v>443</v>
      </c>
      <c r="D230" s="15" t="s">
        <v>762</v>
      </c>
      <c r="E230" s="15" t="s">
        <v>763</v>
      </c>
      <c r="F230" s="13" t="s">
        <v>81</v>
      </c>
      <c r="G230" s="16" t="s">
        <v>178</v>
      </c>
      <c r="H230" s="18" t="s">
        <v>39</v>
      </c>
      <c r="I230" s="167" t="s">
        <v>485</v>
      </c>
      <c r="J230" s="16" t="s">
        <v>772</v>
      </c>
      <c r="K230" s="20" t="s">
        <v>39</v>
      </c>
      <c r="L230" s="21">
        <v>700000</v>
      </c>
      <c r="M230" s="84">
        <v>0.12</v>
      </c>
      <c r="N230" s="84">
        <v>0.02</v>
      </c>
      <c r="O230" s="84">
        <v>0.02</v>
      </c>
      <c r="P230" s="84">
        <v>0.02</v>
      </c>
      <c r="Q230" s="84">
        <v>0.02</v>
      </c>
      <c r="R230" s="84">
        <v>0.01</v>
      </c>
      <c r="S230" s="71" t="s">
        <v>39</v>
      </c>
      <c r="T230" s="84">
        <v>0.02</v>
      </c>
      <c r="U230" s="84">
        <v>0.05</v>
      </c>
      <c r="V230" s="71" t="s">
        <v>39</v>
      </c>
      <c r="W230" s="94"/>
      <c r="X230" s="72" t="s">
        <v>39</v>
      </c>
      <c r="Y230" s="72" t="s">
        <v>39</v>
      </c>
      <c r="Z230" s="71" t="s">
        <v>39</v>
      </c>
      <c r="AA230" s="71" t="s">
        <v>39</v>
      </c>
      <c r="AB230" s="16" t="s">
        <v>39</v>
      </c>
      <c r="AC230" s="46" t="s">
        <v>39</v>
      </c>
      <c r="AD230" s="141"/>
      <c r="AE230" s="25" t="s">
        <v>773</v>
      </c>
      <c r="AF230" s="17" t="s">
        <v>583</v>
      </c>
    </row>
    <row r="231" s="2" customFormat="1" ht="36" customHeight="1" spans="1:32">
      <c r="A231" s="13">
        <v>229</v>
      </c>
      <c r="B231" s="14" t="s">
        <v>778</v>
      </c>
      <c r="C231" s="15" t="s">
        <v>443</v>
      </c>
      <c r="D231" s="15" t="s">
        <v>762</v>
      </c>
      <c r="E231" s="15" t="s">
        <v>763</v>
      </c>
      <c r="F231" s="13" t="s">
        <v>81</v>
      </c>
      <c r="G231" s="16" t="s">
        <v>178</v>
      </c>
      <c r="H231" s="18" t="s">
        <v>39</v>
      </c>
      <c r="I231" s="167" t="s">
        <v>779</v>
      </c>
      <c r="J231" s="16" t="s">
        <v>780</v>
      </c>
      <c r="K231" s="20" t="s">
        <v>39</v>
      </c>
      <c r="L231" s="21">
        <v>500000</v>
      </c>
      <c r="M231" s="84">
        <v>0.12</v>
      </c>
      <c r="N231" s="84">
        <v>0.02</v>
      </c>
      <c r="O231" s="84">
        <v>0.02</v>
      </c>
      <c r="P231" s="84">
        <v>0.02</v>
      </c>
      <c r="Q231" s="84">
        <v>0.02</v>
      </c>
      <c r="R231" s="84">
        <v>0.01</v>
      </c>
      <c r="S231" s="71" t="s">
        <v>39</v>
      </c>
      <c r="T231" s="84">
        <v>0.02</v>
      </c>
      <c r="U231" s="84">
        <v>0.05</v>
      </c>
      <c r="V231" s="71" t="s">
        <v>39</v>
      </c>
      <c r="W231" s="94"/>
      <c r="X231" s="72" t="s">
        <v>39</v>
      </c>
      <c r="Y231" s="72" t="s">
        <v>39</v>
      </c>
      <c r="Z231" s="71" t="s">
        <v>39</v>
      </c>
      <c r="AA231" s="71" t="s">
        <v>39</v>
      </c>
      <c r="AB231" s="16" t="s">
        <v>39</v>
      </c>
      <c r="AC231" s="46" t="s">
        <v>39</v>
      </c>
      <c r="AD231" s="141"/>
      <c r="AE231" s="25" t="s">
        <v>773</v>
      </c>
      <c r="AF231" s="17" t="s">
        <v>583</v>
      </c>
    </row>
    <row r="232" s="2" customFormat="1" ht="36" customHeight="1" spans="1:32">
      <c r="A232" s="13">
        <v>230</v>
      </c>
      <c r="B232" s="14" t="s">
        <v>781</v>
      </c>
      <c r="C232" s="15" t="s">
        <v>443</v>
      </c>
      <c r="D232" s="15" t="s">
        <v>762</v>
      </c>
      <c r="E232" s="15" t="s">
        <v>763</v>
      </c>
      <c r="F232" s="13" t="s">
        <v>81</v>
      </c>
      <c r="G232" s="16" t="s">
        <v>178</v>
      </c>
      <c r="H232" s="18" t="s">
        <v>39</v>
      </c>
      <c r="I232" s="167" t="s">
        <v>782</v>
      </c>
      <c r="J232" s="16" t="s">
        <v>783</v>
      </c>
      <c r="K232" s="20" t="s">
        <v>39</v>
      </c>
      <c r="L232" s="21">
        <v>540000</v>
      </c>
      <c r="M232" s="84">
        <v>0.12</v>
      </c>
      <c r="N232" s="84">
        <v>0.02</v>
      </c>
      <c r="O232" s="84">
        <v>0.02</v>
      </c>
      <c r="P232" s="84">
        <v>0.02</v>
      </c>
      <c r="Q232" s="84">
        <v>0.02</v>
      </c>
      <c r="R232" s="84">
        <v>0.01</v>
      </c>
      <c r="S232" s="71" t="s">
        <v>39</v>
      </c>
      <c r="T232" s="84">
        <v>0.02</v>
      </c>
      <c r="U232" s="84">
        <v>0.05</v>
      </c>
      <c r="V232" s="71" t="s">
        <v>39</v>
      </c>
      <c r="W232" s="94"/>
      <c r="X232" s="72" t="s">
        <v>39</v>
      </c>
      <c r="Y232" s="72" t="s">
        <v>39</v>
      </c>
      <c r="Z232" s="71" t="s">
        <v>39</v>
      </c>
      <c r="AA232" s="71" t="s">
        <v>39</v>
      </c>
      <c r="AB232" s="16" t="s">
        <v>39</v>
      </c>
      <c r="AC232" s="46" t="s">
        <v>39</v>
      </c>
      <c r="AD232" s="141"/>
      <c r="AE232" s="25" t="s">
        <v>773</v>
      </c>
      <c r="AF232" s="17" t="s">
        <v>583</v>
      </c>
    </row>
    <row r="233" s="2" customFormat="1" ht="36" customHeight="1" spans="1:32">
      <c r="A233" s="13">
        <v>231</v>
      </c>
      <c r="B233" s="14" t="s">
        <v>784</v>
      </c>
      <c r="C233" s="15" t="s">
        <v>443</v>
      </c>
      <c r="D233" s="15" t="s">
        <v>762</v>
      </c>
      <c r="E233" s="15" t="s">
        <v>763</v>
      </c>
      <c r="F233" s="13" t="s">
        <v>81</v>
      </c>
      <c r="G233" s="16" t="s">
        <v>178</v>
      </c>
      <c r="H233" s="18" t="s">
        <v>39</v>
      </c>
      <c r="I233" s="167" t="s">
        <v>785</v>
      </c>
      <c r="J233" s="16" t="s">
        <v>786</v>
      </c>
      <c r="K233" s="20" t="s">
        <v>39</v>
      </c>
      <c r="L233" s="21">
        <v>600000</v>
      </c>
      <c r="M233" s="84">
        <v>0.12</v>
      </c>
      <c r="N233" s="84">
        <v>0.02</v>
      </c>
      <c r="O233" s="84">
        <v>0.02</v>
      </c>
      <c r="P233" s="84">
        <v>0.02</v>
      </c>
      <c r="Q233" s="84">
        <v>0.02</v>
      </c>
      <c r="R233" s="84">
        <v>0.01</v>
      </c>
      <c r="S233" s="71" t="s">
        <v>39</v>
      </c>
      <c r="T233" s="84">
        <v>0.02</v>
      </c>
      <c r="U233" s="84">
        <v>0.05</v>
      </c>
      <c r="V233" s="71" t="s">
        <v>39</v>
      </c>
      <c r="W233" s="94"/>
      <c r="X233" s="72" t="s">
        <v>39</v>
      </c>
      <c r="Y233" s="72" t="s">
        <v>39</v>
      </c>
      <c r="Z233" s="71" t="s">
        <v>39</v>
      </c>
      <c r="AA233" s="71" t="s">
        <v>39</v>
      </c>
      <c r="AB233" s="16" t="s">
        <v>39</v>
      </c>
      <c r="AC233" s="46" t="s">
        <v>39</v>
      </c>
      <c r="AD233" s="141"/>
      <c r="AE233" s="25" t="s">
        <v>773</v>
      </c>
      <c r="AF233" s="17" t="s">
        <v>583</v>
      </c>
    </row>
    <row r="234" s="2" customFormat="1" ht="36" customHeight="1" spans="1:32">
      <c r="A234" s="13">
        <v>232</v>
      </c>
      <c r="B234" s="14" t="s">
        <v>787</v>
      </c>
      <c r="C234" s="15" t="s">
        <v>443</v>
      </c>
      <c r="D234" s="15" t="s">
        <v>762</v>
      </c>
      <c r="E234" s="15" t="s">
        <v>763</v>
      </c>
      <c r="F234" s="13" t="s">
        <v>81</v>
      </c>
      <c r="G234" s="16" t="s">
        <v>178</v>
      </c>
      <c r="H234" s="18" t="s">
        <v>39</v>
      </c>
      <c r="I234" s="167" t="s">
        <v>788</v>
      </c>
      <c r="J234" s="16" t="s">
        <v>789</v>
      </c>
      <c r="K234" s="20" t="s">
        <v>39</v>
      </c>
      <c r="L234" s="21">
        <v>370000</v>
      </c>
      <c r="M234" s="84">
        <v>0.12</v>
      </c>
      <c r="N234" s="84">
        <v>0.01</v>
      </c>
      <c r="O234" s="84">
        <v>0.01</v>
      </c>
      <c r="P234" s="84">
        <v>0.01</v>
      </c>
      <c r="Q234" s="84">
        <v>0.01</v>
      </c>
      <c r="R234" s="84">
        <v>0.01</v>
      </c>
      <c r="S234" s="71" t="s">
        <v>39</v>
      </c>
      <c r="T234" s="84">
        <v>0.01</v>
      </c>
      <c r="U234" s="84">
        <v>0.04</v>
      </c>
      <c r="V234" s="71" t="s">
        <v>39</v>
      </c>
      <c r="W234" s="94"/>
      <c r="X234" s="72" t="s">
        <v>39</v>
      </c>
      <c r="Y234" s="72" t="s">
        <v>39</v>
      </c>
      <c r="Z234" s="71" t="s">
        <v>39</v>
      </c>
      <c r="AA234" s="71" t="s">
        <v>39</v>
      </c>
      <c r="AB234" s="16" t="s">
        <v>39</v>
      </c>
      <c r="AC234" s="46" t="s">
        <v>39</v>
      </c>
      <c r="AD234" s="141"/>
      <c r="AE234" s="25" t="s">
        <v>773</v>
      </c>
      <c r="AF234" s="17" t="s">
        <v>583</v>
      </c>
    </row>
    <row r="235" s="2" customFormat="1" ht="36" customHeight="1" spans="1:32">
      <c r="A235" s="13">
        <v>233</v>
      </c>
      <c r="B235" s="14" t="s">
        <v>790</v>
      </c>
      <c r="C235" s="15" t="s">
        <v>443</v>
      </c>
      <c r="D235" s="15" t="s">
        <v>762</v>
      </c>
      <c r="E235" s="15" t="s">
        <v>763</v>
      </c>
      <c r="F235" s="13" t="s">
        <v>81</v>
      </c>
      <c r="G235" s="16" t="s">
        <v>178</v>
      </c>
      <c r="H235" s="18" t="s">
        <v>39</v>
      </c>
      <c r="I235" s="17" t="s">
        <v>791</v>
      </c>
      <c r="J235" s="16" t="s">
        <v>792</v>
      </c>
      <c r="K235" s="20" t="s">
        <v>39</v>
      </c>
      <c r="L235" s="21">
        <v>250000</v>
      </c>
      <c r="M235" s="84">
        <v>0.12</v>
      </c>
      <c r="N235" s="84">
        <v>0.01</v>
      </c>
      <c r="O235" s="84">
        <v>0.01</v>
      </c>
      <c r="P235" s="84">
        <v>0.01</v>
      </c>
      <c r="Q235" s="84">
        <v>0.01</v>
      </c>
      <c r="R235" s="84">
        <v>0.01</v>
      </c>
      <c r="S235" s="71" t="s">
        <v>39</v>
      </c>
      <c r="T235" s="84">
        <v>0.01</v>
      </c>
      <c r="U235" s="84">
        <v>0.05</v>
      </c>
      <c r="V235" s="71" t="s">
        <v>39</v>
      </c>
      <c r="W235" s="94"/>
      <c r="X235" s="72" t="s">
        <v>39</v>
      </c>
      <c r="Y235" s="72" t="s">
        <v>39</v>
      </c>
      <c r="Z235" s="71" t="s">
        <v>39</v>
      </c>
      <c r="AA235" s="71" t="s">
        <v>39</v>
      </c>
      <c r="AB235" s="16" t="s">
        <v>39</v>
      </c>
      <c r="AC235" s="46" t="s">
        <v>39</v>
      </c>
      <c r="AD235" s="141"/>
      <c r="AE235" s="25" t="s">
        <v>773</v>
      </c>
      <c r="AF235" s="17" t="s">
        <v>583</v>
      </c>
    </row>
    <row r="236" s="2" customFormat="1" ht="36" customHeight="1" spans="1:32">
      <c r="A236" s="13">
        <v>234</v>
      </c>
      <c r="B236" s="14" t="s">
        <v>793</v>
      </c>
      <c r="C236" s="15" t="s">
        <v>443</v>
      </c>
      <c r="D236" s="15" t="s">
        <v>762</v>
      </c>
      <c r="E236" s="15" t="s">
        <v>763</v>
      </c>
      <c r="F236" s="13" t="s">
        <v>81</v>
      </c>
      <c r="G236" s="16" t="s">
        <v>178</v>
      </c>
      <c r="H236" s="18" t="s">
        <v>39</v>
      </c>
      <c r="I236" s="167" t="s">
        <v>794</v>
      </c>
      <c r="J236" s="16" t="s">
        <v>795</v>
      </c>
      <c r="K236" s="20" t="s">
        <v>39</v>
      </c>
      <c r="L236" s="21">
        <v>300000</v>
      </c>
      <c r="M236" s="84">
        <v>0.12</v>
      </c>
      <c r="N236" s="84">
        <v>0.01</v>
      </c>
      <c r="O236" s="84">
        <v>0.01</v>
      </c>
      <c r="P236" s="84">
        <v>0.01</v>
      </c>
      <c r="Q236" s="84">
        <v>0.01</v>
      </c>
      <c r="R236" s="84">
        <v>0.01</v>
      </c>
      <c r="S236" s="71" t="s">
        <v>39</v>
      </c>
      <c r="T236" s="84">
        <v>0.02</v>
      </c>
      <c r="U236" s="84">
        <v>0.05</v>
      </c>
      <c r="V236" s="71" t="s">
        <v>39</v>
      </c>
      <c r="W236" s="94"/>
      <c r="X236" s="72" t="s">
        <v>39</v>
      </c>
      <c r="Y236" s="72" t="s">
        <v>39</v>
      </c>
      <c r="Z236" s="71" t="s">
        <v>39</v>
      </c>
      <c r="AA236" s="71" t="s">
        <v>39</v>
      </c>
      <c r="AB236" s="16" t="s">
        <v>39</v>
      </c>
      <c r="AC236" s="46" t="s">
        <v>39</v>
      </c>
      <c r="AD236" s="142"/>
      <c r="AE236" s="25" t="s">
        <v>773</v>
      </c>
      <c r="AF236" s="17" t="s">
        <v>583</v>
      </c>
    </row>
    <row r="237" s="2" customFormat="1" ht="36" customHeight="1" spans="1:32">
      <c r="A237" s="13">
        <v>235</v>
      </c>
      <c r="B237" s="14" t="s">
        <v>796</v>
      </c>
      <c r="C237" s="15" t="s">
        <v>443</v>
      </c>
      <c r="D237" s="15" t="s">
        <v>762</v>
      </c>
      <c r="E237" s="15" t="s">
        <v>763</v>
      </c>
      <c r="F237" s="13" t="s">
        <v>81</v>
      </c>
      <c r="G237" s="16" t="s">
        <v>178</v>
      </c>
      <c r="H237" s="18" t="s">
        <v>39</v>
      </c>
      <c r="I237" s="167" t="s">
        <v>797</v>
      </c>
      <c r="J237" s="16" t="s">
        <v>798</v>
      </c>
      <c r="K237" s="20" t="s">
        <v>39</v>
      </c>
      <c r="L237" s="21">
        <v>360000</v>
      </c>
      <c r="M237" s="84">
        <v>0.12</v>
      </c>
      <c r="N237" s="84">
        <v>0.02</v>
      </c>
      <c r="O237" s="84">
        <v>0.02</v>
      </c>
      <c r="P237" s="84">
        <v>0.02</v>
      </c>
      <c r="Q237" s="84">
        <v>0.02</v>
      </c>
      <c r="R237" s="84">
        <v>0.01</v>
      </c>
      <c r="S237" s="71" t="s">
        <v>39</v>
      </c>
      <c r="T237" s="84">
        <v>0.02</v>
      </c>
      <c r="U237" s="84">
        <v>0.05</v>
      </c>
      <c r="V237" s="71" t="s">
        <v>39</v>
      </c>
      <c r="W237" s="94"/>
      <c r="X237" s="72" t="s">
        <v>39</v>
      </c>
      <c r="Y237" s="72" t="s">
        <v>39</v>
      </c>
      <c r="Z237" s="71" t="s">
        <v>39</v>
      </c>
      <c r="AA237" s="71" t="s">
        <v>39</v>
      </c>
      <c r="AB237" s="16" t="s">
        <v>39</v>
      </c>
      <c r="AC237" s="46" t="s">
        <v>39</v>
      </c>
      <c r="AD237" s="142"/>
      <c r="AE237" s="25" t="s">
        <v>773</v>
      </c>
      <c r="AF237" s="17" t="s">
        <v>583</v>
      </c>
    </row>
    <row r="238" s="2" customFormat="1" ht="36" customHeight="1" spans="1:32">
      <c r="A238" s="13">
        <v>236</v>
      </c>
      <c r="B238" s="14" t="s">
        <v>799</v>
      </c>
      <c r="C238" s="15" t="s">
        <v>443</v>
      </c>
      <c r="D238" s="15" t="s">
        <v>762</v>
      </c>
      <c r="E238" s="15" t="s">
        <v>763</v>
      </c>
      <c r="F238" s="13" t="s">
        <v>81</v>
      </c>
      <c r="G238" s="16" t="s">
        <v>178</v>
      </c>
      <c r="H238" s="18" t="s">
        <v>39</v>
      </c>
      <c r="I238" s="167" t="s">
        <v>316</v>
      </c>
      <c r="J238" s="16" t="s">
        <v>800</v>
      </c>
      <c r="K238" s="20" t="s">
        <v>39</v>
      </c>
      <c r="L238" s="21">
        <v>250000</v>
      </c>
      <c r="M238" s="84">
        <v>0.12</v>
      </c>
      <c r="N238" s="84">
        <v>0.02</v>
      </c>
      <c r="O238" s="84">
        <v>0.02</v>
      </c>
      <c r="P238" s="84">
        <v>0.02</v>
      </c>
      <c r="Q238" s="84">
        <v>0.02</v>
      </c>
      <c r="R238" s="84">
        <v>0.01</v>
      </c>
      <c r="S238" s="71" t="s">
        <v>39</v>
      </c>
      <c r="T238" s="84">
        <v>0.02</v>
      </c>
      <c r="U238" s="84">
        <v>0.05</v>
      </c>
      <c r="V238" s="71" t="s">
        <v>39</v>
      </c>
      <c r="W238" s="94"/>
      <c r="X238" s="72" t="s">
        <v>39</v>
      </c>
      <c r="Y238" s="72" t="s">
        <v>39</v>
      </c>
      <c r="Z238" s="71" t="s">
        <v>39</v>
      </c>
      <c r="AA238" s="71" t="s">
        <v>39</v>
      </c>
      <c r="AB238" s="16" t="s">
        <v>39</v>
      </c>
      <c r="AC238" s="46" t="s">
        <v>39</v>
      </c>
      <c r="AD238" s="142"/>
      <c r="AE238" s="25" t="s">
        <v>773</v>
      </c>
      <c r="AF238" s="17" t="s">
        <v>583</v>
      </c>
    </row>
    <row r="239" s="2" customFormat="1" ht="72" customHeight="1" spans="1:32">
      <c r="A239" s="13">
        <v>237</v>
      </c>
      <c r="B239" s="14" t="s">
        <v>801</v>
      </c>
      <c r="C239" s="15" t="s">
        <v>443</v>
      </c>
      <c r="D239" s="15" t="s">
        <v>762</v>
      </c>
      <c r="E239" s="15" t="s">
        <v>763</v>
      </c>
      <c r="F239" s="13" t="s">
        <v>81</v>
      </c>
      <c r="G239" s="16" t="s">
        <v>178</v>
      </c>
      <c r="H239" s="18" t="s">
        <v>39</v>
      </c>
      <c r="I239" s="17" t="s">
        <v>802</v>
      </c>
      <c r="J239" s="16" t="s">
        <v>803</v>
      </c>
      <c r="K239" s="20" t="s">
        <v>39</v>
      </c>
      <c r="L239" s="21">
        <v>340000</v>
      </c>
      <c r="M239" s="71">
        <v>8000</v>
      </c>
      <c r="N239" s="71" t="s">
        <v>39</v>
      </c>
      <c r="O239" s="71" t="s">
        <v>39</v>
      </c>
      <c r="P239" s="71" t="s">
        <v>39</v>
      </c>
      <c r="Q239" s="71" t="s">
        <v>39</v>
      </c>
      <c r="R239" s="84" t="s">
        <v>39</v>
      </c>
      <c r="S239" s="71" t="s">
        <v>39</v>
      </c>
      <c r="T239" s="71" t="s">
        <v>39</v>
      </c>
      <c r="U239" s="94"/>
      <c r="V239" s="71" t="s">
        <v>39</v>
      </c>
      <c r="W239" s="94"/>
      <c r="X239" s="72" t="s">
        <v>39</v>
      </c>
      <c r="Y239" s="72" t="s">
        <v>39</v>
      </c>
      <c r="Z239" s="71" t="s">
        <v>39</v>
      </c>
      <c r="AA239" s="71" t="s">
        <v>39</v>
      </c>
      <c r="AB239" s="16" t="s">
        <v>39</v>
      </c>
      <c r="AC239" s="46" t="s">
        <v>39</v>
      </c>
      <c r="AD239" s="82" t="s">
        <v>804</v>
      </c>
      <c r="AE239" s="25" t="s">
        <v>805</v>
      </c>
      <c r="AF239" s="17" t="s">
        <v>583</v>
      </c>
    </row>
    <row r="240" s="2" customFormat="1" ht="72" customHeight="1" spans="1:32">
      <c r="A240" s="13">
        <v>238</v>
      </c>
      <c r="B240" s="14" t="s">
        <v>806</v>
      </c>
      <c r="C240" s="15" t="s">
        <v>443</v>
      </c>
      <c r="D240" s="15" t="s">
        <v>762</v>
      </c>
      <c r="E240" s="15" t="s">
        <v>763</v>
      </c>
      <c r="F240" s="13" t="s">
        <v>81</v>
      </c>
      <c r="G240" s="16" t="s">
        <v>178</v>
      </c>
      <c r="H240" s="18" t="s">
        <v>39</v>
      </c>
      <c r="I240" s="17" t="s">
        <v>807</v>
      </c>
      <c r="J240" s="16" t="s">
        <v>808</v>
      </c>
      <c r="K240" s="20" t="s">
        <v>39</v>
      </c>
      <c r="L240" s="21">
        <v>320000</v>
      </c>
      <c r="M240" s="71">
        <v>9000</v>
      </c>
      <c r="N240" s="71" t="s">
        <v>39</v>
      </c>
      <c r="O240" s="71" t="s">
        <v>39</v>
      </c>
      <c r="P240" s="71" t="s">
        <v>39</v>
      </c>
      <c r="Q240" s="71" t="s">
        <v>39</v>
      </c>
      <c r="R240" s="84" t="s">
        <v>39</v>
      </c>
      <c r="S240" s="71" t="s">
        <v>39</v>
      </c>
      <c r="T240" s="71" t="s">
        <v>39</v>
      </c>
      <c r="U240" s="94"/>
      <c r="V240" s="71" t="s">
        <v>39</v>
      </c>
      <c r="W240" s="94"/>
      <c r="X240" s="72" t="s">
        <v>39</v>
      </c>
      <c r="Y240" s="72" t="s">
        <v>39</v>
      </c>
      <c r="Z240" s="71" t="s">
        <v>39</v>
      </c>
      <c r="AA240" s="71" t="s">
        <v>39</v>
      </c>
      <c r="AB240" s="16" t="s">
        <v>39</v>
      </c>
      <c r="AC240" s="46" t="s">
        <v>39</v>
      </c>
      <c r="AD240" s="82" t="s">
        <v>804</v>
      </c>
      <c r="AE240" s="25" t="s">
        <v>809</v>
      </c>
      <c r="AF240" s="17" t="s">
        <v>583</v>
      </c>
    </row>
    <row r="241" s="2" customFormat="1" ht="12" customHeight="1" spans="1:32">
      <c r="A241" s="13">
        <v>239</v>
      </c>
      <c r="B241" s="521"/>
      <c r="C241" s="86" t="s">
        <v>443</v>
      </c>
      <c r="D241" s="86" t="s">
        <v>810</v>
      </c>
      <c r="E241" s="86" t="s">
        <v>811</v>
      </c>
      <c r="F241" s="88" t="s">
        <v>37</v>
      </c>
      <c r="G241" s="89" t="s">
        <v>178</v>
      </c>
      <c r="H241" s="55" t="s">
        <v>39</v>
      </c>
      <c r="I241" s="88" t="s">
        <v>39</v>
      </c>
      <c r="J241" s="88" t="s">
        <v>39</v>
      </c>
      <c r="K241" s="19" t="s">
        <v>39</v>
      </c>
      <c r="L241" s="21" t="s">
        <v>39</v>
      </c>
      <c r="M241" s="19" t="s">
        <v>39</v>
      </c>
      <c r="N241" s="47"/>
      <c r="O241" s="47"/>
      <c r="P241" s="47"/>
      <c r="Q241" s="19" t="s">
        <v>39</v>
      </c>
      <c r="R241" s="47"/>
      <c r="S241" s="19" t="s">
        <v>39</v>
      </c>
      <c r="T241" s="47"/>
      <c r="U241" s="47"/>
      <c r="V241" s="66"/>
      <c r="W241" s="44"/>
      <c r="X241" s="19" t="s">
        <v>39</v>
      </c>
      <c r="Y241" s="55" t="s">
        <v>39</v>
      </c>
      <c r="Z241" s="55" t="s">
        <v>39</v>
      </c>
      <c r="AA241" s="55" t="s">
        <v>39</v>
      </c>
      <c r="AB241" s="46">
        <v>0.05</v>
      </c>
      <c r="AC241" s="118" t="s">
        <v>39</v>
      </c>
      <c r="AD241" s="48" t="s">
        <v>104</v>
      </c>
      <c r="AE241" s="25"/>
      <c r="AF241" s="17"/>
    </row>
    <row r="242" s="2" customFormat="1" ht="120" customHeight="1" spans="1:32">
      <c r="A242" s="13">
        <v>240</v>
      </c>
      <c r="B242" s="14" t="s">
        <v>812</v>
      </c>
      <c r="C242" s="15" t="s">
        <v>443</v>
      </c>
      <c r="D242" s="15" t="s">
        <v>810</v>
      </c>
      <c r="E242" s="15" t="s">
        <v>811</v>
      </c>
      <c r="F242" s="13" t="s">
        <v>81</v>
      </c>
      <c r="G242" s="16" t="s">
        <v>178</v>
      </c>
      <c r="H242" s="18" t="s">
        <v>39</v>
      </c>
      <c r="I242" s="43" t="s">
        <v>813</v>
      </c>
      <c r="J242" s="13" t="s">
        <v>814</v>
      </c>
      <c r="K242" s="20" t="s">
        <v>39</v>
      </c>
      <c r="L242" s="21">
        <v>732000</v>
      </c>
      <c r="M242" s="77">
        <v>0.14</v>
      </c>
      <c r="N242" s="77">
        <v>0.01</v>
      </c>
      <c r="O242" s="77">
        <v>0.02</v>
      </c>
      <c r="P242" s="77">
        <v>0.01</v>
      </c>
      <c r="Q242" s="77">
        <v>0.02</v>
      </c>
      <c r="R242" s="77">
        <v>0.03</v>
      </c>
      <c r="S242" s="77">
        <v>0.02</v>
      </c>
      <c r="T242" s="77">
        <v>0.02</v>
      </c>
      <c r="U242" s="77">
        <v>0.02</v>
      </c>
      <c r="V242" s="73">
        <v>50</v>
      </c>
      <c r="W242" s="77">
        <v>0.5</v>
      </c>
      <c r="X242" s="77" t="s">
        <v>39</v>
      </c>
      <c r="Y242" s="72" t="s">
        <v>39</v>
      </c>
      <c r="Z242" s="72" t="s">
        <v>39</v>
      </c>
      <c r="AA242" s="72" t="s">
        <v>39</v>
      </c>
      <c r="AB242" s="51" t="s">
        <v>39</v>
      </c>
      <c r="AC242" s="46" t="s">
        <v>39</v>
      </c>
      <c r="AD242" s="82"/>
      <c r="AE242" s="25" t="s">
        <v>815</v>
      </c>
      <c r="AF242" s="17" t="s">
        <v>816</v>
      </c>
    </row>
    <row r="243" s="2" customFormat="1" ht="120" customHeight="1" spans="1:32">
      <c r="A243" s="13">
        <v>241</v>
      </c>
      <c r="B243" s="14" t="s">
        <v>817</v>
      </c>
      <c r="C243" s="15" t="s">
        <v>443</v>
      </c>
      <c r="D243" s="15" t="s">
        <v>810</v>
      </c>
      <c r="E243" s="15" t="s">
        <v>811</v>
      </c>
      <c r="F243" s="13" t="s">
        <v>81</v>
      </c>
      <c r="G243" s="16" t="s">
        <v>178</v>
      </c>
      <c r="H243" s="18" t="s">
        <v>39</v>
      </c>
      <c r="I243" s="43" t="s">
        <v>818</v>
      </c>
      <c r="J243" s="13" t="s">
        <v>819</v>
      </c>
      <c r="K243" s="20" t="s">
        <v>39</v>
      </c>
      <c r="L243" s="21">
        <v>316800</v>
      </c>
      <c r="M243" s="77">
        <v>0.14</v>
      </c>
      <c r="N243" s="77">
        <v>0.01</v>
      </c>
      <c r="O243" s="77">
        <v>0.02</v>
      </c>
      <c r="P243" s="77">
        <v>0.01</v>
      </c>
      <c r="Q243" s="77">
        <v>0.02</v>
      </c>
      <c r="R243" s="77">
        <v>0.03</v>
      </c>
      <c r="S243" s="77">
        <v>0.02</v>
      </c>
      <c r="T243" s="77">
        <v>0.02</v>
      </c>
      <c r="U243" s="77">
        <v>0.02</v>
      </c>
      <c r="V243" s="73">
        <v>50</v>
      </c>
      <c r="W243" s="77">
        <v>0.5</v>
      </c>
      <c r="X243" s="77" t="s">
        <v>39</v>
      </c>
      <c r="Y243" s="72" t="s">
        <v>39</v>
      </c>
      <c r="Z243" s="72" t="s">
        <v>39</v>
      </c>
      <c r="AA243" s="72" t="s">
        <v>39</v>
      </c>
      <c r="AB243" s="51" t="s">
        <v>39</v>
      </c>
      <c r="AC243" s="46" t="s">
        <v>39</v>
      </c>
      <c r="AD243" s="82"/>
      <c r="AE243" s="25" t="s">
        <v>815</v>
      </c>
      <c r="AF243" s="17" t="s">
        <v>816</v>
      </c>
    </row>
    <row r="244" s="2" customFormat="1" ht="120" customHeight="1" spans="1:32">
      <c r="A244" s="13">
        <v>242</v>
      </c>
      <c r="B244" s="14" t="s">
        <v>820</v>
      </c>
      <c r="C244" s="15" t="s">
        <v>443</v>
      </c>
      <c r="D244" s="15" t="s">
        <v>810</v>
      </c>
      <c r="E244" s="15" t="s">
        <v>811</v>
      </c>
      <c r="F244" s="13" t="s">
        <v>81</v>
      </c>
      <c r="G244" s="16" t="s">
        <v>178</v>
      </c>
      <c r="H244" s="18" t="s">
        <v>39</v>
      </c>
      <c r="I244" s="43" t="s">
        <v>821</v>
      </c>
      <c r="J244" s="13" t="s">
        <v>822</v>
      </c>
      <c r="K244" s="20" t="s">
        <v>39</v>
      </c>
      <c r="L244" s="21">
        <v>667200</v>
      </c>
      <c r="M244" s="77" t="s">
        <v>823</v>
      </c>
      <c r="N244" s="77" t="s">
        <v>39</v>
      </c>
      <c r="O244" s="77" t="s">
        <v>39</v>
      </c>
      <c r="P244" s="77" t="s">
        <v>39</v>
      </c>
      <c r="Q244" s="77" t="s">
        <v>39</v>
      </c>
      <c r="R244" s="77" t="s">
        <v>39</v>
      </c>
      <c r="S244" s="77" t="s">
        <v>39</v>
      </c>
      <c r="T244" s="77" t="s">
        <v>39</v>
      </c>
      <c r="U244" s="77" t="s">
        <v>39</v>
      </c>
      <c r="V244" s="73">
        <v>50</v>
      </c>
      <c r="W244" s="77">
        <v>0.5</v>
      </c>
      <c r="X244" s="77" t="s">
        <v>39</v>
      </c>
      <c r="Y244" s="72" t="s">
        <v>39</v>
      </c>
      <c r="Z244" s="72" t="s">
        <v>39</v>
      </c>
      <c r="AA244" s="72" t="s">
        <v>39</v>
      </c>
      <c r="AB244" s="51" t="s">
        <v>39</v>
      </c>
      <c r="AC244" s="46" t="s">
        <v>39</v>
      </c>
      <c r="AD244" s="82" t="s">
        <v>824</v>
      </c>
      <c r="AE244" s="25" t="s">
        <v>825</v>
      </c>
      <c r="AF244" s="17" t="s">
        <v>816</v>
      </c>
    </row>
    <row r="245" s="2" customFormat="1" ht="120" customHeight="1" spans="1:32">
      <c r="A245" s="13">
        <v>243</v>
      </c>
      <c r="B245" s="14" t="s">
        <v>826</v>
      </c>
      <c r="C245" s="15" t="s">
        <v>443</v>
      </c>
      <c r="D245" s="15" t="s">
        <v>810</v>
      </c>
      <c r="E245" s="15" t="s">
        <v>811</v>
      </c>
      <c r="F245" s="13" t="s">
        <v>81</v>
      </c>
      <c r="G245" s="16" t="s">
        <v>178</v>
      </c>
      <c r="H245" s="18" t="s">
        <v>39</v>
      </c>
      <c r="I245" s="43" t="s">
        <v>240</v>
      </c>
      <c r="J245" s="13" t="s">
        <v>827</v>
      </c>
      <c r="K245" s="20" t="s">
        <v>39</v>
      </c>
      <c r="L245" s="21">
        <v>1519200</v>
      </c>
      <c r="M245" s="77">
        <v>0.12</v>
      </c>
      <c r="N245" s="77">
        <v>0.01</v>
      </c>
      <c r="O245" s="77">
        <v>0.02</v>
      </c>
      <c r="P245" s="77">
        <v>0.01</v>
      </c>
      <c r="Q245" s="77">
        <v>0.02</v>
      </c>
      <c r="R245" s="77">
        <v>0.01</v>
      </c>
      <c r="S245" s="77">
        <v>0.01</v>
      </c>
      <c r="T245" s="77">
        <v>0.01</v>
      </c>
      <c r="U245" s="77">
        <v>0.01</v>
      </c>
      <c r="V245" s="73">
        <v>50</v>
      </c>
      <c r="W245" s="77">
        <v>0.5</v>
      </c>
      <c r="X245" s="77" t="s">
        <v>39</v>
      </c>
      <c r="Y245" s="72" t="s">
        <v>39</v>
      </c>
      <c r="Z245" s="72" t="s">
        <v>39</v>
      </c>
      <c r="AA245" s="72" t="s">
        <v>39</v>
      </c>
      <c r="AB245" s="51" t="s">
        <v>39</v>
      </c>
      <c r="AC245" s="46" t="s">
        <v>39</v>
      </c>
      <c r="AD245" s="82"/>
      <c r="AE245" s="25" t="s">
        <v>644</v>
      </c>
      <c r="AF245" s="17" t="s">
        <v>816</v>
      </c>
    </row>
    <row r="246" s="2" customFormat="1" ht="120" customHeight="1" spans="1:32">
      <c r="A246" s="13">
        <v>244</v>
      </c>
      <c r="B246" s="14" t="s">
        <v>828</v>
      </c>
      <c r="C246" s="15" t="s">
        <v>443</v>
      </c>
      <c r="D246" s="15" t="s">
        <v>810</v>
      </c>
      <c r="E246" s="15" t="s">
        <v>811</v>
      </c>
      <c r="F246" s="13" t="s">
        <v>81</v>
      </c>
      <c r="G246" s="16" t="s">
        <v>178</v>
      </c>
      <c r="H246" s="18" t="s">
        <v>39</v>
      </c>
      <c r="I246" s="43" t="s">
        <v>589</v>
      </c>
      <c r="J246" s="13" t="s">
        <v>642</v>
      </c>
      <c r="K246" s="20" t="s">
        <v>39</v>
      </c>
      <c r="L246" s="21">
        <v>868800</v>
      </c>
      <c r="M246" s="77">
        <v>0.14</v>
      </c>
      <c r="N246" s="77">
        <v>0.01</v>
      </c>
      <c r="O246" s="77">
        <v>0.02</v>
      </c>
      <c r="P246" s="77">
        <v>0.01</v>
      </c>
      <c r="Q246" s="77">
        <v>0.02</v>
      </c>
      <c r="R246" s="77">
        <v>0.03</v>
      </c>
      <c r="S246" s="77">
        <v>0.02</v>
      </c>
      <c r="T246" s="77">
        <v>0.01</v>
      </c>
      <c r="U246" s="77">
        <v>0.02</v>
      </c>
      <c r="V246" s="73">
        <v>50</v>
      </c>
      <c r="W246" s="77">
        <v>0.5</v>
      </c>
      <c r="X246" s="77" t="s">
        <v>39</v>
      </c>
      <c r="Y246" s="72" t="s">
        <v>39</v>
      </c>
      <c r="Z246" s="72" t="s">
        <v>39</v>
      </c>
      <c r="AA246" s="72" t="s">
        <v>39</v>
      </c>
      <c r="AB246" s="51" t="s">
        <v>39</v>
      </c>
      <c r="AC246" s="46" t="s">
        <v>39</v>
      </c>
      <c r="AD246" s="82"/>
      <c r="AE246" s="25" t="s">
        <v>644</v>
      </c>
      <c r="AF246" s="17" t="s">
        <v>816</v>
      </c>
    </row>
    <row r="247" s="2" customFormat="1" ht="120" customHeight="1" spans="1:32">
      <c r="A247" s="13">
        <v>245</v>
      </c>
      <c r="B247" s="14" t="s">
        <v>829</v>
      </c>
      <c r="C247" s="15" t="s">
        <v>443</v>
      </c>
      <c r="D247" s="15" t="s">
        <v>810</v>
      </c>
      <c r="E247" s="15" t="s">
        <v>811</v>
      </c>
      <c r="F247" s="13" t="s">
        <v>81</v>
      </c>
      <c r="G247" s="16" t="s">
        <v>178</v>
      </c>
      <c r="H247" s="18" t="s">
        <v>39</v>
      </c>
      <c r="I247" s="43" t="s">
        <v>830</v>
      </c>
      <c r="J247" s="13" t="s">
        <v>831</v>
      </c>
      <c r="K247" s="20" t="s">
        <v>39</v>
      </c>
      <c r="L247" s="21">
        <v>780000</v>
      </c>
      <c r="M247" s="77">
        <v>0.14</v>
      </c>
      <c r="N247" s="77">
        <v>0.01</v>
      </c>
      <c r="O247" s="77">
        <v>0.02</v>
      </c>
      <c r="P247" s="77">
        <v>0.01</v>
      </c>
      <c r="Q247" s="77">
        <v>0.02</v>
      </c>
      <c r="R247" s="77">
        <v>0.03</v>
      </c>
      <c r="S247" s="77">
        <v>0.02</v>
      </c>
      <c r="T247" s="77">
        <v>0.02</v>
      </c>
      <c r="U247" s="77">
        <v>0.02</v>
      </c>
      <c r="V247" s="73">
        <v>50</v>
      </c>
      <c r="W247" s="77">
        <v>0.5</v>
      </c>
      <c r="X247" s="77" t="s">
        <v>39</v>
      </c>
      <c r="Y247" s="72" t="s">
        <v>39</v>
      </c>
      <c r="Z247" s="72" t="s">
        <v>39</v>
      </c>
      <c r="AA247" s="72" t="s">
        <v>39</v>
      </c>
      <c r="AB247" s="51" t="s">
        <v>39</v>
      </c>
      <c r="AC247" s="46" t="s">
        <v>39</v>
      </c>
      <c r="AD247" s="82"/>
      <c r="AE247" s="25" t="s">
        <v>815</v>
      </c>
      <c r="AF247" s="17" t="s">
        <v>816</v>
      </c>
    </row>
    <row r="248" s="2" customFormat="1" ht="120" customHeight="1" spans="1:32">
      <c r="A248" s="13">
        <v>246</v>
      </c>
      <c r="B248" s="14" t="s">
        <v>832</v>
      </c>
      <c r="C248" s="15" t="s">
        <v>443</v>
      </c>
      <c r="D248" s="15" t="s">
        <v>810</v>
      </c>
      <c r="E248" s="15" t="s">
        <v>811</v>
      </c>
      <c r="F248" s="13" t="s">
        <v>81</v>
      </c>
      <c r="G248" s="16" t="s">
        <v>178</v>
      </c>
      <c r="H248" s="18" t="s">
        <v>39</v>
      </c>
      <c r="I248" s="43" t="s">
        <v>673</v>
      </c>
      <c r="J248" s="13" t="s">
        <v>833</v>
      </c>
      <c r="K248" s="20" t="s">
        <v>39</v>
      </c>
      <c r="L248" s="21">
        <v>333600</v>
      </c>
      <c r="M248" s="77">
        <v>0.14</v>
      </c>
      <c r="N248" s="77">
        <v>0.01</v>
      </c>
      <c r="O248" s="77">
        <v>0.02</v>
      </c>
      <c r="P248" s="77">
        <v>0.01</v>
      </c>
      <c r="Q248" s="77">
        <v>0.02</v>
      </c>
      <c r="R248" s="77">
        <v>0.03</v>
      </c>
      <c r="S248" s="77">
        <v>0.02</v>
      </c>
      <c r="T248" s="77">
        <v>0.02</v>
      </c>
      <c r="U248" s="77">
        <v>0.02</v>
      </c>
      <c r="V248" s="73">
        <v>50</v>
      </c>
      <c r="W248" s="77">
        <v>0.5</v>
      </c>
      <c r="X248" s="77" t="s">
        <v>39</v>
      </c>
      <c r="Y248" s="72" t="s">
        <v>39</v>
      </c>
      <c r="Z248" s="72" t="s">
        <v>39</v>
      </c>
      <c r="AA248" s="72" t="s">
        <v>39</v>
      </c>
      <c r="AB248" s="51" t="s">
        <v>39</v>
      </c>
      <c r="AC248" s="46" t="s">
        <v>39</v>
      </c>
      <c r="AD248" s="82"/>
      <c r="AE248" s="25" t="s">
        <v>644</v>
      </c>
      <c r="AF248" s="17" t="s">
        <v>816</v>
      </c>
    </row>
    <row r="249" s="2" customFormat="1" ht="120" customHeight="1" spans="1:32">
      <c r="A249" s="13">
        <v>247</v>
      </c>
      <c r="B249" s="14" t="s">
        <v>834</v>
      </c>
      <c r="C249" s="15" t="s">
        <v>443</v>
      </c>
      <c r="D249" s="15" t="s">
        <v>810</v>
      </c>
      <c r="E249" s="15" t="s">
        <v>811</v>
      </c>
      <c r="F249" s="13" t="s">
        <v>81</v>
      </c>
      <c r="G249" s="16" t="s">
        <v>178</v>
      </c>
      <c r="H249" s="18" t="s">
        <v>39</v>
      </c>
      <c r="I249" s="43" t="s">
        <v>91</v>
      </c>
      <c r="J249" s="13" t="s">
        <v>835</v>
      </c>
      <c r="K249" s="20" t="s">
        <v>39</v>
      </c>
      <c r="L249" s="21">
        <v>254400</v>
      </c>
      <c r="M249" s="77">
        <v>0.14</v>
      </c>
      <c r="N249" s="77">
        <v>0.01</v>
      </c>
      <c r="O249" s="77">
        <v>0.02</v>
      </c>
      <c r="P249" s="77">
        <v>0.01</v>
      </c>
      <c r="Q249" s="77">
        <v>0.02</v>
      </c>
      <c r="R249" s="77">
        <v>0.03</v>
      </c>
      <c r="S249" s="77">
        <v>0.02</v>
      </c>
      <c r="T249" s="77">
        <v>0.02</v>
      </c>
      <c r="U249" s="77">
        <v>0.02</v>
      </c>
      <c r="V249" s="73">
        <v>50</v>
      </c>
      <c r="W249" s="77">
        <v>0.5</v>
      </c>
      <c r="X249" s="77" t="s">
        <v>39</v>
      </c>
      <c r="Y249" s="72" t="s">
        <v>39</v>
      </c>
      <c r="Z249" s="72" t="s">
        <v>39</v>
      </c>
      <c r="AA249" s="72" t="s">
        <v>39</v>
      </c>
      <c r="AB249" s="51" t="s">
        <v>39</v>
      </c>
      <c r="AC249" s="46" t="s">
        <v>39</v>
      </c>
      <c r="AD249" s="76"/>
      <c r="AE249" s="25" t="s">
        <v>644</v>
      </c>
      <c r="AF249" s="17" t="s">
        <v>816</v>
      </c>
    </row>
    <row r="250" s="2" customFormat="1" ht="120" customHeight="1" spans="1:32">
      <c r="A250" s="13">
        <v>248</v>
      </c>
      <c r="B250" s="14" t="s">
        <v>836</v>
      </c>
      <c r="C250" s="15" t="s">
        <v>443</v>
      </c>
      <c r="D250" s="15" t="s">
        <v>810</v>
      </c>
      <c r="E250" s="15" t="s">
        <v>811</v>
      </c>
      <c r="F250" s="13" t="s">
        <v>81</v>
      </c>
      <c r="G250" s="16" t="s">
        <v>178</v>
      </c>
      <c r="H250" s="18" t="s">
        <v>39</v>
      </c>
      <c r="I250" s="43" t="s">
        <v>837</v>
      </c>
      <c r="J250" s="13" t="s">
        <v>838</v>
      </c>
      <c r="K250" s="20" t="s">
        <v>39</v>
      </c>
      <c r="L250" s="21">
        <v>892800</v>
      </c>
      <c r="M250" s="77">
        <v>0.14</v>
      </c>
      <c r="N250" s="77">
        <v>0.01</v>
      </c>
      <c r="O250" s="77">
        <v>0.02</v>
      </c>
      <c r="P250" s="77">
        <v>0.01</v>
      </c>
      <c r="Q250" s="77">
        <v>0.02</v>
      </c>
      <c r="R250" s="77">
        <v>0.03</v>
      </c>
      <c r="S250" s="77">
        <v>0.02</v>
      </c>
      <c r="T250" s="77">
        <v>0.02</v>
      </c>
      <c r="U250" s="77">
        <v>0.02</v>
      </c>
      <c r="V250" s="73">
        <v>50</v>
      </c>
      <c r="W250" s="77">
        <v>0.5</v>
      </c>
      <c r="X250" s="77" t="s">
        <v>39</v>
      </c>
      <c r="Y250" s="72" t="s">
        <v>39</v>
      </c>
      <c r="Z250" s="72" t="s">
        <v>39</v>
      </c>
      <c r="AA250" s="72" t="s">
        <v>39</v>
      </c>
      <c r="AB250" s="51" t="s">
        <v>39</v>
      </c>
      <c r="AC250" s="46" t="s">
        <v>39</v>
      </c>
      <c r="AD250" s="76"/>
      <c r="AE250" s="25" t="s">
        <v>644</v>
      </c>
      <c r="AF250" s="17" t="s">
        <v>816</v>
      </c>
    </row>
    <row r="251" s="2" customFormat="1" ht="72" customHeight="1" spans="1:32">
      <c r="A251" s="13">
        <v>249</v>
      </c>
      <c r="B251" s="14" t="s">
        <v>839</v>
      </c>
      <c r="C251" s="15" t="s">
        <v>443</v>
      </c>
      <c r="D251" s="15" t="s">
        <v>810</v>
      </c>
      <c r="E251" s="15" t="s">
        <v>811</v>
      </c>
      <c r="F251" s="13" t="s">
        <v>81</v>
      </c>
      <c r="G251" s="16" t="s">
        <v>178</v>
      </c>
      <c r="H251" s="18" t="s">
        <v>39</v>
      </c>
      <c r="I251" s="43" t="s">
        <v>840</v>
      </c>
      <c r="J251" s="13" t="s">
        <v>800</v>
      </c>
      <c r="K251" s="20" t="s">
        <v>39</v>
      </c>
      <c r="L251" s="21">
        <v>340800</v>
      </c>
      <c r="M251" s="77">
        <v>0.14</v>
      </c>
      <c r="N251" s="77">
        <v>0.01</v>
      </c>
      <c r="O251" s="77">
        <v>0.02</v>
      </c>
      <c r="P251" s="77">
        <v>0.01</v>
      </c>
      <c r="Q251" s="77">
        <v>0.02</v>
      </c>
      <c r="R251" s="77">
        <v>0.03</v>
      </c>
      <c r="S251" s="77">
        <v>0.02</v>
      </c>
      <c r="T251" s="77">
        <v>0.02</v>
      </c>
      <c r="U251" s="77">
        <v>0.02</v>
      </c>
      <c r="V251" s="73">
        <v>50</v>
      </c>
      <c r="W251" s="74"/>
      <c r="X251" s="72" t="s">
        <v>39</v>
      </c>
      <c r="Y251" s="72" t="s">
        <v>39</v>
      </c>
      <c r="Z251" s="72" t="s">
        <v>39</v>
      </c>
      <c r="AA251" s="72" t="s">
        <v>39</v>
      </c>
      <c r="AB251" s="51" t="s">
        <v>39</v>
      </c>
      <c r="AC251" s="46" t="s">
        <v>39</v>
      </c>
      <c r="AD251" s="76"/>
      <c r="AE251" s="25" t="s">
        <v>644</v>
      </c>
      <c r="AF251" s="17" t="s">
        <v>841</v>
      </c>
    </row>
    <row r="252" s="2" customFormat="1" ht="120" customHeight="1" spans="1:32">
      <c r="A252" s="13">
        <v>250</v>
      </c>
      <c r="B252" s="14" t="s">
        <v>842</v>
      </c>
      <c r="C252" s="15" t="s">
        <v>443</v>
      </c>
      <c r="D252" s="15" t="s">
        <v>810</v>
      </c>
      <c r="E252" s="15" t="s">
        <v>811</v>
      </c>
      <c r="F252" s="13" t="s">
        <v>81</v>
      </c>
      <c r="G252" s="16" t="s">
        <v>178</v>
      </c>
      <c r="H252" s="18" t="s">
        <v>39</v>
      </c>
      <c r="I252" s="43" t="s">
        <v>843</v>
      </c>
      <c r="J252" s="13" t="s">
        <v>844</v>
      </c>
      <c r="K252" s="20" t="s">
        <v>39</v>
      </c>
      <c r="L252" s="21">
        <v>360000</v>
      </c>
      <c r="M252" s="77">
        <v>0.14</v>
      </c>
      <c r="N252" s="77">
        <v>0.01</v>
      </c>
      <c r="O252" s="77">
        <v>0.02</v>
      </c>
      <c r="P252" s="77">
        <v>0.01</v>
      </c>
      <c r="Q252" s="77">
        <v>0.02</v>
      </c>
      <c r="R252" s="77">
        <v>0.03</v>
      </c>
      <c r="S252" s="77">
        <v>0.02</v>
      </c>
      <c r="T252" s="77">
        <v>0.02</v>
      </c>
      <c r="U252" s="77">
        <v>0.02</v>
      </c>
      <c r="V252" s="73">
        <v>50</v>
      </c>
      <c r="W252" s="77">
        <v>0.5</v>
      </c>
      <c r="X252" s="77" t="s">
        <v>39</v>
      </c>
      <c r="Y252" s="72" t="s">
        <v>39</v>
      </c>
      <c r="Z252" s="72" t="s">
        <v>39</v>
      </c>
      <c r="AA252" s="72" t="s">
        <v>39</v>
      </c>
      <c r="AB252" s="51" t="s">
        <v>39</v>
      </c>
      <c r="AC252" s="46" t="s">
        <v>39</v>
      </c>
      <c r="AD252" s="82"/>
      <c r="AE252" s="25" t="s">
        <v>644</v>
      </c>
      <c r="AF252" s="17" t="s">
        <v>816</v>
      </c>
    </row>
    <row r="253" s="2" customFormat="1" ht="120" customHeight="1" spans="1:32">
      <c r="A253" s="13">
        <v>251</v>
      </c>
      <c r="B253" s="14" t="s">
        <v>845</v>
      </c>
      <c r="C253" s="15" t="s">
        <v>443</v>
      </c>
      <c r="D253" s="15" t="s">
        <v>810</v>
      </c>
      <c r="E253" s="15" t="s">
        <v>811</v>
      </c>
      <c r="F253" s="13" t="s">
        <v>81</v>
      </c>
      <c r="G253" s="16" t="s">
        <v>178</v>
      </c>
      <c r="H253" s="18" t="s">
        <v>39</v>
      </c>
      <c r="I253" s="43" t="s">
        <v>846</v>
      </c>
      <c r="J253" s="13" t="s">
        <v>847</v>
      </c>
      <c r="K253" s="20" t="s">
        <v>39</v>
      </c>
      <c r="L253" s="21">
        <v>592800</v>
      </c>
      <c r="M253" s="77">
        <v>0.14</v>
      </c>
      <c r="N253" s="77">
        <v>0.01</v>
      </c>
      <c r="O253" s="77">
        <v>0.02</v>
      </c>
      <c r="P253" s="77">
        <v>0.01</v>
      </c>
      <c r="Q253" s="77">
        <v>0.02</v>
      </c>
      <c r="R253" s="77">
        <v>0.03</v>
      </c>
      <c r="S253" s="77">
        <v>0.02</v>
      </c>
      <c r="T253" s="77">
        <v>0.02</v>
      </c>
      <c r="U253" s="77">
        <v>0.02</v>
      </c>
      <c r="V253" s="73">
        <v>50</v>
      </c>
      <c r="W253" s="77">
        <v>0.5</v>
      </c>
      <c r="X253" s="77" t="s">
        <v>39</v>
      </c>
      <c r="Y253" s="72" t="s">
        <v>39</v>
      </c>
      <c r="Z253" s="72" t="s">
        <v>39</v>
      </c>
      <c r="AA253" s="72" t="s">
        <v>39</v>
      </c>
      <c r="AB253" s="51" t="s">
        <v>39</v>
      </c>
      <c r="AC253" s="46" t="s">
        <v>39</v>
      </c>
      <c r="AD253" s="82"/>
      <c r="AE253" s="25" t="s">
        <v>644</v>
      </c>
      <c r="AF253" s="17" t="s">
        <v>816</v>
      </c>
    </row>
    <row r="254" s="2" customFormat="1" ht="120" customHeight="1" spans="1:32">
      <c r="A254" s="13">
        <v>252</v>
      </c>
      <c r="B254" s="14" t="s">
        <v>848</v>
      </c>
      <c r="C254" s="15" t="s">
        <v>443</v>
      </c>
      <c r="D254" s="15" t="s">
        <v>810</v>
      </c>
      <c r="E254" s="15" t="s">
        <v>811</v>
      </c>
      <c r="F254" s="13" t="s">
        <v>81</v>
      </c>
      <c r="G254" s="16" t="s">
        <v>178</v>
      </c>
      <c r="H254" s="13" t="s">
        <v>624</v>
      </c>
      <c r="I254" s="17" t="s">
        <v>849</v>
      </c>
      <c r="J254" s="13" t="s">
        <v>850</v>
      </c>
      <c r="K254" s="20" t="s">
        <v>39</v>
      </c>
      <c r="L254" s="21">
        <v>540000</v>
      </c>
      <c r="M254" s="72">
        <v>11250</v>
      </c>
      <c r="N254" s="77" t="s">
        <v>39</v>
      </c>
      <c r="O254" s="77" t="s">
        <v>39</v>
      </c>
      <c r="P254" s="81" t="s">
        <v>39</v>
      </c>
      <c r="Q254" s="81" t="s">
        <v>39</v>
      </c>
      <c r="R254" s="81" t="s">
        <v>39</v>
      </c>
      <c r="S254" s="81" t="s">
        <v>39</v>
      </c>
      <c r="T254" s="71" t="s">
        <v>39</v>
      </c>
      <c r="U254" s="95"/>
      <c r="V254" s="73">
        <v>50</v>
      </c>
      <c r="W254" s="77">
        <v>0.6</v>
      </c>
      <c r="X254" s="77" t="s">
        <v>39</v>
      </c>
      <c r="Y254" s="72" t="s">
        <v>39</v>
      </c>
      <c r="Z254" s="72" t="s">
        <v>39</v>
      </c>
      <c r="AA254" s="72" t="s">
        <v>39</v>
      </c>
      <c r="AB254" s="51" t="s">
        <v>39</v>
      </c>
      <c r="AC254" s="46" t="s">
        <v>39</v>
      </c>
      <c r="AD254" s="82" t="s">
        <v>851</v>
      </c>
      <c r="AE254" s="25" t="s">
        <v>852</v>
      </c>
      <c r="AF254" s="17" t="s">
        <v>853</v>
      </c>
    </row>
    <row r="255" s="2" customFormat="1" ht="120" customHeight="1" spans="1:32">
      <c r="A255" s="13">
        <v>253</v>
      </c>
      <c r="B255" s="14" t="s">
        <v>854</v>
      </c>
      <c r="C255" s="15" t="s">
        <v>443</v>
      </c>
      <c r="D255" s="15" t="s">
        <v>810</v>
      </c>
      <c r="E255" s="15" t="s">
        <v>811</v>
      </c>
      <c r="F255" s="13" t="s">
        <v>81</v>
      </c>
      <c r="G255" s="16" t="s">
        <v>178</v>
      </c>
      <c r="H255" s="13" t="s">
        <v>628</v>
      </c>
      <c r="I255" s="17" t="s">
        <v>855</v>
      </c>
      <c r="J255" s="13" t="s">
        <v>856</v>
      </c>
      <c r="K255" s="20" t="s">
        <v>39</v>
      </c>
      <c r="L255" s="21">
        <v>780000</v>
      </c>
      <c r="M255" s="77">
        <v>0.12</v>
      </c>
      <c r="N255" s="77">
        <v>0.01</v>
      </c>
      <c r="O255" s="77">
        <v>0.01</v>
      </c>
      <c r="P255" s="77">
        <v>0.03</v>
      </c>
      <c r="Q255" s="77">
        <v>0.01</v>
      </c>
      <c r="R255" s="77">
        <v>0.01</v>
      </c>
      <c r="S255" s="77">
        <v>0.01</v>
      </c>
      <c r="T255" s="71" t="s">
        <v>39</v>
      </c>
      <c r="U255" s="72"/>
      <c r="V255" s="77" t="s">
        <v>39</v>
      </c>
      <c r="W255" s="77">
        <v>0.6</v>
      </c>
      <c r="X255" s="77" t="s">
        <v>39</v>
      </c>
      <c r="Y255" s="72" t="s">
        <v>39</v>
      </c>
      <c r="Z255" s="72" t="s">
        <v>39</v>
      </c>
      <c r="AA255" s="72" t="s">
        <v>39</v>
      </c>
      <c r="AB255" s="51" t="s">
        <v>39</v>
      </c>
      <c r="AC255" s="46" t="s">
        <v>39</v>
      </c>
      <c r="AD255" s="145" t="s">
        <v>857</v>
      </c>
      <c r="AE255" s="25" t="s">
        <v>858</v>
      </c>
      <c r="AF255" s="17" t="s">
        <v>853</v>
      </c>
    </row>
    <row r="256" s="2" customFormat="1" ht="108" customHeight="1" spans="1:32">
      <c r="A256" s="13">
        <v>254</v>
      </c>
      <c r="B256" s="14" t="s">
        <v>859</v>
      </c>
      <c r="C256" s="15" t="s">
        <v>443</v>
      </c>
      <c r="D256" s="15" t="s">
        <v>810</v>
      </c>
      <c r="E256" s="15" t="s">
        <v>811</v>
      </c>
      <c r="F256" s="13" t="s">
        <v>81</v>
      </c>
      <c r="G256" s="16" t="s">
        <v>178</v>
      </c>
      <c r="H256" s="18" t="s">
        <v>39</v>
      </c>
      <c r="I256" s="43" t="s">
        <v>860</v>
      </c>
      <c r="J256" s="13" t="s">
        <v>861</v>
      </c>
      <c r="K256" s="20" t="s">
        <v>39</v>
      </c>
      <c r="L256" s="21">
        <v>1020000</v>
      </c>
      <c r="M256" s="72">
        <v>10000</v>
      </c>
      <c r="N256" s="77" t="s">
        <v>39</v>
      </c>
      <c r="O256" s="77" t="s">
        <v>39</v>
      </c>
      <c r="P256" s="77" t="s">
        <v>39</v>
      </c>
      <c r="Q256" s="77" t="s">
        <v>39</v>
      </c>
      <c r="R256" s="77" t="s">
        <v>39</v>
      </c>
      <c r="S256" s="77" t="s">
        <v>39</v>
      </c>
      <c r="T256" s="77" t="s">
        <v>39</v>
      </c>
      <c r="U256" s="70" t="s">
        <v>39</v>
      </c>
      <c r="V256" s="77" t="s">
        <v>39</v>
      </c>
      <c r="W256" s="74"/>
      <c r="X256" s="77" t="s">
        <v>39</v>
      </c>
      <c r="Y256" s="72" t="s">
        <v>39</v>
      </c>
      <c r="Z256" s="72" t="s">
        <v>39</v>
      </c>
      <c r="AA256" s="72" t="s">
        <v>39</v>
      </c>
      <c r="AB256" s="51" t="s">
        <v>39</v>
      </c>
      <c r="AC256" s="46" t="s">
        <v>39</v>
      </c>
      <c r="AD256" s="82" t="s">
        <v>862</v>
      </c>
      <c r="AE256" s="25" t="s">
        <v>863</v>
      </c>
      <c r="AF256" s="17" t="s">
        <v>841</v>
      </c>
    </row>
    <row r="257" s="2" customFormat="1" ht="120" customHeight="1" spans="1:32">
      <c r="A257" s="13">
        <v>255</v>
      </c>
      <c r="B257" s="14" t="s">
        <v>864</v>
      </c>
      <c r="C257" s="15" t="s">
        <v>443</v>
      </c>
      <c r="D257" s="15" t="s">
        <v>810</v>
      </c>
      <c r="E257" s="15" t="s">
        <v>811</v>
      </c>
      <c r="F257" s="13" t="s">
        <v>81</v>
      </c>
      <c r="G257" s="16" t="s">
        <v>178</v>
      </c>
      <c r="H257" s="18" t="s">
        <v>39</v>
      </c>
      <c r="I257" s="43" t="s">
        <v>865</v>
      </c>
      <c r="J257" s="13" t="s">
        <v>866</v>
      </c>
      <c r="K257" s="20" t="s">
        <v>39</v>
      </c>
      <c r="L257" s="21">
        <v>328800</v>
      </c>
      <c r="M257" s="72">
        <v>7500</v>
      </c>
      <c r="N257" s="77" t="s">
        <v>39</v>
      </c>
      <c r="O257" s="77" t="s">
        <v>39</v>
      </c>
      <c r="P257" s="77" t="s">
        <v>39</v>
      </c>
      <c r="Q257" s="77" t="s">
        <v>39</v>
      </c>
      <c r="R257" s="77" t="s">
        <v>39</v>
      </c>
      <c r="S257" s="77" t="s">
        <v>39</v>
      </c>
      <c r="T257" s="77" t="s">
        <v>39</v>
      </c>
      <c r="U257" s="95"/>
      <c r="V257" s="77" t="s">
        <v>39</v>
      </c>
      <c r="W257" s="74"/>
      <c r="X257" s="77" t="s">
        <v>39</v>
      </c>
      <c r="Y257" s="72" t="s">
        <v>39</v>
      </c>
      <c r="Z257" s="72" t="s">
        <v>39</v>
      </c>
      <c r="AA257" s="72" t="s">
        <v>39</v>
      </c>
      <c r="AB257" s="51" t="s">
        <v>39</v>
      </c>
      <c r="AC257" s="46" t="s">
        <v>39</v>
      </c>
      <c r="AD257" s="82" t="s">
        <v>867</v>
      </c>
      <c r="AE257" s="25" t="s">
        <v>868</v>
      </c>
      <c r="AF257" s="17" t="s">
        <v>816</v>
      </c>
    </row>
    <row r="258" s="2" customFormat="1" ht="120" customHeight="1" spans="1:32">
      <c r="A258" s="13">
        <v>256</v>
      </c>
      <c r="B258" s="14" t="s">
        <v>869</v>
      </c>
      <c r="C258" s="15" t="s">
        <v>443</v>
      </c>
      <c r="D258" s="15" t="s">
        <v>810</v>
      </c>
      <c r="E258" s="15" t="s">
        <v>811</v>
      </c>
      <c r="F258" s="13" t="s">
        <v>81</v>
      </c>
      <c r="G258" s="16" t="s">
        <v>178</v>
      </c>
      <c r="H258" s="18" t="s">
        <v>39</v>
      </c>
      <c r="I258" s="43" t="s">
        <v>870</v>
      </c>
      <c r="J258" s="13" t="s">
        <v>871</v>
      </c>
      <c r="K258" s="20" t="s">
        <v>39</v>
      </c>
      <c r="L258" s="21">
        <v>285600</v>
      </c>
      <c r="M258" s="72">
        <v>8750</v>
      </c>
      <c r="N258" s="77" t="s">
        <v>39</v>
      </c>
      <c r="O258" s="77" t="s">
        <v>39</v>
      </c>
      <c r="P258" s="77" t="s">
        <v>39</v>
      </c>
      <c r="Q258" s="77" t="s">
        <v>39</v>
      </c>
      <c r="R258" s="77" t="s">
        <v>39</v>
      </c>
      <c r="S258" s="77" t="s">
        <v>39</v>
      </c>
      <c r="T258" s="77" t="s">
        <v>39</v>
      </c>
      <c r="U258" s="95"/>
      <c r="V258" s="77" t="s">
        <v>39</v>
      </c>
      <c r="W258" s="74"/>
      <c r="X258" s="77" t="s">
        <v>39</v>
      </c>
      <c r="Y258" s="72" t="s">
        <v>39</v>
      </c>
      <c r="Z258" s="72" t="s">
        <v>39</v>
      </c>
      <c r="AA258" s="72" t="s">
        <v>39</v>
      </c>
      <c r="AB258" s="51" t="s">
        <v>39</v>
      </c>
      <c r="AC258" s="46" t="s">
        <v>39</v>
      </c>
      <c r="AD258" s="82" t="s">
        <v>867</v>
      </c>
      <c r="AE258" s="25" t="s">
        <v>872</v>
      </c>
      <c r="AF258" s="17" t="s">
        <v>816</v>
      </c>
    </row>
    <row r="259" s="2" customFormat="1" ht="12" customHeight="1" spans="1:32">
      <c r="A259" s="13">
        <v>257</v>
      </c>
      <c r="B259" s="14" t="s">
        <v>873</v>
      </c>
      <c r="C259" s="15" t="s">
        <v>874</v>
      </c>
      <c r="D259" s="15" t="s">
        <v>875</v>
      </c>
      <c r="E259" s="15" t="s">
        <v>876</v>
      </c>
      <c r="F259" s="13" t="s">
        <v>37</v>
      </c>
      <c r="G259" s="16" t="s">
        <v>48</v>
      </c>
      <c r="H259" s="16" t="s">
        <v>39</v>
      </c>
      <c r="I259" s="167" t="s">
        <v>39</v>
      </c>
      <c r="J259" s="16" t="s">
        <v>39</v>
      </c>
      <c r="K259" s="20" t="s">
        <v>39</v>
      </c>
      <c r="L259" s="21" t="s">
        <v>39</v>
      </c>
      <c r="M259" s="97" t="s">
        <v>39</v>
      </c>
      <c r="N259" s="97" t="s">
        <v>39</v>
      </c>
      <c r="O259" s="97" t="s">
        <v>39</v>
      </c>
      <c r="P259" s="97" t="s">
        <v>39</v>
      </c>
      <c r="Q259" s="97" t="s">
        <v>39</v>
      </c>
      <c r="R259" s="97" t="s">
        <v>39</v>
      </c>
      <c r="S259" s="97" t="s">
        <v>39</v>
      </c>
      <c r="T259" s="97" t="s">
        <v>39</v>
      </c>
      <c r="U259" s="97" t="s">
        <v>39</v>
      </c>
      <c r="V259" s="97" t="s">
        <v>39</v>
      </c>
      <c r="W259" s="80"/>
      <c r="X259" s="146" t="s">
        <v>39</v>
      </c>
      <c r="Y259" s="146" t="s">
        <v>39</v>
      </c>
      <c r="Z259" s="146" t="s">
        <v>39</v>
      </c>
      <c r="AA259" s="146" t="s">
        <v>39</v>
      </c>
      <c r="AB259" s="46">
        <v>0.045</v>
      </c>
      <c r="AC259" s="46" t="s">
        <v>39</v>
      </c>
      <c r="AD259" s="98"/>
      <c r="AE259" s="25"/>
      <c r="AF259" s="206"/>
    </row>
    <row r="260" s="2" customFormat="1" ht="72" customHeight="1" spans="1:32">
      <c r="A260" s="13">
        <v>258</v>
      </c>
      <c r="B260" s="14" t="s">
        <v>877</v>
      </c>
      <c r="C260" s="15" t="s">
        <v>874</v>
      </c>
      <c r="D260" s="15" t="s">
        <v>875</v>
      </c>
      <c r="E260" s="15" t="s">
        <v>876</v>
      </c>
      <c r="F260" s="13" t="s">
        <v>81</v>
      </c>
      <c r="G260" s="16" t="s">
        <v>48</v>
      </c>
      <c r="H260" s="18" t="s">
        <v>39</v>
      </c>
      <c r="I260" s="43" t="s">
        <v>316</v>
      </c>
      <c r="J260" s="18" t="s">
        <v>878</v>
      </c>
      <c r="K260" s="20" t="s">
        <v>39</v>
      </c>
      <c r="L260" s="21">
        <v>592800</v>
      </c>
      <c r="M260" s="147">
        <v>0.18</v>
      </c>
      <c r="N260" s="85" t="s">
        <v>39</v>
      </c>
      <c r="O260" s="85" t="s">
        <v>39</v>
      </c>
      <c r="P260" s="85" t="s">
        <v>39</v>
      </c>
      <c r="Q260" s="85" t="s">
        <v>39</v>
      </c>
      <c r="R260" s="85" t="s">
        <v>39</v>
      </c>
      <c r="S260" s="85" t="s">
        <v>39</v>
      </c>
      <c r="T260" s="97">
        <v>0.03</v>
      </c>
      <c r="U260" s="147">
        <v>0.03</v>
      </c>
      <c r="V260" s="85" t="s">
        <v>39</v>
      </c>
      <c r="W260" s="80"/>
      <c r="X260" s="146" t="s">
        <v>39</v>
      </c>
      <c r="Y260" s="146" t="s">
        <v>39</v>
      </c>
      <c r="Z260" s="146" t="s">
        <v>39</v>
      </c>
      <c r="AA260" s="146" t="s">
        <v>39</v>
      </c>
      <c r="AB260" s="51" t="s">
        <v>39</v>
      </c>
      <c r="AC260" s="46" t="s">
        <v>39</v>
      </c>
      <c r="AD260" s="148" t="s">
        <v>879</v>
      </c>
      <c r="AE260" s="25" t="s">
        <v>880</v>
      </c>
      <c r="AF260" s="17" t="s">
        <v>583</v>
      </c>
    </row>
    <row r="261" s="2" customFormat="1" ht="72" customHeight="1" spans="1:32">
      <c r="A261" s="13">
        <v>259</v>
      </c>
      <c r="B261" s="14" t="s">
        <v>881</v>
      </c>
      <c r="C261" s="15" t="s">
        <v>874</v>
      </c>
      <c r="D261" s="15" t="s">
        <v>875</v>
      </c>
      <c r="E261" s="15" t="s">
        <v>876</v>
      </c>
      <c r="F261" s="13" t="s">
        <v>81</v>
      </c>
      <c r="G261" s="16" t="s">
        <v>48</v>
      </c>
      <c r="H261" s="18" t="s">
        <v>39</v>
      </c>
      <c r="I261" s="43" t="s">
        <v>882</v>
      </c>
      <c r="J261" s="18" t="s">
        <v>883</v>
      </c>
      <c r="K261" s="20" t="s">
        <v>39</v>
      </c>
      <c r="L261" s="21">
        <v>626400</v>
      </c>
      <c r="M261" s="147">
        <v>0.15</v>
      </c>
      <c r="N261" s="85" t="s">
        <v>39</v>
      </c>
      <c r="O261" s="85" t="s">
        <v>39</v>
      </c>
      <c r="P261" s="85" t="s">
        <v>39</v>
      </c>
      <c r="Q261" s="85" t="s">
        <v>39</v>
      </c>
      <c r="R261" s="85" t="s">
        <v>39</v>
      </c>
      <c r="S261" s="85" t="s">
        <v>39</v>
      </c>
      <c r="T261" s="102">
        <v>0.015</v>
      </c>
      <c r="U261" s="149">
        <v>0.015</v>
      </c>
      <c r="V261" s="85" t="s">
        <v>39</v>
      </c>
      <c r="W261" s="80"/>
      <c r="X261" s="146" t="s">
        <v>39</v>
      </c>
      <c r="Y261" s="146" t="s">
        <v>39</v>
      </c>
      <c r="Z261" s="146" t="s">
        <v>39</v>
      </c>
      <c r="AA261" s="146" t="s">
        <v>39</v>
      </c>
      <c r="AB261" s="51" t="s">
        <v>39</v>
      </c>
      <c r="AC261" s="46" t="s">
        <v>39</v>
      </c>
      <c r="AD261" s="148" t="s">
        <v>879</v>
      </c>
      <c r="AE261" s="25" t="s">
        <v>880</v>
      </c>
      <c r="AF261" s="17" t="s">
        <v>583</v>
      </c>
    </row>
    <row r="262" s="2" customFormat="1" ht="72" customHeight="1" spans="1:32">
      <c r="A262" s="13">
        <v>260</v>
      </c>
      <c r="B262" s="14" t="s">
        <v>884</v>
      </c>
      <c r="C262" s="15" t="s">
        <v>874</v>
      </c>
      <c r="D262" s="15" t="s">
        <v>875</v>
      </c>
      <c r="E262" s="15" t="s">
        <v>876</v>
      </c>
      <c r="F262" s="13" t="s">
        <v>81</v>
      </c>
      <c r="G262" s="16" t="s">
        <v>48</v>
      </c>
      <c r="H262" s="18" t="s">
        <v>39</v>
      </c>
      <c r="I262" s="43" t="s">
        <v>885</v>
      </c>
      <c r="J262" s="18" t="s">
        <v>886</v>
      </c>
      <c r="K262" s="20" t="s">
        <v>39</v>
      </c>
      <c r="L262" s="21">
        <v>343200</v>
      </c>
      <c r="M262" s="147">
        <v>0.2</v>
      </c>
      <c r="N262" s="85" t="s">
        <v>39</v>
      </c>
      <c r="O262" s="85" t="s">
        <v>39</v>
      </c>
      <c r="P262" s="85" t="s">
        <v>39</v>
      </c>
      <c r="Q262" s="85" t="s">
        <v>39</v>
      </c>
      <c r="R262" s="85" t="s">
        <v>39</v>
      </c>
      <c r="S262" s="85" t="s">
        <v>39</v>
      </c>
      <c r="T262" s="97">
        <v>0.03</v>
      </c>
      <c r="U262" s="147">
        <v>0.03</v>
      </c>
      <c r="V262" s="85" t="s">
        <v>39</v>
      </c>
      <c r="W262" s="80"/>
      <c r="X262" s="146" t="s">
        <v>39</v>
      </c>
      <c r="Y262" s="146" t="s">
        <v>39</v>
      </c>
      <c r="Z262" s="146" t="s">
        <v>39</v>
      </c>
      <c r="AA262" s="146" t="s">
        <v>39</v>
      </c>
      <c r="AB262" s="51" t="s">
        <v>39</v>
      </c>
      <c r="AC262" s="46" t="s">
        <v>39</v>
      </c>
      <c r="AD262" s="148" t="s">
        <v>879</v>
      </c>
      <c r="AE262" s="25" t="s">
        <v>880</v>
      </c>
      <c r="AF262" s="17" t="s">
        <v>583</v>
      </c>
    </row>
    <row r="263" s="2" customFormat="1" ht="72" customHeight="1" spans="1:32">
      <c r="A263" s="13">
        <v>261</v>
      </c>
      <c r="B263" s="14" t="s">
        <v>887</v>
      </c>
      <c r="C263" s="15" t="s">
        <v>874</v>
      </c>
      <c r="D263" s="15" t="s">
        <v>875</v>
      </c>
      <c r="E263" s="15" t="s">
        <v>876</v>
      </c>
      <c r="F263" s="13" t="s">
        <v>81</v>
      </c>
      <c r="G263" s="16" t="s">
        <v>48</v>
      </c>
      <c r="H263" s="18" t="s">
        <v>39</v>
      </c>
      <c r="I263" s="43" t="s">
        <v>888</v>
      </c>
      <c r="J263" s="18" t="s">
        <v>889</v>
      </c>
      <c r="K263" s="20" t="s">
        <v>39</v>
      </c>
      <c r="L263" s="21">
        <v>676800</v>
      </c>
      <c r="M263" s="147">
        <v>0.19</v>
      </c>
      <c r="N263" s="85" t="s">
        <v>39</v>
      </c>
      <c r="O263" s="85" t="s">
        <v>39</v>
      </c>
      <c r="P263" s="85" t="s">
        <v>39</v>
      </c>
      <c r="Q263" s="85" t="s">
        <v>39</v>
      </c>
      <c r="R263" s="85" t="s">
        <v>39</v>
      </c>
      <c r="S263" s="85" t="s">
        <v>39</v>
      </c>
      <c r="T263" s="97">
        <v>0.03</v>
      </c>
      <c r="U263" s="147">
        <v>0.03</v>
      </c>
      <c r="V263" s="85" t="s">
        <v>39</v>
      </c>
      <c r="W263" s="80"/>
      <c r="X263" s="146" t="s">
        <v>39</v>
      </c>
      <c r="Y263" s="146" t="s">
        <v>39</v>
      </c>
      <c r="Z263" s="146" t="s">
        <v>39</v>
      </c>
      <c r="AA263" s="146" t="s">
        <v>39</v>
      </c>
      <c r="AB263" s="51" t="s">
        <v>39</v>
      </c>
      <c r="AC263" s="46" t="s">
        <v>39</v>
      </c>
      <c r="AD263" s="148" t="s">
        <v>879</v>
      </c>
      <c r="AE263" s="25" t="s">
        <v>880</v>
      </c>
      <c r="AF263" s="17" t="s">
        <v>583</v>
      </c>
    </row>
    <row r="264" s="2" customFormat="1" ht="72" customHeight="1" spans="1:32">
      <c r="A264" s="13">
        <v>262</v>
      </c>
      <c r="B264" s="14" t="s">
        <v>890</v>
      </c>
      <c r="C264" s="15" t="s">
        <v>874</v>
      </c>
      <c r="D264" s="15" t="s">
        <v>875</v>
      </c>
      <c r="E264" s="15" t="s">
        <v>876</v>
      </c>
      <c r="F264" s="13" t="s">
        <v>81</v>
      </c>
      <c r="G264" s="16" t="s">
        <v>48</v>
      </c>
      <c r="H264" s="18" t="s">
        <v>39</v>
      </c>
      <c r="I264" s="43" t="s">
        <v>891</v>
      </c>
      <c r="J264" s="18" t="s">
        <v>892</v>
      </c>
      <c r="K264" s="20" t="s">
        <v>39</v>
      </c>
      <c r="L264" s="21">
        <v>408000</v>
      </c>
      <c r="M264" s="147">
        <v>0.2</v>
      </c>
      <c r="N264" s="85" t="s">
        <v>39</v>
      </c>
      <c r="O264" s="85" t="s">
        <v>39</v>
      </c>
      <c r="P264" s="85" t="s">
        <v>39</v>
      </c>
      <c r="Q264" s="85" t="s">
        <v>39</v>
      </c>
      <c r="R264" s="85" t="s">
        <v>39</v>
      </c>
      <c r="S264" s="85" t="s">
        <v>39</v>
      </c>
      <c r="T264" s="97">
        <v>0.03</v>
      </c>
      <c r="U264" s="147">
        <v>0.03</v>
      </c>
      <c r="V264" s="85" t="s">
        <v>39</v>
      </c>
      <c r="W264" s="80"/>
      <c r="X264" s="146" t="s">
        <v>39</v>
      </c>
      <c r="Y264" s="146" t="s">
        <v>39</v>
      </c>
      <c r="Z264" s="146" t="s">
        <v>39</v>
      </c>
      <c r="AA264" s="146" t="s">
        <v>39</v>
      </c>
      <c r="AB264" s="51" t="s">
        <v>39</v>
      </c>
      <c r="AC264" s="46" t="s">
        <v>39</v>
      </c>
      <c r="AD264" s="148" t="s">
        <v>879</v>
      </c>
      <c r="AE264" s="25" t="s">
        <v>880</v>
      </c>
      <c r="AF264" s="17" t="s">
        <v>583</v>
      </c>
    </row>
    <row r="265" s="2" customFormat="1" ht="72" customHeight="1" spans="1:32">
      <c r="A265" s="13">
        <v>263</v>
      </c>
      <c r="B265" s="14" t="s">
        <v>893</v>
      </c>
      <c r="C265" s="15" t="s">
        <v>874</v>
      </c>
      <c r="D265" s="15" t="s">
        <v>875</v>
      </c>
      <c r="E265" s="15" t="s">
        <v>876</v>
      </c>
      <c r="F265" s="13" t="s">
        <v>81</v>
      </c>
      <c r="G265" s="16" t="s">
        <v>48</v>
      </c>
      <c r="H265" s="18" t="s">
        <v>39</v>
      </c>
      <c r="I265" s="43" t="s">
        <v>894</v>
      </c>
      <c r="J265" s="18" t="s">
        <v>895</v>
      </c>
      <c r="K265" s="20" t="s">
        <v>39</v>
      </c>
      <c r="L265" s="21">
        <v>595200</v>
      </c>
      <c r="M265" s="147">
        <v>0.21</v>
      </c>
      <c r="N265" s="85" t="s">
        <v>39</v>
      </c>
      <c r="O265" s="85" t="s">
        <v>39</v>
      </c>
      <c r="P265" s="85" t="s">
        <v>39</v>
      </c>
      <c r="Q265" s="85" t="s">
        <v>39</v>
      </c>
      <c r="R265" s="85" t="s">
        <v>39</v>
      </c>
      <c r="S265" s="85" t="s">
        <v>39</v>
      </c>
      <c r="T265" s="97">
        <v>0.02</v>
      </c>
      <c r="U265" s="147">
        <v>0.02</v>
      </c>
      <c r="V265" s="85" t="s">
        <v>39</v>
      </c>
      <c r="W265" s="80"/>
      <c r="X265" s="146" t="s">
        <v>39</v>
      </c>
      <c r="Y265" s="146" t="s">
        <v>39</v>
      </c>
      <c r="Z265" s="146" t="s">
        <v>39</v>
      </c>
      <c r="AA265" s="146" t="s">
        <v>39</v>
      </c>
      <c r="AB265" s="51" t="s">
        <v>39</v>
      </c>
      <c r="AC265" s="46" t="s">
        <v>39</v>
      </c>
      <c r="AD265" s="148" t="s">
        <v>879</v>
      </c>
      <c r="AE265" s="25" t="s">
        <v>880</v>
      </c>
      <c r="AF265" s="17" t="s">
        <v>583</v>
      </c>
    </row>
    <row r="266" s="2" customFormat="1" ht="72" customHeight="1" spans="1:32">
      <c r="A266" s="13">
        <v>264</v>
      </c>
      <c r="B266" s="14" t="s">
        <v>896</v>
      </c>
      <c r="C266" s="15" t="s">
        <v>874</v>
      </c>
      <c r="D266" s="15" t="s">
        <v>875</v>
      </c>
      <c r="E266" s="15" t="s">
        <v>876</v>
      </c>
      <c r="F266" s="13" t="s">
        <v>81</v>
      </c>
      <c r="G266" s="16" t="s">
        <v>48</v>
      </c>
      <c r="H266" s="18" t="s">
        <v>39</v>
      </c>
      <c r="I266" s="43" t="s">
        <v>897</v>
      </c>
      <c r="J266" s="18" t="s">
        <v>898</v>
      </c>
      <c r="K266" s="20" t="s">
        <v>39</v>
      </c>
      <c r="L266" s="21">
        <v>595200</v>
      </c>
      <c r="M266" s="147">
        <v>0.2</v>
      </c>
      <c r="N266" s="85" t="s">
        <v>39</v>
      </c>
      <c r="O266" s="85" t="s">
        <v>39</v>
      </c>
      <c r="P266" s="85" t="s">
        <v>39</v>
      </c>
      <c r="Q266" s="85" t="s">
        <v>39</v>
      </c>
      <c r="R266" s="85" t="s">
        <v>39</v>
      </c>
      <c r="S266" s="85" t="s">
        <v>39</v>
      </c>
      <c r="T266" s="97">
        <v>0.03</v>
      </c>
      <c r="U266" s="147">
        <v>0.03</v>
      </c>
      <c r="V266" s="85" t="s">
        <v>39</v>
      </c>
      <c r="W266" s="80"/>
      <c r="X266" s="146" t="s">
        <v>39</v>
      </c>
      <c r="Y266" s="146" t="s">
        <v>39</v>
      </c>
      <c r="Z266" s="146" t="s">
        <v>39</v>
      </c>
      <c r="AA266" s="146" t="s">
        <v>39</v>
      </c>
      <c r="AB266" s="51" t="s">
        <v>39</v>
      </c>
      <c r="AC266" s="46" t="s">
        <v>39</v>
      </c>
      <c r="AD266" s="150" t="s">
        <v>879</v>
      </c>
      <c r="AE266" s="25" t="s">
        <v>880</v>
      </c>
      <c r="AF266" s="17" t="s">
        <v>583</v>
      </c>
    </row>
    <row r="267" s="2" customFormat="1" ht="72" customHeight="1" spans="1:32">
      <c r="A267" s="13">
        <v>265</v>
      </c>
      <c r="B267" s="14" t="s">
        <v>899</v>
      </c>
      <c r="C267" s="15" t="s">
        <v>874</v>
      </c>
      <c r="D267" s="15" t="s">
        <v>875</v>
      </c>
      <c r="E267" s="15" t="s">
        <v>876</v>
      </c>
      <c r="F267" s="13" t="s">
        <v>81</v>
      </c>
      <c r="G267" s="16" t="s">
        <v>48</v>
      </c>
      <c r="H267" s="18" t="s">
        <v>39</v>
      </c>
      <c r="I267" s="43" t="s">
        <v>900</v>
      </c>
      <c r="J267" s="18" t="s">
        <v>901</v>
      </c>
      <c r="K267" s="20" t="s">
        <v>39</v>
      </c>
      <c r="L267" s="21">
        <v>626400</v>
      </c>
      <c r="M267" s="147">
        <v>0.19</v>
      </c>
      <c r="N267" s="85" t="s">
        <v>39</v>
      </c>
      <c r="O267" s="85" t="s">
        <v>39</v>
      </c>
      <c r="P267" s="85" t="s">
        <v>39</v>
      </c>
      <c r="Q267" s="85" t="s">
        <v>39</v>
      </c>
      <c r="R267" s="85" t="s">
        <v>39</v>
      </c>
      <c r="S267" s="85" t="s">
        <v>39</v>
      </c>
      <c r="T267" s="97">
        <v>0.03</v>
      </c>
      <c r="U267" s="147">
        <v>0.03</v>
      </c>
      <c r="V267" s="85" t="s">
        <v>39</v>
      </c>
      <c r="W267" s="80"/>
      <c r="X267" s="146" t="s">
        <v>39</v>
      </c>
      <c r="Y267" s="146" t="s">
        <v>39</v>
      </c>
      <c r="Z267" s="146" t="s">
        <v>39</v>
      </c>
      <c r="AA267" s="146" t="s">
        <v>39</v>
      </c>
      <c r="AB267" s="51" t="s">
        <v>39</v>
      </c>
      <c r="AC267" s="46" t="s">
        <v>39</v>
      </c>
      <c r="AD267" s="150" t="s">
        <v>879</v>
      </c>
      <c r="AE267" s="25" t="s">
        <v>880</v>
      </c>
      <c r="AF267" s="17" t="s">
        <v>583</v>
      </c>
    </row>
    <row r="268" s="2" customFormat="1" ht="72" customHeight="1" spans="1:32">
      <c r="A268" s="13">
        <v>266</v>
      </c>
      <c r="B268" s="14" t="s">
        <v>902</v>
      </c>
      <c r="C268" s="15" t="s">
        <v>874</v>
      </c>
      <c r="D268" s="15" t="s">
        <v>875</v>
      </c>
      <c r="E268" s="15" t="s">
        <v>876</v>
      </c>
      <c r="F268" s="13" t="s">
        <v>81</v>
      </c>
      <c r="G268" s="16" t="s">
        <v>48</v>
      </c>
      <c r="H268" s="18" t="s">
        <v>39</v>
      </c>
      <c r="I268" s="43" t="s">
        <v>589</v>
      </c>
      <c r="J268" s="18" t="s">
        <v>903</v>
      </c>
      <c r="K268" s="20" t="s">
        <v>39</v>
      </c>
      <c r="L268" s="21">
        <v>984000</v>
      </c>
      <c r="M268" s="147">
        <v>0.2</v>
      </c>
      <c r="N268" s="85" t="s">
        <v>39</v>
      </c>
      <c r="O268" s="85" t="s">
        <v>39</v>
      </c>
      <c r="P268" s="85" t="s">
        <v>39</v>
      </c>
      <c r="Q268" s="85" t="s">
        <v>39</v>
      </c>
      <c r="R268" s="85" t="s">
        <v>39</v>
      </c>
      <c r="S268" s="85" t="s">
        <v>39</v>
      </c>
      <c r="T268" s="97">
        <v>0.03</v>
      </c>
      <c r="U268" s="147">
        <v>0.03</v>
      </c>
      <c r="V268" s="85" t="s">
        <v>39</v>
      </c>
      <c r="W268" s="80"/>
      <c r="X268" s="146" t="s">
        <v>39</v>
      </c>
      <c r="Y268" s="146" t="s">
        <v>39</v>
      </c>
      <c r="Z268" s="146" t="s">
        <v>39</v>
      </c>
      <c r="AA268" s="146" t="s">
        <v>39</v>
      </c>
      <c r="AB268" s="51" t="s">
        <v>39</v>
      </c>
      <c r="AC268" s="46" t="s">
        <v>39</v>
      </c>
      <c r="AD268" s="150" t="s">
        <v>879</v>
      </c>
      <c r="AE268" s="25" t="s">
        <v>880</v>
      </c>
      <c r="AF268" s="17" t="s">
        <v>583</v>
      </c>
    </row>
    <row r="269" s="2" customFormat="1" ht="72" customHeight="1" spans="1:32">
      <c r="A269" s="13">
        <v>267</v>
      </c>
      <c r="B269" s="14" t="s">
        <v>904</v>
      </c>
      <c r="C269" s="15" t="s">
        <v>874</v>
      </c>
      <c r="D269" s="15" t="s">
        <v>875</v>
      </c>
      <c r="E269" s="15" t="s">
        <v>876</v>
      </c>
      <c r="F269" s="13" t="s">
        <v>81</v>
      </c>
      <c r="G269" s="16" t="s">
        <v>48</v>
      </c>
      <c r="H269" s="18" t="s">
        <v>39</v>
      </c>
      <c r="I269" s="43" t="s">
        <v>905</v>
      </c>
      <c r="J269" s="18" t="s">
        <v>906</v>
      </c>
      <c r="K269" s="20" t="s">
        <v>39</v>
      </c>
      <c r="L269" s="21">
        <v>626400</v>
      </c>
      <c r="M269" s="113">
        <v>0.19</v>
      </c>
      <c r="N269" s="24" t="s">
        <v>39</v>
      </c>
      <c r="O269" s="24" t="s">
        <v>39</v>
      </c>
      <c r="P269" s="24" t="s">
        <v>39</v>
      </c>
      <c r="Q269" s="24" t="s">
        <v>39</v>
      </c>
      <c r="R269" s="24" t="s">
        <v>39</v>
      </c>
      <c r="S269" s="24" t="s">
        <v>39</v>
      </c>
      <c r="T269" s="20">
        <v>0.03</v>
      </c>
      <c r="U269" s="113">
        <v>0.03</v>
      </c>
      <c r="V269" s="24" t="s">
        <v>39</v>
      </c>
      <c r="W269" s="44"/>
      <c r="X269" s="51" t="s">
        <v>39</v>
      </c>
      <c r="Y269" s="51" t="s">
        <v>39</v>
      </c>
      <c r="Z269" s="51" t="s">
        <v>39</v>
      </c>
      <c r="AA269" s="51" t="s">
        <v>39</v>
      </c>
      <c r="AB269" s="51" t="s">
        <v>39</v>
      </c>
      <c r="AC269" s="46" t="s">
        <v>39</v>
      </c>
      <c r="AD269" s="48" t="s">
        <v>879</v>
      </c>
      <c r="AE269" s="25" t="s">
        <v>880</v>
      </c>
      <c r="AF269" s="17" t="s">
        <v>583</v>
      </c>
    </row>
    <row r="270" s="2" customFormat="1" ht="72" customHeight="1" spans="1:32">
      <c r="A270" s="13">
        <v>268</v>
      </c>
      <c r="B270" s="14" t="s">
        <v>907</v>
      </c>
      <c r="C270" s="15" t="s">
        <v>874</v>
      </c>
      <c r="D270" s="15" t="s">
        <v>875</v>
      </c>
      <c r="E270" s="15" t="s">
        <v>876</v>
      </c>
      <c r="F270" s="13" t="s">
        <v>81</v>
      </c>
      <c r="G270" s="16" t="s">
        <v>48</v>
      </c>
      <c r="H270" s="18" t="s">
        <v>39</v>
      </c>
      <c r="I270" s="43" t="s">
        <v>424</v>
      </c>
      <c r="J270" s="93" t="s">
        <v>908</v>
      </c>
      <c r="K270" s="20" t="s">
        <v>39</v>
      </c>
      <c r="L270" s="21">
        <v>626400</v>
      </c>
      <c r="M270" s="113">
        <v>0.2</v>
      </c>
      <c r="N270" s="24" t="s">
        <v>39</v>
      </c>
      <c r="O270" s="24" t="s">
        <v>39</v>
      </c>
      <c r="P270" s="24" t="s">
        <v>39</v>
      </c>
      <c r="Q270" s="24" t="s">
        <v>39</v>
      </c>
      <c r="R270" s="24" t="s">
        <v>39</v>
      </c>
      <c r="S270" s="24" t="s">
        <v>39</v>
      </c>
      <c r="T270" s="20">
        <v>0.03</v>
      </c>
      <c r="U270" s="113">
        <v>0.03</v>
      </c>
      <c r="V270" s="24" t="s">
        <v>39</v>
      </c>
      <c r="W270" s="44"/>
      <c r="X270" s="51" t="s">
        <v>39</v>
      </c>
      <c r="Y270" s="51" t="s">
        <v>39</v>
      </c>
      <c r="Z270" s="51" t="s">
        <v>39</v>
      </c>
      <c r="AA270" s="51" t="s">
        <v>39</v>
      </c>
      <c r="AB270" s="51" t="s">
        <v>39</v>
      </c>
      <c r="AC270" s="46" t="s">
        <v>39</v>
      </c>
      <c r="AD270" s="48" t="s">
        <v>879</v>
      </c>
      <c r="AE270" s="25" t="s">
        <v>880</v>
      </c>
      <c r="AF270" s="17" t="s">
        <v>583</v>
      </c>
    </row>
    <row r="271" s="2" customFormat="1" ht="72" customHeight="1" spans="1:32">
      <c r="A271" s="13">
        <v>269</v>
      </c>
      <c r="B271" s="14" t="s">
        <v>909</v>
      </c>
      <c r="C271" s="15" t="s">
        <v>874</v>
      </c>
      <c r="D271" s="15" t="s">
        <v>875</v>
      </c>
      <c r="E271" s="15" t="s">
        <v>876</v>
      </c>
      <c r="F271" s="13" t="s">
        <v>81</v>
      </c>
      <c r="G271" s="16" t="s">
        <v>48</v>
      </c>
      <c r="H271" s="18" t="s">
        <v>39</v>
      </c>
      <c r="I271" s="43" t="s">
        <v>223</v>
      </c>
      <c r="J271" s="93" t="s">
        <v>910</v>
      </c>
      <c r="K271" s="20" t="s">
        <v>39</v>
      </c>
      <c r="L271" s="21">
        <v>408000</v>
      </c>
      <c r="M271" s="113">
        <v>0.18</v>
      </c>
      <c r="N271" s="24" t="s">
        <v>39</v>
      </c>
      <c r="O271" s="24" t="s">
        <v>39</v>
      </c>
      <c r="P271" s="24" t="s">
        <v>39</v>
      </c>
      <c r="Q271" s="24" t="s">
        <v>39</v>
      </c>
      <c r="R271" s="24" t="s">
        <v>39</v>
      </c>
      <c r="S271" s="24" t="s">
        <v>39</v>
      </c>
      <c r="T271" s="20">
        <v>0.03</v>
      </c>
      <c r="U271" s="113">
        <v>0.03</v>
      </c>
      <c r="V271" s="24" t="s">
        <v>39</v>
      </c>
      <c r="W271" s="44"/>
      <c r="X271" s="51" t="s">
        <v>39</v>
      </c>
      <c r="Y271" s="51" t="s">
        <v>39</v>
      </c>
      <c r="Z271" s="51" t="s">
        <v>39</v>
      </c>
      <c r="AA271" s="51" t="s">
        <v>39</v>
      </c>
      <c r="AB271" s="51" t="s">
        <v>39</v>
      </c>
      <c r="AC271" s="46" t="s">
        <v>39</v>
      </c>
      <c r="AD271" s="48" t="s">
        <v>879</v>
      </c>
      <c r="AE271" s="25" t="s">
        <v>880</v>
      </c>
      <c r="AF271" s="17" t="s">
        <v>583</v>
      </c>
    </row>
    <row r="272" s="2" customFormat="1" ht="72" customHeight="1" spans="1:32">
      <c r="A272" s="13">
        <v>270</v>
      </c>
      <c r="B272" s="14" t="s">
        <v>911</v>
      </c>
      <c r="C272" s="15" t="s">
        <v>874</v>
      </c>
      <c r="D272" s="15" t="s">
        <v>875</v>
      </c>
      <c r="E272" s="15" t="s">
        <v>876</v>
      </c>
      <c r="F272" s="13" t="s">
        <v>81</v>
      </c>
      <c r="G272" s="16" t="s">
        <v>48</v>
      </c>
      <c r="H272" s="18" t="s">
        <v>39</v>
      </c>
      <c r="I272" s="43" t="s">
        <v>709</v>
      </c>
      <c r="J272" s="93" t="s">
        <v>912</v>
      </c>
      <c r="K272" s="20" t="s">
        <v>39</v>
      </c>
      <c r="L272" s="21">
        <v>626400</v>
      </c>
      <c r="M272" s="113">
        <v>0.2</v>
      </c>
      <c r="N272" s="24" t="s">
        <v>39</v>
      </c>
      <c r="O272" s="24" t="s">
        <v>39</v>
      </c>
      <c r="P272" s="24" t="s">
        <v>39</v>
      </c>
      <c r="Q272" s="24" t="s">
        <v>39</v>
      </c>
      <c r="R272" s="24" t="s">
        <v>39</v>
      </c>
      <c r="S272" s="24" t="s">
        <v>39</v>
      </c>
      <c r="T272" s="20">
        <v>0.03</v>
      </c>
      <c r="U272" s="113">
        <v>0.03</v>
      </c>
      <c r="V272" s="24" t="s">
        <v>39</v>
      </c>
      <c r="W272" s="44"/>
      <c r="X272" s="51" t="s">
        <v>39</v>
      </c>
      <c r="Y272" s="51" t="s">
        <v>39</v>
      </c>
      <c r="Z272" s="51" t="s">
        <v>39</v>
      </c>
      <c r="AA272" s="51" t="s">
        <v>39</v>
      </c>
      <c r="AB272" s="51" t="s">
        <v>39</v>
      </c>
      <c r="AC272" s="46" t="s">
        <v>39</v>
      </c>
      <c r="AD272" s="48" t="s">
        <v>879</v>
      </c>
      <c r="AE272" s="25" t="s">
        <v>880</v>
      </c>
      <c r="AF272" s="17" t="s">
        <v>583</v>
      </c>
    </row>
    <row r="273" s="2" customFormat="1" ht="72" customHeight="1" spans="1:32">
      <c r="A273" s="13">
        <v>271</v>
      </c>
      <c r="B273" s="14" t="s">
        <v>913</v>
      </c>
      <c r="C273" s="15" t="s">
        <v>874</v>
      </c>
      <c r="D273" s="15" t="s">
        <v>875</v>
      </c>
      <c r="E273" s="15" t="s">
        <v>876</v>
      </c>
      <c r="F273" s="13" t="s">
        <v>81</v>
      </c>
      <c r="G273" s="16" t="s">
        <v>48</v>
      </c>
      <c r="H273" s="18" t="s">
        <v>39</v>
      </c>
      <c r="I273" s="43" t="s">
        <v>791</v>
      </c>
      <c r="J273" s="93" t="s">
        <v>912</v>
      </c>
      <c r="K273" s="20" t="s">
        <v>39</v>
      </c>
      <c r="L273" s="21">
        <v>319200</v>
      </c>
      <c r="M273" s="113">
        <v>0.12</v>
      </c>
      <c r="N273" s="24" t="s">
        <v>39</v>
      </c>
      <c r="O273" s="24" t="s">
        <v>39</v>
      </c>
      <c r="P273" s="24" t="s">
        <v>39</v>
      </c>
      <c r="Q273" s="24" t="s">
        <v>39</v>
      </c>
      <c r="R273" s="24" t="s">
        <v>39</v>
      </c>
      <c r="S273" s="24" t="s">
        <v>39</v>
      </c>
      <c r="T273" s="24" t="s">
        <v>39</v>
      </c>
      <c r="U273" s="116" t="s">
        <v>39</v>
      </c>
      <c r="V273" s="24" t="s">
        <v>39</v>
      </c>
      <c r="W273" s="44"/>
      <c r="X273" s="51" t="s">
        <v>39</v>
      </c>
      <c r="Y273" s="51" t="s">
        <v>39</v>
      </c>
      <c r="Z273" s="51" t="s">
        <v>39</v>
      </c>
      <c r="AA273" s="51" t="s">
        <v>39</v>
      </c>
      <c r="AB273" s="51" t="s">
        <v>39</v>
      </c>
      <c r="AC273" s="46" t="s">
        <v>39</v>
      </c>
      <c r="AD273" s="48" t="s">
        <v>879</v>
      </c>
      <c r="AE273" s="25" t="s">
        <v>880</v>
      </c>
      <c r="AF273" s="17" t="s">
        <v>583</v>
      </c>
    </row>
    <row r="274" s="2" customFormat="1" ht="72" customHeight="1" spans="1:32">
      <c r="A274" s="13">
        <v>272</v>
      </c>
      <c r="B274" s="14" t="s">
        <v>914</v>
      </c>
      <c r="C274" s="15" t="s">
        <v>874</v>
      </c>
      <c r="D274" s="15" t="s">
        <v>875</v>
      </c>
      <c r="E274" s="15" t="s">
        <v>876</v>
      </c>
      <c r="F274" s="13" t="s">
        <v>81</v>
      </c>
      <c r="G274" s="16" t="s">
        <v>48</v>
      </c>
      <c r="H274" s="18" t="s">
        <v>39</v>
      </c>
      <c r="I274" s="43" t="s">
        <v>915</v>
      </c>
      <c r="J274" s="93" t="s">
        <v>916</v>
      </c>
      <c r="K274" s="20" t="s">
        <v>39</v>
      </c>
      <c r="L274" s="21">
        <v>592800</v>
      </c>
      <c r="M274" s="113">
        <v>0.18</v>
      </c>
      <c r="N274" s="24" t="s">
        <v>39</v>
      </c>
      <c r="O274" s="24" t="s">
        <v>39</v>
      </c>
      <c r="P274" s="24" t="s">
        <v>39</v>
      </c>
      <c r="Q274" s="24" t="s">
        <v>39</v>
      </c>
      <c r="R274" s="24" t="s">
        <v>39</v>
      </c>
      <c r="S274" s="24" t="s">
        <v>39</v>
      </c>
      <c r="T274" s="20">
        <v>0.03</v>
      </c>
      <c r="U274" s="113">
        <v>0.03</v>
      </c>
      <c r="V274" s="24" t="s">
        <v>39</v>
      </c>
      <c r="W274" s="44"/>
      <c r="X274" s="51" t="s">
        <v>39</v>
      </c>
      <c r="Y274" s="51" t="s">
        <v>39</v>
      </c>
      <c r="Z274" s="51" t="s">
        <v>39</v>
      </c>
      <c r="AA274" s="51" t="s">
        <v>39</v>
      </c>
      <c r="AB274" s="51" t="s">
        <v>39</v>
      </c>
      <c r="AC274" s="46" t="s">
        <v>39</v>
      </c>
      <c r="AD274" s="48" t="s">
        <v>879</v>
      </c>
      <c r="AE274" s="25" t="s">
        <v>880</v>
      </c>
      <c r="AF274" s="17" t="s">
        <v>583</v>
      </c>
    </row>
    <row r="275" s="2" customFormat="1" ht="12" customHeight="1" spans="1:32">
      <c r="A275" s="13">
        <v>273</v>
      </c>
      <c r="B275" s="14" t="s">
        <v>917</v>
      </c>
      <c r="C275" s="15" t="s">
        <v>874</v>
      </c>
      <c r="D275" s="15" t="s">
        <v>918</v>
      </c>
      <c r="E275" s="15" t="s">
        <v>919</v>
      </c>
      <c r="F275" s="13" t="s">
        <v>53</v>
      </c>
      <c r="G275" s="16" t="s">
        <v>48</v>
      </c>
      <c r="H275" s="13" t="s">
        <v>39</v>
      </c>
      <c r="I275" s="17" t="s">
        <v>39</v>
      </c>
      <c r="J275" s="93" t="s">
        <v>39</v>
      </c>
      <c r="K275" s="20" t="s">
        <v>39</v>
      </c>
      <c r="L275" s="21">
        <v>908000</v>
      </c>
      <c r="M275" s="24" t="s">
        <v>39</v>
      </c>
      <c r="N275" s="24" t="s">
        <v>39</v>
      </c>
      <c r="O275" s="24" t="s">
        <v>39</v>
      </c>
      <c r="P275" s="24" t="s">
        <v>39</v>
      </c>
      <c r="Q275" s="24" t="s">
        <v>39</v>
      </c>
      <c r="R275" s="24" t="s">
        <v>39</v>
      </c>
      <c r="S275" s="24" t="s">
        <v>39</v>
      </c>
      <c r="T275" s="18" t="s">
        <v>39</v>
      </c>
      <c r="U275" s="24" t="s">
        <v>39</v>
      </c>
      <c r="V275" s="24" t="s">
        <v>39</v>
      </c>
      <c r="W275" s="18" t="s">
        <v>39</v>
      </c>
      <c r="X275" s="51" t="s">
        <v>39</v>
      </c>
      <c r="Y275" s="51" t="s">
        <v>39</v>
      </c>
      <c r="Z275" s="51" t="s">
        <v>39</v>
      </c>
      <c r="AA275" s="51" t="s">
        <v>39</v>
      </c>
      <c r="AB275" s="46">
        <v>0.11</v>
      </c>
      <c r="AC275" s="46" t="s">
        <v>39</v>
      </c>
      <c r="AD275" s="17"/>
      <c r="AE275" s="25"/>
      <c r="AF275" s="206"/>
    </row>
    <row r="276" s="2" customFormat="1" ht="12" customHeight="1" spans="1:32">
      <c r="A276" s="13">
        <v>274</v>
      </c>
      <c r="B276" s="14" t="s">
        <v>920</v>
      </c>
      <c r="C276" s="15" t="s">
        <v>874</v>
      </c>
      <c r="D276" s="15" t="s">
        <v>921</v>
      </c>
      <c r="E276" s="15" t="s">
        <v>922</v>
      </c>
      <c r="F276" s="13" t="s">
        <v>47</v>
      </c>
      <c r="G276" s="16" t="s">
        <v>48</v>
      </c>
      <c r="H276" s="16" t="s">
        <v>39</v>
      </c>
      <c r="I276" s="17" t="s">
        <v>923</v>
      </c>
      <c r="J276" s="93" t="s">
        <v>924</v>
      </c>
      <c r="K276" s="20" t="s">
        <v>39</v>
      </c>
      <c r="L276" s="21" t="s">
        <v>39</v>
      </c>
      <c r="M276" s="24" t="s">
        <v>39</v>
      </c>
      <c r="N276" s="24" t="s">
        <v>39</v>
      </c>
      <c r="O276" s="24" t="s">
        <v>39</v>
      </c>
      <c r="P276" s="24" t="s">
        <v>39</v>
      </c>
      <c r="Q276" s="24" t="s">
        <v>39</v>
      </c>
      <c r="R276" s="24" t="s">
        <v>39</v>
      </c>
      <c r="S276" s="24" t="s">
        <v>39</v>
      </c>
      <c r="T276" s="18" t="s">
        <v>39</v>
      </c>
      <c r="U276" s="24" t="s">
        <v>39</v>
      </c>
      <c r="V276" s="24" t="s">
        <v>39</v>
      </c>
      <c r="W276" s="50"/>
      <c r="X276" s="51" t="s">
        <v>39</v>
      </c>
      <c r="Y276" s="51" t="s">
        <v>39</v>
      </c>
      <c r="Z276" s="51" t="s">
        <v>39</v>
      </c>
      <c r="AA276" s="51" t="s">
        <v>39</v>
      </c>
      <c r="AB276" s="46">
        <v>0.035</v>
      </c>
      <c r="AC276" s="46" t="s">
        <v>39</v>
      </c>
      <c r="AD276" s="17"/>
      <c r="AE276" s="25"/>
      <c r="AF276" s="206"/>
    </row>
    <row r="277" s="2" customFormat="1" ht="12" customHeight="1" spans="1:32">
      <c r="A277" s="13">
        <v>275</v>
      </c>
      <c r="B277" s="14" t="s">
        <v>925</v>
      </c>
      <c r="C277" s="15" t="s">
        <v>874</v>
      </c>
      <c r="D277" s="15" t="s">
        <v>921</v>
      </c>
      <c r="E277" s="15" t="s">
        <v>922</v>
      </c>
      <c r="F277" s="13" t="s">
        <v>47</v>
      </c>
      <c r="G277" s="16" t="s">
        <v>48</v>
      </c>
      <c r="H277" s="16" t="s">
        <v>39</v>
      </c>
      <c r="I277" s="17" t="s">
        <v>926</v>
      </c>
      <c r="J277" s="93" t="s">
        <v>924</v>
      </c>
      <c r="K277" s="20" t="s">
        <v>39</v>
      </c>
      <c r="L277" s="21" t="s">
        <v>39</v>
      </c>
      <c r="M277" s="24" t="s">
        <v>39</v>
      </c>
      <c r="N277" s="24" t="s">
        <v>39</v>
      </c>
      <c r="O277" s="24" t="s">
        <v>39</v>
      </c>
      <c r="P277" s="24" t="s">
        <v>39</v>
      </c>
      <c r="Q277" s="24" t="s">
        <v>39</v>
      </c>
      <c r="R277" s="24" t="s">
        <v>39</v>
      </c>
      <c r="S277" s="24" t="s">
        <v>39</v>
      </c>
      <c r="T277" s="18" t="s">
        <v>39</v>
      </c>
      <c r="U277" s="24" t="s">
        <v>39</v>
      </c>
      <c r="V277" s="24" t="s">
        <v>39</v>
      </c>
      <c r="W277" s="50"/>
      <c r="X277" s="51" t="s">
        <v>39</v>
      </c>
      <c r="Y277" s="51" t="s">
        <v>39</v>
      </c>
      <c r="Z277" s="51" t="s">
        <v>39</v>
      </c>
      <c r="AA277" s="51" t="s">
        <v>39</v>
      </c>
      <c r="AB277" s="46">
        <v>0.035</v>
      </c>
      <c r="AC277" s="46" t="s">
        <v>39</v>
      </c>
      <c r="AD277" s="17"/>
      <c r="AE277" s="25"/>
      <c r="AF277" s="206"/>
    </row>
    <row r="278" s="2" customFormat="1" ht="12" customHeight="1" spans="1:32">
      <c r="A278" s="13">
        <v>276</v>
      </c>
      <c r="B278" s="14" t="s">
        <v>927</v>
      </c>
      <c r="C278" s="15" t="s">
        <v>874</v>
      </c>
      <c r="D278" s="15" t="s">
        <v>921</v>
      </c>
      <c r="E278" s="15" t="s">
        <v>922</v>
      </c>
      <c r="F278" s="13" t="s">
        <v>47</v>
      </c>
      <c r="G278" s="16" t="s">
        <v>48</v>
      </c>
      <c r="H278" s="16" t="s">
        <v>39</v>
      </c>
      <c r="I278" s="17" t="s">
        <v>928</v>
      </c>
      <c r="J278" s="93" t="s">
        <v>924</v>
      </c>
      <c r="K278" s="20" t="s">
        <v>39</v>
      </c>
      <c r="L278" s="21" t="s">
        <v>39</v>
      </c>
      <c r="M278" s="24" t="s">
        <v>39</v>
      </c>
      <c r="N278" s="24" t="s">
        <v>39</v>
      </c>
      <c r="O278" s="24" t="s">
        <v>39</v>
      </c>
      <c r="P278" s="24" t="s">
        <v>39</v>
      </c>
      <c r="Q278" s="24" t="s">
        <v>39</v>
      </c>
      <c r="R278" s="24" t="s">
        <v>39</v>
      </c>
      <c r="S278" s="24" t="s">
        <v>39</v>
      </c>
      <c r="T278" s="18" t="s">
        <v>39</v>
      </c>
      <c r="U278" s="24" t="s">
        <v>39</v>
      </c>
      <c r="V278" s="24" t="s">
        <v>39</v>
      </c>
      <c r="W278" s="50"/>
      <c r="X278" s="51" t="s">
        <v>39</v>
      </c>
      <c r="Y278" s="51" t="s">
        <v>39</v>
      </c>
      <c r="Z278" s="51" t="s">
        <v>39</v>
      </c>
      <c r="AA278" s="51" t="s">
        <v>39</v>
      </c>
      <c r="AB278" s="46">
        <v>0.035</v>
      </c>
      <c r="AC278" s="46" t="s">
        <v>39</v>
      </c>
      <c r="AD278" s="17"/>
      <c r="AE278" s="25"/>
      <c r="AF278" s="206"/>
    </row>
    <row r="279" s="2" customFormat="1" ht="12" customHeight="1" spans="1:32">
      <c r="A279" s="13">
        <v>277</v>
      </c>
      <c r="B279" s="14" t="s">
        <v>929</v>
      </c>
      <c r="C279" s="15" t="s">
        <v>874</v>
      </c>
      <c r="D279" s="15" t="s">
        <v>921</v>
      </c>
      <c r="E279" s="15" t="s">
        <v>922</v>
      </c>
      <c r="F279" s="13" t="s">
        <v>47</v>
      </c>
      <c r="G279" s="16" t="s">
        <v>48</v>
      </c>
      <c r="H279" s="16" t="s">
        <v>39</v>
      </c>
      <c r="I279" s="17" t="s">
        <v>930</v>
      </c>
      <c r="J279" s="93" t="s">
        <v>924</v>
      </c>
      <c r="K279" s="20" t="s">
        <v>39</v>
      </c>
      <c r="L279" s="21" t="s">
        <v>39</v>
      </c>
      <c r="M279" s="24" t="s">
        <v>39</v>
      </c>
      <c r="N279" s="24" t="s">
        <v>39</v>
      </c>
      <c r="O279" s="24" t="s">
        <v>39</v>
      </c>
      <c r="P279" s="24" t="s">
        <v>39</v>
      </c>
      <c r="Q279" s="24" t="s">
        <v>39</v>
      </c>
      <c r="R279" s="24" t="s">
        <v>39</v>
      </c>
      <c r="S279" s="24" t="s">
        <v>39</v>
      </c>
      <c r="T279" s="18" t="s">
        <v>39</v>
      </c>
      <c r="U279" s="24" t="s">
        <v>39</v>
      </c>
      <c r="V279" s="24" t="s">
        <v>39</v>
      </c>
      <c r="W279" s="50"/>
      <c r="X279" s="51" t="s">
        <v>39</v>
      </c>
      <c r="Y279" s="51" t="s">
        <v>39</v>
      </c>
      <c r="Z279" s="51" t="s">
        <v>39</v>
      </c>
      <c r="AA279" s="51" t="s">
        <v>39</v>
      </c>
      <c r="AB279" s="46">
        <v>0.035</v>
      </c>
      <c r="AC279" s="46" t="s">
        <v>39</v>
      </c>
      <c r="AD279" s="17"/>
      <c r="AE279" s="25"/>
      <c r="AF279" s="206"/>
    </row>
    <row r="280" s="2" customFormat="1" ht="36" customHeight="1" spans="1:32">
      <c r="A280" s="13">
        <v>278</v>
      </c>
      <c r="B280" s="14" t="s">
        <v>931</v>
      </c>
      <c r="C280" s="15" t="s">
        <v>874</v>
      </c>
      <c r="D280" s="15" t="s">
        <v>921</v>
      </c>
      <c r="E280" s="15" t="s">
        <v>922</v>
      </c>
      <c r="F280" s="13" t="s">
        <v>47</v>
      </c>
      <c r="G280" s="16" t="s">
        <v>48</v>
      </c>
      <c r="H280" s="18" t="s">
        <v>60</v>
      </c>
      <c r="I280" s="43" t="s">
        <v>932</v>
      </c>
      <c r="J280" s="93" t="s">
        <v>933</v>
      </c>
      <c r="K280" s="20" t="s">
        <v>39</v>
      </c>
      <c r="L280" s="21">
        <v>1200000</v>
      </c>
      <c r="M280" s="113">
        <v>0.13</v>
      </c>
      <c r="N280" s="24" t="s">
        <v>39</v>
      </c>
      <c r="O280" s="24" t="s">
        <v>39</v>
      </c>
      <c r="P280" s="24" t="s">
        <v>39</v>
      </c>
      <c r="Q280" s="24" t="s">
        <v>39</v>
      </c>
      <c r="R280" s="24" t="s">
        <v>39</v>
      </c>
      <c r="S280" s="24" t="s">
        <v>39</v>
      </c>
      <c r="T280" s="18">
        <v>3000</v>
      </c>
      <c r="U280" s="24">
        <v>4000</v>
      </c>
      <c r="V280" s="24" t="s">
        <v>39</v>
      </c>
      <c r="W280" s="18" t="s">
        <v>934</v>
      </c>
      <c r="X280" s="51" t="s">
        <v>39</v>
      </c>
      <c r="Y280" s="51" t="s">
        <v>39</v>
      </c>
      <c r="Z280" s="51" t="s">
        <v>39</v>
      </c>
      <c r="AA280" s="51" t="s">
        <v>39</v>
      </c>
      <c r="AB280" s="51" t="s">
        <v>39</v>
      </c>
      <c r="AC280" s="46" t="s">
        <v>39</v>
      </c>
      <c r="AD280" s="17"/>
      <c r="AE280" s="25" t="s">
        <v>935</v>
      </c>
      <c r="AF280" s="17" t="s">
        <v>583</v>
      </c>
    </row>
    <row r="281" s="2" customFormat="1" ht="36" customHeight="1" spans="1:32">
      <c r="A281" s="13">
        <v>279</v>
      </c>
      <c r="B281" s="14" t="s">
        <v>936</v>
      </c>
      <c r="C281" s="15" t="s">
        <v>874</v>
      </c>
      <c r="D281" s="15" t="s">
        <v>921</v>
      </c>
      <c r="E281" s="15" t="s">
        <v>922</v>
      </c>
      <c r="F281" s="13" t="s">
        <v>47</v>
      </c>
      <c r="G281" s="16" t="s">
        <v>48</v>
      </c>
      <c r="H281" s="18" t="s">
        <v>66</v>
      </c>
      <c r="I281" s="43" t="s">
        <v>818</v>
      </c>
      <c r="J281" s="93" t="s">
        <v>937</v>
      </c>
      <c r="K281" s="20" t="s">
        <v>39</v>
      </c>
      <c r="L281" s="21">
        <v>540000</v>
      </c>
      <c r="M281" s="113">
        <v>0.23</v>
      </c>
      <c r="N281" s="24" t="s">
        <v>39</v>
      </c>
      <c r="O281" s="24" t="s">
        <v>39</v>
      </c>
      <c r="P281" s="24" t="s">
        <v>39</v>
      </c>
      <c r="Q281" s="24" t="s">
        <v>39</v>
      </c>
      <c r="R281" s="24" t="s">
        <v>39</v>
      </c>
      <c r="S281" s="24" t="s">
        <v>39</v>
      </c>
      <c r="T281" s="24" t="s">
        <v>39</v>
      </c>
      <c r="U281" s="24" t="s">
        <v>39</v>
      </c>
      <c r="V281" s="24" t="s">
        <v>39</v>
      </c>
      <c r="W281" s="18" t="s">
        <v>934</v>
      </c>
      <c r="X281" s="51" t="s">
        <v>39</v>
      </c>
      <c r="Y281" s="51" t="s">
        <v>39</v>
      </c>
      <c r="Z281" s="51" t="s">
        <v>39</v>
      </c>
      <c r="AA281" s="51" t="s">
        <v>39</v>
      </c>
      <c r="AB281" s="51" t="s">
        <v>39</v>
      </c>
      <c r="AC281" s="46" t="s">
        <v>39</v>
      </c>
      <c r="AD281" s="17"/>
      <c r="AE281" s="25" t="s">
        <v>935</v>
      </c>
      <c r="AF281" s="17" t="s">
        <v>583</v>
      </c>
    </row>
    <row r="282" s="2" customFormat="1" ht="36" customHeight="1" spans="1:32">
      <c r="A282" s="13">
        <v>280</v>
      </c>
      <c r="B282" s="14" t="s">
        <v>938</v>
      </c>
      <c r="C282" s="15" t="s">
        <v>874</v>
      </c>
      <c r="D282" s="15" t="s">
        <v>921</v>
      </c>
      <c r="E282" s="15" t="s">
        <v>922</v>
      </c>
      <c r="F282" s="13" t="s">
        <v>47</v>
      </c>
      <c r="G282" s="16" t="s">
        <v>48</v>
      </c>
      <c r="H282" s="18" t="s">
        <v>70</v>
      </c>
      <c r="I282" s="43" t="s">
        <v>939</v>
      </c>
      <c r="J282" s="93" t="s">
        <v>940</v>
      </c>
      <c r="K282" s="20" t="s">
        <v>39</v>
      </c>
      <c r="L282" s="21">
        <v>720000</v>
      </c>
      <c r="M282" s="113">
        <v>0.05</v>
      </c>
      <c r="N282" s="24" t="s">
        <v>39</v>
      </c>
      <c r="O282" s="24" t="s">
        <v>39</v>
      </c>
      <c r="P282" s="24" t="s">
        <v>39</v>
      </c>
      <c r="Q282" s="24" t="s">
        <v>39</v>
      </c>
      <c r="R282" s="24" t="s">
        <v>39</v>
      </c>
      <c r="S282" s="24" t="s">
        <v>39</v>
      </c>
      <c r="T282" s="24" t="s">
        <v>39</v>
      </c>
      <c r="U282" s="24" t="s">
        <v>39</v>
      </c>
      <c r="V282" s="24" t="s">
        <v>39</v>
      </c>
      <c r="W282" s="18" t="s">
        <v>934</v>
      </c>
      <c r="X282" s="51" t="s">
        <v>39</v>
      </c>
      <c r="Y282" s="51" t="s">
        <v>39</v>
      </c>
      <c r="Z282" s="51" t="s">
        <v>39</v>
      </c>
      <c r="AA282" s="51" t="s">
        <v>39</v>
      </c>
      <c r="AB282" s="51" t="s">
        <v>39</v>
      </c>
      <c r="AC282" s="46" t="s">
        <v>39</v>
      </c>
      <c r="AD282" s="17"/>
      <c r="AE282" s="25" t="s">
        <v>935</v>
      </c>
      <c r="AF282" s="17" t="s">
        <v>583</v>
      </c>
    </row>
    <row r="283" s="2" customFormat="1" ht="36" customHeight="1" spans="1:32">
      <c r="A283" s="13">
        <v>281</v>
      </c>
      <c r="B283" s="14" t="s">
        <v>941</v>
      </c>
      <c r="C283" s="15" t="s">
        <v>874</v>
      </c>
      <c r="D283" s="15" t="s">
        <v>921</v>
      </c>
      <c r="E283" s="15" t="s">
        <v>922</v>
      </c>
      <c r="F283" s="13" t="s">
        <v>47</v>
      </c>
      <c r="G283" s="16" t="s">
        <v>48</v>
      </c>
      <c r="H283" s="18" t="s">
        <v>74</v>
      </c>
      <c r="I283" s="43" t="s">
        <v>942</v>
      </c>
      <c r="J283" s="93" t="s">
        <v>943</v>
      </c>
      <c r="K283" s="20" t="s">
        <v>39</v>
      </c>
      <c r="L283" s="21">
        <v>360000</v>
      </c>
      <c r="M283" s="113">
        <v>0.1</v>
      </c>
      <c r="N283" s="24" t="s">
        <v>39</v>
      </c>
      <c r="O283" s="24" t="s">
        <v>39</v>
      </c>
      <c r="P283" s="24" t="s">
        <v>39</v>
      </c>
      <c r="Q283" s="24" t="s">
        <v>39</v>
      </c>
      <c r="R283" s="24" t="s">
        <v>39</v>
      </c>
      <c r="S283" s="24" t="s">
        <v>39</v>
      </c>
      <c r="T283" s="24" t="s">
        <v>39</v>
      </c>
      <c r="U283" s="24" t="s">
        <v>39</v>
      </c>
      <c r="V283" s="24" t="s">
        <v>39</v>
      </c>
      <c r="W283" s="18" t="s">
        <v>934</v>
      </c>
      <c r="X283" s="51" t="s">
        <v>39</v>
      </c>
      <c r="Y283" s="51" t="s">
        <v>39</v>
      </c>
      <c r="Z283" s="51" t="s">
        <v>39</v>
      </c>
      <c r="AA283" s="51" t="s">
        <v>39</v>
      </c>
      <c r="AB283" s="51" t="s">
        <v>39</v>
      </c>
      <c r="AC283" s="46" t="s">
        <v>39</v>
      </c>
      <c r="AD283" s="17"/>
      <c r="AE283" s="25" t="s">
        <v>935</v>
      </c>
      <c r="AF283" s="17" t="s">
        <v>583</v>
      </c>
    </row>
    <row r="284" s="2" customFormat="1" ht="12" customHeight="1" spans="1:32">
      <c r="A284" s="13">
        <v>282</v>
      </c>
      <c r="B284" s="14" t="s">
        <v>944</v>
      </c>
      <c r="C284" s="15" t="s">
        <v>874</v>
      </c>
      <c r="D284" s="15" t="s">
        <v>945</v>
      </c>
      <c r="E284" s="15" t="s">
        <v>946</v>
      </c>
      <c r="F284" s="13" t="s">
        <v>37</v>
      </c>
      <c r="G284" s="16" t="s">
        <v>48</v>
      </c>
      <c r="H284" s="16" t="s">
        <v>39</v>
      </c>
      <c r="I284" s="167" t="s">
        <v>39</v>
      </c>
      <c r="J284" s="134" t="s">
        <v>39</v>
      </c>
      <c r="K284" s="20" t="s">
        <v>39</v>
      </c>
      <c r="L284" s="21" t="s">
        <v>39</v>
      </c>
      <c r="M284" s="20" t="s">
        <v>39</v>
      </c>
      <c r="N284" s="20" t="s">
        <v>39</v>
      </c>
      <c r="O284" s="20" t="s">
        <v>39</v>
      </c>
      <c r="P284" s="20" t="s">
        <v>39</v>
      </c>
      <c r="Q284" s="20" t="s">
        <v>39</v>
      </c>
      <c r="R284" s="20" t="s">
        <v>39</v>
      </c>
      <c r="S284" s="20" t="s">
        <v>39</v>
      </c>
      <c r="T284" s="20" t="s">
        <v>39</v>
      </c>
      <c r="U284" s="24" t="s">
        <v>39</v>
      </c>
      <c r="V284" s="20" t="s">
        <v>39</v>
      </c>
      <c r="W284" s="51" t="s">
        <v>39</v>
      </c>
      <c r="X284" s="51" t="s">
        <v>39</v>
      </c>
      <c r="Y284" s="51" t="s">
        <v>39</v>
      </c>
      <c r="Z284" s="51" t="s">
        <v>39</v>
      </c>
      <c r="AA284" s="51" t="s">
        <v>39</v>
      </c>
      <c r="AB284" s="46">
        <v>0.045</v>
      </c>
      <c r="AC284" s="46" t="s">
        <v>39</v>
      </c>
      <c r="AD284" s="17"/>
      <c r="AE284" s="25"/>
      <c r="AF284" s="206"/>
    </row>
    <row r="285" s="2" customFormat="1" ht="132" customHeight="1" spans="1:32">
      <c r="A285" s="13">
        <v>283</v>
      </c>
      <c r="B285" s="14" t="s">
        <v>947</v>
      </c>
      <c r="C285" s="15" t="s">
        <v>874</v>
      </c>
      <c r="D285" s="15" t="s">
        <v>945</v>
      </c>
      <c r="E285" s="15" t="s">
        <v>946</v>
      </c>
      <c r="F285" s="13" t="s">
        <v>81</v>
      </c>
      <c r="G285" s="16" t="s">
        <v>48</v>
      </c>
      <c r="H285" s="18" t="s">
        <v>39</v>
      </c>
      <c r="I285" s="43" t="s">
        <v>240</v>
      </c>
      <c r="J285" s="18" t="s">
        <v>948</v>
      </c>
      <c r="K285" s="20" t="s">
        <v>39</v>
      </c>
      <c r="L285" s="21">
        <v>1488000</v>
      </c>
      <c r="M285" s="113">
        <v>0.11</v>
      </c>
      <c r="N285" s="113">
        <v>0.01</v>
      </c>
      <c r="O285" s="24" t="s">
        <v>39</v>
      </c>
      <c r="P285" s="113">
        <v>0.02</v>
      </c>
      <c r="Q285" s="113">
        <v>0.01</v>
      </c>
      <c r="R285" s="113">
        <v>0.01</v>
      </c>
      <c r="S285" s="24" t="s">
        <v>39</v>
      </c>
      <c r="T285" s="26"/>
      <c r="U285" s="26"/>
      <c r="V285" s="24" t="s">
        <v>39</v>
      </c>
      <c r="W285" s="20">
        <v>0.5</v>
      </c>
      <c r="X285" s="51" t="s">
        <v>39</v>
      </c>
      <c r="Y285" s="51" t="s">
        <v>39</v>
      </c>
      <c r="Z285" s="51" t="s">
        <v>39</v>
      </c>
      <c r="AA285" s="51" t="s">
        <v>39</v>
      </c>
      <c r="AB285" s="51" t="s">
        <v>39</v>
      </c>
      <c r="AC285" s="46" t="s">
        <v>39</v>
      </c>
      <c r="AD285" s="17"/>
      <c r="AE285" s="25" t="s">
        <v>949</v>
      </c>
      <c r="AF285" s="17" t="s">
        <v>950</v>
      </c>
    </row>
    <row r="286" s="2" customFormat="1" ht="132" customHeight="1" spans="1:32">
      <c r="A286" s="13">
        <v>284</v>
      </c>
      <c r="B286" s="14" t="s">
        <v>951</v>
      </c>
      <c r="C286" s="15" t="s">
        <v>874</v>
      </c>
      <c r="D286" s="15" t="s">
        <v>945</v>
      </c>
      <c r="E286" s="15" t="s">
        <v>946</v>
      </c>
      <c r="F286" s="13" t="s">
        <v>81</v>
      </c>
      <c r="G286" s="16" t="s">
        <v>48</v>
      </c>
      <c r="H286" s="18" t="s">
        <v>39</v>
      </c>
      <c r="I286" s="43" t="s">
        <v>952</v>
      </c>
      <c r="J286" s="18" t="s">
        <v>953</v>
      </c>
      <c r="K286" s="20" t="s">
        <v>39</v>
      </c>
      <c r="L286" s="21">
        <v>510000</v>
      </c>
      <c r="M286" s="113">
        <v>0.13</v>
      </c>
      <c r="N286" s="113">
        <v>0.01</v>
      </c>
      <c r="O286" s="24" t="s">
        <v>39</v>
      </c>
      <c r="P286" s="113">
        <v>0.02</v>
      </c>
      <c r="Q286" s="113">
        <v>0.01</v>
      </c>
      <c r="R286" s="113">
        <v>0.01</v>
      </c>
      <c r="S286" s="24" t="s">
        <v>39</v>
      </c>
      <c r="T286" s="20">
        <v>0.04</v>
      </c>
      <c r="U286" s="113">
        <v>0.01</v>
      </c>
      <c r="V286" s="24" t="s">
        <v>39</v>
      </c>
      <c r="W286" s="20">
        <v>0.5</v>
      </c>
      <c r="X286" s="51" t="s">
        <v>39</v>
      </c>
      <c r="Y286" s="51" t="s">
        <v>39</v>
      </c>
      <c r="Z286" s="51" t="s">
        <v>39</v>
      </c>
      <c r="AA286" s="51" t="s">
        <v>39</v>
      </c>
      <c r="AB286" s="51" t="s">
        <v>39</v>
      </c>
      <c r="AC286" s="46" t="s">
        <v>39</v>
      </c>
      <c r="AD286" s="17"/>
      <c r="AE286" s="25" t="s">
        <v>949</v>
      </c>
      <c r="AF286" s="17" t="s">
        <v>950</v>
      </c>
    </row>
    <row r="287" s="2" customFormat="1" ht="132" customHeight="1" spans="1:32">
      <c r="A287" s="13">
        <v>285</v>
      </c>
      <c r="B287" s="14" t="s">
        <v>954</v>
      </c>
      <c r="C287" s="15" t="s">
        <v>874</v>
      </c>
      <c r="D287" s="15" t="s">
        <v>945</v>
      </c>
      <c r="E287" s="15" t="s">
        <v>946</v>
      </c>
      <c r="F287" s="13" t="s">
        <v>81</v>
      </c>
      <c r="G287" s="16" t="s">
        <v>48</v>
      </c>
      <c r="H287" s="18" t="s">
        <v>39</v>
      </c>
      <c r="I287" s="43" t="s">
        <v>955</v>
      </c>
      <c r="J287" s="18" t="s">
        <v>956</v>
      </c>
      <c r="K287" s="20" t="s">
        <v>39</v>
      </c>
      <c r="L287" s="21">
        <v>510000</v>
      </c>
      <c r="M287" s="113">
        <v>0.11</v>
      </c>
      <c r="N287" s="113">
        <v>0.01</v>
      </c>
      <c r="O287" s="24" t="s">
        <v>39</v>
      </c>
      <c r="P287" s="113">
        <v>0.02</v>
      </c>
      <c r="Q287" s="113">
        <v>0.01</v>
      </c>
      <c r="R287" s="113">
        <v>0.01</v>
      </c>
      <c r="S287" s="24" t="s">
        <v>39</v>
      </c>
      <c r="T287" s="26"/>
      <c r="U287" s="26"/>
      <c r="V287" s="24" t="s">
        <v>39</v>
      </c>
      <c r="W287" s="20">
        <v>0.5</v>
      </c>
      <c r="X287" s="51" t="s">
        <v>39</v>
      </c>
      <c r="Y287" s="51" t="s">
        <v>39</v>
      </c>
      <c r="Z287" s="51" t="s">
        <v>39</v>
      </c>
      <c r="AA287" s="51" t="s">
        <v>39</v>
      </c>
      <c r="AB287" s="51" t="s">
        <v>39</v>
      </c>
      <c r="AC287" s="46" t="s">
        <v>39</v>
      </c>
      <c r="AD287" s="17"/>
      <c r="AE287" s="25" t="s">
        <v>949</v>
      </c>
      <c r="AF287" s="17" t="s">
        <v>950</v>
      </c>
    </row>
    <row r="288" s="2" customFormat="1" ht="132" customHeight="1" spans="1:32">
      <c r="A288" s="13">
        <v>286</v>
      </c>
      <c r="B288" s="14" t="s">
        <v>957</v>
      </c>
      <c r="C288" s="15" t="s">
        <v>874</v>
      </c>
      <c r="D288" s="15" t="s">
        <v>945</v>
      </c>
      <c r="E288" s="15" t="s">
        <v>946</v>
      </c>
      <c r="F288" s="13" t="s">
        <v>81</v>
      </c>
      <c r="G288" s="16" t="s">
        <v>48</v>
      </c>
      <c r="H288" s="18" t="s">
        <v>39</v>
      </c>
      <c r="I288" s="43" t="s">
        <v>958</v>
      </c>
      <c r="J288" s="18" t="s">
        <v>959</v>
      </c>
      <c r="K288" s="20" t="s">
        <v>39</v>
      </c>
      <c r="L288" s="21">
        <v>759428.571428571</v>
      </c>
      <c r="M288" s="113">
        <v>0.13</v>
      </c>
      <c r="N288" s="113">
        <v>0.01</v>
      </c>
      <c r="O288" s="24" t="s">
        <v>39</v>
      </c>
      <c r="P288" s="113">
        <v>0.02</v>
      </c>
      <c r="Q288" s="113">
        <v>0.01</v>
      </c>
      <c r="R288" s="113">
        <v>0.01</v>
      </c>
      <c r="S288" s="24" t="s">
        <v>39</v>
      </c>
      <c r="T288" s="26"/>
      <c r="U288" s="26"/>
      <c r="V288" s="24" t="s">
        <v>39</v>
      </c>
      <c r="W288" s="20">
        <v>0.5</v>
      </c>
      <c r="X288" s="51" t="s">
        <v>39</v>
      </c>
      <c r="Y288" s="51" t="s">
        <v>39</v>
      </c>
      <c r="Z288" s="51" t="s">
        <v>39</v>
      </c>
      <c r="AA288" s="51" t="s">
        <v>39</v>
      </c>
      <c r="AB288" s="51" t="s">
        <v>39</v>
      </c>
      <c r="AC288" s="46" t="s">
        <v>39</v>
      </c>
      <c r="AD288" s="17"/>
      <c r="AE288" s="25" t="s">
        <v>949</v>
      </c>
      <c r="AF288" s="17" t="s">
        <v>950</v>
      </c>
    </row>
    <row r="289" s="2" customFormat="1" ht="132" customHeight="1" spans="1:32">
      <c r="A289" s="13">
        <v>287</v>
      </c>
      <c r="B289" s="14" t="s">
        <v>960</v>
      </c>
      <c r="C289" s="15" t="s">
        <v>874</v>
      </c>
      <c r="D289" s="15" t="s">
        <v>945</v>
      </c>
      <c r="E289" s="15" t="s">
        <v>946</v>
      </c>
      <c r="F289" s="13" t="s">
        <v>81</v>
      </c>
      <c r="G289" s="16" t="s">
        <v>48</v>
      </c>
      <c r="H289" s="18" t="s">
        <v>39</v>
      </c>
      <c r="I289" s="43" t="s">
        <v>522</v>
      </c>
      <c r="J289" s="18" t="s">
        <v>961</v>
      </c>
      <c r="K289" s="20" t="s">
        <v>39</v>
      </c>
      <c r="L289" s="21">
        <v>807428.571428571</v>
      </c>
      <c r="M289" s="113">
        <v>0.13</v>
      </c>
      <c r="N289" s="113">
        <v>0.01</v>
      </c>
      <c r="O289" s="24" t="s">
        <v>39</v>
      </c>
      <c r="P289" s="113">
        <v>0.02</v>
      </c>
      <c r="Q289" s="113">
        <v>0.01</v>
      </c>
      <c r="R289" s="113">
        <v>0.01</v>
      </c>
      <c r="S289" s="24" t="s">
        <v>39</v>
      </c>
      <c r="T289" s="26"/>
      <c r="U289" s="26"/>
      <c r="V289" s="24" t="s">
        <v>39</v>
      </c>
      <c r="W289" s="20">
        <v>0.5</v>
      </c>
      <c r="X289" s="51" t="s">
        <v>39</v>
      </c>
      <c r="Y289" s="51" t="s">
        <v>39</v>
      </c>
      <c r="Z289" s="51" t="s">
        <v>39</v>
      </c>
      <c r="AA289" s="51" t="s">
        <v>39</v>
      </c>
      <c r="AB289" s="51" t="s">
        <v>39</v>
      </c>
      <c r="AC289" s="46" t="s">
        <v>39</v>
      </c>
      <c r="AD289" s="17"/>
      <c r="AE289" s="25" t="s">
        <v>949</v>
      </c>
      <c r="AF289" s="17" t="s">
        <v>950</v>
      </c>
    </row>
    <row r="290" s="2" customFormat="1" ht="132" customHeight="1" spans="1:32">
      <c r="A290" s="13">
        <v>288</v>
      </c>
      <c r="B290" s="14" t="s">
        <v>962</v>
      </c>
      <c r="C290" s="15" t="s">
        <v>874</v>
      </c>
      <c r="D290" s="15" t="s">
        <v>945</v>
      </c>
      <c r="E290" s="15" t="s">
        <v>946</v>
      </c>
      <c r="F290" s="13" t="s">
        <v>81</v>
      </c>
      <c r="G290" s="16" t="s">
        <v>48</v>
      </c>
      <c r="H290" s="18" t="s">
        <v>39</v>
      </c>
      <c r="I290" s="43" t="s">
        <v>186</v>
      </c>
      <c r="J290" s="18" t="s">
        <v>963</v>
      </c>
      <c r="K290" s="20" t="s">
        <v>39</v>
      </c>
      <c r="L290" s="21">
        <v>1014857.14285714</v>
      </c>
      <c r="M290" s="113">
        <v>0.12</v>
      </c>
      <c r="N290" s="113">
        <v>0.01</v>
      </c>
      <c r="O290" s="24" t="s">
        <v>39</v>
      </c>
      <c r="P290" s="113">
        <v>0.02</v>
      </c>
      <c r="Q290" s="113">
        <v>0.01</v>
      </c>
      <c r="R290" s="113">
        <v>0.01</v>
      </c>
      <c r="S290" s="24" t="s">
        <v>39</v>
      </c>
      <c r="T290" s="26"/>
      <c r="U290" s="26"/>
      <c r="V290" s="24" t="s">
        <v>39</v>
      </c>
      <c r="W290" s="20">
        <v>0.5</v>
      </c>
      <c r="X290" s="51" t="s">
        <v>39</v>
      </c>
      <c r="Y290" s="51" t="s">
        <v>39</v>
      </c>
      <c r="Z290" s="51" t="s">
        <v>39</v>
      </c>
      <c r="AA290" s="51" t="s">
        <v>39</v>
      </c>
      <c r="AB290" s="51" t="s">
        <v>39</v>
      </c>
      <c r="AC290" s="46" t="s">
        <v>39</v>
      </c>
      <c r="AD290" s="17"/>
      <c r="AE290" s="25" t="s">
        <v>949</v>
      </c>
      <c r="AF290" s="17" t="s">
        <v>950</v>
      </c>
    </row>
    <row r="291" s="2" customFormat="1" ht="132" customHeight="1" spans="1:32">
      <c r="A291" s="13">
        <v>289</v>
      </c>
      <c r="B291" s="14" t="s">
        <v>964</v>
      </c>
      <c r="C291" s="15" t="s">
        <v>874</v>
      </c>
      <c r="D291" s="15" t="s">
        <v>945</v>
      </c>
      <c r="E291" s="15" t="s">
        <v>946</v>
      </c>
      <c r="F291" s="13" t="s">
        <v>81</v>
      </c>
      <c r="G291" s="16" t="s">
        <v>48</v>
      </c>
      <c r="H291" s="18" t="s">
        <v>39</v>
      </c>
      <c r="I291" s="43" t="s">
        <v>965</v>
      </c>
      <c r="J291" s="18" t="s">
        <v>966</v>
      </c>
      <c r="K291" s="20" t="s">
        <v>39</v>
      </c>
      <c r="L291" s="21">
        <v>750857.142857143</v>
      </c>
      <c r="M291" s="113">
        <v>0.15</v>
      </c>
      <c r="N291" s="113">
        <v>0.01</v>
      </c>
      <c r="O291" s="24" t="s">
        <v>39</v>
      </c>
      <c r="P291" s="113">
        <v>0.02</v>
      </c>
      <c r="Q291" s="113">
        <v>0.01</v>
      </c>
      <c r="R291" s="113">
        <v>0.01</v>
      </c>
      <c r="S291" s="24" t="s">
        <v>39</v>
      </c>
      <c r="T291" s="26"/>
      <c r="U291" s="26"/>
      <c r="V291" s="24" t="s">
        <v>39</v>
      </c>
      <c r="W291" s="20">
        <v>0.5</v>
      </c>
      <c r="X291" s="51" t="s">
        <v>39</v>
      </c>
      <c r="Y291" s="51" t="s">
        <v>39</v>
      </c>
      <c r="Z291" s="51" t="s">
        <v>39</v>
      </c>
      <c r="AA291" s="51" t="s">
        <v>39</v>
      </c>
      <c r="AB291" s="51" t="s">
        <v>39</v>
      </c>
      <c r="AC291" s="46" t="s">
        <v>39</v>
      </c>
      <c r="AD291" s="17"/>
      <c r="AE291" s="25" t="s">
        <v>949</v>
      </c>
      <c r="AF291" s="17" t="s">
        <v>950</v>
      </c>
    </row>
    <row r="292" s="2" customFormat="1" ht="132" customHeight="1" spans="1:32">
      <c r="A292" s="13">
        <v>290</v>
      </c>
      <c r="B292" s="14" t="s">
        <v>967</v>
      </c>
      <c r="C292" s="15" t="s">
        <v>874</v>
      </c>
      <c r="D292" s="15" t="s">
        <v>945</v>
      </c>
      <c r="E292" s="15" t="s">
        <v>946</v>
      </c>
      <c r="F292" s="13" t="s">
        <v>81</v>
      </c>
      <c r="G292" s="16" t="s">
        <v>48</v>
      </c>
      <c r="H292" s="18" t="s">
        <v>39</v>
      </c>
      <c r="I292" s="43" t="s">
        <v>485</v>
      </c>
      <c r="J292" s="18" t="s">
        <v>968</v>
      </c>
      <c r="K292" s="20" t="s">
        <v>39</v>
      </c>
      <c r="L292" s="21">
        <v>992571.428571428</v>
      </c>
      <c r="M292" s="113">
        <v>0.11</v>
      </c>
      <c r="N292" s="113">
        <v>0.01</v>
      </c>
      <c r="O292" s="24" t="s">
        <v>39</v>
      </c>
      <c r="P292" s="113">
        <v>0.02</v>
      </c>
      <c r="Q292" s="113">
        <v>0.01</v>
      </c>
      <c r="R292" s="113">
        <v>0.01</v>
      </c>
      <c r="S292" s="24" t="s">
        <v>39</v>
      </c>
      <c r="T292" s="26"/>
      <c r="U292" s="26"/>
      <c r="V292" s="24" t="s">
        <v>39</v>
      </c>
      <c r="W292" s="20">
        <v>0.5</v>
      </c>
      <c r="X292" s="51" t="s">
        <v>39</v>
      </c>
      <c r="Y292" s="51" t="s">
        <v>39</v>
      </c>
      <c r="Z292" s="51" t="s">
        <v>39</v>
      </c>
      <c r="AA292" s="51" t="s">
        <v>39</v>
      </c>
      <c r="AB292" s="51" t="s">
        <v>39</v>
      </c>
      <c r="AC292" s="46" t="s">
        <v>39</v>
      </c>
      <c r="AD292" s="17"/>
      <c r="AE292" s="25" t="s">
        <v>949</v>
      </c>
      <c r="AF292" s="17" t="s">
        <v>950</v>
      </c>
    </row>
    <row r="293" s="2" customFormat="1" ht="132" customHeight="1" spans="1:32">
      <c r="A293" s="13">
        <v>291</v>
      </c>
      <c r="B293" s="14" t="s">
        <v>969</v>
      </c>
      <c r="C293" s="15" t="s">
        <v>874</v>
      </c>
      <c r="D293" s="15" t="s">
        <v>945</v>
      </c>
      <c r="E293" s="15" t="s">
        <v>946</v>
      </c>
      <c r="F293" s="13" t="s">
        <v>81</v>
      </c>
      <c r="G293" s="16" t="s">
        <v>48</v>
      </c>
      <c r="H293" s="18" t="s">
        <v>39</v>
      </c>
      <c r="I293" s="43" t="s">
        <v>240</v>
      </c>
      <c r="J293" s="18" t="s">
        <v>970</v>
      </c>
      <c r="K293" s="20" t="s">
        <v>39</v>
      </c>
      <c r="L293" s="21">
        <v>480000</v>
      </c>
      <c r="M293" s="113">
        <v>0.06</v>
      </c>
      <c r="N293" s="113">
        <v>0.01</v>
      </c>
      <c r="O293" s="24" t="s">
        <v>39</v>
      </c>
      <c r="P293" s="113">
        <v>0.02</v>
      </c>
      <c r="Q293" s="113">
        <v>0.01</v>
      </c>
      <c r="R293" s="113">
        <v>0.01</v>
      </c>
      <c r="S293" s="24" t="s">
        <v>39</v>
      </c>
      <c r="T293" s="20">
        <v>0.04</v>
      </c>
      <c r="U293" s="113">
        <v>0.01</v>
      </c>
      <c r="V293" s="24" t="s">
        <v>39</v>
      </c>
      <c r="W293" s="20">
        <v>0.5</v>
      </c>
      <c r="X293" s="51" t="s">
        <v>39</v>
      </c>
      <c r="Y293" s="51" t="s">
        <v>39</v>
      </c>
      <c r="Z293" s="51" t="s">
        <v>39</v>
      </c>
      <c r="AA293" s="51" t="s">
        <v>39</v>
      </c>
      <c r="AB293" s="51" t="s">
        <v>39</v>
      </c>
      <c r="AC293" s="46" t="s">
        <v>39</v>
      </c>
      <c r="AD293" s="17"/>
      <c r="AE293" s="25" t="s">
        <v>949</v>
      </c>
      <c r="AF293" s="17" t="s">
        <v>950</v>
      </c>
    </row>
    <row r="294" s="2" customFormat="1" ht="132" customHeight="1" spans="1:32">
      <c r="A294" s="13">
        <v>292</v>
      </c>
      <c r="B294" s="14" t="s">
        <v>971</v>
      </c>
      <c r="C294" s="15" t="s">
        <v>874</v>
      </c>
      <c r="D294" s="15" t="s">
        <v>945</v>
      </c>
      <c r="E294" s="15" t="s">
        <v>946</v>
      </c>
      <c r="F294" s="13" t="s">
        <v>81</v>
      </c>
      <c r="G294" s="16" t="s">
        <v>48</v>
      </c>
      <c r="H294" s="18" t="s">
        <v>39</v>
      </c>
      <c r="I294" s="43" t="s">
        <v>818</v>
      </c>
      <c r="J294" s="18" t="s">
        <v>972</v>
      </c>
      <c r="K294" s="20" t="s">
        <v>39</v>
      </c>
      <c r="L294" s="21">
        <v>510000</v>
      </c>
      <c r="M294" s="113">
        <v>0.14</v>
      </c>
      <c r="N294" s="113">
        <v>0.01</v>
      </c>
      <c r="O294" s="24" t="s">
        <v>39</v>
      </c>
      <c r="P294" s="113">
        <v>0.02</v>
      </c>
      <c r="Q294" s="113">
        <v>0.01</v>
      </c>
      <c r="R294" s="113">
        <v>0.01</v>
      </c>
      <c r="S294" s="24" t="s">
        <v>39</v>
      </c>
      <c r="T294" s="26"/>
      <c r="U294" s="26"/>
      <c r="V294" s="24" t="s">
        <v>39</v>
      </c>
      <c r="W294" s="20">
        <v>0.5</v>
      </c>
      <c r="X294" s="51" t="s">
        <v>39</v>
      </c>
      <c r="Y294" s="51" t="s">
        <v>39</v>
      </c>
      <c r="Z294" s="51" t="s">
        <v>39</v>
      </c>
      <c r="AA294" s="51" t="s">
        <v>39</v>
      </c>
      <c r="AB294" s="51" t="s">
        <v>39</v>
      </c>
      <c r="AC294" s="46" t="s">
        <v>39</v>
      </c>
      <c r="AD294" s="17"/>
      <c r="AE294" s="25" t="s">
        <v>949</v>
      </c>
      <c r="AF294" s="17" t="s">
        <v>950</v>
      </c>
    </row>
    <row r="295" s="2" customFormat="1" ht="132" customHeight="1" spans="1:32">
      <c r="A295" s="13">
        <v>293</v>
      </c>
      <c r="B295" s="14" t="s">
        <v>973</v>
      </c>
      <c r="C295" s="15" t="s">
        <v>874</v>
      </c>
      <c r="D295" s="15" t="s">
        <v>945</v>
      </c>
      <c r="E295" s="15" t="s">
        <v>946</v>
      </c>
      <c r="F295" s="13" t="s">
        <v>81</v>
      </c>
      <c r="G295" s="16" t="s">
        <v>48</v>
      </c>
      <c r="H295" s="18" t="s">
        <v>39</v>
      </c>
      <c r="I295" s="43" t="s">
        <v>888</v>
      </c>
      <c r="J295" s="93" t="s">
        <v>974</v>
      </c>
      <c r="K295" s="20" t="s">
        <v>39</v>
      </c>
      <c r="L295" s="21">
        <v>396000</v>
      </c>
      <c r="M295" s="113">
        <v>0.15</v>
      </c>
      <c r="N295" s="113">
        <v>0.01</v>
      </c>
      <c r="O295" s="24" t="s">
        <v>39</v>
      </c>
      <c r="P295" s="113">
        <v>0.02</v>
      </c>
      <c r="Q295" s="113">
        <v>0.01</v>
      </c>
      <c r="R295" s="113">
        <v>0.01</v>
      </c>
      <c r="S295" s="24" t="s">
        <v>39</v>
      </c>
      <c r="T295" s="26"/>
      <c r="U295" s="26"/>
      <c r="V295" s="24" t="s">
        <v>39</v>
      </c>
      <c r="W295" s="20">
        <v>0.5</v>
      </c>
      <c r="X295" s="51" t="s">
        <v>39</v>
      </c>
      <c r="Y295" s="51" t="s">
        <v>39</v>
      </c>
      <c r="Z295" s="51" t="s">
        <v>39</v>
      </c>
      <c r="AA295" s="51" t="s">
        <v>39</v>
      </c>
      <c r="AB295" s="51" t="s">
        <v>39</v>
      </c>
      <c r="AC295" s="46" t="s">
        <v>39</v>
      </c>
      <c r="AD295" s="17"/>
      <c r="AE295" s="25" t="s">
        <v>949</v>
      </c>
      <c r="AF295" s="17" t="s">
        <v>950</v>
      </c>
    </row>
    <row r="296" s="2" customFormat="1" ht="132" customHeight="1" spans="1:32">
      <c r="A296" s="13">
        <v>294</v>
      </c>
      <c r="B296" s="14" t="s">
        <v>975</v>
      </c>
      <c r="C296" s="15" t="s">
        <v>874</v>
      </c>
      <c r="D296" s="15" t="s">
        <v>945</v>
      </c>
      <c r="E296" s="15" t="s">
        <v>946</v>
      </c>
      <c r="F296" s="13" t="s">
        <v>81</v>
      </c>
      <c r="G296" s="16" t="s">
        <v>48</v>
      </c>
      <c r="H296" s="18" t="s">
        <v>39</v>
      </c>
      <c r="I296" s="43" t="s">
        <v>709</v>
      </c>
      <c r="J296" s="93" t="s">
        <v>976</v>
      </c>
      <c r="K296" s="20" t="s">
        <v>39</v>
      </c>
      <c r="L296" s="21">
        <v>466285.714285714</v>
      </c>
      <c r="M296" s="113">
        <v>0.15</v>
      </c>
      <c r="N296" s="113">
        <v>0.01</v>
      </c>
      <c r="O296" s="24" t="s">
        <v>39</v>
      </c>
      <c r="P296" s="113">
        <v>0.02</v>
      </c>
      <c r="Q296" s="113">
        <v>0.01</v>
      </c>
      <c r="R296" s="113">
        <v>0.01</v>
      </c>
      <c r="S296" s="24" t="s">
        <v>39</v>
      </c>
      <c r="T296" s="26"/>
      <c r="U296" s="26"/>
      <c r="V296" s="24" t="s">
        <v>39</v>
      </c>
      <c r="W296" s="20">
        <v>0.5</v>
      </c>
      <c r="X296" s="51" t="s">
        <v>39</v>
      </c>
      <c r="Y296" s="51" t="s">
        <v>39</v>
      </c>
      <c r="Z296" s="51" t="s">
        <v>39</v>
      </c>
      <c r="AA296" s="51" t="s">
        <v>39</v>
      </c>
      <c r="AB296" s="51" t="s">
        <v>39</v>
      </c>
      <c r="AC296" s="46" t="s">
        <v>39</v>
      </c>
      <c r="AD296" s="17"/>
      <c r="AE296" s="25" t="s">
        <v>949</v>
      </c>
      <c r="AF296" s="17" t="s">
        <v>950</v>
      </c>
    </row>
    <row r="297" s="2" customFormat="1" ht="132" customHeight="1" spans="1:32">
      <c r="A297" s="13">
        <v>295</v>
      </c>
      <c r="B297" s="14" t="s">
        <v>977</v>
      </c>
      <c r="C297" s="15" t="s">
        <v>874</v>
      </c>
      <c r="D297" s="15" t="s">
        <v>945</v>
      </c>
      <c r="E297" s="15" t="s">
        <v>946</v>
      </c>
      <c r="F297" s="13" t="s">
        <v>81</v>
      </c>
      <c r="G297" s="16" t="s">
        <v>48</v>
      </c>
      <c r="H297" s="18" t="s">
        <v>39</v>
      </c>
      <c r="I297" s="43" t="s">
        <v>978</v>
      </c>
      <c r="J297" s="93" t="s">
        <v>979</v>
      </c>
      <c r="K297" s="20" t="s">
        <v>39</v>
      </c>
      <c r="L297" s="21">
        <v>690857.142857143</v>
      </c>
      <c r="M297" s="113">
        <v>0.13</v>
      </c>
      <c r="N297" s="113">
        <v>0.01</v>
      </c>
      <c r="O297" s="24" t="s">
        <v>39</v>
      </c>
      <c r="P297" s="113">
        <v>0.02</v>
      </c>
      <c r="Q297" s="113">
        <v>0.01</v>
      </c>
      <c r="R297" s="113">
        <v>0.01</v>
      </c>
      <c r="S297" s="24" t="s">
        <v>39</v>
      </c>
      <c r="T297" s="26"/>
      <c r="U297" s="26"/>
      <c r="V297" s="24" t="s">
        <v>39</v>
      </c>
      <c r="W297" s="20">
        <v>0.5</v>
      </c>
      <c r="X297" s="51" t="s">
        <v>39</v>
      </c>
      <c r="Y297" s="51" t="s">
        <v>39</v>
      </c>
      <c r="Z297" s="51" t="s">
        <v>39</v>
      </c>
      <c r="AA297" s="51" t="s">
        <v>39</v>
      </c>
      <c r="AB297" s="51" t="s">
        <v>39</v>
      </c>
      <c r="AC297" s="46" t="s">
        <v>39</v>
      </c>
      <c r="AD297" s="17"/>
      <c r="AE297" s="25" t="s">
        <v>949</v>
      </c>
      <c r="AF297" s="17" t="s">
        <v>950</v>
      </c>
    </row>
    <row r="298" s="2" customFormat="1" ht="132" customHeight="1" spans="1:32">
      <c r="A298" s="13">
        <v>296</v>
      </c>
      <c r="B298" s="14" t="s">
        <v>980</v>
      </c>
      <c r="C298" s="15" t="s">
        <v>874</v>
      </c>
      <c r="D298" s="15" t="s">
        <v>945</v>
      </c>
      <c r="E298" s="15" t="s">
        <v>946</v>
      </c>
      <c r="F298" s="13" t="s">
        <v>81</v>
      </c>
      <c r="G298" s="16" t="s">
        <v>48</v>
      </c>
      <c r="H298" s="18" t="s">
        <v>39</v>
      </c>
      <c r="I298" s="43" t="s">
        <v>488</v>
      </c>
      <c r="J298" s="93" t="s">
        <v>981</v>
      </c>
      <c r="K298" s="20" t="s">
        <v>39</v>
      </c>
      <c r="L298" s="21">
        <v>459428.571428571</v>
      </c>
      <c r="M298" s="113">
        <v>0.07</v>
      </c>
      <c r="N298" s="113">
        <v>0.01</v>
      </c>
      <c r="O298" s="24" t="s">
        <v>39</v>
      </c>
      <c r="P298" s="24" t="s">
        <v>39</v>
      </c>
      <c r="Q298" s="113">
        <v>0.01</v>
      </c>
      <c r="R298" s="113">
        <v>0.01</v>
      </c>
      <c r="S298" s="24" t="s">
        <v>39</v>
      </c>
      <c r="T298" s="26"/>
      <c r="U298" s="26"/>
      <c r="V298" s="24" t="s">
        <v>39</v>
      </c>
      <c r="W298" s="20">
        <v>0.5</v>
      </c>
      <c r="X298" s="51" t="s">
        <v>39</v>
      </c>
      <c r="Y298" s="51" t="s">
        <v>39</v>
      </c>
      <c r="Z298" s="51" t="s">
        <v>39</v>
      </c>
      <c r="AA298" s="51" t="s">
        <v>39</v>
      </c>
      <c r="AB298" s="51" t="s">
        <v>39</v>
      </c>
      <c r="AC298" s="46" t="s">
        <v>39</v>
      </c>
      <c r="AD298" s="17"/>
      <c r="AE298" s="25" t="s">
        <v>949</v>
      </c>
      <c r="AF298" s="17" t="s">
        <v>982</v>
      </c>
    </row>
    <row r="299" s="2" customFormat="1" ht="12" customHeight="1" spans="1:32">
      <c r="A299" s="13">
        <v>297</v>
      </c>
      <c r="B299" s="14" t="s">
        <v>983</v>
      </c>
      <c r="C299" s="15" t="s">
        <v>874</v>
      </c>
      <c r="D299" s="15" t="s">
        <v>984</v>
      </c>
      <c r="E299" s="15" t="s">
        <v>985</v>
      </c>
      <c r="F299" s="13" t="s">
        <v>37</v>
      </c>
      <c r="G299" s="16" t="s">
        <v>48</v>
      </c>
      <c r="H299" s="16" t="s">
        <v>39</v>
      </c>
      <c r="I299" s="167" t="s">
        <v>39</v>
      </c>
      <c r="J299" s="134" t="s">
        <v>39</v>
      </c>
      <c r="K299" s="20" t="s">
        <v>39</v>
      </c>
      <c r="L299" s="21" t="s">
        <v>39</v>
      </c>
      <c r="M299" s="20" t="s">
        <v>39</v>
      </c>
      <c r="N299" s="20" t="s">
        <v>39</v>
      </c>
      <c r="O299" s="20" t="s">
        <v>39</v>
      </c>
      <c r="P299" s="20" t="s">
        <v>39</v>
      </c>
      <c r="Q299" s="20" t="s">
        <v>39</v>
      </c>
      <c r="R299" s="20" t="s">
        <v>39</v>
      </c>
      <c r="S299" s="20" t="s">
        <v>39</v>
      </c>
      <c r="T299" s="20" t="s">
        <v>39</v>
      </c>
      <c r="U299" s="18" t="s">
        <v>39</v>
      </c>
      <c r="V299" s="20" t="s">
        <v>39</v>
      </c>
      <c r="W299" s="18" t="s">
        <v>39</v>
      </c>
      <c r="X299" s="51" t="s">
        <v>39</v>
      </c>
      <c r="Y299" s="51" t="s">
        <v>39</v>
      </c>
      <c r="Z299" s="51" t="s">
        <v>39</v>
      </c>
      <c r="AA299" s="51" t="s">
        <v>39</v>
      </c>
      <c r="AB299" s="46">
        <v>0.045</v>
      </c>
      <c r="AC299" s="46" t="s">
        <v>39</v>
      </c>
      <c r="AD299" s="17"/>
      <c r="AE299" s="25"/>
      <c r="AF299" s="206"/>
    </row>
    <row r="300" s="2" customFormat="1" ht="84" customHeight="1" spans="1:32">
      <c r="A300" s="13">
        <v>298</v>
      </c>
      <c r="B300" s="14" t="s">
        <v>986</v>
      </c>
      <c r="C300" s="15" t="s">
        <v>874</v>
      </c>
      <c r="D300" s="15" t="s">
        <v>984</v>
      </c>
      <c r="E300" s="15" t="s">
        <v>985</v>
      </c>
      <c r="F300" s="13" t="s">
        <v>81</v>
      </c>
      <c r="G300" s="16" t="s">
        <v>48</v>
      </c>
      <c r="H300" s="18" t="s">
        <v>39</v>
      </c>
      <c r="I300" s="43" t="s">
        <v>987</v>
      </c>
      <c r="J300" s="93" t="s">
        <v>988</v>
      </c>
      <c r="K300" s="20" t="s">
        <v>39</v>
      </c>
      <c r="L300" s="21">
        <v>1140000</v>
      </c>
      <c r="M300" s="113">
        <v>0.17</v>
      </c>
      <c r="N300" s="24" t="s">
        <v>39</v>
      </c>
      <c r="O300" s="24" t="s">
        <v>39</v>
      </c>
      <c r="P300" s="24" t="s">
        <v>39</v>
      </c>
      <c r="Q300" s="24" t="s">
        <v>39</v>
      </c>
      <c r="R300" s="24" t="s">
        <v>39</v>
      </c>
      <c r="S300" s="24" t="s">
        <v>39</v>
      </c>
      <c r="T300" s="26"/>
      <c r="U300" s="26"/>
      <c r="V300" s="24" t="s">
        <v>39</v>
      </c>
      <c r="W300" s="20">
        <v>0.4</v>
      </c>
      <c r="X300" s="51" t="s">
        <v>39</v>
      </c>
      <c r="Y300" s="51" t="s">
        <v>39</v>
      </c>
      <c r="Z300" s="51" t="s">
        <v>39</v>
      </c>
      <c r="AA300" s="51" t="s">
        <v>39</v>
      </c>
      <c r="AB300" s="51" t="s">
        <v>39</v>
      </c>
      <c r="AC300" s="46" t="s">
        <v>39</v>
      </c>
      <c r="AD300" s="17"/>
      <c r="AE300" s="25" t="s">
        <v>949</v>
      </c>
      <c r="AF300" s="17" t="s">
        <v>989</v>
      </c>
    </row>
    <row r="301" s="2" customFormat="1" ht="84" customHeight="1" spans="1:32">
      <c r="A301" s="13">
        <v>299</v>
      </c>
      <c r="B301" s="14" t="s">
        <v>990</v>
      </c>
      <c r="C301" s="15" t="s">
        <v>874</v>
      </c>
      <c r="D301" s="15" t="s">
        <v>984</v>
      </c>
      <c r="E301" s="15" t="s">
        <v>985</v>
      </c>
      <c r="F301" s="13" t="s">
        <v>81</v>
      </c>
      <c r="G301" s="16" t="s">
        <v>48</v>
      </c>
      <c r="H301" s="18" t="s">
        <v>39</v>
      </c>
      <c r="I301" s="43" t="s">
        <v>991</v>
      </c>
      <c r="J301" s="93" t="s">
        <v>992</v>
      </c>
      <c r="K301" s="20" t="s">
        <v>39</v>
      </c>
      <c r="L301" s="21">
        <v>1106000</v>
      </c>
      <c r="M301" s="113">
        <v>0.17</v>
      </c>
      <c r="N301" s="24" t="s">
        <v>39</v>
      </c>
      <c r="O301" s="24" t="s">
        <v>39</v>
      </c>
      <c r="P301" s="24" t="s">
        <v>39</v>
      </c>
      <c r="Q301" s="24" t="s">
        <v>39</v>
      </c>
      <c r="R301" s="24" t="s">
        <v>39</v>
      </c>
      <c r="S301" s="24" t="s">
        <v>39</v>
      </c>
      <c r="T301" s="26"/>
      <c r="U301" s="26"/>
      <c r="V301" s="24" t="s">
        <v>39</v>
      </c>
      <c r="W301" s="20">
        <v>0.4</v>
      </c>
      <c r="X301" s="51" t="s">
        <v>39</v>
      </c>
      <c r="Y301" s="51" t="s">
        <v>39</v>
      </c>
      <c r="Z301" s="51" t="s">
        <v>39</v>
      </c>
      <c r="AA301" s="51" t="s">
        <v>39</v>
      </c>
      <c r="AB301" s="51" t="s">
        <v>39</v>
      </c>
      <c r="AC301" s="46" t="s">
        <v>39</v>
      </c>
      <c r="AD301" s="17"/>
      <c r="AE301" s="25" t="s">
        <v>949</v>
      </c>
      <c r="AF301" s="17" t="s">
        <v>989</v>
      </c>
    </row>
    <row r="302" s="2" customFormat="1" ht="84" customHeight="1" spans="1:32">
      <c r="A302" s="13">
        <v>300</v>
      </c>
      <c r="B302" s="14" t="s">
        <v>993</v>
      </c>
      <c r="C302" s="15" t="s">
        <v>874</v>
      </c>
      <c r="D302" s="15" t="s">
        <v>984</v>
      </c>
      <c r="E302" s="15" t="s">
        <v>985</v>
      </c>
      <c r="F302" s="13" t="s">
        <v>81</v>
      </c>
      <c r="G302" s="16" t="s">
        <v>48</v>
      </c>
      <c r="H302" s="18" t="s">
        <v>39</v>
      </c>
      <c r="I302" s="43" t="s">
        <v>888</v>
      </c>
      <c r="J302" s="93" t="s">
        <v>994</v>
      </c>
      <c r="K302" s="20" t="s">
        <v>39</v>
      </c>
      <c r="L302" s="21">
        <v>680000</v>
      </c>
      <c r="M302" s="113">
        <v>0.2</v>
      </c>
      <c r="N302" s="24" t="s">
        <v>39</v>
      </c>
      <c r="O302" s="24" t="s">
        <v>39</v>
      </c>
      <c r="P302" s="24" t="s">
        <v>39</v>
      </c>
      <c r="Q302" s="24" t="s">
        <v>39</v>
      </c>
      <c r="R302" s="24" t="s">
        <v>39</v>
      </c>
      <c r="S302" s="24" t="s">
        <v>39</v>
      </c>
      <c r="T302" s="26"/>
      <c r="U302" s="26"/>
      <c r="V302" s="24" t="s">
        <v>39</v>
      </c>
      <c r="W302" s="20">
        <v>0.4</v>
      </c>
      <c r="X302" s="51" t="s">
        <v>39</v>
      </c>
      <c r="Y302" s="51" t="s">
        <v>39</v>
      </c>
      <c r="Z302" s="51" t="s">
        <v>39</v>
      </c>
      <c r="AA302" s="51" t="s">
        <v>39</v>
      </c>
      <c r="AB302" s="51" t="s">
        <v>39</v>
      </c>
      <c r="AC302" s="46" t="s">
        <v>39</v>
      </c>
      <c r="AD302" s="17"/>
      <c r="AE302" s="25" t="s">
        <v>949</v>
      </c>
      <c r="AF302" s="17" t="s">
        <v>989</v>
      </c>
    </row>
    <row r="303" s="2" customFormat="1" ht="84" customHeight="1" spans="1:32">
      <c r="A303" s="13">
        <v>301</v>
      </c>
      <c r="B303" s="14" t="s">
        <v>995</v>
      </c>
      <c r="C303" s="15" t="s">
        <v>874</v>
      </c>
      <c r="D303" s="15" t="s">
        <v>984</v>
      </c>
      <c r="E303" s="15" t="s">
        <v>985</v>
      </c>
      <c r="F303" s="13" t="s">
        <v>81</v>
      </c>
      <c r="G303" s="16" t="s">
        <v>48</v>
      </c>
      <c r="H303" s="18" t="s">
        <v>39</v>
      </c>
      <c r="I303" s="43" t="s">
        <v>319</v>
      </c>
      <c r="J303" s="93" t="s">
        <v>996</v>
      </c>
      <c r="K303" s="20" t="s">
        <v>39</v>
      </c>
      <c r="L303" s="21">
        <v>780000</v>
      </c>
      <c r="M303" s="113">
        <v>0.2</v>
      </c>
      <c r="N303" s="24" t="s">
        <v>39</v>
      </c>
      <c r="O303" s="24" t="s">
        <v>39</v>
      </c>
      <c r="P303" s="24" t="s">
        <v>39</v>
      </c>
      <c r="Q303" s="24" t="s">
        <v>39</v>
      </c>
      <c r="R303" s="24" t="s">
        <v>39</v>
      </c>
      <c r="S303" s="24" t="s">
        <v>39</v>
      </c>
      <c r="T303" s="26"/>
      <c r="U303" s="26"/>
      <c r="V303" s="24" t="s">
        <v>39</v>
      </c>
      <c r="W303" s="20">
        <v>0.4</v>
      </c>
      <c r="X303" s="51" t="s">
        <v>39</v>
      </c>
      <c r="Y303" s="51" t="s">
        <v>39</v>
      </c>
      <c r="Z303" s="51" t="s">
        <v>39</v>
      </c>
      <c r="AA303" s="51" t="s">
        <v>39</v>
      </c>
      <c r="AB303" s="51" t="s">
        <v>39</v>
      </c>
      <c r="AC303" s="46" t="s">
        <v>39</v>
      </c>
      <c r="AD303" s="17"/>
      <c r="AE303" s="25" t="s">
        <v>949</v>
      </c>
      <c r="AF303" s="17" t="s">
        <v>989</v>
      </c>
    </row>
    <row r="304" s="2" customFormat="1" ht="84" customHeight="1" spans="1:32">
      <c r="A304" s="13">
        <v>302</v>
      </c>
      <c r="B304" s="14" t="s">
        <v>997</v>
      </c>
      <c r="C304" s="15" t="s">
        <v>874</v>
      </c>
      <c r="D304" s="15" t="s">
        <v>984</v>
      </c>
      <c r="E304" s="15" t="s">
        <v>985</v>
      </c>
      <c r="F304" s="13" t="s">
        <v>81</v>
      </c>
      <c r="G304" s="16" t="s">
        <v>48</v>
      </c>
      <c r="H304" s="18" t="s">
        <v>39</v>
      </c>
      <c r="I304" s="43" t="s">
        <v>998</v>
      </c>
      <c r="J304" s="93" t="s">
        <v>999</v>
      </c>
      <c r="K304" s="20" t="s">
        <v>39</v>
      </c>
      <c r="L304" s="21">
        <v>700000</v>
      </c>
      <c r="M304" s="113">
        <v>0.2</v>
      </c>
      <c r="N304" s="24" t="s">
        <v>39</v>
      </c>
      <c r="O304" s="24" t="s">
        <v>39</v>
      </c>
      <c r="P304" s="24" t="s">
        <v>39</v>
      </c>
      <c r="Q304" s="24" t="s">
        <v>39</v>
      </c>
      <c r="R304" s="24" t="s">
        <v>39</v>
      </c>
      <c r="S304" s="24" t="s">
        <v>39</v>
      </c>
      <c r="T304" s="26"/>
      <c r="U304" s="26"/>
      <c r="V304" s="24" t="s">
        <v>39</v>
      </c>
      <c r="W304" s="20">
        <v>0.4</v>
      </c>
      <c r="X304" s="51" t="s">
        <v>39</v>
      </c>
      <c r="Y304" s="51" t="s">
        <v>39</v>
      </c>
      <c r="Z304" s="51" t="s">
        <v>39</v>
      </c>
      <c r="AA304" s="51" t="s">
        <v>39</v>
      </c>
      <c r="AB304" s="51" t="s">
        <v>39</v>
      </c>
      <c r="AC304" s="46" t="s">
        <v>39</v>
      </c>
      <c r="AD304" s="17"/>
      <c r="AE304" s="25" t="s">
        <v>949</v>
      </c>
      <c r="AF304" s="17" t="s">
        <v>989</v>
      </c>
    </row>
    <row r="305" s="2" customFormat="1" ht="84" customHeight="1" spans="1:32">
      <c r="A305" s="13">
        <v>303</v>
      </c>
      <c r="B305" s="14" t="s">
        <v>1000</v>
      </c>
      <c r="C305" s="15" t="s">
        <v>874</v>
      </c>
      <c r="D305" s="15" t="s">
        <v>984</v>
      </c>
      <c r="E305" s="15" t="s">
        <v>985</v>
      </c>
      <c r="F305" s="13" t="s">
        <v>81</v>
      </c>
      <c r="G305" s="16" t="s">
        <v>48</v>
      </c>
      <c r="H305" s="18" t="s">
        <v>39</v>
      </c>
      <c r="I305" s="43" t="s">
        <v>1001</v>
      </c>
      <c r="J305" s="93" t="s">
        <v>1002</v>
      </c>
      <c r="K305" s="20" t="s">
        <v>39</v>
      </c>
      <c r="L305" s="21">
        <v>620000</v>
      </c>
      <c r="M305" s="113">
        <v>0.17</v>
      </c>
      <c r="N305" s="24" t="s">
        <v>39</v>
      </c>
      <c r="O305" s="24" t="s">
        <v>39</v>
      </c>
      <c r="P305" s="24" t="s">
        <v>39</v>
      </c>
      <c r="Q305" s="24" t="s">
        <v>39</v>
      </c>
      <c r="R305" s="24" t="s">
        <v>39</v>
      </c>
      <c r="S305" s="24" t="s">
        <v>39</v>
      </c>
      <c r="T305" s="26"/>
      <c r="U305" s="26"/>
      <c r="V305" s="24" t="s">
        <v>39</v>
      </c>
      <c r="W305" s="20">
        <v>0.4</v>
      </c>
      <c r="X305" s="51" t="s">
        <v>39</v>
      </c>
      <c r="Y305" s="51" t="s">
        <v>39</v>
      </c>
      <c r="Z305" s="51" t="s">
        <v>39</v>
      </c>
      <c r="AA305" s="51" t="s">
        <v>39</v>
      </c>
      <c r="AB305" s="51" t="s">
        <v>39</v>
      </c>
      <c r="AC305" s="46" t="s">
        <v>39</v>
      </c>
      <c r="AD305" s="17"/>
      <c r="AE305" s="25" t="s">
        <v>949</v>
      </c>
      <c r="AF305" s="17" t="s">
        <v>989</v>
      </c>
    </row>
    <row r="306" s="2" customFormat="1" ht="84" customHeight="1" spans="1:32">
      <c r="A306" s="13">
        <v>304</v>
      </c>
      <c r="B306" s="14" t="s">
        <v>1003</v>
      </c>
      <c r="C306" s="15" t="s">
        <v>874</v>
      </c>
      <c r="D306" s="15" t="s">
        <v>984</v>
      </c>
      <c r="E306" s="15" t="s">
        <v>985</v>
      </c>
      <c r="F306" s="13" t="s">
        <v>81</v>
      </c>
      <c r="G306" s="16" t="s">
        <v>48</v>
      </c>
      <c r="H306" s="18" t="s">
        <v>39</v>
      </c>
      <c r="I306" s="43" t="s">
        <v>1004</v>
      </c>
      <c r="J306" s="93" t="s">
        <v>1005</v>
      </c>
      <c r="K306" s="20" t="s">
        <v>39</v>
      </c>
      <c r="L306" s="21">
        <v>620000</v>
      </c>
      <c r="M306" s="113">
        <v>0.19</v>
      </c>
      <c r="N306" s="24" t="s">
        <v>39</v>
      </c>
      <c r="O306" s="24" t="s">
        <v>39</v>
      </c>
      <c r="P306" s="24" t="s">
        <v>39</v>
      </c>
      <c r="Q306" s="24" t="s">
        <v>39</v>
      </c>
      <c r="R306" s="24" t="s">
        <v>39</v>
      </c>
      <c r="S306" s="24" t="s">
        <v>39</v>
      </c>
      <c r="T306" s="26"/>
      <c r="U306" s="26"/>
      <c r="V306" s="24" t="s">
        <v>39</v>
      </c>
      <c r="W306" s="20">
        <v>0.4</v>
      </c>
      <c r="X306" s="51" t="s">
        <v>39</v>
      </c>
      <c r="Y306" s="51" t="s">
        <v>39</v>
      </c>
      <c r="Z306" s="51" t="s">
        <v>39</v>
      </c>
      <c r="AA306" s="51" t="s">
        <v>39</v>
      </c>
      <c r="AB306" s="51" t="s">
        <v>39</v>
      </c>
      <c r="AC306" s="46" t="s">
        <v>39</v>
      </c>
      <c r="AD306" s="17"/>
      <c r="AE306" s="25" t="s">
        <v>949</v>
      </c>
      <c r="AF306" s="17" t="s">
        <v>989</v>
      </c>
    </row>
    <row r="307" s="2" customFormat="1" ht="84" customHeight="1" spans="1:32">
      <c r="A307" s="13">
        <v>305</v>
      </c>
      <c r="B307" s="14" t="s">
        <v>1006</v>
      </c>
      <c r="C307" s="15" t="s">
        <v>874</v>
      </c>
      <c r="D307" s="15" t="s">
        <v>984</v>
      </c>
      <c r="E307" s="15" t="s">
        <v>985</v>
      </c>
      <c r="F307" s="13" t="s">
        <v>81</v>
      </c>
      <c r="G307" s="16" t="s">
        <v>48</v>
      </c>
      <c r="H307" s="18" t="s">
        <v>39</v>
      </c>
      <c r="I307" s="43" t="s">
        <v>1007</v>
      </c>
      <c r="J307" s="93" t="s">
        <v>1005</v>
      </c>
      <c r="K307" s="20" t="s">
        <v>39</v>
      </c>
      <c r="L307" s="21">
        <v>640000</v>
      </c>
      <c r="M307" s="113">
        <v>0.19</v>
      </c>
      <c r="N307" s="24" t="s">
        <v>39</v>
      </c>
      <c r="O307" s="24" t="s">
        <v>39</v>
      </c>
      <c r="P307" s="24" t="s">
        <v>39</v>
      </c>
      <c r="Q307" s="24" t="s">
        <v>39</v>
      </c>
      <c r="R307" s="24" t="s">
        <v>39</v>
      </c>
      <c r="S307" s="24" t="s">
        <v>39</v>
      </c>
      <c r="T307" s="26"/>
      <c r="U307" s="26"/>
      <c r="V307" s="24" t="s">
        <v>39</v>
      </c>
      <c r="W307" s="20">
        <v>0.4</v>
      </c>
      <c r="X307" s="51" t="s">
        <v>39</v>
      </c>
      <c r="Y307" s="51" t="s">
        <v>39</v>
      </c>
      <c r="Z307" s="51" t="s">
        <v>39</v>
      </c>
      <c r="AA307" s="51" t="s">
        <v>39</v>
      </c>
      <c r="AB307" s="51" t="s">
        <v>39</v>
      </c>
      <c r="AC307" s="46" t="s">
        <v>39</v>
      </c>
      <c r="AD307" s="17"/>
      <c r="AE307" s="25" t="s">
        <v>949</v>
      </c>
      <c r="AF307" s="17" t="s">
        <v>989</v>
      </c>
    </row>
    <row r="308" s="2" customFormat="1" ht="84" customHeight="1" spans="1:32">
      <c r="A308" s="13">
        <v>306</v>
      </c>
      <c r="B308" s="14" t="s">
        <v>1008</v>
      </c>
      <c r="C308" s="15" t="s">
        <v>874</v>
      </c>
      <c r="D308" s="15" t="s">
        <v>984</v>
      </c>
      <c r="E308" s="15" t="s">
        <v>985</v>
      </c>
      <c r="F308" s="13" t="s">
        <v>81</v>
      </c>
      <c r="G308" s="16" t="s">
        <v>48</v>
      </c>
      <c r="H308" s="18" t="s">
        <v>39</v>
      </c>
      <c r="I308" s="43" t="s">
        <v>1009</v>
      </c>
      <c r="J308" s="93" t="s">
        <v>966</v>
      </c>
      <c r="K308" s="20" t="s">
        <v>39</v>
      </c>
      <c r="L308" s="21">
        <v>560000</v>
      </c>
      <c r="M308" s="113">
        <v>0.2</v>
      </c>
      <c r="N308" s="24" t="s">
        <v>39</v>
      </c>
      <c r="O308" s="24" t="s">
        <v>39</v>
      </c>
      <c r="P308" s="24" t="s">
        <v>39</v>
      </c>
      <c r="Q308" s="24" t="s">
        <v>39</v>
      </c>
      <c r="R308" s="24" t="s">
        <v>39</v>
      </c>
      <c r="S308" s="24" t="s">
        <v>39</v>
      </c>
      <c r="T308" s="26"/>
      <c r="U308" s="26"/>
      <c r="V308" s="24" t="s">
        <v>39</v>
      </c>
      <c r="W308" s="20">
        <v>0.4</v>
      </c>
      <c r="X308" s="51" t="s">
        <v>39</v>
      </c>
      <c r="Y308" s="51" t="s">
        <v>39</v>
      </c>
      <c r="Z308" s="51" t="s">
        <v>39</v>
      </c>
      <c r="AA308" s="51" t="s">
        <v>39</v>
      </c>
      <c r="AB308" s="51" t="s">
        <v>39</v>
      </c>
      <c r="AC308" s="46" t="s">
        <v>39</v>
      </c>
      <c r="AD308" s="17"/>
      <c r="AE308" s="25" t="s">
        <v>949</v>
      </c>
      <c r="AF308" s="17" t="s">
        <v>989</v>
      </c>
    </row>
    <row r="309" s="2" customFormat="1" ht="84" customHeight="1" spans="1:32">
      <c r="A309" s="13">
        <v>307</v>
      </c>
      <c r="B309" s="14" t="s">
        <v>1010</v>
      </c>
      <c r="C309" s="15" t="s">
        <v>874</v>
      </c>
      <c r="D309" s="15" t="s">
        <v>984</v>
      </c>
      <c r="E309" s="15" t="s">
        <v>985</v>
      </c>
      <c r="F309" s="13" t="s">
        <v>81</v>
      </c>
      <c r="G309" s="16" t="s">
        <v>48</v>
      </c>
      <c r="H309" s="18" t="s">
        <v>39</v>
      </c>
      <c r="I309" s="43" t="s">
        <v>1011</v>
      </c>
      <c r="J309" s="18" t="s">
        <v>1012</v>
      </c>
      <c r="K309" s="20" t="s">
        <v>39</v>
      </c>
      <c r="L309" s="21">
        <v>360000</v>
      </c>
      <c r="M309" s="24">
        <v>120000</v>
      </c>
      <c r="N309" s="24" t="s">
        <v>39</v>
      </c>
      <c r="O309" s="24" t="s">
        <v>39</v>
      </c>
      <c r="P309" s="116">
        <v>0.045</v>
      </c>
      <c r="Q309" s="24" t="s">
        <v>39</v>
      </c>
      <c r="R309" s="24" t="s">
        <v>39</v>
      </c>
      <c r="S309" s="24" t="s">
        <v>39</v>
      </c>
      <c r="T309" s="138" t="s">
        <v>39</v>
      </c>
      <c r="U309" s="26"/>
      <c r="V309" s="24" t="s">
        <v>39</v>
      </c>
      <c r="W309" s="20">
        <v>0.4</v>
      </c>
      <c r="X309" s="51" t="s">
        <v>39</v>
      </c>
      <c r="Y309" s="51" t="s">
        <v>39</v>
      </c>
      <c r="Z309" s="51" t="s">
        <v>39</v>
      </c>
      <c r="AA309" s="51" t="s">
        <v>39</v>
      </c>
      <c r="AB309" s="51" t="s">
        <v>39</v>
      </c>
      <c r="AC309" s="46" t="s">
        <v>39</v>
      </c>
      <c r="AD309" s="48" t="s">
        <v>1013</v>
      </c>
      <c r="AE309" s="25" t="s">
        <v>949</v>
      </c>
      <c r="AF309" s="17" t="s">
        <v>989</v>
      </c>
    </row>
    <row r="310" s="2" customFormat="1" ht="84" customHeight="1" spans="1:32">
      <c r="A310" s="13">
        <v>308</v>
      </c>
      <c r="B310" s="14" t="s">
        <v>1014</v>
      </c>
      <c r="C310" s="15" t="s">
        <v>874</v>
      </c>
      <c r="D310" s="15" t="s">
        <v>984</v>
      </c>
      <c r="E310" s="15" t="s">
        <v>985</v>
      </c>
      <c r="F310" s="13" t="s">
        <v>81</v>
      </c>
      <c r="G310" s="16" t="s">
        <v>48</v>
      </c>
      <c r="H310" s="18" t="s">
        <v>39</v>
      </c>
      <c r="I310" s="43" t="s">
        <v>1015</v>
      </c>
      <c r="J310" s="93" t="s">
        <v>1016</v>
      </c>
      <c r="K310" s="20" t="s">
        <v>39</v>
      </c>
      <c r="L310" s="21">
        <v>920000</v>
      </c>
      <c r="M310" s="113">
        <v>0.2</v>
      </c>
      <c r="N310" s="24" t="s">
        <v>39</v>
      </c>
      <c r="O310" s="24" t="s">
        <v>39</v>
      </c>
      <c r="P310" s="24" t="s">
        <v>39</v>
      </c>
      <c r="Q310" s="24" t="s">
        <v>39</v>
      </c>
      <c r="R310" s="24" t="s">
        <v>39</v>
      </c>
      <c r="S310" s="24" t="s">
        <v>39</v>
      </c>
      <c r="T310" s="26"/>
      <c r="U310" s="26"/>
      <c r="V310" s="24" t="s">
        <v>39</v>
      </c>
      <c r="W310" s="20">
        <v>0.4</v>
      </c>
      <c r="X310" s="51" t="s">
        <v>39</v>
      </c>
      <c r="Y310" s="51" t="s">
        <v>39</v>
      </c>
      <c r="Z310" s="51" t="s">
        <v>39</v>
      </c>
      <c r="AA310" s="51" t="s">
        <v>39</v>
      </c>
      <c r="AB310" s="51" t="s">
        <v>39</v>
      </c>
      <c r="AC310" s="46" t="s">
        <v>39</v>
      </c>
      <c r="AD310" s="17"/>
      <c r="AE310" s="25" t="s">
        <v>949</v>
      </c>
      <c r="AF310" s="17" t="s">
        <v>989</v>
      </c>
    </row>
    <row r="311" s="2" customFormat="1" ht="84" customHeight="1" spans="1:32">
      <c r="A311" s="13">
        <v>309</v>
      </c>
      <c r="B311" s="14" t="s">
        <v>1017</v>
      </c>
      <c r="C311" s="15" t="s">
        <v>874</v>
      </c>
      <c r="D311" s="15" t="s">
        <v>984</v>
      </c>
      <c r="E311" s="15" t="s">
        <v>985</v>
      </c>
      <c r="F311" s="13" t="s">
        <v>81</v>
      </c>
      <c r="G311" s="16" t="s">
        <v>48</v>
      </c>
      <c r="H311" s="18" t="s">
        <v>39</v>
      </c>
      <c r="I311" s="43" t="s">
        <v>1018</v>
      </c>
      <c r="J311" s="93" t="s">
        <v>1016</v>
      </c>
      <c r="K311" s="20" t="s">
        <v>39</v>
      </c>
      <c r="L311" s="21">
        <v>700000</v>
      </c>
      <c r="M311" s="113">
        <v>0.1</v>
      </c>
      <c r="N311" s="24" t="s">
        <v>39</v>
      </c>
      <c r="O311" s="24" t="s">
        <v>39</v>
      </c>
      <c r="P311" s="24" t="s">
        <v>39</v>
      </c>
      <c r="Q311" s="24" t="s">
        <v>39</v>
      </c>
      <c r="R311" s="24" t="s">
        <v>39</v>
      </c>
      <c r="S311" s="24" t="s">
        <v>39</v>
      </c>
      <c r="T311" s="26"/>
      <c r="U311" s="26"/>
      <c r="V311" s="24" t="s">
        <v>39</v>
      </c>
      <c r="W311" s="20">
        <v>0.4</v>
      </c>
      <c r="X311" s="51" t="s">
        <v>39</v>
      </c>
      <c r="Y311" s="51" t="s">
        <v>39</v>
      </c>
      <c r="Z311" s="51" t="s">
        <v>39</v>
      </c>
      <c r="AA311" s="51" t="s">
        <v>39</v>
      </c>
      <c r="AB311" s="51" t="s">
        <v>39</v>
      </c>
      <c r="AC311" s="46" t="s">
        <v>39</v>
      </c>
      <c r="AD311" s="17"/>
      <c r="AE311" s="25" t="s">
        <v>949</v>
      </c>
      <c r="AF311" s="17" t="s">
        <v>989</v>
      </c>
    </row>
    <row r="312" s="2" customFormat="1" ht="84" customHeight="1" spans="1:32">
      <c r="A312" s="13">
        <v>310</v>
      </c>
      <c r="B312" s="14" t="s">
        <v>1019</v>
      </c>
      <c r="C312" s="15" t="s">
        <v>874</v>
      </c>
      <c r="D312" s="15" t="s">
        <v>984</v>
      </c>
      <c r="E312" s="15" t="s">
        <v>985</v>
      </c>
      <c r="F312" s="13" t="s">
        <v>81</v>
      </c>
      <c r="G312" s="16" t="s">
        <v>48</v>
      </c>
      <c r="H312" s="18" t="s">
        <v>39</v>
      </c>
      <c r="I312" s="43" t="s">
        <v>459</v>
      </c>
      <c r="J312" s="93" t="s">
        <v>1020</v>
      </c>
      <c r="K312" s="20" t="s">
        <v>39</v>
      </c>
      <c r="L312" s="21">
        <v>230000</v>
      </c>
      <c r="M312" s="113">
        <v>0.18</v>
      </c>
      <c r="N312" s="24" t="s">
        <v>39</v>
      </c>
      <c r="O312" s="24" t="s">
        <v>39</v>
      </c>
      <c r="P312" s="24" t="s">
        <v>39</v>
      </c>
      <c r="Q312" s="24" t="s">
        <v>39</v>
      </c>
      <c r="R312" s="24" t="s">
        <v>39</v>
      </c>
      <c r="S312" s="24" t="s">
        <v>39</v>
      </c>
      <c r="T312" s="26"/>
      <c r="U312" s="26"/>
      <c r="V312" s="24" t="s">
        <v>39</v>
      </c>
      <c r="W312" s="20">
        <v>0.4</v>
      </c>
      <c r="X312" s="51" t="s">
        <v>39</v>
      </c>
      <c r="Y312" s="51" t="s">
        <v>39</v>
      </c>
      <c r="Z312" s="51" t="s">
        <v>39</v>
      </c>
      <c r="AA312" s="51" t="s">
        <v>39</v>
      </c>
      <c r="AB312" s="51" t="s">
        <v>39</v>
      </c>
      <c r="AC312" s="46" t="s">
        <v>39</v>
      </c>
      <c r="AD312" s="17"/>
      <c r="AE312" s="25" t="s">
        <v>949</v>
      </c>
      <c r="AF312" s="17" t="s">
        <v>989</v>
      </c>
    </row>
    <row r="313" s="2" customFormat="1" ht="36" customHeight="1" spans="1:32">
      <c r="A313" s="13">
        <v>311</v>
      </c>
      <c r="B313" s="14" t="s">
        <v>1021</v>
      </c>
      <c r="C313" s="15" t="s">
        <v>874</v>
      </c>
      <c r="D313" s="15" t="s">
        <v>984</v>
      </c>
      <c r="E313" s="15" t="s">
        <v>985</v>
      </c>
      <c r="F313" s="13" t="s">
        <v>81</v>
      </c>
      <c r="G313" s="16" t="s">
        <v>48</v>
      </c>
      <c r="H313" s="18" t="s">
        <v>39</v>
      </c>
      <c r="I313" s="43" t="s">
        <v>87</v>
      </c>
      <c r="J313" s="93" t="s">
        <v>912</v>
      </c>
      <c r="K313" s="20" t="s">
        <v>39</v>
      </c>
      <c r="L313" s="21">
        <v>520000</v>
      </c>
      <c r="M313" s="24">
        <v>200000</v>
      </c>
      <c r="N313" s="24" t="s">
        <v>39</v>
      </c>
      <c r="O313" s="24" t="s">
        <v>39</v>
      </c>
      <c r="P313" s="24" t="s">
        <v>39</v>
      </c>
      <c r="Q313" s="24" t="s">
        <v>39</v>
      </c>
      <c r="R313" s="24" t="s">
        <v>39</v>
      </c>
      <c r="S313" s="24" t="s">
        <v>39</v>
      </c>
      <c r="T313" s="55" t="s">
        <v>39</v>
      </c>
      <c r="U313" s="18"/>
      <c r="V313" s="24" t="s">
        <v>39</v>
      </c>
      <c r="W313" s="55" t="s">
        <v>39</v>
      </c>
      <c r="X313" s="51" t="s">
        <v>39</v>
      </c>
      <c r="Y313" s="51" t="s">
        <v>39</v>
      </c>
      <c r="Z313" s="51" t="s">
        <v>39</v>
      </c>
      <c r="AA313" s="51" t="s">
        <v>39</v>
      </c>
      <c r="AB313" s="51" t="s">
        <v>39</v>
      </c>
      <c r="AC313" s="46" t="s">
        <v>39</v>
      </c>
      <c r="AD313" s="48" t="s">
        <v>1022</v>
      </c>
      <c r="AE313" s="25" t="s">
        <v>1023</v>
      </c>
      <c r="AF313" s="17" t="s">
        <v>583</v>
      </c>
    </row>
    <row r="314" s="2" customFormat="1" ht="12" customHeight="1" spans="1:32">
      <c r="A314" s="13">
        <v>312</v>
      </c>
      <c r="B314" s="14" t="s">
        <v>1024</v>
      </c>
      <c r="C314" s="15" t="s">
        <v>874</v>
      </c>
      <c r="D314" s="15" t="s">
        <v>1025</v>
      </c>
      <c r="E314" s="15" t="s">
        <v>1026</v>
      </c>
      <c r="F314" s="13" t="s">
        <v>37</v>
      </c>
      <c r="G314" s="16" t="s">
        <v>38</v>
      </c>
      <c r="H314" s="18" t="s">
        <v>39</v>
      </c>
      <c r="I314" s="167" t="s">
        <v>39</v>
      </c>
      <c r="J314" s="134" t="s">
        <v>39</v>
      </c>
      <c r="K314" s="20" t="s">
        <v>39</v>
      </c>
      <c r="L314" s="21" t="s">
        <v>39</v>
      </c>
      <c r="M314" s="20" t="s">
        <v>39</v>
      </c>
      <c r="N314" s="20" t="s">
        <v>39</v>
      </c>
      <c r="O314" s="20" t="s">
        <v>39</v>
      </c>
      <c r="P314" s="20" t="s">
        <v>39</v>
      </c>
      <c r="Q314" s="20" t="s">
        <v>39</v>
      </c>
      <c r="R314" s="20" t="s">
        <v>39</v>
      </c>
      <c r="S314" s="20" t="s">
        <v>39</v>
      </c>
      <c r="T314" s="20" t="s">
        <v>39</v>
      </c>
      <c r="U314" s="20" t="s">
        <v>39</v>
      </c>
      <c r="V314" s="20" t="s">
        <v>39</v>
      </c>
      <c r="W314" s="151">
        <v>0.52</v>
      </c>
      <c r="X314" s="45" t="s">
        <v>39</v>
      </c>
      <c r="Y314" s="45" t="s">
        <v>39</v>
      </c>
      <c r="Z314" s="45" t="s">
        <v>39</v>
      </c>
      <c r="AA314" s="45" t="s">
        <v>39</v>
      </c>
      <c r="AB314" s="46">
        <v>0.06</v>
      </c>
      <c r="AC314" s="46">
        <v>0.005</v>
      </c>
      <c r="AD314" s="17" t="s">
        <v>1027</v>
      </c>
      <c r="AE314" s="25"/>
      <c r="AF314" s="17"/>
    </row>
    <row r="315" s="2" customFormat="1" ht="36" customHeight="1" spans="1:32">
      <c r="A315" s="13">
        <v>313</v>
      </c>
      <c r="B315" s="14" t="s">
        <v>1028</v>
      </c>
      <c r="C315" s="15" t="s">
        <v>874</v>
      </c>
      <c r="D315" s="15" t="s">
        <v>1025</v>
      </c>
      <c r="E315" s="15" t="s">
        <v>1026</v>
      </c>
      <c r="F315" s="13" t="s">
        <v>81</v>
      </c>
      <c r="G315" s="16" t="s">
        <v>38</v>
      </c>
      <c r="H315" s="18" t="s">
        <v>39</v>
      </c>
      <c r="I315" s="167" t="s">
        <v>1029</v>
      </c>
      <c r="J315" s="93" t="s">
        <v>1030</v>
      </c>
      <c r="K315" s="20" t="s">
        <v>39</v>
      </c>
      <c r="L315" s="21">
        <v>1080000</v>
      </c>
      <c r="M315" s="20">
        <v>0.14</v>
      </c>
      <c r="N315" s="20" t="s">
        <v>39</v>
      </c>
      <c r="O315" s="20">
        <v>0.02</v>
      </c>
      <c r="P315" s="20" t="s">
        <v>39</v>
      </c>
      <c r="Q315" s="20" t="s">
        <v>39</v>
      </c>
      <c r="R315" s="20" t="s">
        <v>39</v>
      </c>
      <c r="S315" s="20" t="s">
        <v>39</v>
      </c>
      <c r="T315" s="20">
        <v>0.02</v>
      </c>
      <c r="U315" s="20">
        <v>0.07</v>
      </c>
      <c r="V315" s="20" t="s">
        <v>39</v>
      </c>
      <c r="W315" s="20">
        <v>0.52</v>
      </c>
      <c r="X315" s="45" t="s">
        <v>39</v>
      </c>
      <c r="Y315" s="45" t="s">
        <v>39</v>
      </c>
      <c r="Z315" s="45" t="s">
        <v>39</v>
      </c>
      <c r="AA315" s="45" t="s">
        <v>39</v>
      </c>
      <c r="AB315" s="52" t="s">
        <v>39</v>
      </c>
      <c r="AC315" s="52" t="s">
        <v>39</v>
      </c>
      <c r="AD315" s="48" t="s">
        <v>1031</v>
      </c>
      <c r="AE315" s="25" t="s">
        <v>1032</v>
      </c>
      <c r="AF315" s="17" t="s">
        <v>583</v>
      </c>
    </row>
    <row r="316" s="2" customFormat="1" ht="36" customHeight="1" spans="1:32">
      <c r="A316" s="13">
        <v>314</v>
      </c>
      <c r="B316" s="14" t="s">
        <v>1033</v>
      </c>
      <c r="C316" s="15" t="s">
        <v>874</v>
      </c>
      <c r="D316" s="15" t="s">
        <v>1025</v>
      </c>
      <c r="E316" s="15" t="s">
        <v>1026</v>
      </c>
      <c r="F316" s="13" t="s">
        <v>81</v>
      </c>
      <c r="G316" s="16" t="s">
        <v>38</v>
      </c>
      <c r="H316" s="18" t="s">
        <v>39</v>
      </c>
      <c r="I316" s="167" t="s">
        <v>130</v>
      </c>
      <c r="J316" s="134" t="s">
        <v>1034</v>
      </c>
      <c r="K316" s="20" t="s">
        <v>39</v>
      </c>
      <c r="L316" s="21">
        <v>800000</v>
      </c>
      <c r="M316" s="20">
        <v>0.15</v>
      </c>
      <c r="N316" s="20" t="s">
        <v>39</v>
      </c>
      <c r="O316" s="20">
        <v>0.02</v>
      </c>
      <c r="P316" s="20" t="s">
        <v>39</v>
      </c>
      <c r="Q316" s="20" t="s">
        <v>39</v>
      </c>
      <c r="R316" s="20" t="s">
        <v>39</v>
      </c>
      <c r="S316" s="20" t="s">
        <v>39</v>
      </c>
      <c r="T316" s="20">
        <v>0.02</v>
      </c>
      <c r="U316" s="20">
        <v>0.07</v>
      </c>
      <c r="V316" s="20" t="s">
        <v>39</v>
      </c>
      <c r="W316" s="20">
        <v>0.3</v>
      </c>
      <c r="X316" s="45" t="s">
        <v>39</v>
      </c>
      <c r="Y316" s="45" t="s">
        <v>39</v>
      </c>
      <c r="Z316" s="45" t="s">
        <v>39</v>
      </c>
      <c r="AA316" s="45" t="s">
        <v>39</v>
      </c>
      <c r="AB316" s="52" t="s">
        <v>39</v>
      </c>
      <c r="AC316" s="52" t="s">
        <v>39</v>
      </c>
      <c r="AD316" s="48" t="s">
        <v>1031</v>
      </c>
      <c r="AE316" s="25" t="s">
        <v>1032</v>
      </c>
      <c r="AF316" s="206"/>
    </row>
    <row r="317" s="2" customFormat="1" ht="36" customHeight="1" spans="1:32">
      <c r="A317" s="13">
        <v>315</v>
      </c>
      <c r="B317" s="14" t="s">
        <v>1035</v>
      </c>
      <c r="C317" s="15" t="s">
        <v>874</v>
      </c>
      <c r="D317" s="15" t="s">
        <v>1025</v>
      </c>
      <c r="E317" s="15" t="s">
        <v>1026</v>
      </c>
      <c r="F317" s="13" t="s">
        <v>81</v>
      </c>
      <c r="G317" s="16" t="s">
        <v>38</v>
      </c>
      <c r="H317" s="18" t="s">
        <v>39</v>
      </c>
      <c r="I317" s="167" t="s">
        <v>1036</v>
      </c>
      <c r="J317" s="134" t="s">
        <v>1037</v>
      </c>
      <c r="K317" s="20" t="s">
        <v>39</v>
      </c>
      <c r="L317" s="21">
        <v>800000</v>
      </c>
      <c r="M317" s="20">
        <v>0.15</v>
      </c>
      <c r="N317" s="20" t="s">
        <v>39</v>
      </c>
      <c r="O317" s="20">
        <v>0.02</v>
      </c>
      <c r="P317" s="20" t="s">
        <v>39</v>
      </c>
      <c r="Q317" s="20" t="s">
        <v>39</v>
      </c>
      <c r="R317" s="20" t="s">
        <v>39</v>
      </c>
      <c r="S317" s="20" t="s">
        <v>39</v>
      </c>
      <c r="T317" s="20">
        <v>0.02</v>
      </c>
      <c r="U317" s="20">
        <v>0.07</v>
      </c>
      <c r="V317" s="20" t="s">
        <v>39</v>
      </c>
      <c r="W317" s="20">
        <v>0.3</v>
      </c>
      <c r="X317" s="45" t="s">
        <v>39</v>
      </c>
      <c r="Y317" s="45" t="s">
        <v>39</v>
      </c>
      <c r="Z317" s="45" t="s">
        <v>39</v>
      </c>
      <c r="AA317" s="45" t="s">
        <v>39</v>
      </c>
      <c r="AB317" s="52" t="s">
        <v>39</v>
      </c>
      <c r="AC317" s="52" t="s">
        <v>39</v>
      </c>
      <c r="AD317" s="48" t="s">
        <v>1031</v>
      </c>
      <c r="AE317" s="25" t="s">
        <v>1032</v>
      </c>
      <c r="AF317" s="206"/>
    </row>
    <row r="318" s="2" customFormat="1" ht="36" customHeight="1" spans="1:32">
      <c r="A318" s="13">
        <v>316</v>
      </c>
      <c r="B318" s="14" t="s">
        <v>1038</v>
      </c>
      <c r="C318" s="15" t="s">
        <v>874</v>
      </c>
      <c r="D318" s="15" t="s">
        <v>1025</v>
      </c>
      <c r="E318" s="15" t="s">
        <v>1026</v>
      </c>
      <c r="F318" s="13" t="s">
        <v>81</v>
      </c>
      <c r="G318" s="16" t="s">
        <v>38</v>
      </c>
      <c r="H318" s="18" t="s">
        <v>39</v>
      </c>
      <c r="I318" s="167" t="s">
        <v>1039</v>
      </c>
      <c r="J318" s="134" t="s">
        <v>1040</v>
      </c>
      <c r="K318" s="20" t="s">
        <v>39</v>
      </c>
      <c r="L318" s="21">
        <v>560000</v>
      </c>
      <c r="M318" s="20">
        <v>0.15</v>
      </c>
      <c r="N318" s="20" t="s">
        <v>39</v>
      </c>
      <c r="O318" s="20">
        <v>0.02</v>
      </c>
      <c r="P318" s="20" t="s">
        <v>39</v>
      </c>
      <c r="Q318" s="20" t="s">
        <v>39</v>
      </c>
      <c r="R318" s="20" t="s">
        <v>39</v>
      </c>
      <c r="S318" s="20" t="s">
        <v>39</v>
      </c>
      <c r="T318" s="20">
        <v>0.02</v>
      </c>
      <c r="U318" s="20">
        <v>0.07</v>
      </c>
      <c r="V318" s="20" t="s">
        <v>39</v>
      </c>
      <c r="W318" s="20">
        <v>0.3</v>
      </c>
      <c r="X318" s="45" t="s">
        <v>39</v>
      </c>
      <c r="Y318" s="45" t="s">
        <v>39</v>
      </c>
      <c r="Z318" s="45" t="s">
        <v>39</v>
      </c>
      <c r="AA318" s="45" t="s">
        <v>39</v>
      </c>
      <c r="AB318" s="52" t="s">
        <v>39</v>
      </c>
      <c r="AC318" s="52" t="s">
        <v>39</v>
      </c>
      <c r="AD318" s="48" t="s">
        <v>1031</v>
      </c>
      <c r="AE318" s="25" t="s">
        <v>1032</v>
      </c>
      <c r="AF318" s="206"/>
    </row>
    <row r="319" s="2" customFormat="1" ht="36" customHeight="1" spans="1:32">
      <c r="A319" s="13">
        <v>317</v>
      </c>
      <c r="B319" s="14" t="s">
        <v>1041</v>
      </c>
      <c r="C319" s="15" t="s">
        <v>874</v>
      </c>
      <c r="D319" s="15" t="s">
        <v>1025</v>
      </c>
      <c r="E319" s="15" t="s">
        <v>1026</v>
      </c>
      <c r="F319" s="13" t="s">
        <v>81</v>
      </c>
      <c r="G319" s="16" t="s">
        <v>38</v>
      </c>
      <c r="H319" s="18" t="s">
        <v>39</v>
      </c>
      <c r="I319" s="167" t="s">
        <v>1042</v>
      </c>
      <c r="J319" s="134" t="s">
        <v>1043</v>
      </c>
      <c r="K319" s="20" t="s">
        <v>39</v>
      </c>
      <c r="L319" s="21">
        <v>2760000</v>
      </c>
      <c r="M319" s="20">
        <v>0.15</v>
      </c>
      <c r="N319" s="20" t="s">
        <v>39</v>
      </c>
      <c r="O319" s="20">
        <v>0.02</v>
      </c>
      <c r="P319" s="20" t="s">
        <v>39</v>
      </c>
      <c r="Q319" s="20" t="s">
        <v>39</v>
      </c>
      <c r="R319" s="20" t="s">
        <v>39</v>
      </c>
      <c r="S319" s="20" t="s">
        <v>39</v>
      </c>
      <c r="T319" s="20">
        <v>0.02</v>
      </c>
      <c r="U319" s="20">
        <v>0.07</v>
      </c>
      <c r="V319" s="20" t="s">
        <v>39</v>
      </c>
      <c r="W319" s="20">
        <v>0.3</v>
      </c>
      <c r="X319" s="45" t="s">
        <v>39</v>
      </c>
      <c r="Y319" s="45" t="s">
        <v>39</v>
      </c>
      <c r="Z319" s="45" t="s">
        <v>39</v>
      </c>
      <c r="AA319" s="45" t="s">
        <v>39</v>
      </c>
      <c r="AB319" s="52" t="s">
        <v>39</v>
      </c>
      <c r="AC319" s="52" t="s">
        <v>39</v>
      </c>
      <c r="AD319" s="48" t="s">
        <v>1031</v>
      </c>
      <c r="AE319" s="25" t="s">
        <v>1032</v>
      </c>
      <c r="AF319" s="206"/>
    </row>
    <row r="320" s="2" customFormat="1" ht="36" customHeight="1" spans="1:32">
      <c r="A320" s="13">
        <v>318</v>
      </c>
      <c r="B320" s="14" t="s">
        <v>1044</v>
      </c>
      <c r="C320" s="15" t="s">
        <v>874</v>
      </c>
      <c r="D320" s="15" t="s">
        <v>1025</v>
      </c>
      <c r="E320" s="15" t="s">
        <v>1026</v>
      </c>
      <c r="F320" s="13" t="s">
        <v>81</v>
      </c>
      <c r="G320" s="16" t="s">
        <v>38</v>
      </c>
      <c r="H320" s="18" t="s">
        <v>39</v>
      </c>
      <c r="I320" s="167" t="s">
        <v>1045</v>
      </c>
      <c r="J320" s="134" t="s">
        <v>1046</v>
      </c>
      <c r="K320" s="20" t="s">
        <v>39</v>
      </c>
      <c r="L320" s="21">
        <v>580000</v>
      </c>
      <c r="M320" s="20">
        <v>0.15</v>
      </c>
      <c r="N320" s="20" t="s">
        <v>39</v>
      </c>
      <c r="O320" s="20">
        <v>0.02</v>
      </c>
      <c r="P320" s="20" t="s">
        <v>39</v>
      </c>
      <c r="Q320" s="20" t="s">
        <v>39</v>
      </c>
      <c r="R320" s="20" t="s">
        <v>39</v>
      </c>
      <c r="S320" s="20" t="s">
        <v>39</v>
      </c>
      <c r="T320" s="20">
        <v>0.02</v>
      </c>
      <c r="U320" s="20">
        <v>0.07</v>
      </c>
      <c r="V320" s="20" t="s">
        <v>39</v>
      </c>
      <c r="W320" s="20">
        <v>0.3</v>
      </c>
      <c r="X320" s="45" t="s">
        <v>39</v>
      </c>
      <c r="Y320" s="45" t="s">
        <v>39</v>
      </c>
      <c r="Z320" s="45" t="s">
        <v>39</v>
      </c>
      <c r="AA320" s="45" t="s">
        <v>39</v>
      </c>
      <c r="AB320" s="52" t="s">
        <v>39</v>
      </c>
      <c r="AC320" s="52" t="s">
        <v>39</v>
      </c>
      <c r="AD320" s="48" t="s">
        <v>1031</v>
      </c>
      <c r="AE320" s="25" t="s">
        <v>1032</v>
      </c>
      <c r="AF320" s="206"/>
    </row>
    <row r="321" s="2" customFormat="1" ht="36" customHeight="1" spans="1:32">
      <c r="A321" s="13">
        <v>319</v>
      </c>
      <c r="B321" s="14" t="s">
        <v>1047</v>
      </c>
      <c r="C321" s="15" t="s">
        <v>874</v>
      </c>
      <c r="D321" s="15" t="s">
        <v>1025</v>
      </c>
      <c r="E321" s="15" t="s">
        <v>1026</v>
      </c>
      <c r="F321" s="13" t="s">
        <v>81</v>
      </c>
      <c r="G321" s="16" t="s">
        <v>38</v>
      </c>
      <c r="H321" s="18" t="s">
        <v>39</v>
      </c>
      <c r="I321" s="167" t="s">
        <v>1048</v>
      </c>
      <c r="J321" s="134" t="s">
        <v>1049</v>
      </c>
      <c r="K321" s="20" t="s">
        <v>39</v>
      </c>
      <c r="L321" s="21">
        <v>640000</v>
      </c>
      <c r="M321" s="20">
        <v>0.12</v>
      </c>
      <c r="N321" s="20" t="s">
        <v>39</v>
      </c>
      <c r="O321" s="20">
        <v>0.02</v>
      </c>
      <c r="P321" s="20" t="s">
        <v>39</v>
      </c>
      <c r="Q321" s="20" t="s">
        <v>39</v>
      </c>
      <c r="R321" s="20" t="s">
        <v>39</v>
      </c>
      <c r="S321" s="20" t="s">
        <v>39</v>
      </c>
      <c r="T321" s="20">
        <v>0.02</v>
      </c>
      <c r="U321" s="20">
        <v>0.07</v>
      </c>
      <c r="V321" s="20" t="s">
        <v>39</v>
      </c>
      <c r="W321" s="20">
        <v>0.3</v>
      </c>
      <c r="X321" s="45" t="s">
        <v>39</v>
      </c>
      <c r="Y321" s="45" t="s">
        <v>39</v>
      </c>
      <c r="Z321" s="45" t="s">
        <v>39</v>
      </c>
      <c r="AA321" s="45" t="s">
        <v>39</v>
      </c>
      <c r="AB321" s="52" t="s">
        <v>39</v>
      </c>
      <c r="AC321" s="52" t="s">
        <v>39</v>
      </c>
      <c r="AD321" s="48" t="s">
        <v>1031</v>
      </c>
      <c r="AE321" s="25" t="s">
        <v>1032</v>
      </c>
      <c r="AF321" s="17" t="s">
        <v>1050</v>
      </c>
    </row>
    <row r="322" s="2" customFormat="1" ht="36" customHeight="1" spans="1:32">
      <c r="A322" s="13">
        <v>320</v>
      </c>
      <c r="B322" s="14" t="s">
        <v>1051</v>
      </c>
      <c r="C322" s="15" t="s">
        <v>874</v>
      </c>
      <c r="D322" s="15" t="s">
        <v>1025</v>
      </c>
      <c r="E322" s="15" t="s">
        <v>1026</v>
      </c>
      <c r="F322" s="13" t="s">
        <v>81</v>
      </c>
      <c r="G322" s="16" t="s">
        <v>38</v>
      </c>
      <c r="H322" s="18" t="s">
        <v>39</v>
      </c>
      <c r="I322" s="167" t="s">
        <v>1052</v>
      </c>
      <c r="J322" s="134" t="s">
        <v>1053</v>
      </c>
      <c r="K322" s="20" t="s">
        <v>39</v>
      </c>
      <c r="L322" s="21">
        <v>300000</v>
      </c>
      <c r="M322" s="20">
        <v>0.1</v>
      </c>
      <c r="N322" s="20" t="s">
        <v>39</v>
      </c>
      <c r="O322" s="20">
        <v>0.02</v>
      </c>
      <c r="P322" s="20" t="s">
        <v>39</v>
      </c>
      <c r="Q322" s="20" t="s">
        <v>39</v>
      </c>
      <c r="R322" s="20" t="s">
        <v>39</v>
      </c>
      <c r="S322" s="20" t="s">
        <v>39</v>
      </c>
      <c r="T322" s="20">
        <v>0.02</v>
      </c>
      <c r="U322" s="20">
        <v>0.07</v>
      </c>
      <c r="V322" s="20" t="s">
        <v>39</v>
      </c>
      <c r="W322" s="20">
        <v>0.3</v>
      </c>
      <c r="X322" s="45" t="s">
        <v>39</v>
      </c>
      <c r="Y322" s="45" t="s">
        <v>39</v>
      </c>
      <c r="Z322" s="45" t="s">
        <v>39</v>
      </c>
      <c r="AA322" s="45" t="s">
        <v>39</v>
      </c>
      <c r="AB322" s="52" t="s">
        <v>39</v>
      </c>
      <c r="AC322" s="52" t="s">
        <v>39</v>
      </c>
      <c r="AD322" s="48" t="s">
        <v>1031</v>
      </c>
      <c r="AE322" s="25" t="s">
        <v>1032</v>
      </c>
      <c r="AF322" s="206"/>
    </row>
    <row r="323" s="2" customFormat="1" ht="36" customHeight="1" spans="1:32">
      <c r="A323" s="13">
        <v>321</v>
      </c>
      <c r="B323" s="14" t="s">
        <v>1054</v>
      </c>
      <c r="C323" s="15" t="s">
        <v>874</v>
      </c>
      <c r="D323" s="15" t="s">
        <v>1025</v>
      </c>
      <c r="E323" s="15" t="s">
        <v>1026</v>
      </c>
      <c r="F323" s="13" t="s">
        <v>81</v>
      </c>
      <c r="G323" s="16" t="s">
        <v>38</v>
      </c>
      <c r="H323" s="18" t="s">
        <v>39</v>
      </c>
      <c r="I323" s="167" t="s">
        <v>1055</v>
      </c>
      <c r="J323" s="134" t="s">
        <v>1056</v>
      </c>
      <c r="K323" s="20" t="s">
        <v>39</v>
      </c>
      <c r="L323" s="21">
        <v>640000</v>
      </c>
      <c r="M323" s="20">
        <v>0.09</v>
      </c>
      <c r="N323" s="20" t="s">
        <v>39</v>
      </c>
      <c r="O323" s="20">
        <v>0.02</v>
      </c>
      <c r="P323" s="20" t="s">
        <v>39</v>
      </c>
      <c r="Q323" s="20" t="s">
        <v>39</v>
      </c>
      <c r="R323" s="20" t="s">
        <v>39</v>
      </c>
      <c r="S323" s="20" t="s">
        <v>39</v>
      </c>
      <c r="T323" s="20">
        <v>0.02</v>
      </c>
      <c r="U323" s="20">
        <v>0.07</v>
      </c>
      <c r="V323" s="20" t="s">
        <v>39</v>
      </c>
      <c r="W323" s="20">
        <v>0.3</v>
      </c>
      <c r="X323" s="45" t="s">
        <v>39</v>
      </c>
      <c r="Y323" s="45" t="s">
        <v>39</v>
      </c>
      <c r="Z323" s="45" t="s">
        <v>39</v>
      </c>
      <c r="AA323" s="45" t="s">
        <v>39</v>
      </c>
      <c r="AB323" s="52" t="s">
        <v>39</v>
      </c>
      <c r="AC323" s="52" t="s">
        <v>39</v>
      </c>
      <c r="AD323" s="48" t="s">
        <v>1031</v>
      </c>
      <c r="AE323" s="25" t="s">
        <v>1032</v>
      </c>
      <c r="AF323" s="206"/>
    </row>
    <row r="324" s="2" customFormat="1" ht="12" customHeight="1" spans="1:32">
      <c r="A324" s="13">
        <v>322</v>
      </c>
      <c r="B324" s="14" t="s">
        <v>1057</v>
      </c>
      <c r="C324" s="15" t="s">
        <v>874</v>
      </c>
      <c r="D324" s="15" t="s">
        <v>1058</v>
      </c>
      <c r="E324" s="15" t="s">
        <v>1059</v>
      </c>
      <c r="F324" s="13" t="s">
        <v>37</v>
      </c>
      <c r="G324" s="16" t="s">
        <v>38</v>
      </c>
      <c r="H324" s="18" t="s">
        <v>39</v>
      </c>
      <c r="I324" s="167" t="s">
        <v>39</v>
      </c>
      <c r="J324" s="16" t="s">
        <v>39</v>
      </c>
      <c r="K324" s="20" t="s">
        <v>39</v>
      </c>
      <c r="L324" s="21" t="s">
        <v>39</v>
      </c>
      <c r="M324" s="20" t="s">
        <v>39</v>
      </c>
      <c r="N324" s="20" t="s">
        <v>39</v>
      </c>
      <c r="O324" s="20" t="s">
        <v>39</v>
      </c>
      <c r="P324" s="20" t="s">
        <v>39</v>
      </c>
      <c r="Q324" s="20" t="s">
        <v>39</v>
      </c>
      <c r="R324" s="20" t="s">
        <v>39</v>
      </c>
      <c r="S324" s="20" t="s">
        <v>39</v>
      </c>
      <c r="T324" s="20" t="s">
        <v>39</v>
      </c>
      <c r="U324" s="20" t="s">
        <v>39</v>
      </c>
      <c r="V324" s="20" t="s">
        <v>39</v>
      </c>
      <c r="W324" s="47">
        <v>0.52</v>
      </c>
      <c r="X324" s="45" t="s">
        <v>39</v>
      </c>
      <c r="Y324" s="45" t="s">
        <v>39</v>
      </c>
      <c r="Z324" s="45" t="s">
        <v>39</v>
      </c>
      <c r="AA324" s="45" t="s">
        <v>39</v>
      </c>
      <c r="AB324" s="46">
        <v>0.06</v>
      </c>
      <c r="AC324" s="46">
        <v>0.005</v>
      </c>
      <c r="AD324" s="17" t="s">
        <v>1027</v>
      </c>
      <c r="AE324" s="25"/>
      <c r="AF324" s="17"/>
    </row>
    <row r="325" s="2" customFormat="1" ht="36" customHeight="1" spans="1:32">
      <c r="A325" s="13">
        <v>323</v>
      </c>
      <c r="B325" s="14" t="s">
        <v>1060</v>
      </c>
      <c r="C325" s="15" t="s">
        <v>874</v>
      </c>
      <c r="D325" s="15" t="s">
        <v>1058</v>
      </c>
      <c r="E325" s="15" t="s">
        <v>1059</v>
      </c>
      <c r="F325" s="13" t="s">
        <v>81</v>
      </c>
      <c r="G325" s="16" t="s">
        <v>38</v>
      </c>
      <c r="H325" s="18" t="s">
        <v>39</v>
      </c>
      <c r="I325" s="167" t="s">
        <v>240</v>
      </c>
      <c r="J325" s="16" t="s">
        <v>1061</v>
      </c>
      <c r="K325" s="20" t="s">
        <v>39</v>
      </c>
      <c r="L325" s="21">
        <v>1940000</v>
      </c>
      <c r="M325" s="20">
        <v>0.11</v>
      </c>
      <c r="N325" s="20">
        <v>0.01</v>
      </c>
      <c r="O325" s="20" t="s">
        <v>39</v>
      </c>
      <c r="P325" s="20">
        <v>0.01</v>
      </c>
      <c r="Q325" s="20">
        <v>0.01</v>
      </c>
      <c r="R325" s="20" t="s">
        <v>39</v>
      </c>
      <c r="S325" s="20" t="s">
        <v>39</v>
      </c>
      <c r="T325" s="18">
        <v>1000</v>
      </c>
      <c r="U325" s="20">
        <v>0.07</v>
      </c>
      <c r="V325" s="20" t="s">
        <v>39</v>
      </c>
      <c r="W325" s="47">
        <v>0.5</v>
      </c>
      <c r="X325" s="45" t="s">
        <v>39</v>
      </c>
      <c r="Y325" s="45" t="s">
        <v>39</v>
      </c>
      <c r="Z325" s="19" t="s">
        <v>39</v>
      </c>
      <c r="AA325" s="19" t="s">
        <v>39</v>
      </c>
      <c r="AB325" s="52" t="s">
        <v>39</v>
      </c>
      <c r="AC325" s="52" t="s">
        <v>39</v>
      </c>
      <c r="AD325" s="150" t="s">
        <v>1062</v>
      </c>
      <c r="AE325" s="25" t="s">
        <v>1063</v>
      </c>
      <c r="AF325" s="17" t="s">
        <v>64</v>
      </c>
    </row>
    <row r="326" s="2" customFormat="1" ht="36" customHeight="1" spans="1:32">
      <c r="A326" s="13">
        <v>324</v>
      </c>
      <c r="B326" s="14" t="s">
        <v>1064</v>
      </c>
      <c r="C326" s="15" t="s">
        <v>874</v>
      </c>
      <c r="D326" s="15" t="s">
        <v>1058</v>
      </c>
      <c r="E326" s="15" t="s">
        <v>1059</v>
      </c>
      <c r="F326" s="13" t="s">
        <v>81</v>
      </c>
      <c r="G326" s="16" t="s">
        <v>38</v>
      </c>
      <c r="H326" s="18" t="s">
        <v>39</v>
      </c>
      <c r="I326" s="167" t="s">
        <v>846</v>
      </c>
      <c r="J326" s="16" t="s">
        <v>1065</v>
      </c>
      <c r="K326" s="20" t="s">
        <v>39</v>
      </c>
      <c r="L326" s="21">
        <v>420000</v>
      </c>
      <c r="M326" s="20">
        <v>0.14</v>
      </c>
      <c r="N326" s="20">
        <v>0.01</v>
      </c>
      <c r="O326" s="20" t="s">
        <v>39</v>
      </c>
      <c r="P326" s="20">
        <v>0.01</v>
      </c>
      <c r="Q326" s="20">
        <v>0.01</v>
      </c>
      <c r="R326" s="20" t="s">
        <v>39</v>
      </c>
      <c r="S326" s="20" t="s">
        <v>39</v>
      </c>
      <c r="T326" s="18">
        <v>1000</v>
      </c>
      <c r="U326" s="20">
        <v>0.07</v>
      </c>
      <c r="V326" s="20" t="s">
        <v>39</v>
      </c>
      <c r="W326" s="47">
        <v>0.3</v>
      </c>
      <c r="X326" s="45" t="s">
        <v>39</v>
      </c>
      <c r="Y326" s="45" t="s">
        <v>39</v>
      </c>
      <c r="Z326" s="19" t="s">
        <v>39</v>
      </c>
      <c r="AA326" s="19" t="s">
        <v>39</v>
      </c>
      <c r="AB326" s="52" t="s">
        <v>39</v>
      </c>
      <c r="AC326" s="52" t="s">
        <v>39</v>
      </c>
      <c r="AD326" s="150" t="s">
        <v>1062</v>
      </c>
      <c r="AE326" s="25" t="s">
        <v>1063</v>
      </c>
      <c r="AF326" s="17" t="s">
        <v>64</v>
      </c>
    </row>
    <row r="327" s="2" customFormat="1" ht="36" customHeight="1" spans="1:32">
      <c r="A327" s="13">
        <v>325</v>
      </c>
      <c r="B327" s="14" t="s">
        <v>1066</v>
      </c>
      <c r="C327" s="15" t="s">
        <v>874</v>
      </c>
      <c r="D327" s="15" t="s">
        <v>1058</v>
      </c>
      <c r="E327" s="15" t="s">
        <v>1059</v>
      </c>
      <c r="F327" s="13" t="s">
        <v>81</v>
      </c>
      <c r="G327" s="16" t="s">
        <v>38</v>
      </c>
      <c r="H327" s="18" t="s">
        <v>39</v>
      </c>
      <c r="I327" s="167" t="s">
        <v>419</v>
      </c>
      <c r="J327" s="16" t="s">
        <v>1067</v>
      </c>
      <c r="K327" s="20" t="s">
        <v>39</v>
      </c>
      <c r="L327" s="21">
        <v>420000</v>
      </c>
      <c r="M327" s="20">
        <v>0.14</v>
      </c>
      <c r="N327" s="20">
        <v>0.01</v>
      </c>
      <c r="O327" s="20" t="s">
        <v>39</v>
      </c>
      <c r="P327" s="20">
        <v>0.01</v>
      </c>
      <c r="Q327" s="20">
        <v>0.01</v>
      </c>
      <c r="R327" s="20" t="s">
        <v>39</v>
      </c>
      <c r="S327" s="20" t="s">
        <v>39</v>
      </c>
      <c r="T327" s="18">
        <v>1000</v>
      </c>
      <c r="U327" s="20">
        <v>0.07</v>
      </c>
      <c r="V327" s="20" t="s">
        <v>39</v>
      </c>
      <c r="W327" s="47">
        <v>0.3</v>
      </c>
      <c r="X327" s="45" t="s">
        <v>39</v>
      </c>
      <c r="Y327" s="45" t="s">
        <v>39</v>
      </c>
      <c r="Z327" s="19" t="s">
        <v>39</v>
      </c>
      <c r="AA327" s="19" t="s">
        <v>39</v>
      </c>
      <c r="AB327" s="52" t="s">
        <v>39</v>
      </c>
      <c r="AC327" s="52" t="s">
        <v>39</v>
      </c>
      <c r="AD327" s="150" t="s">
        <v>1062</v>
      </c>
      <c r="AE327" s="25" t="s">
        <v>1063</v>
      </c>
      <c r="AF327" s="17" t="s">
        <v>64</v>
      </c>
    </row>
    <row r="328" s="2" customFormat="1" ht="36" customHeight="1" spans="1:32">
      <c r="A328" s="13">
        <v>326</v>
      </c>
      <c r="B328" s="14" t="s">
        <v>1068</v>
      </c>
      <c r="C328" s="15" t="s">
        <v>874</v>
      </c>
      <c r="D328" s="15" t="s">
        <v>1058</v>
      </c>
      <c r="E328" s="15" t="s">
        <v>1059</v>
      </c>
      <c r="F328" s="13" t="s">
        <v>81</v>
      </c>
      <c r="G328" s="16" t="s">
        <v>38</v>
      </c>
      <c r="H328" s="18" t="s">
        <v>39</v>
      </c>
      <c r="I328" s="167" t="s">
        <v>1069</v>
      </c>
      <c r="J328" s="16" t="s">
        <v>1061</v>
      </c>
      <c r="K328" s="20" t="s">
        <v>39</v>
      </c>
      <c r="L328" s="21">
        <v>780000</v>
      </c>
      <c r="M328" s="20">
        <v>0.16</v>
      </c>
      <c r="N328" s="20">
        <v>0.01</v>
      </c>
      <c r="O328" s="20" t="s">
        <v>39</v>
      </c>
      <c r="P328" s="20">
        <v>0.01</v>
      </c>
      <c r="Q328" s="20">
        <v>0.01</v>
      </c>
      <c r="R328" s="20" t="s">
        <v>39</v>
      </c>
      <c r="S328" s="20" t="s">
        <v>39</v>
      </c>
      <c r="T328" s="18">
        <v>1000</v>
      </c>
      <c r="U328" s="20">
        <v>0.07</v>
      </c>
      <c r="V328" s="20" t="s">
        <v>39</v>
      </c>
      <c r="W328" s="47">
        <v>0.3</v>
      </c>
      <c r="X328" s="45" t="s">
        <v>39</v>
      </c>
      <c r="Y328" s="45" t="s">
        <v>39</v>
      </c>
      <c r="Z328" s="19" t="s">
        <v>39</v>
      </c>
      <c r="AA328" s="19" t="s">
        <v>39</v>
      </c>
      <c r="AB328" s="52" t="s">
        <v>39</v>
      </c>
      <c r="AC328" s="52" t="s">
        <v>39</v>
      </c>
      <c r="AD328" s="150" t="s">
        <v>1062</v>
      </c>
      <c r="AE328" s="25" t="s">
        <v>1063</v>
      </c>
      <c r="AF328" s="17" t="s">
        <v>64</v>
      </c>
    </row>
    <row r="329" s="2" customFormat="1" ht="36" customHeight="1" spans="1:32">
      <c r="A329" s="13">
        <v>327</v>
      </c>
      <c r="B329" s="14" t="s">
        <v>1070</v>
      </c>
      <c r="C329" s="15" t="s">
        <v>874</v>
      </c>
      <c r="D329" s="15" t="s">
        <v>1058</v>
      </c>
      <c r="E329" s="15" t="s">
        <v>1059</v>
      </c>
      <c r="F329" s="13" t="s">
        <v>81</v>
      </c>
      <c r="G329" s="16" t="s">
        <v>38</v>
      </c>
      <c r="H329" s="18" t="s">
        <v>39</v>
      </c>
      <c r="I329" s="167" t="s">
        <v>1071</v>
      </c>
      <c r="J329" s="16" t="s">
        <v>1072</v>
      </c>
      <c r="K329" s="20" t="s">
        <v>39</v>
      </c>
      <c r="L329" s="21">
        <v>420000</v>
      </c>
      <c r="M329" s="20">
        <v>0.16</v>
      </c>
      <c r="N329" s="20">
        <v>0.01</v>
      </c>
      <c r="O329" s="20" t="s">
        <v>39</v>
      </c>
      <c r="P329" s="20">
        <v>0.01</v>
      </c>
      <c r="Q329" s="20">
        <v>0.01</v>
      </c>
      <c r="R329" s="20" t="s">
        <v>39</v>
      </c>
      <c r="S329" s="20" t="s">
        <v>39</v>
      </c>
      <c r="T329" s="18">
        <v>1000</v>
      </c>
      <c r="U329" s="20">
        <v>0.07</v>
      </c>
      <c r="V329" s="20" t="s">
        <v>39</v>
      </c>
      <c r="W329" s="47">
        <v>0.3</v>
      </c>
      <c r="X329" s="45" t="s">
        <v>39</v>
      </c>
      <c r="Y329" s="45" t="s">
        <v>39</v>
      </c>
      <c r="Z329" s="19" t="s">
        <v>39</v>
      </c>
      <c r="AA329" s="19" t="s">
        <v>39</v>
      </c>
      <c r="AB329" s="52" t="s">
        <v>39</v>
      </c>
      <c r="AC329" s="52" t="s">
        <v>39</v>
      </c>
      <c r="AD329" s="150" t="s">
        <v>1062</v>
      </c>
      <c r="AE329" s="25" t="s">
        <v>1063</v>
      </c>
      <c r="AF329" s="17" t="s">
        <v>64</v>
      </c>
    </row>
    <row r="330" s="2" customFormat="1" ht="36" customHeight="1" spans="1:32">
      <c r="A330" s="13">
        <v>328</v>
      </c>
      <c r="B330" s="14" t="s">
        <v>1073</v>
      </c>
      <c r="C330" s="15" t="s">
        <v>874</v>
      </c>
      <c r="D330" s="15" t="s">
        <v>1058</v>
      </c>
      <c r="E330" s="15" t="s">
        <v>1059</v>
      </c>
      <c r="F330" s="13" t="s">
        <v>81</v>
      </c>
      <c r="G330" s="16" t="s">
        <v>38</v>
      </c>
      <c r="H330" s="18" t="s">
        <v>39</v>
      </c>
      <c r="I330" s="167" t="s">
        <v>843</v>
      </c>
      <c r="J330" s="16" t="s">
        <v>1074</v>
      </c>
      <c r="K330" s="20" t="s">
        <v>39</v>
      </c>
      <c r="L330" s="21">
        <v>200000</v>
      </c>
      <c r="M330" s="20">
        <v>0.12</v>
      </c>
      <c r="N330" s="20">
        <v>0.01</v>
      </c>
      <c r="O330" s="20" t="s">
        <v>39</v>
      </c>
      <c r="P330" s="20">
        <v>0.01</v>
      </c>
      <c r="Q330" s="20">
        <v>0.01</v>
      </c>
      <c r="R330" s="20" t="s">
        <v>39</v>
      </c>
      <c r="S330" s="20" t="s">
        <v>39</v>
      </c>
      <c r="T330" s="18">
        <v>500</v>
      </c>
      <c r="U330" s="20">
        <v>0.07</v>
      </c>
      <c r="V330" s="20" t="s">
        <v>39</v>
      </c>
      <c r="W330" s="47">
        <v>0.3</v>
      </c>
      <c r="X330" s="45" t="s">
        <v>39</v>
      </c>
      <c r="Y330" s="45" t="s">
        <v>39</v>
      </c>
      <c r="Z330" s="19" t="s">
        <v>39</v>
      </c>
      <c r="AA330" s="19" t="s">
        <v>39</v>
      </c>
      <c r="AB330" s="52" t="s">
        <v>39</v>
      </c>
      <c r="AC330" s="52" t="s">
        <v>39</v>
      </c>
      <c r="AD330" s="150" t="s">
        <v>1062</v>
      </c>
      <c r="AE330" s="25" t="s">
        <v>1063</v>
      </c>
      <c r="AF330" s="17" t="s">
        <v>64</v>
      </c>
    </row>
    <row r="331" s="2" customFormat="1" ht="84" customHeight="1" spans="1:32">
      <c r="A331" s="13">
        <v>329</v>
      </c>
      <c r="B331" s="14" t="s">
        <v>1075</v>
      </c>
      <c r="C331" s="15" t="s">
        <v>874</v>
      </c>
      <c r="D331" s="15" t="s">
        <v>1058</v>
      </c>
      <c r="E331" s="15" t="s">
        <v>1059</v>
      </c>
      <c r="F331" s="13" t="s">
        <v>81</v>
      </c>
      <c r="G331" s="16" t="s">
        <v>38</v>
      </c>
      <c r="H331" s="18" t="s">
        <v>39</v>
      </c>
      <c r="I331" s="167" t="s">
        <v>488</v>
      </c>
      <c r="J331" s="16" t="s">
        <v>1076</v>
      </c>
      <c r="K331" s="20" t="s">
        <v>39</v>
      </c>
      <c r="L331" s="21">
        <v>380000</v>
      </c>
      <c r="M331" s="20">
        <v>0.11</v>
      </c>
      <c r="N331" s="20">
        <v>0.01</v>
      </c>
      <c r="O331" s="20" t="s">
        <v>39</v>
      </c>
      <c r="P331" s="20">
        <v>0.01</v>
      </c>
      <c r="Q331" s="20">
        <v>0.01</v>
      </c>
      <c r="R331" s="20" t="s">
        <v>39</v>
      </c>
      <c r="S331" s="20" t="s">
        <v>39</v>
      </c>
      <c r="T331" s="18">
        <v>500</v>
      </c>
      <c r="U331" s="20">
        <v>0.07</v>
      </c>
      <c r="V331" s="20" t="s">
        <v>39</v>
      </c>
      <c r="W331" s="44"/>
      <c r="X331" s="45" t="s">
        <v>39</v>
      </c>
      <c r="Y331" s="45" t="s">
        <v>39</v>
      </c>
      <c r="Z331" s="19" t="s">
        <v>39</v>
      </c>
      <c r="AA331" s="19" t="s">
        <v>39</v>
      </c>
      <c r="AB331" s="52" t="s">
        <v>39</v>
      </c>
      <c r="AC331" s="52" t="s">
        <v>39</v>
      </c>
      <c r="AD331" s="150" t="s">
        <v>1062</v>
      </c>
      <c r="AE331" s="25" t="s">
        <v>1063</v>
      </c>
      <c r="AF331" s="17" t="s">
        <v>1077</v>
      </c>
    </row>
    <row r="332" s="2" customFormat="1" ht="12" customHeight="1" spans="1:32">
      <c r="A332" s="13">
        <v>330</v>
      </c>
      <c r="B332" s="14" t="s">
        <v>1078</v>
      </c>
      <c r="C332" s="15" t="s">
        <v>874</v>
      </c>
      <c r="D332" s="15" t="s">
        <v>1079</v>
      </c>
      <c r="E332" s="15" t="s">
        <v>1080</v>
      </c>
      <c r="F332" s="13" t="s">
        <v>47</v>
      </c>
      <c r="G332" s="16" t="s">
        <v>38</v>
      </c>
      <c r="H332" s="16" t="s">
        <v>39</v>
      </c>
      <c r="I332" s="17" t="s">
        <v>39</v>
      </c>
      <c r="J332" s="16" t="s">
        <v>1081</v>
      </c>
      <c r="K332" s="20" t="s">
        <v>39</v>
      </c>
      <c r="L332" s="21">
        <v>8000000</v>
      </c>
      <c r="M332" s="20" t="s">
        <v>39</v>
      </c>
      <c r="N332" s="20" t="s">
        <v>39</v>
      </c>
      <c r="O332" s="20" t="s">
        <v>39</v>
      </c>
      <c r="P332" s="20">
        <v>0.02</v>
      </c>
      <c r="Q332" s="20" t="s">
        <v>39</v>
      </c>
      <c r="R332" s="20" t="s">
        <v>39</v>
      </c>
      <c r="S332" s="20" t="s">
        <v>39</v>
      </c>
      <c r="T332" s="20" t="s">
        <v>39</v>
      </c>
      <c r="U332" s="20" t="s">
        <v>39</v>
      </c>
      <c r="V332" s="20" t="s">
        <v>39</v>
      </c>
      <c r="W332" s="47">
        <v>0.52</v>
      </c>
      <c r="X332" s="45" t="s">
        <v>39</v>
      </c>
      <c r="Y332" s="45" t="s">
        <v>39</v>
      </c>
      <c r="Z332" s="45" t="s">
        <v>39</v>
      </c>
      <c r="AA332" s="45" t="s">
        <v>39</v>
      </c>
      <c r="AB332" s="46">
        <v>0.05</v>
      </c>
      <c r="AC332" s="46">
        <v>0.005</v>
      </c>
      <c r="AD332" s="152" t="s">
        <v>1027</v>
      </c>
      <c r="AE332" s="25"/>
      <c r="AF332" s="206"/>
    </row>
    <row r="333" s="2" customFormat="1" ht="12" customHeight="1" spans="1:32">
      <c r="A333" s="13">
        <v>331</v>
      </c>
      <c r="B333" s="14" t="s">
        <v>1082</v>
      </c>
      <c r="C333" s="15" t="s">
        <v>874</v>
      </c>
      <c r="D333" s="15" t="s">
        <v>1083</v>
      </c>
      <c r="E333" s="15" t="s">
        <v>1084</v>
      </c>
      <c r="F333" s="16" t="s">
        <v>53</v>
      </c>
      <c r="G333" s="16" t="s">
        <v>38</v>
      </c>
      <c r="H333" s="16" t="s">
        <v>39</v>
      </c>
      <c r="I333" s="167" t="s">
        <v>39</v>
      </c>
      <c r="J333" s="16" t="s">
        <v>39</v>
      </c>
      <c r="K333" s="20" t="s">
        <v>39</v>
      </c>
      <c r="L333" s="21">
        <v>612000</v>
      </c>
      <c r="M333" s="20" t="s">
        <v>39</v>
      </c>
      <c r="N333" s="20" t="s">
        <v>39</v>
      </c>
      <c r="O333" s="20" t="s">
        <v>39</v>
      </c>
      <c r="P333" s="20" t="s">
        <v>39</v>
      </c>
      <c r="Q333" s="20" t="s">
        <v>39</v>
      </c>
      <c r="R333" s="20" t="s">
        <v>39</v>
      </c>
      <c r="S333" s="20" t="s">
        <v>39</v>
      </c>
      <c r="T333" s="20" t="s">
        <v>39</v>
      </c>
      <c r="U333" s="20" t="s">
        <v>39</v>
      </c>
      <c r="V333" s="20" t="s">
        <v>39</v>
      </c>
      <c r="W333" s="18" t="s">
        <v>39</v>
      </c>
      <c r="X333" s="45" t="s">
        <v>39</v>
      </c>
      <c r="Y333" s="45" t="s">
        <v>39</v>
      </c>
      <c r="Z333" s="45" t="s">
        <v>39</v>
      </c>
      <c r="AA333" s="45" t="s">
        <v>39</v>
      </c>
      <c r="AB333" s="52" t="s">
        <v>39</v>
      </c>
      <c r="AC333" s="52" t="s">
        <v>39</v>
      </c>
      <c r="AD333" s="152"/>
      <c r="AE333" s="25"/>
      <c r="AF333" s="206"/>
    </row>
    <row r="334" s="2" customFormat="1" ht="12" customHeight="1" spans="1:32">
      <c r="A334" s="13">
        <v>332</v>
      </c>
      <c r="B334" s="14" t="s">
        <v>1085</v>
      </c>
      <c r="C334" s="15" t="s">
        <v>874</v>
      </c>
      <c r="D334" s="15" t="s">
        <v>1086</v>
      </c>
      <c r="E334" s="15" t="s">
        <v>1087</v>
      </c>
      <c r="F334" s="13" t="s">
        <v>47</v>
      </c>
      <c r="G334" s="16" t="s">
        <v>178</v>
      </c>
      <c r="H334" s="16" t="s">
        <v>39</v>
      </c>
      <c r="I334" s="17" t="s">
        <v>39</v>
      </c>
      <c r="J334" s="16" t="s">
        <v>1088</v>
      </c>
      <c r="K334" s="20" t="s">
        <v>39</v>
      </c>
      <c r="L334" s="21" t="s">
        <v>39</v>
      </c>
      <c r="M334" s="64" t="s">
        <v>39</v>
      </c>
      <c r="N334" s="64" t="s">
        <v>39</v>
      </c>
      <c r="O334" s="64" t="s">
        <v>39</v>
      </c>
      <c r="P334" s="64" t="s">
        <v>39</v>
      </c>
      <c r="Q334" s="64" t="s">
        <v>39</v>
      </c>
      <c r="R334" s="64" t="s">
        <v>39</v>
      </c>
      <c r="S334" s="64" t="s">
        <v>39</v>
      </c>
      <c r="T334" s="44"/>
      <c r="U334" s="106"/>
      <c r="V334" s="64" t="s">
        <v>39</v>
      </c>
      <c r="W334" s="47">
        <v>0.52</v>
      </c>
      <c r="X334" s="65" t="s">
        <v>39</v>
      </c>
      <c r="Y334" s="65" t="s">
        <v>39</v>
      </c>
      <c r="Z334" s="65" t="s">
        <v>39</v>
      </c>
      <c r="AA334" s="65" t="s">
        <v>39</v>
      </c>
      <c r="AB334" s="46">
        <v>0.06</v>
      </c>
      <c r="AC334" s="46" t="s">
        <v>39</v>
      </c>
      <c r="AD334" s="48" t="s">
        <v>1027</v>
      </c>
      <c r="AE334" s="25"/>
      <c r="AF334" s="206"/>
    </row>
    <row r="335" s="2" customFormat="1" ht="24" customHeight="1" spans="1:32">
      <c r="A335" s="13">
        <v>333</v>
      </c>
      <c r="B335" s="14" t="s">
        <v>1089</v>
      </c>
      <c r="C335" s="15" t="s">
        <v>874</v>
      </c>
      <c r="D335" s="15" t="s">
        <v>1086</v>
      </c>
      <c r="E335" s="15" t="s">
        <v>1087</v>
      </c>
      <c r="F335" s="13" t="s">
        <v>47</v>
      </c>
      <c r="G335" s="16" t="s">
        <v>178</v>
      </c>
      <c r="H335" s="18" t="s">
        <v>39</v>
      </c>
      <c r="I335" s="167" t="s">
        <v>130</v>
      </c>
      <c r="J335" s="16" t="s">
        <v>1090</v>
      </c>
      <c r="K335" s="20" t="s">
        <v>39</v>
      </c>
      <c r="L335" s="21">
        <v>3830000</v>
      </c>
      <c r="M335" s="153">
        <v>0.18</v>
      </c>
      <c r="N335" s="67" t="s">
        <v>39</v>
      </c>
      <c r="O335" s="67" t="s">
        <v>39</v>
      </c>
      <c r="P335" s="107" t="s">
        <v>39</v>
      </c>
      <c r="Q335" s="107" t="s">
        <v>39</v>
      </c>
      <c r="R335" s="107" t="s">
        <v>39</v>
      </c>
      <c r="S335" s="67" t="s">
        <v>39</v>
      </c>
      <c r="T335" s="65"/>
      <c r="U335" s="64"/>
      <c r="V335" s="67" t="s">
        <v>39</v>
      </c>
      <c r="W335" s="154"/>
      <c r="X335" s="65" t="s">
        <v>39</v>
      </c>
      <c r="Y335" s="65" t="s">
        <v>39</v>
      </c>
      <c r="Z335" s="67" t="s">
        <v>39</v>
      </c>
      <c r="AA335" s="67" t="s">
        <v>39</v>
      </c>
      <c r="AB335" s="51" t="s">
        <v>39</v>
      </c>
      <c r="AC335" s="46" t="s">
        <v>39</v>
      </c>
      <c r="AD335" s="155"/>
      <c r="AE335" s="25" t="s">
        <v>244</v>
      </c>
      <c r="AF335" s="206"/>
    </row>
    <row r="336" s="2" customFormat="1" ht="24" customHeight="1" spans="1:32">
      <c r="A336" s="13">
        <v>334</v>
      </c>
      <c r="B336" s="14" t="s">
        <v>1091</v>
      </c>
      <c r="C336" s="15" t="s">
        <v>874</v>
      </c>
      <c r="D336" s="15" t="s">
        <v>1086</v>
      </c>
      <c r="E336" s="15" t="s">
        <v>1087</v>
      </c>
      <c r="F336" s="13" t="s">
        <v>47</v>
      </c>
      <c r="G336" s="16" t="s">
        <v>178</v>
      </c>
      <c r="H336" s="18" t="s">
        <v>39</v>
      </c>
      <c r="I336" s="167" t="s">
        <v>1092</v>
      </c>
      <c r="J336" s="16" t="s">
        <v>1093</v>
      </c>
      <c r="K336" s="20" t="s">
        <v>39</v>
      </c>
      <c r="L336" s="21">
        <v>930000</v>
      </c>
      <c r="M336" s="153">
        <v>0.19</v>
      </c>
      <c r="N336" s="67" t="s">
        <v>39</v>
      </c>
      <c r="O336" s="67" t="s">
        <v>39</v>
      </c>
      <c r="P336" s="107" t="s">
        <v>39</v>
      </c>
      <c r="Q336" s="107" t="s">
        <v>39</v>
      </c>
      <c r="R336" s="107" t="s">
        <v>39</v>
      </c>
      <c r="S336" s="67" t="s">
        <v>39</v>
      </c>
      <c r="T336" s="65"/>
      <c r="U336" s="64"/>
      <c r="V336" s="67" t="s">
        <v>39</v>
      </c>
      <c r="W336" s="154"/>
      <c r="X336" s="65" t="s">
        <v>39</v>
      </c>
      <c r="Y336" s="65" t="s">
        <v>39</v>
      </c>
      <c r="Z336" s="67" t="s">
        <v>39</v>
      </c>
      <c r="AA336" s="67" t="s">
        <v>39</v>
      </c>
      <c r="AB336" s="51" t="s">
        <v>39</v>
      </c>
      <c r="AC336" s="46" t="s">
        <v>39</v>
      </c>
      <c r="AD336" s="155"/>
      <c r="AE336" s="25" t="s">
        <v>244</v>
      </c>
      <c r="AF336" s="206"/>
    </row>
    <row r="337" s="2" customFormat="1" ht="36" customHeight="1" spans="1:32">
      <c r="A337" s="13">
        <v>335</v>
      </c>
      <c r="B337" s="14" t="s">
        <v>1094</v>
      </c>
      <c r="C337" s="15" t="s">
        <v>874</v>
      </c>
      <c r="D337" s="15" t="s">
        <v>1095</v>
      </c>
      <c r="E337" s="15" t="s">
        <v>1096</v>
      </c>
      <c r="F337" s="13" t="s">
        <v>47</v>
      </c>
      <c r="G337" s="16" t="s">
        <v>178</v>
      </c>
      <c r="H337" s="16" t="s">
        <v>39</v>
      </c>
      <c r="I337" s="17" t="s">
        <v>39</v>
      </c>
      <c r="J337" s="16" t="s">
        <v>1088</v>
      </c>
      <c r="K337" s="20" t="s">
        <v>39</v>
      </c>
      <c r="L337" s="21" t="s">
        <v>39</v>
      </c>
      <c r="M337" s="64" t="s">
        <v>39</v>
      </c>
      <c r="N337" s="64" t="s">
        <v>39</v>
      </c>
      <c r="O337" s="64" t="s">
        <v>39</v>
      </c>
      <c r="P337" s="64" t="s">
        <v>39</v>
      </c>
      <c r="Q337" s="64" t="s">
        <v>39</v>
      </c>
      <c r="R337" s="64" t="s">
        <v>39</v>
      </c>
      <c r="S337" s="64" t="s">
        <v>39</v>
      </c>
      <c r="T337" s="44"/>
      <c r="U337" s="106"/>
      <c r="V337" s="64" t="s">
        <v>39</v>
      </c>
      <c r="W337" s="154">
        <v>0.52</v>
      </c>
      <c r="X337" s="65" t="s">
        <v>39</v>
      </c>
      <c r="Y337" s="65" t="s">
        <v>39</v>
      </c>
      <c r="Z337" s="65" t="s">
        <v>39</v>
      </c>
      <c r="AA337" s="65" t="s">
        <v>39</v>
      </c>
      <c r="AB337" s="46">
        <v>0.05</v>
      </c>
      <c r="AC337" s="46">
        <v>0.005</v>
      </c>
      <c r="AD337" s="48" t="s">
        <v>1097</v>
      </c>
      <c r="AE337" s="25"/>
      <c r="AF337" s="206"/>
    </row>
    <row r="338" s="2" customFormat="1" ht="24" customHeight="1" spans="1:32">
      <c r="A338" s="13">
        <v>336</v>
      </c>
      <c r="B338" s="14" t="s">
        <v>1098</v>
      </c>
      <c r="C338" s="15" t="s">
        <v>874</v>
      </c>
      <c r="D338" s="15" t="s">
        <v>1095</v>
      </c>
      <c r="E338" s="15" t="s">
        <v>1096</v>
      </c>
      <c r="F338" s="13" t="s">
        <v>47</v>
      </c>
      <c r="G338" s="16" t="s">
        <v>178</v>
      </c>
      <c r="H338" s="18" t="s">
        <v>39</v>
      </c>
      <c r="I338" s="167" t="s">
        <v>1099</v>
      </c>
      <c r="J338" s="16" t="s">
        <v>1100</v>
      </c>
      <c r="K338" s="20" t="s">
        <v>39</v>
      </c>
      <c r="L338" s="21">
        <v>1280000</v>
      </c>
      <c r="M338" s="153">
        <v>0.1</v>
      </c>
      <c r="N338" s="67" t="s">
        <v>39</v>
      </c>
      <c r="O338" s="67" t="s">
        <v>39</v>
      </c>
      <c r="P338" s="107" t="s">
        <v>39</v>
      </c>
      <c r="Q338" s="107" t="s">
        <v>39</v>
      </c>
      <c r="R338" s="107" t="s">
        <v>39</v>
      </c>
      <c r="S338" s="67" t="s">
        <v>39</v>
      </c>
      <c r="T338" s="64" t="s">
        <v>39</v>
      </c>
      <c r="U338" s="64" t="s">
        <v>39</v>
      </c>
      <c r="V338" s="67" t="s">
        <v>39</v>
      </c>
      <c r="W338" s="156"/>
      <c r="X338" s="65" t="s">
        <v>39</v>
      </c>
      <c r="Y338" s="65" t="s">
        <v>39</v>
      </c>
      <c r="Z338" s="65" t="s">
        <v>39</v>
      </c>
      <c r="AA338" s="65" t="s">
        <v>39</v>
      </c>
      <c r="AB338" s="51" t="s">
        <v>39</v>
      </c>
      <c r="AC338" s="46" t="s">
        <v>39</v>
      </c>
      <c r="AD338" s="69"/>
      <c r="AE338" s="25" t="s">
        <v>244</v>
      </c>
      <c r="AF338" s="206"/>
    </row>
    <row r="339" s="2" customFormat="1" ht="12" customHeight="1" spans="1:32">
      <c r="A339" s="13">
        <v>337</v>
      </c>
      <c r="B339" s="14" t="s">
        <v>1101</v>
      </c>
      <c r="C339" s="15" t="s">
        <v>874</v>
      </c>
      <c r="D339" s="15" t="s">
        <v>1095</v>
      </c>
      <c r="E339" s="15" t="s">
        <v>1102</v>
      </c>
      <c r="F339" s="13" t="s">
        <v>47</v>
      </c>
      <c r="G339" s="16" t="s">
        <v>178</v>
      </c>
      <c r="H339" s="16" t="s">
        <v>39</v>
      </c>
      <c r="I339" s="17" t="s">
        <v>39</v>
      </c>
      <c r="J339" s="16" t="s">
        <v>1103</v>
      </c>
      <c r="K339" s="20" t="s">
        <v>39</v>
      </c>
      <c r="L339" s="21" t="s">
        <v>39</v>
      </c>
      <c r="M339" s="64" t="s">
        <v>39</v>
      </c>
      <c r="N339" s="64" t="s">
        <v>39</v>
      </c>
      <c r="O339" s="64" t="s">
        <v>39</v>
      </c>
      <c r="P339" s="64" t="s">
        <v>39</v>
      </c>
      <c r="Q339" s="64" t="s">
        <v>39</v>
      </c>
      <c r="R339" s="64" t="s">
        <v>39</v>
      </c>
      <c r="S339" s="64" t="s">
        <v>39</v>
      </c>
      <c r="T339" s="65" t="s">
        <v>39</v>
      </c>
      <c r="U339" s="106"/>
      <c r="V339" s="64" t="s">
        <v>39</v>
      </c>
      <c r="W339" s="154">
        <v>0.52</v>
      </c>
      <c r="X339" s="65" t="s">
        <v>39</v>
      </c>
      <c r="Y339" s="65" t="s">
        <v>39</v>
      </c>
      <c r="Z339" s="65" t="s">
        <v>39</v>
      </c>
      <c r="AA339" s="65" t="s">
        <v>39</v>
      </c>
      <c r="AB339" s="46">
        <v>0.06</v>
      </c>
      <c r="AC339" s="46">
        <v>0.005</v>
      </c>
      <c r="AD339" s="69"/>
      <c r="AE339" s="25"/>
      <c r="AF339" s="206"/>
    </row>
    <row r="340" s="2" customFormat="1" ht="24" customHeight="1" spans="1:32">
      <c r="A340" s="13">
        <v>338</v>
      </c>
      <c r="B340" s="14" t="s">
        <v>1104</v>
      </c>
      <c r="C340" s="15" t="s">
        <v>874</v>
      </c>
      <c r="D340" s="15" t="s">
        <v>1095</v>
      </c>
      <c r="E340" s="15" t="s">
        <v>1102</v>
      </c>
      <c r="F340" s="13" t="s">
        <v>47</v>
      </c>
      <c r="G340" s="16" t="s">
        <v>178</v>
      </c>
      <c r="H340" s="18" t="s">
        <v>39</v>
      </c>
      <c r="I340" s="167" t="s">
        <v>1105</v>
      </c>
      <c r="J340" s="16" t="s">
        <v>1106</v>
      </c>
      <c r="K340" s="20" t="s">
        <v>39</v>
      </c>
      <c r="L340" s="21">
        <v>730000</v>
      </c>
      <c r="M340" s="153">
        <v>0.25</v>
      </c>
      <c r="N340" s="67" t="s">
        <v>39</v>
      </c>
      <c r="O340" s="67" t="s">
        <v>39</v>
      </c>
      <c r="P340" s="107" t="s">
        <v>39</v>
      </c>
      <c r="Q340" s="107" t="s">
        <v>39</v>
      </c>
      <c r="R340" s="107" t="s">
        <v>39</v>
      </c>
      <c r="S340" s="67" t="s">
        <v>39</v>
      </c>
      <c r="T340" s="64" t="s">
        <v>39</v>
      </c>
      <c r="U340" s="63" t="s">
        <v>39</v>
      </c>
      <c r="V340" s="67" t="s">
        <v>39</v>
      </c>
      <c r="W340" s="67">
        <v>0.52</v>
      </c>
      <c r="X340" s="65" t="s">
        <v>39</v>
      </c>
      <c r="Y340" s="65" t="s">
        <v>39</v>
      </c>
      <c r="Z340" s="65" t="s">
        <v>39</v>
      </c>
      <c r="AA340" s="65" t="s">
        <v>39</v>
      </c>
      <c r="AB340" s="51" t="s">
        <v>39</v>
      </c>
      <c r="AC340" s="46" t="s">
        <v>39</v>
      </c>
      <c r="AD340" s="69"/>
      <c r="AE340" s="25" t="s">
        <v>244</v>
      </c>
      <c r="AF340" s="206"/>
    </row>
    <row r="341" s="2" customFormat="1" ht="24" customHeight="1" spans="1:32">
      <c r="A341" s="13">
        <v>339</v>
      </c>
      <c r="B341" s="14" t="s">
        <v>1107</v>
      </c>
      <c r="C341" s="15" t="s">
        <v>874</v>
      </c>
      <c r="D341" s="15" t="s">
        <v>1095</v>
      </c>
      <c r="E341" s="15" t="s">
        <v>1102</v>
      </c>
      <c r="F341" s="13" t="s">
        <v>47</v>
      </c>
      <c r="G341" s="16" t="s">
        <v>178</v>
      </c>
      <c r="H341" s="18" t="s">
        <v>39</v>
      </c>
      <c r="I341" s="167" t="s">
        <v>448</v>
      </c>
      <c r="J341" s="16" t="s">
        <v>1108</v>
      </c>
      <c r="K341" s="20" t="s">
        <v>39</v>
      </c>
      <c r="L341" s="21">
        <v>1250000</v>
      </c>
      <c r="M341" s="153">
        <v>0.25</v>
      </c>
      <c r="N341" s="67" t="s">
        <v>39</v>
      </c>
      <c r="O341" s="67" t="s">
        <v>39</v>
      </c>
      <c r="P341" s="107" t="s">
        <v>39</v>
      </c>
      <c r="Q341" s="107" t="s">
        <v>39</v>
      </c>
      <c r="R341" s="107" t="s">
        <v>39</v>
      </c>
      <c r="S341" s="67" t="s">
        <v>39</v>
      </c>
      <c r="T341" s="64" t="s">
        <v>39</v>
      </c>
      <c r="U341" s="63" t="s">
        <v>39</v>
      </c>
      <c r="V341" s="67" t="s">
        <v>39</v>
      </c>
      <c r="W341" s="67">
        <v>0.52</v>
      </c>
      <c r="X341" s="65" t="s">
        <v>39</v>
      </c>
      <c r="Y341" s="65" t="s">
        <v>39</v>
      </c>
      <c r="Z341" s="65" t="s">
        <v>39</v>
      </c>
      <c r="AA341" s="65" t="s">
        <v>39</v>
      </c>
      <c r="AB341" s="51" t="s">
        <v>39</v>
      </c>
      <c r="AC341" s="46" t="s">
        <v>39</v>
      </c>
      <c r="AD341" s="69"/>
      <c r="AE341" s="25" t="s">
        <v>244</v>
      </c>
      <c r="AF341" s="206"/>
    </row>
    <row r="342" s="2" customFormat="1" ht="24" customHeight="1" spans="1:32">
      <c r="A342" s="13">
        <v>340</v>
      </c>
      <c r="B342" s="14" t="s">
        <v>1109</v>
      </c>
      <c r="C342" s="15" t="s">
        <v>874</v>
      </c>
      <c r="D342" s="15" t="s">
        <v>1095</v>
      </c>
      <c r="E342" s="15" t="s">
        <v>1102</v>
      </c>
      <c r="F342" s="13" t="s">
        <v>47</v>
      </c>
      <c r="G342" s="16" t="s">
        <v>178</v>
      </c>
      <c r="H342" s="18" t="s">
        <v>39</v>
      </c>
      <c r="I342" s="167" t="s">
        <v>217</v>
      </c>
      <c r="J342" s="16" t="s">
        <v>1110</v>
      </c>
      <c r="K342" s="20" t="s">
        <v>39</v>
      </c>
      <c r="L342" s="21">
        <v>890000</v>
      </c>
      <c r="M342" s="153">
        <v>0.25</v>
      </c>
      <c r="N342" s="67" t="s">
        <v>39</v>
      </c>
      <c r="O342" s="67" t="s">
        <v>39</v>
      </c>
      <c r="P342" s="107" t="s">
        <v>39</v>
      </c>
      <c r="Q342" s="107" t="s">
        <v>39</v>
      </c>
      <c r="R342" s="107" t="s">
        <v>39</v>
      </c>
      <c r="S342" s="67" t="s">
        <v>39</v>
      </c>
      <c r="T342" s="64" t="s">
        <v>39</v>
      </c>
      <c r="U342" s="63" t="s">
        <v>39</v>
      </c>
      <c r="V342" s="67" t="s">
        <v>39</v>
      </c>
      <c r="W342" s="67">
        <v>0.52</v>
      </c>
      <c r="X342" s="65" t="s">
        <v>39</v>
      </c>
      <c r="Y342" s="65" t="s">
        <v>39</v>
      </c>
      <c r="Z342" s="65" t="s">
        <v>39</v>
      </c>
      <c r="AA342" s="65" t="s">
        <v>39</v>
      </c>
      <c r="AB342" s="51" t="s">
        <v>39</v>
      </c>
      <c r="AC342" s="46" t="s">
        <v>39</v>
      </c>
      <c r="AD342" s="69"/>
      <c r="AE342" s="25" t="s">
        <v>244</v>
      </c>
      <c r="AF342" s="206"/>
    </row>
    <row r="343" s="2" customFormat="1" ht="12" customHeight="1" spans="1:32">
      <c r="A343" s="13">
        <v>341</v>
      </c>
      <c r="B343" s="521"/>
      <c r="C343" s="86" t="s">
        <v>874</v>
      </c>
      <c r="D343" s="86" t="s">
        <v>1111</v>
      </c>
      <c r="E343" s="86" t="s">
        <v>1112</v>
      </c>
      <c r="F343" s="88" t="s">
        <v>37</v>
      </c>
      <c r="G343" s="89" t="s">
        <v>178</v>
      </c>
      <c r="H343" s="55" t="s">
        <v>39</v>
      </c>
      <c r="I343" s="89" t="s">
        <v>39</v>
      </c>
      <c r="J343" s="89" t="s">
        <v>39</v>
      </c>
      <c r="K343" s="19" t="s">
        <v>39</v>
      </c>
      <c r="L343" s="21" t="s">
        <v>39</v>
      </c>
      <c r="M343" s="19" t="s">
        <v>39</v>
      </c>
      <c r="N343" s="47"/>
      <c r="O343" s="19" t="s">
        <v>39</v>
      </c>
      <c r="P343" s="47"/>
      <c r="Q343" s="19" t="s">
        <v>39</v>
      </c>
      <c r="R343" s="19" t="s">
        <v>39</v>
      </c>
      <c r="S343" s="19" t="s">
        <v>39</v>
      </c>
      <c r="T343" s="47"/>
      <c r="U343" s="47"/>
      <c r="V343" s="55" t="s">
        <v>39</v>
      </c>
      <c r="W343" s="19" t="s">
        <v>39</v>
      </c>
      <c r="X343" s="55" t="s">
        <v>39</v>
      </c>
      <c r="Y343" s="55" t="s">
        <v>39</v>
      </c>
      <c r="Z343" s="44"/>
      <c r="AA343" s="44"/>
      <c r="AB343" s="46">
        <v>0.06</v>
      </c>
      <c r="AC343" s="46">
        <v>0.005</v>
      </c>
      <c r="AD343" s="48" t="s">
        <v>104</v>
      </c>
      <c r="AE343" s="25"/>
      <c r="AF343" s="17"/>
    </row>
    <row r="344" s="2" customFormat="1" ht="72" customHeight="1" spans="1:32">
      <c r="A344" s="13">
        <v>342</v>
      </c>
      <c r="B344" s="14" t="s">
        <v>1113</v>
      </c>
      <c r="C344" s="15" t="s">
        <v>874</v>
      </c>
      <c r="D344" s="15" t="s">
        <v>1111</v>
      </c>
      <c r="E344" s="15" t="s">
        <v>1112</v>
      </c>
      <c r="F344" s="13" t="s">
        <v>81</v>
      </c>
      <c r="G344" s="16" t="s">
        <v>178</v>
      </c>
      <c r="H344" s="18" t="s">
        <v>39</v>
      </c>
      <c r="I344" s="167" t="s">
        <v>240</v>
      </c>
      <c r="J344" s="16" t="s">
        <v>210</v>
      </c>
      <c r="K344" s="20" t="s">
        <v>39</v>
      </c>
      <c r="L344" s="21">
        <v>1720000</v>
      </c>
      <c r="M344" s="67">
        <v>0.12</v>
      </c>
      <c r="N344" s="67" t="s">
        <v>39</v>
      </c>
      <c r="O344" s="67" t="s">
        <v>39</v>
      </c>
      <c r="P344" s="67" t="s">
        <v>39</v>
      </c>
      <c r="Q344" s="67" t="s">
        <v>39</v>
      </c>
      <c r="R344" s="67" t="s">
        <v>39</v>
      </c>
      <c r="S344" s="67" t="s">
        <v>39</v>
      </c>
      <c r="T344" s="154"/>
      <c r="U344" s="67">
        <v>0.05</v>
      </c>
      <c r="V344" s="65" t="s">
        <v>39</v>
      </c>
      <c r="W344" s="67">
        <v>0.52</v>
      </c>
      <c r="X344" s="65" t="s">
        <v>39</v>
      </c>
      <c r="Y344" s="65" t="s">
        <v>39</v>
      </c>
      <c r="Z344" s="65" t="s">
        <v>39</v>
      </c>
      <c r="AA344" s="65" t="s">
        <v>39</v>
      </c>
      <c r="AB344" s="51" t="s">
        <v>39</v>
      </c>
      <c r="AC344" s="46" t="s">
        <v>39</v>
      </c>
      <c r="AD344" s="69" t="s">
        <v>1114</v>
      </c>
      <c r="AE344" s="25" t="s">
        <v>1115</v>
      </c>
      <c r="AF344" s="17" t="s">
        <v>1116</v>
      </c>
    </row>
    <row r="345" s="2" customFormat="1" ht="72" customHeight="1" spans="1:32">
      <c r="A345" s="13">
        <v>343</v>
      </c>
      <c r="B345" s="14" t="s">
        <v>1117</v>
      </c>
      <c r="C345" s="15" t="s">
        <v>874</v>
      </c>
      <c r="D345" s="15" t="s">
        <v>1111</v>
      </c>
      <c r="E345" s="15" t="s">
        <v>1112</v>
      </c>
      <c r="F345" s="13" t="s">
        <v>81</v>
      </c>
      <c r="G345" s="16" t="s">
        <v>178</v>
      </c>
      <c r="H345" s="18" t="s">
        <v>39</v>
      </c>
      <c r="I345" s="167" t="s">
        <v>266</v>
      </c>
      <c r="J345" s="16" t="s">
        <v>1118</v>
      </c>
      <c r="K345" s="20" t="s">
        <v>39</v>
      </c>
      <c r="L345" s="21">
        <v>820000</v>
      </c>
      <c r="M345" s="77">
        <v>0.15</v>
      </c>
      <c r="N345" s="77" t="s">
        <v>39</v>
      </c>
      <c r="O345" s="77" t="s">
        <v>39</v>
      </c>
      <c r="P345" s="77" t="s">
        <v>39</v>
      </c>
      <c r="Q345" s="77" t="s">
        <v>39</v>
      </c>
      <c r="R345" s="77" t="s">
        <v>39</v>
      </c>
      <c r="S345" s="77" t="s">
        <v>39</v>
      </c>
      <c r="T345" s="79"/>
      <c r="U345" s="77">
        <v>0.03</v>
      </c>
      <c r="V345" s="72" t="s">
        <v>39</v>
      </c>
      <c r="W345" s="77">
        <v>0.52</v>
      </c>
      <c r="X345" s="72" t="s">
        <v>39</v>
      </c>
      <c r="Y345" s="72" t="s">
        <v>39</v>
      </c>
      <c r="Z345" s="72" t="s">
        <v>39</v>
      </c>
      <c r="AA345" s="72" t="s">
        <v>39</v>
      </c>
      <c r="AB345" s="51" t="s">
        <v>39</v>
      </c>
      <c r="AC345" s="46" t="s">
        <v>39</v>
      </c>
      <c r="AD345" s="82" t="s">
        <v>1114</v>
      </c>
      <c r="AE345" s="25" t="s">
        <v>1115</v>
      </c>
      <c r="AF345" s="17" t="s">
        <v>1116</v>
      </c>
    </row>
    <row r="346" s="2" customFormat="1" ht="72" customHeight="1" spans="1:32">
      <c r="A346" s="13">
        <v>344</v>
      </c>
      <c r="B346" s="14" t="s">
        <v>1119</v>
      </c>
      <c r="C346" s="15" t="s">
        <v>874</v>
      </c>
      <c r="D346" s="15" t="s">
        <v>1111</v>
      </c>
      <c r="E346" s="15" t="s">
        <v>1112</v>
      </c>
      <c r="F346" s="13" t="s">
        <v>81</v>
      </c>
      <c r="G346" s="16" t="s">
        <v>178</v>
      </c>
      <c r="H346" s="18" t="s">
        <v>39</v>
      </c>
      <c r="I346" s="167" t="s">
        <v>1120</v>
      </c>
      <c r="J346" s="16" t="s">
        <v>1121</v>
      </c>
      <c r="K346" s="20" t="s">
        <v>39</v>
      </c>
      <c r="L346" s="21">
        <v>730000</v>
      </c>
      <c r="M346" s="77">
        <v>0.18</v>
      </c>
      <c r="N346" s="77" t="s">
        <v>39</v>
      </c>
      <c r="O346" s="77" t="s">
        <v>39</v>
      </c>
      <c r="P346" s="77" t="s">
        <v>39</v>
      </c>
      <c r="Q346" s="77" t="s">
        <v>39</v>
      </c>
      <c r="R346" s="77" t="s">
        <v>39</v>
      </c>
      <c r="S346" s="77" t="s">
        <v>39</v>
      </c>
      <c r="T346" s="79"/>
      <c r="U346" s="77">
        <v>0.04</v>
      </c>
      <c r="V346" s="71" t="s">
        <v>39</v>
      </c>
      <c r="W346" s="77">
        <v>0.52</v>
      </c>
      <c r="X346" s="72" t="s">
        <v>39</v>
      </c>
      <c r="Y346" s="72" t="s">
        <v>39</v>
      </c>
      <c r="Z346" s="72" t="s">
        <v>39</v>
      </c>
      <c r="AA346" s="72" t="s">
        <v>39</v>
      </c>
      <c r="AB346" s="51" t="s">
        <v>39</v>
      </c>
      <c r="AC346" s="46" t="s">
        <v>39</v>
      </c>
      <c r="AD346" s="82" t="s">
        <v>1114</v>
      </c>
      <c r="AE346" s="25" t="s">
        <v>1115</v>
      </c>
      <c r="AF346" s="17" t="s">
        <v>1116</v>
      </c>
    </row>
    <row r="347" s="2" customFormat="1" ht="72" customHeight="1" spans="1:32">
      <c r="A347" s="13">
        <v>345</v>
      </c>
      <c r="B347" s="14" t="s">
        <v>1122</v>
      </c>
      <c r="C347" s="15" t="s">
        <v>874</v>
      </c>
      <c r="D347" s="15" t="s">
        <v>1111</v>
      </c>
      <c r="E347" s="15" t="s">
        <v>1112</v>
      </c>
      <c r="F347" s="13" t="s">
        <v>81</v>
      </c>
      <c r="G347" s="16" t="s">
        <v>178</v>
      </c>
      <c r="H347" s="18" t="s">
        <v>39</v>
      </c>
      <c r="I347" s="167" t="s">
        <v>1123</v>
      </c>
      <c r="J347" s="16" t="s">
        <v>1124</v>
      </c>
      <c r="K347" s="20" t="s">
        <v>39</v>
      </c>
      <c r="L347" s="21">
        <v>670000</v>
      </c>
      <c r="M347" s="77">
        <v>0.18</v>
      </c>
      <c r="N347" s="77" t="s">
        <v>39</v>
      </c>
      <c r="O347" s="77" t="s">
        <v>39</v>
      </c>
      <c r="P347" s="77" t="s">
        <v>39</v>
      </c>
      <c r="Q347" s="77" t="s">
        <v>39</v>
      </c>
      <c r="R347" s="77" t="s">
        <v>39</v>
      </c>
      <c r="S347" s="77" t="s">
        <v>39</v>
      </c>
      <c r="T347" s="79"/>
      <c r="U347" s="77">
        <v>0.05</v>
      </c>
      <c r="V347" s="71" t="s">
        <v>39</v>
      </c>
      <c r="W347" s="77">
        <v>0.52</v>
      </c>
      <c r="X347" s="72" t="s">
        <v>39</v>
      </c>
      <c r="Y347" s="72" t="s">
        <v>39</v>
      </c>
      <c r="Z347" s="72" t="s">
        <v>39</v>
      </c>
      <c r="AA347" s="72" t="s">
        <v>39</v>
      </c>
      <c r="AB347" s="51" t="s">
        <v>39</v>
      </c>
      <c r="AC347" s="46" t="s">
        <v>39</v>
      </c>
      <c r="AD347" s="82" t="s">
        <v>1114</v>
      </c>
      <c r="AE347" s="25" t="s">
        <v>1115</v>
      </c>
      <c r="AF347" s="17" t="s">
        <v>1116</v>
      </c>
    </row>
    <row r="348" s="2" customFormat="1" ht="72" customHeight="1" spans="1:32">
      <c r="A348" s="13">
        <v>346</v>
      </c>
      <c r="B348" s="14" t="s">
        <v>1125</v>
      </c>
      <c r="C348" s="15" t="s">
        <v>874</v>
      </c>
      <c r="D348" s="15" t="s">
        <v>1111</v>
      </c>
      <c r="E348" s="15" t="s">
        <v>1112</v>
      </c>
      <c r="F348" s="13" t="s">
        <v>81</v>
      </c>
      <c r="G348" s="16" t="s">
        <v>178</v>
      </c>
      <c r="H348" s="18" t="s">
        <v>39</v>
      </c>
      <c r="I348" s="167" t="s">
        <v>1126</v>
      </c>
      <c r="J348" s="16" t="s">
        <v>1127</v>
      </c>
      <c r="K348" s="20" t="s">
        <v>39</v>
      </c>
      <c r="L348" s="21">
        <v>770000</v>
      </c>
      <c r="M348" s="77">
        <v>0.18</v>
      </c>
      <c r="N348" s="77" t="s">
        <v>39</v>
      </c>
      <c r="O348" s="77" t="s">
        <v>39</v>
      </c>
      <c r="P348" s="77" t="s">
        <v>39</v>
      </c>
      <c r="Q348" s="77" t="s">
        <v>39</v>
      </c>
      <c r="R348" s="77" t="s">
        <v>39</v>
      </c>
      <c r="S348" s="77" t="s">
        <v>39</v>
      </c>
      <c r="T348" s="79"/>
      <c r="U348" s="77">
        <v>0.05</v>
      </c>
      <c r="V348" s="71" t="s">
        <v>39</v>
      </c>
      <c r="W348" s="77">
        <v>0.52</v>
      </c>
      <c r="X348" s="72" t="s">
        <v>39</v>
      </c>
      <c r="Y348" s="72" t="s">
        <v>39</v>
      </c>
      <c r="Z348" s="72" t="s">
        <v>39</v>
      </c>
      <c r="AA348" s="72" t="s">
        <v>39</v>
      </c>
      <c r="AB348" s="51" t="s">
        <v>39</v>
      </c>
      <c r="AC348" s="46" t="s">
        <v>39</v>
      </c>
      <c r="AD348" s="82" t="s">
        <v>1114</v>
      </c>
      <c r="AE348" s="25" t="s">
        <v>1115</v>
      </c>
      <c r="AF348" s="17" t="s">
        <v>1116</v>
      </c>
    </row>
    <row r="349" s="2" customFormat="1" ht="72" customHeight="1" spans="1:32">
      <c r="A349" s="13">
        <v>347</v>
      </c>
      <c r="B349" s="14" t="s">
        <v>1128</v>
      </c>
      <c r="C349" s="15" t="s">
        <v>874</v>
      </c>
      <c r="D349" s="15" t="s">
        <v>1111</v>
      </c>
      <c r="E349" s="15" t="s">
        <v>1112</v>
      </c>
      <c r="F349" s="13" t="s">
        <v>81</v>
      </c>
      <c r="G349" s="16" t="s">
        <v>178</v>
      </c>
      <c r="H349" s="18" t="s">
        <v>39</v>
      </c>
      <c r="I349" s="167" t="s">
        <v>1129</v>
      </c>
      <c r="J349" s="16" t="s">
        <v>1130</v>
      </c>
      <c r="K349" s="20" t="s">
        <v>39</v>
      </c>
      <c r="L349" s="21">
        <v>1480000</v>
      </c>
      <c r="M349" s="77">
        <v>0.18</v>
      </c>
      <c r="N349" s="77" t="s">
        <v>39</v>
      </c>
      <c r="O349" s="77" t="s">
        <v>39</v>
      </c>
      <c r="P349" s="77" t="s">
        <v>39</v>
      </c>
      <c r="Q349" s="77" t="s">
        <v>39</v>
      </c>
      <c r="R349" s="77" t="s">
        <v>39</v>
      </c>
      <c r="S349" s="77" t="s">
        <v>39</v>
      </c>
      <c r="T349" s="79"/>
      <c r="U349" s="84">
        <v>0.05</v>
      </c>
      <c r="V349" s="71" t="s">
        <v>39</v>
      </c>
      <c r="W349" s="157">
        <v>0.52</v>
      </c>
      <c r="X349" s="72" t="s">
        <v>39</v>
      </c>
      <c r="Y349" s="72" t="s">
        <v>39</v>
      </c>
      <c r="Z349" s="72" t="s">
        <v>39</v>
      </c>
      <c r="AA349" s="72" t="s">
        <v>39</v>
      </c>
      <c r="AB349" s="51" t="s">
        <v>39</v>
      </c>
      <c r="AC349" s="46" t="s">
        <v>39</v>
      </c>
      <c r="AD349" s="82" t="s">
        <v>1114</v>
      </c>
      <c r="AE349" s="25" t="s">
        <v>1115</v>
      </c>
      <c r="AF349" s="17" t="s">
        <v>1116</v>
      </c>
    </row>
    <row r="350" s="2" customFormat="1" ht="72" customHeight="1" spans="1:32">
      <c r="A350" s="13">
        <v>348</v>
      </c>
      <c r="B350" s="14" t="s">
        <v>1131</v>
      </c>
      <c r="C350" s="15" t="s">
        <v>874</v>
      </c>
      <c r="D350" s="15" t="s">
        <v>1111</v>
      </c>
      <c r="E350" s="15" t="s">
        <v>1112</v>
      </c>
      <c r="F350" s="13" t="s">
        <v>81</v>
      </c>
      <c r="G350" s="16" t="s">
        <v>178</v>
      </c>
      <c r="H350" s="18" t="s">
        <v>39</v>
      </c>
      <c r="I350" s="167" t="s">
        <v>530</v>
      </c>
      <c r="J350" s="16" t="s">
        <v>1132</v>
      </c>
      <c r="K350" s="20" t="s">
        <v>39</v>
      </c>
      <c r="L350" s="21">
        <v>680000</v>
      </c>
      <c r="M350" s="77">
        <v>0.18</v>
      </c>
      <c r="N350" s="77" t="s">
        <v>39</v>
      </c>
      <c r="O350" s="77" t="s">
        <v>39</v>
      </c>
      <c r="P350" s="77" t="s">
        <v>39</v>
      </c>
      <c r="Q350" s="77" t="s">
        <v>39</v>
      </c>
      <c r="R350" s="77" t="s">
        <v>39</v>
      </c>
      <c r="S350" s="77" t="s">
        <v>39</v>
      </c>
      <c r="T350" s="79"/>
      <c r="U350" s="84">
        <v>0.05</v>
      </c>
      <c r="V350" s="158" t="s">
        <v>39</v>
      </c>
      <c r="W350" s="77">
        <v>0.52</v>
      </c>
      <c r="X350" s="159" t="s">
        <v>39</v>
      </c>
      <c r="Y350" s="72" t="s">
        <v>39</v>
      </c>
      <c r="Z350" s="72" t="s">
        <v>39</v>
      </c>
      <c r="AA350" s="72" t="s">
        <v>39</v>
      </c>
      <c r="AB350" s="51" t="s">
        <v>39</v>
      </c>
      <c r="AC350" s="46" t="s">
        <v>39</v>
      </c>
      <c r="AD350" s="82" t="s">
        <v>1114</v>
      </c>
      <c r="AE350" s="25" t="s">
        <v>1115</v>
      </c>
      <c r="AF350" s="17" t="s">
        <v>1116</v>
      </c>
    </row>
    <row r="351" s="2" customFormat="1" ht="72" customHeight="1" spans="1:32">
      <c r="A351" s="13">
        <v>349</v>
      </c>
      <c r="B351" s="14" t="s">
        <v>1133</v>
      </c>
      <c r="C351" s="15" t="s">
        <v>874</v>
      </c>
      <c r="D351" s="15" t="s">
        <v>1111</v>
      </c>
      <c r="E351" s="15" t="s">
        <v>1112</v>
      </c>
      <c r="F351" s="13" t="s">
        <v>81</v>
      </c>
      <c r="G351" s="16" t="s">
        <v>178</v>
      </c>
      <c r="H351" s="18" t="s">
        <v>39</v>
      </c>
      <c r="I351" s="167" t="s">
        <v>214</v>
      </c>
      <c r="J351" s="16" t="s">
        <v>1134</v>
      </c>
      <c r="K351" s="20" t="s">
        <v>39</v>
      </c>
      <c r="L351" s="21">
        <v>780000</v>
      </c>
      <c r="M351" s="77">
        <v>0.18</v>
      </c>
      <c r="N351" s="77" t="s">
        <v>39</v>
      </c>
      <c r="O351" s="77" t="s">
        <v>39</v>
      </c>
      <c r="P351" s="77" t="s">
        <v>39</v>
      </c>
      <c r="Q351" s="77" t="s">
        <v>39</v>
      </c>
      <c r="R351" s="77" t="s">
        <v>39</v>
      </c>
      <c r="S351" s="77" t="s">
        <v>39</v>
      </c>
      <c r="T351" s="79"/>
      <c r="U351" s="84">
        <v>0.04</v>
      </c>
      <c r="V351" s="158" t="s">
        <v>39</v>
      </c>
      <c r="W351" s="77">
        <v>0.52</v>
      </c>
      <c r="X351" s="159" t="s">
        <v>39</v>
      </c>
      <c r="Y351" s="72" t="s">
        <v>39</v>
      </c>
      <c r="Z351" s="72" t="s">
        <v>39</v>
      </c>
      <c r="AA351" s="72" t="s">
        <v>39</v>
      </c>
      <c r="AB351" s="51" t="s">
        <v>39</v>
      </c>
      <c r="AC351" s="46" t="s">
        <v>39</v>
      </c>
      <c r="AD351" s="82" t="s">
        <v>1114</v>
      </c>
      <c r="AE351" s="25" t="s">
        <v>1115</v>
      </c>
      <c r="AF351" s="17" t="s">
        <v>1116</v>
      </c>
    </row>
    <row r="352" s="2" customFormat="1" ht="72" customHeight="1" spans="1:32">
      <c r="A352" s="13">
        <v>350</v>
      </c>
      <c r="B352" s="14" t="s">
        <v>1135</v>
      </c>
      <c r="C352" s="15" t="s">
        <v>874</v>
      </c>
      <c r="D352" s="15" t="s">
        <v>1111</v>
      </c>
      <c r="E352" s="15" t="s">
        <v>1112</v>
      </c>
      <c r="F352" s="13" t="s">
        <v>81</v>
      </c>
      <c r="G352" s="16" t="s">
        <v>178</v>
      </c>
      <c r="H352" s="18" t="s">
        <v>39</v>
      </c>
      <c r="I352" s="167" t="s">
        <v>1136</v>
      </c>
      <c r="J352" s="16" t="s">
        <v>1137</v>
      </c>
      <c r="K352" s="20" t="s">
        <v>39</v>
      </c>
      <c r="L352" s="21">
        <v>720000</v>
      </c>
      <c r="M352" s="77">
        <v>0.18</v>
      </c>
      <c r="N352" s="77" t="s">
        <v>39</v>
      </c>
      <c r="O352" s="77" t="s">
        <v>39</v>
      </c>
      <c r="P352" s="77" t="s">
        <v>39</v>
      </c>
      <c r="Q352" s="77" t="s">
        <v>39</v>
      </c>
      <c r="R352" s="77" t="s">
        <v>39</v>
      </c>
      <c r="S352" s="77" t="s">
        <v>39</v>
      </c>
      <c r="T352" s="79"/>
      <c r="U352" s="84">
        <v>0.05</v>
      </c>
      <c r="V352" s="158" t="s">
        <v>39</v>
      </c>
      <c r="W352" s="77">
        <v>0.52</v>
      </c>
      <c r="X352" s="159" t="s">
        <v>39</v>
      </c>
      <c r="Y352" s="72" t="s">
        <v>39</v>
      </c>
      <c r="Z352" s="72" t="s">
        <v>39</v>
      </c>
      <c r="AA352" s="72" t="s">
        <v>39</v>
      </c>
      <c r="AB352" s="51" t="s">
        <v>39</v>
      </c>
      <c r="AC352" s="46" t="s">
        <v>39</v>
      </c>
      <c r="AD352" s="82" t="s">
        <v>1114</v>
      </c>
      <c r="AE352" s="25" t="s">
        <v>1115</v>
      </c>
      <c r="AF352" s="17" t="s">
        <v>1116</v>
      </c>
    </row>
    <row r="353" s="2" customFormat="1" ht="72" customHeight="1" spans="1:32">
      <c r="A353" s="13">
        <v>351</v>
      </c>
      <c r="B353" s="14" t="s">
        <v>1138</v>
      </c>
      <c r="C353" s="15" t="s">
        <v>874</v>
      </c>
      <c r="D353" s="15" t="s">
        <v>1111</v>
      </c>
      <c r="E353" s="15" t="s">
        <v>1112</v>
      </c>
      <c r="F353" s="13" t="s">
        <v>81</v>
      </c>
      <c r="G353" s="16" t="s">
        <v>178</v>
      </c>
      <c r="H353" s="18" t="s">
        <v>39</v>
      </c>
      <c r="I353" s="167" t="s">
        <v>1139</v>
      </c>
      <c r="J353" s="16" t="s">
        <v>1140</v>
      </c>
      <c r="K353" s="20" t="s">
        <v>39</v>
      </c>
      <c r="L353" s="21">
        <v>1100000</v>
      </c>
      <c r="M353" s="77">
        <v>0.1</v>
      </c>
      <c r="N353" s="77" t="s">
        <v>39</v>
      </c>
      <c r="O353" s="77" t="s">
        <v>39</v>
      </c>
      <c r="P353" s="77" t="s">
        <v>39</v>
      </c>
      <c r="Q353" s="77" t="s">
        <v>39</v>
      </c>
      <c r="R353" s="77" t="s">
        <v>39</v>
      </c>
      <c r="S353" s="77" t="s">
        <v>39</v>
      </c>
      <c r="T353" s="79"/>
      <c r="U353" s="84">
        <v>0.03</v>
      </c>
      <c r="V353" s="158" t="s">
        <v>39</v>
      </c>
      <c r="W353" s="77">
        <v>0.52</v>
      </c>
      <c r="X353" s="159" t="s">
        <v>39</v>
      </c>
      <c r="Y353" s="72" t="s">
        <v>39</v>
      </c>
      <c r="Z353" s="72" t="s">
        <v>39</v>
      </c>
      <c r="AA353" s="72" t="s">
        <v>39</v>
      </c>
      <c r="AB353" s="51" t="s">
        <v>39</v>
      </c>
      <c r="AC353" s="46" t="s">
        <v>39</v>
      </c>
      <c r="AD353" s="82" t="s">
        <v>1114</v>
      </c>
      <c r="AE353" s="25" t="s">
        <v>1115</v>
      </c>
      <c r="AF353" s="17" t="s">
        <v>1116</v>
      </c>
    </row>
    <row r="354" s="2" customFormat="1" ht="12" customHeight="1" spans="1:32">
      <c r="A354" s="13">
        <v>352</v>
      </c>
      <c r="B354" s="14" t="s">
        <v>1141</v>
      </c>
      <c r="C354" s="15" t="s">
        <v>1142</v>
      </c>
      <c r="D354" s="15" t="s">
        <v>1143</v>
      </c>
      <c r="E354" s="15" t="s">
        <v>1144</v>
      </c>
      <c r="F354" s="13" t="s">
        <v>37</v>
      </c>
      <c r="G354" s="16" t="s">
        <v>178</v>
      </c>
      <c r="H354" s="16" t="s">
        <v>39</v>
      </c>
      <c r="I354" s="167" t="s">
        <v>39</v>
      </c>
      <c r="J354" s="16" t="s">
        <v>39</v>
      </c>
      <c r="K354" s="20" t="s">
        <v>39</v>
      </c>
      <c r="L354" s="21" t="s">
        <v>39</v>
      </c>
      <c r="M354" s="77" t="s">
        <v>39</v>
      </c>
      <c r="N354" s="78"/>
      <c r="O354" s="77" t="s">
        <v>39</v>
      </c>
      <c r="P354" s="78"/>
      <c r="Q354" s="77" t="s">
        <v>39</v>
      </c>
      <c r="R354" s="77" t="s">
        <v>39</v>
      </c>
      <c r="S354" s="77" t="s">
        <v>39</v>
      </c>
      <c r="T354" s="78"/>
      <c r="U354" s="78"/>
      <c r="V354" s="160" t="s">
        <v>39</v>
      </c>
      <c r="W354" s="161"/>
      <c r="X354" s="162">
        <v>0.03</v>
      </c>
      <c r="Y354" s="72" t="s">
        <v>39</v>
      </c>
      <c r="Z354" s="80"/>
      <c r="AA354" s="80"/>
      <c r="AB354" s="46">
        <v>0.045</v>
      </c>
      <c r="AC354" s="46" t="s">
        <v>39</v>
      </c>
      <c r="AD354" s="76"/>
      <c r="AE354" s="25"/>
      <c r="AF354" s="206"/>
    </row>
    <row r="355" s="2" customFormat="1" ht="84" customHeight="1" spans="1:32">
      <c r="A355" s="13">
        <v>353</v>
      </c>
      <c r="B355" s="14" t="s">
        <v>1145</v>
      </c>
      <c r="C355" s="15" t="s">
        <v>1142</v>
      </c>
      <c r="D355" s="15" t="s">
        <v>1143</v>
      </c>
      <c r="E355" s="15" t="s">
        <v>1144</v>
      </c>
      <c r="F355" s="13" t="s">
        <v>81</v>
      </c>
      <c r="G355" s="16" t="s">
        <v>178</v>
      </c>
      <c r="H355" s="13" t="s">
        <v>66</v>
      </c>
      <c r="I355" s="43" t="s">
        <v>1146</v>
      </c>
      <c r="J355" s="13" t="s">
        <v>1147</v>
      </c>
      <c r="K355" s="20" t="s">
        <v>39</v>
      </c>
      <c r="L355" s="21">
        <v>375000</v>
      </c>
      <c r="M355" s="84">
        <v>0.19</v>
      </c>
      <c r="N355" s="77" t="s">
        <v>39</v>
      </c>
      <c r="O355" s="77" t="s">
        <v>39</v>
      </c>
      <c r="P355" s="81" t="s">
        <v>39</v>
      </c>
      <c r="Q355" s="81" t="s">
        <v>39</v>
      </c>
      <c r="R355" s="81" t="s">
        <v>39</v>
      </c>
      <c r="S355" s="71" t="s">
        <v>39</v>
      </c>
      <c r="T355" s="81">
        <v>0.035</v>
      </c>
      <c r="U355" s="70">
        <v>0.055</v>
      </c>
      <c r="V355" s="71" t="s">
        <v>39</v>
      </c>
      <c r="W355" s="163">
        <v>0.2</v>
      </c>
      <c r="X355" s="77" t="s">
        <v>39</v>
      </c>
      <c r="Y355" s="72" t="s">
        <v>39</v>
      </c>
      <c r="Z355" s="72" t="s">
        <v>39</v>
      </c>
      <c r="AA355" s="72" t="s">
        <v>39</v>
      </c>
      <c r="AB355" s="46" t="s">
        <v>39</v>
      </c>
      <c r="AC355" s="46" t="s">
        <v>39</v>
      </c>
      <c r="AD355" s="76" t="s">
        <v>1148</v>
      </c>
      <c r="AE355" s="25" t="s">
        <v>1149</v>
      </c>
      <c r="AF355" s="17" t="s">
        <v>1150</v>
      </c>
    </row>
    <row r="356" s="2" customFormat="1" ht="84" customHeight="1" spans="1:32">
      <c r="A356" s="13">
        <v>354</v>
      </c>
      <c r="B356" s="14" t="s">
        <v>1151</v>
      </c>
      <c r="C356" s="15" t="s">
        <v>1142</v>
      </c>
      <c r="D356" s="15" t="s">
        <v>1143</v>
      </c>
      <c r="E356" s="15" t="s">
        <v>1144</v>
      </c>
      <c r="F356" s="13" t="s">
        <v>81</v>
      </c>
      <c r="G356" s="16" t="s">
        <v>178</v>
      </c>
      <c r="H356" s="13" t="s">
        <v>70</v>
      </c>
      <c r="I356" s="43" t="s">
        <v>1152</v>
      </c>
      <c r="J356" s="13" t="s">
        <v>642</v>
      </c>
      <c r="K356" s="20" t="s">
        <v>39</v>
      </c>
      <c r="L356" s="21">
        <v>395000</v>
      </c>
      <c r="M356" s="84">
        <v>0.19</v>
      </c>
      <c r="N356" s="77" t="s">
        <v>39</v>
      </c>
      <c r="O356" s="77" t="s">
        <v>39</v>
      </c>
      <c r="P356" s="81" t="s">
        <v>39</v>
      </c>
      <c r="Q356" s="81" t="s">
        <v>39</v>
      </c>
      <c r="R356" s="81" t="s">
        <v>39</v>
      </c>
      <c r="S356" s="71" t="s">
        <v>39</v>
      </c>
      <c r="T356" s="81">
        <v>0.035</v>
      </c>
      <c r="U356" s="70">
        <v>0.055</v>
      </c>
      <c r="V356" s="71" t="s">
        <v>39</v>
      </c>
      <c r="W356" s="77">
        <v>0.2</v>
      </c>
      <c r="X356" s="77" t="s">
        <v>39</v>
      </c>
      <c r="Y356" s="72" t="s">
        <v>39</v>
      </c>
      <c r="Z356" s="72" t="s">
        <v>39</v>
      </c>
      <c r="AA356" s="72" t="s">
        <v>39</v>
      </c>
      <c r="AB356" s="46" t="s">
        <v>39</v>
      </c>
      <c r="AC356" s="46" t="s">
        <v>39</v>
      </c>
      <c r="AD356" s="76" t="s">
        <v>1148</v>
      </c>
      <c r="AE356" s="25" t="s">
        <v>1149</v>
      </c>
      <c r="AF356" s="17" t="s">
        <v>1150</v>
      </c>
    </row>
    <row r="357" s="2" customFormat="1" ht="84" customHeight="1" spans="1:32">
      <c r="A357" s="13">
        <v>355</v>
      </c>
      <c r="B357" s="14" t="s">
        <v>1153</v>
      </c>
      <c r="C357" s="15" t="s">
        <v>1142</v>
      </c>
      <c r="D357" s="15" t="s">
        <v>1143</v>
      </c>
      <c r="E357" s="15" t="s">
        <v>1144</v>
      </c>
      <c r="F357" s="13" t="s">
        <v>81</v>
      </c>
      <c r="G357" s="16" t="s">
        <v>178</v>
      </c>
      <c r="H357" s="13" t="s">
        <v>272</v>
      </c>
      <c r="I357" s="43" t="s">
        <v>98</v>
      </c>
      <c r="J357" s="13" t="s">
        <v>642</v>
      </c>
      <c r="K357" s="20" t="s">
        <v>39</v>
      </c>
      <c r="L357" s="21">
        <v>968000</v>
      </c>
      <c r="M357" s="84">
        <v>0.19</v>
      </c>
      <c r="N357" s="77" t="s">
        <v>39</v>
      </c>
      <c r="O357" s="77" t="s">
        <v>39</v>
      </c>
      <c r="P357" s="81" t="s">
        <v>39</v>
      </c>
      <c r="Q357" s="81" t="s">
        <v>39</v>
      </c>
      <c r="R357" s="81" t="s">
        <v>39</v>
      </c>
      <c r="S357" s="71" t="s">
        <v>39</v>
      </c>
      <c r="T357" s="81">
        <v>0.025</v>
      </c>
      <c r="U357" s="70">
        <v>0.055</v>
      </c>
      <c r="V357" s="71" t="s">
        <v>39</v>
      </c>
      <c r="W357" s="77">
        <v>0.2</v>
      </c>
      <c r="X357" s="77" t="s">
        <v>39</v>
      </c>
      <c r="Y357" s="72" t="s">
        <v>39</v>
      </c>
      <c r="Z357" s="74">
        <v>7500</v>
      </c>
      <c r="AA357" s="72" t="s">
        <v>39</v>
      </c>
      <c r="AB357" s="46" t="s">
        <v>39</v>
      </c>
      <c r="AC357" s="46" t="s">
        <v>39</v>
      </c>
      <c r="AD357" s="76" t="s">
        <v>1154</v>
      </c>
      <c r="AE357" s="25" t="s">
        <v>1149</v>
      </c>
      <c r="AF357" s="17" t="s">
        <v>1150</v>
      </c>
    </row>
    <row r="358" s="2" customFormat="1" ht="84" customHeight="1" spans="1:32">
      <c r="A358" s="13">
        <v>356</v>
      </c>
      <c r="B358" s="14" t="s">
        <v>1155</v>
      </c>
      <c r="C358" s="15" t="s">
        <v>1142</v>
      </c>
      <c r="D358" s="15" t="s">
        <v>1143</v>
      </c>
      <c r="E358" s="15" t="s">
        <v>1144</v>
      </c>
      <c r="F358" s="13" t="s">
        <v>81</v>
      </c>
      <c r="G358" s="16" t="s">
        <v>178</v>
      </c>
      <c r="H358" s="13" t="s">
        <v>60</v>
      </c>
      <c r="I358" s="43" t="s">
        <v>1156</v>
      </c>
      <c r="J358" s="13" t="s">
        <v>1147</v>
      </c>
      <c r="K358" s="20" t="s">
        <v>39</v>
      </c>
      <c r="L358" s="21">
        <v>810000</v>
      </c>
      <c r="M358" s="84">
        <v>0.19</v>
      </c>
      <c r="N358" s="77" t="s">
        <v>39</v>
      </c>
      <c r="O358" s="77" t="s">
        <v>39</v>
      </c>
      <c r="P358" s="81" t="s">
        <v>39</v>
      </c>
      <c r="Q358" s="81" t="s">
        <v>39</v>
      </c>
      <c r="R358" s="81" t="s">
        <v>39</v>
      </c>
      <c r="S358" s="71" t="s">
        <v>39</v>
      </c>
      <c r="T358" s="81"/>
      <c r="U358" s="70"/>
      <c r="V358" s="71" t="s">
        <v>39</v>
      </c>
      <c r="W358" s="77">
        <v>0.53</v>
      </c>
      <c r="X358" s="77" t="s">
        <v>39</v>
      </c>
      <c r="Y358" s="72" t="s">
        <v>39</v>
      </c>
      <c r="Z358" s="72" t="s">
        <v>39</v>
      </c>
      <c r="AA358" s="72" t="s">
        <v>39</v>
      </c>
      <c r="AB358" s="46" t="s">
        <v>39</v>
      </c>
      <c r="AC358" s="46" t="s">
        <v>39</v>
      </c>
      <c r="AD358" s="76" t="s">
        <v>1148</v>
      </c>
      <c r="AE358" s="25" t="s">
        <v>1157</v>
      </c>
      <c r="AF358" s="17" t="s">
        <v>1158</v>
      </c>
    </row>
    <row r="359" s="2" customFormat="1" ht="84" customHeight="1" spans="1:32">
      <c r="A359" s="13">
        <v>357</v>
      </c>
      <c r="B359" s="14" t="s">
        <v>1159</v>
      </c>
      <c r="C359" s="15" t="s">
        <v>1142</v>
      </c>
      <c r="D359" s="15" t="s">
        <v>1143</v>
      </c>
      <c r="E359" s="15" t="s">
        <v>1144</v>
      </c>
      <c r="F359" s="13" t="s">
        <v>81</v>
      </c>
      <c r="G359" s="16" t="s">
        <v>178</v>
      </c>
      <c r="H359" s="13" t="s">
        <v>265</v>
      </c>
      <c r="I359" s="43" t="s">
        <v>771</v>
      </c>
      <c r="J359" s="13" t="s">
        <v>1160</v>
      </c>
      <c r="K359" s="20" t="s">
        <v>39</v>
      </c>
      <c r="L359" s="21">
        <v>745000</v>
      </c>
      <c r="M359" s="84">
        <v>0.19</v>
      </c>
      <c r="N359" s="77" t="s">
        <v>39</v>
      </c>
      <c r="O359" s="77" t="s">
        <v>39</v>
      </c>
      <c r="P359" s="81" t="s">
        <v>39</v>
      </c>
      <c r="Q359" s="81" t="s">
        <v>39</v>
      </c>
      <c r="R359" s="81" t="s">
        <v>39</v>
      </c>
      <c r="S359" s="71" t="s">
        <v>39</v>
      </c>
      <c r="T359" s="81"/>
      <c r="U359" s="70"/>
      <c r="V359" s="71" t="s">
        <v>39</v>
      </c>
      <c r="W359" s="77">
        <v>0.53</v>
      </c>
      <c r="X359" s="77" t="s">
        <v>39</v>
      </c>
      <c r="Y359" s="72" t="s">
        <v>39</v>
      </c>
      <c r="Z359" s="72" t="s">
        <v>39</v>
      </c>
      <c r="AA359" s="72" t="s">
        <v>39</v>
      </c>
      <c r="AB359" s="46" t="s">
        <v>39</v>
      </c>
      <c r="AC359" s="46" t="s">
        <v>39</v>
      </c>
      <c r="AD359" s="76" t="s">
        <v>1148</v>
      </c>
      <c r="AE359" s="25" t="s">
        <v>1157</v>
      </c>
      <c r="AF359" s="17" t="s">
        <v>1158</v>
      </c>
    </row>
    <row r="360" s="2" customFormat="1" ht="84" customHeight="1" spans="1:32">
      <c r="A360" s="13">
        <v>358</v>
      </c>
      <c r="B360" s="14" t="s">
        <v>1161</v>
      </c>
      <c r="C360" s="15" t="s">
        <v>1142</v>
      </c>
      <c r="D360" s="15" t="s">
        <v>1143</v>
      </c>
      <c r="E360" s="15" t="s">
        <v>1144</v>
      </c>
      <c r="F360" s="13" t="s">
        <v>81</v>
      </c>
      <c r="G360" s="16" t="s">
        <v>178</v>
      </c>
      <c r="H360" s="13" t="s">
        <v>86</v>
      </c>
      <c r="I360" s="43" t="s">
        <v>1162</v>
      </c>
      <c r="J360" s="13" t="s">
        <v>1160</v>
      </c>
      <c r="K360" s="20" t="s">
        <v>39</v>
      </c>
      <c r="L360" s="21">
        <v>770000</v>
      </c>
      <c r="M360" s="84">
        <v>0.19</v>
      </c>
      <c r="N360" s="77" t="s">
        <v>39</v>
      </c>
      <c r="O360" s="77" t="s">
        <v>39</v>
      </c>
      <c r="P360" s="81" t="s">
        <v>39</v>
      </c>
      <c r="Q360" s="81" t="s">
        <v>39</v>
      </c>
      <c r="R360" s="81" t="s">
        <v>39</v>
      </c>
      <c r="S360" s="71" t="s">
        <v>39</v>
      </c>
      <c r="T360" s="81"/>
      <c r="U360" s="70"/>
      <c r="V360" s="71" t="s">
        <v>39</v>
      </c>
      <c r="W360" s="77">
        <v>0.53</v>
      </c>
      <c r="X360" s="77" t="s">
        <v>39</v>
      </c>
      <c r="Y360" s="72" t="s">
        <v>39</v>
      </c>
      <c r="Z360" s="72" t="s">
        <v>39</v>
      </c>
      <c r="AA360" s="72" t="s">
        <v>39</v>
      </c>
      <c r="AB360" s="46" t="s">
        <v>39</v>
      </c>
      <c r="AC360" s="46" t="s">
        <v>39</v>
      </c>
      <c r="AD360" s="76" t="s">
        <v>1148</v>
      </c>
      <c r="AE360" s="25" t="s">
        <v>1157</v>
      </c>
      <c r="AF360" s="17" t="s">
        <v>1158</v>
      </c>
    </row>
    <row r="361" s="2" customFormat="1" ht="84" customHeight="1" spans="1:32">
      <c r="A361" s="13">
        <v>359</v>
      </c>
      <c r="B361" s="14" t="s">
        <v>1163</v>
      </c>
      <c r="C361" s="15" t="s">
        <v>1142</v>
      </c>
      <c r="D361" s="15" t="s">
        <v>1143</v>
      </c>
      <c r="E361" s="15" t="s">
        <v>1144</v>
      </c>
      <c r="F361" s="13" t="s">
        <v>81</v>
      </c>
      <c r="G361" s="16" t="s">
        <v>178</v>
      </c>
      <c r="H361" s="13" t="s">
        <v>276</v>
      </c>
      <c r="I361" s="43" t="s">
        <v>1164</v>
      </c>
      <c r="J361" s="13" t="s">
        <v>1165</v>
      </c>
      <c r="K361" s="20" t="s">
        <v>39</v>
      </c>
      <c r="L361" s="21">
        <v>745000</v>
      </c>
      <c r="M361" s="84">
        <v>0.14</v>
      </c>
      <c r="N361" s="77" t="s">
        <v>39</v>
      </c>
      <c r="O361" s="77" t="s">
        <v>39</v>
      </c>
      <c r="P361" s="81" t="s">
        <v>39</v>
      </c>
      <c r="Q361" s="81" t="s">
        <v>39</v>
      </c>
      <c r="R361" s="81" t="s">
        <v>39</v>
      </c>
      <c r="S361" s="71" t="s">
        <v>39</v>
      </c>
      <c r="T361" s="81" t="s">
        <v>39</v>
      </c>
      <c r="U361" s="70"/>
      <c r="V361" s="71" t="s">
        <v>39</v>
      </c>
      <c r="W361" s="77">
        <v>0.53</v>
      </c>
      <c r="X361" s="77" t="s">
        <v>39</v>
      </c>
      <c r="Y361" s="72" t="s">
        <v>39</v>
      </c>
      <c r="Z361" s="72" t="s">
        <v>39</v>
      </c>
      <c r="AA361" s="72" t="s">
        <v>39</v>
      </c>
      <c r="AB361" s="46" t="s">
        <v>39</v>
      </c>
      <c r="AC361" s="46" t="s">
        <v>39</v>
      </c>
      <c r="AD361" s="76" t="s">
        <v>1166</v>
      </c>
      <c r="AE361" s="25" t="s">
        <v>1157</v>
      </c>
      <c r="AF361" s="17" t="s">
        <v>1158</v>
      </c>
    </row>
    <row r="362" s="2" customFormat="1" ht="84" customHeight="1" spans="1:32">
      <c r="A362" s="13">
        <v>360</v>
      </c>
      <c r="B362" s="14" t="s">
        <v>1167</v>
      </c>
      <c r="C362" s="15" t="s">
        <v>1142</v>
      </c>
      <c r="D362" s="15" t="s">
        <v>1143</v>
      </c>
      <c r="E362" s="15" t="s">
        <v>1144</v>
      </c>
      <c r="F362" s="13" t="s">
        <v>81</v>
      </c>
      <c r="G362" s="16" t="s">
        <v>178</v>
      </c>
      <c r="H362" s="13" t="s">
        <v>280</v>
      </c>
      <c r="I362" s="43" t="s">
        <v>1168</v>
      </c>
      <c r="J362" s="13" t="s">
        <v>1165</v>
      </c>
      <c r="K362" s="20" t="s">
        <v>39</v>
      </c>
      <c r="L362" s="21">
        <v>820000</v>
      </c>
      <c r="M362" s="84">
        <v>0.14</v>
      </c>
      <c r="N362" s="77" t="s">
        <v>39</v>
      </c>
      <c r="O362" s="77" t="s">
        <v>39</v>
      </c>
      <c r="P362" s="81" t="s">
        <v>39</v>
      </c>
      <c r="Q362" s="81" t="s">
        <v>39</v>
      </c>
      <c r="R362" s="81" t="s">
        <v>39</v>
      </c>
      <c r="S362" s="71" t="s">
        <v>39</v>
      </c>
      <c r="T362" s="81" t="s">
        <v>39</v>
      </c>
      <c r="U362" s="70"/>
      <c r="V362" s="71" t="s">
        <v>39</v>
      </c>
      <c r="W362" s="77">
        <v>0.53</v>
      </c>
      <c r="X362" s="77" t="s">
        <v>39</v>
      </c>
      <c r="Y362" s="72" t="s">
        <v>39</v>
      </c>
      <c r="Z362" s="72" t="s">
        <v>39</v>
      </c>
      <c r="AA362" s="72" t="s">
        <v>39</v>
      </c>
      <c r="AB362" s="46" t="s">
        <v>39</v>
      </c>
      <c r="AC362" s="46" t="s">
        <v>39</v>
      </c>
      <c r="AD362" s="76" t="s">
        <v>1166</v>
      </c>
      <c r="AE362" s="25" t="s">
        <v>1157</v>
      </c>
      <c r="AF362" s="17" t="s">
        <v>1158</v>
      </c>
    </row>
    <row r="363" s="2" customFormat="1" ht="84" customHeight="1" spans="1:32">
      <c r="A363" s="13">
        <v>361</v>
      </c>
      <c r="B363" s="14" t="s">
        <v>1169</v>
      </c>
      <c r="C363" s="15" t="s">
        <v>1142</v>
      </c>
      <c r="D363" s="15" t="s">
        <v>1143</v>
      </c>
      <c r="E363" s="15" t="s">
        <v>1144</v>
      </c>
      <c r="F363" s="13" t="s">
        <v>81</v>
      </c>
      <c r="G363" s="16" t="s">
        <v>178</v>
      </c>
      <c r="H363" s="13" t="s">
        <v>74</v>
      </c>
      <c r="I363" s="43" t="s">
        <v>1170</v>
      </c>
      <c r="J363" s="13" t="s">
        <v>1171</v>
      </c>
      <c r="K363" s="20" t="s">
        <v>39</v>
      </c>
      <c r="L363" s="21">
        <v>480000</v>
      </c>
      <c r="M363" s="84">
        <v>0.19</v>
      </c>
      <c r="N363" s="77" t="s">
        <v>39</v>
      </c>
      <c r="O363" s="77" t="s">
        <v>39</v>
      </c>
      <c r="P363" s="81" t="s">
        <v>39</v>
      </c>
      <c r="Q363" s="81" t="s">
        <v>39</v>
      </c>
      <c r="R363" s="81" t="s">
        <v>39</v>
      </c>
      <c r="S363" s="71" t="s">
        <v>39</v>
      </c>
      <c r="T363" s="81">
        <v>0.035</v>
      </c>
      <c r="U363" s="70">
        <v>0.055</v>
      </c>
      <c r="V363" s="71" t="s">
        <v>39</v>
      </c>
      <c r="W363" s="77">
        <v>0.53</v>
      </c>
      <c r="X363" s="77" t="s">
        <v>39</v>
      </c>
      <c r="Y363" s="72" t="s">
        <v>39</v>
      </c>
      <c r="Z363" s="72" t="s">
        <v>39</v>
      </c>
      <c r="AA363" s="72" t="s">
        <v>39</v>
      </c>
      <c r="AB363" s="46" t="s">
        <v>39</v>
      </c>
      <c r="AC363" s="46" t="s">
        <v>39</v>
      </c>
      <c r="AD363" s="76" t="s">
        <v>1148</v>
      </c>
      <c r="AE363" s="25" t="s">
        <v>1172</v>
      </c>
      <c r="AF363" s="17" t="s">
        <v>1158</v>
      </c>
    </row>
    <row r="364" s="2" customFormat="1" ht="12" customHeight="1" spans="1:32">
      <c r="A364" s="13">
        <v>362</v>
      </c>
      <c r="B364" s="521"/>
      <c r="C364" s="15" t="s">
        <v>1142</v>
      </c>
      <c r="D364" s="15" t="s">
        <v>1173</v>
      </c>
      <c r="E364" s="15" t="s">
        <v>1174</v>
      </c>
      <c r="F364" s="13" t="s">
        <v>81</v>
      </c>
      <c r="G364" s="16" t="s">
        <v>178</v>
      </c>
      <c r="H364" s="18" t="s">
        <v>39</v>
      </c>
      <c r="I364" s="89" t="s">
        <v>39</v>
      </c>
      <c r="J364" s="88" t="s">
        <v>39</v>
      </c>
      <c r="K364" s="19" t="s">
        <v>39</v>
      </c>
      <c r="L364" s="21" t="s">
        <v>39</v>
      </c>
      <c r="M364" s="19" t="s">
        <v>39</v>
      </c>
      <c r="N364" s="47"/>
      <c r="O364" s="19" t="s">
        <v>39</v>
      </c>
      <c r="P364" s="140"/>
      <c r="Q364" s="59" t="s">
        <v>39</v>
      </c>
      <c r="R364" s="59" t="s">
        <v>39</v>
      </c>
      <c r="S364" s="19" t="s">
        <v>39</v>
      </c>
      <c r="T364" s="106"/>
      <c r="U364" s="106"/>
      <c r="V364" s="19" t="s">
        <v>39</v>
      </c>
      <c r="W364" s="55" t="s">
        <v>39</v>
      </c>
      <c r="X364" s="55" t="s">
        <v>39</v>
      </c>
      <c r="Y364" s="55" t="s">
        <v>39</v>
      </c>
      <c r="Z364" s="55" t="s">
        <v>39</v>
      </c>
      <c r="AA364" s="55" t="s">
        <v>39</v>
      </c>
      <c r="AB364" s="46">
        <v>0.05</v>
      </c>
      <c r="AC364" s="46">
        <v>0.005</v>
      </c>
      <c r="AD364" s="48" t="s">
        <v>104</v>
      </c>
      <c r="AE364" s="25"/>
      <c r="AF364" s="17"/>
    </row>
    <row r="365" s="2" customFormat="1" ht="132" customHeight="1" spans="1:32">
      <c r="A365" s="13">
        <v>363</v>
      </c>
      <c r="B365" s="14" t="s">
        <v>1175</v>
      </c>
      <c r="C365" s="15" t="s">
        <v>1142</v>
      </c>
      <c r="D365" s="15" t="s">
        <v>1173</v>
      </c>
      <c r="E365" s="15" t="s">
        <v>1174</v>
      </c>
      <c r="F365" s="13" t="s">
        <v>81</v>
      </c>
      <c r="G365" s="16" t="s">
        <v>178</v>
      </c>
      <c r="H365" s="18" t="s">
        <v>39</v>
      </c>
      <c r="I365" s="167" t="s">
        <v>1176</v>
      </c>
      <c r="J365" s="13" t="s">
        <v>1177</v>
      </c>
      <c r="K365" s="20" t="s">
        <v>39</v>
      </c>
      <c r="L365" s="21" t="s">
        <v>39</v>
      </c>
      <c r="M365" s="77">
        <v>0.28</v>
      </c>
      <c r="N365" s="77" t="s">
        <v>39</v>
      </c>
      <c r="O365" s="77" t="s">
        <v>39</v>
      </c>
      <c r="P365" s="81" t="s">
        <v>39</v>
      </c>
      <c r="Q365" s="81" t="s">
        <v>39</v>
      </c>
      <c r="R365" s="81" t="s">
        <v>39</v>
      </c>
      <c r="S365" s="77" t="s">
        <v>39</v>
      </c>
      <c r="T365" s="71" t="s">
        <v>39</v>
      </c>
      <c r="U365" s="71" t="s">
        <v>39</v>
      </c>
      <c r="V365" s="77" t="s">
        <v>39</v>
      </c>
      <c r="W365" s="72" t="s">
        <v>251</v>
      </c>
      <c r="X365" s="73" t="s">
        <v>39</v>
      </c>
      <c r="Y365" s="72" t="s">
        <v>39</v>
      </c>
      <c r="Z365" s="72" t="s">
        <v>39</v>
      </c>
      <c r="AA365" s="72" t="s">
        <v>39</v>
      </c>
      <c r="AB365" s="51" t="s">
        <v>39</v>
      </c>
      <c r="AC365" s="46" t="s">
        <v>39</v>
      </c>
      <c r="AD365" s="76" t="s">
        <v>1178</v>
      </c>
      <c r="AE365" s="25"/>
      <c r="AF365" s="17" t="s">
        <v>1179</v>
      </c>
    </row>
    <row r="366" s="2" customFormat="1" ht="132" customHeight="1" spans="1:32">
      <c r="A366" s="13">
        <v>364</v>
      </c>
      <c r="B366" s="14" t="s">
        <v>1180</v>
      </c>
      <c r="C366" s="15" t="s">
        <v>1142</v>
      </c>
      <c r="D366" s="15" t="s">
        <v>1173</v>
      </c>
      <c r="E366" s="15" t="s">
        <v>1174</v>
      </c>
      <c r="F366" s="13" t="s">
        <v>81</v>
      </c>
      <c r="G366" s="16" t="s">
        <v>178</v>
      </c>
      <c r="H366" s="18" t="s">
        <v>39</v>
      </c>
      <c r="I366" s="167" t="s">
        <v>1181</v>
      </c>
      <c r="J366" s="13" t="s">
        <v>1182</v>
      </c>
      <c r="K366" s="20" t="s">
        <v>39</v>
      </c>
      <c r="L366" s="21" t="s">
        <v>39</v>
      </c>
      <c r="M366" s="77">
        <v>0.28</v>
      </c>
      <c r="N366" s="77" t="s">
        <v>39</v>
      </c>
      <c r="O366" s="77" t="s">
        <v>39</v>
      </c>
      <c r="P366" s="81" t="s">
        <v>39</v>
      </c>
      <c r="Q366" s="81" t="s">
        <v>39</v>
      </c>
      <c r="R366" s="81" t="s">
        <v>39</v>
      </c>
      <c r="S366" s="77" t="s">
        <v>39</v>
      </c>
      <c r="T366" s="71" t="s">
        <v>39</v>
      </c>
      <c r="U366" s="71" t="s">
        <v>39</v>
      </c>
      <c r="V366" s="77" t="s">
        <v>39</v>
      </c>
      <c r="W366" s="72" t="s">
        <v>251</v>
      </c>
      <c r="X366" s="73" t="s">
        <v>39</v>
      </c>
      <c r="Y366" s="72" t="s">
        <v>39</v>
      </c>
      <c r="Z366" s="72" t="s">
        <v>39</v>
      </c>
      <c r="AA366" s="72" t="s">
        <v>39</v>
      </c>
      <c r="AB366" s="51" t="s">
        <v>39</v>
      </c>
      <c r="AC366" s="46" t="s">
        <v>39</v>
      </c>
      <c r="AD366" s="82" t="s">
        <v>1178</v>
      </c>
      <c r="AE366" s="25"/>
      <c r="AF366" s="17" t="s">
        <v>1179</v>
      </c>
    </row>
    <row r="367" s="2" customFormat="1" ht="132" customHeight="1" spans="1:32">
      <c r="A367" s="13">
        <v>365</v>
      </c>
      <c r="B367" s="14" t="s">
        <v>1183</v>
      </c>
      <c r="C367" s="15" t="s">
        <v>1142</v>
      </c>
      <c r="D367" s="15" t="s">
        <v>1173</v>
      </c>
      <c r="E367" s="15" t="s">
        <v>1174</v>
      </c>
      <c r="F367" s="13" t="s">
        <v>81</v>
      </c>
      <c r="G367" s="16" t="s">
        <v>178</v>
      </c>
      <c r="H367" s="18" t="s">
        <v>39</v>
      </c>
      <c r="I367" s="167" t="s">
        <v>1184</v>
      </c>
      <c r="J367" s="13" t="s">
        <v>1185</v>
      </c>
      <c r="K367" s="20" t="s">
        <v>39</v>
      </c>
      <c r="L367" s="21" t="s">
        <v>39</v>
      </c>
      <c r="M367" s="77">
        <v>0.28</v>
      </c>
      <c r="N367" s="77" t="s">
        <v>39</v>
      </c>
      <c r="O367" s="77" t="s">
        <v>39</v>
      </c>
      <c r="P367" s="81" t="s">
        <v>39</v>
      </c>
      <c r="Q367" s="81" t="s">
        <v>39</v>
      </c>
      <c r="R367" s="81" t="s">
        <v>39</v>
      </c>
      <c r="S367" s="77" t="s">
        <v>39</v>
      </c>
      <c r="T367" s="71" t="s">
        <v>39</v>
      </c>
      <c r="U367" s="71" t="s">
        <v>39</v>
      </c>
      <c r="V367" s="77" t="s">
        <v>39</v>
      </c>
      <c r="W367" s="72" t="s">
        <v>251</v>
      </c>
      <c r="X367" s="73" t="s">
        <v>39</v>
      </c>
      <c r="Y367" s="72" t="s">
        <v>39</v>
      </c>
      <c r="Z367" s="72" t="s">
        <v>39</v>
      </c>
      <c r="AA367" s="72" t="s">
        <v>39</v>
      </c>
      <c r="AB367" s="51" t="s">
        <v>39</v>
      </c>
      <c r="AC367" s="46" t="s">
        <v>39</v>
      </c>
      <c r="AD367" s="76" t="s">
        <v>1178</v>
      </c>
      <c r="AE367" s="25"/>
      <c r="AF367" s="17" t="s">
        <v>1179</v>
      </c>
    </row>
    <row r="368" s="2" customFormat="1" ht="132" customHeight="1" spans="1:32">
      <c r="A368" s="13">
        <v>366</v>
      </c>
      <c r="B368" s="14" t="s">
        <v>1186</v>
      </c>
      <c r="C368" s="15" t="s">
        <v>1142</v>
      </c>
      <c r="D368" s="15" t="s">
        <v>1173</v>
      </c>
      <c r="E368" s="15" t="s">
        <v>1174</v>
      </c>
      <c r="F368" s="13" t="s">
        <v>81</v>
      </c>
      <c r="G368" s="16" t="s">
        <v>178</v>
      </c>
      <c r="H368" s="18" t="s">
        <v>39</v>
      </c>
      <c r="I368" s="167" t="s">
        <v>1187</v>
      </c>
      <c r="J368" s="13" t="s">
        <v>1188</v>
      </c>
      <c r="K368" s="20" t="s">
        <v>39</v>
      </c>
      <c r="L368" s="21" t="s">
        <v>39</v>
      </c>
      <c r="M368" s="77">
        <v>0.28</v>
      </c>
      <c r="N368" s="77" t="s">
        <v>39</v>
      </c>
      <c r="O368" s="77" t="s">
        <v>39</v>
      </c>
      <c r="P368" s="81" t="s">
        <v>39</v>
      </c>
      <c r="Q368" s="81" t="s">
        <v>39</v>
      </c>
      <c r="R368" s="81" t="s">
        <v>39</v>
      </c>
      <c r="S368" s="77" t="s">
        <v>39</v>
      </c>
      <c r="T368" s="71" t="s">
        <v>39</v>
      </c>
      <c r="U368" s="71" t="s">
        <v>39</v>
      </c>
      <c r="V368" s="77" t="s">
        <v>39</v>
      </c>
      <c r="W368" s="72" t="s">
        <v>251</v>
      </c>
      <c r="X368" s="73" t="s">
        <v>39</v>
      </c>
      <c r="Y368" s="72" t="s">
        <v>39</v>
      </c>
      <c r="Z368" s="72" t="s">
        <v>39</v>
      </c>
      <c r="AA368" s="72" t="s">
        <v>39</v>
      </c>
      <c r="AB368" s="51" t="s">
        <v>39</v>
      </c>
      <c r="AC368" s="46" t="s">
        <v>39</v>
      </c>
      <c r="AD368" s="76" t="s">
        <v>1178</v>
      </c>
      <c r="AE368" s="25"/>
      <c r="AF368" s="17" t="s">
        <v>1179</v>
      </c>
    </row>
    <row r="369" s="2" customFormat="1" ht="132" customHeight="1" spans="1:32">
      <c r="A369" s="13">
        <v>367</v>
      </c>
      <c r="B369" s="14" t="s">
        <v>1189</v>
      </c>
      <c r="C369" s="15" t="s">
        <v>1142</v>
      </c>
      <c r="D369" s="15" t="s">
        <v>1173</v>
      </c>
      <c r="E369" s="15" t="s">
        <v>1174</v>
      </c>
      <c r="F369" s="13" t="s">
        <v>81</v>
      </c>
      <c r="G369" s="16" t="s">
        <v>178</v>
      </c>
      <c r="H369" s="18" t="s">
        <v>39</v>
      </c>
      <c r="I369" s="167" t="s">
        <v>1190</v>
      </c>
      <c r="J369" s="13" t="s">
        <v>1191</v>
      </c>
      <c r="K369" s="20" t="s">
        <v>39</v>
      </c>
      <c r="L369" s="21" t="s">
        <v>39</v>
      </c>
      <c r="M369" s="77">
        <v>0.28</v>
      </c>
      <c r="N369" s="77" t="s">
        <v>39</v>
      </c>
      <c r="O369" s="77" t="s">
        <v>39</v>
      </c>
      <c r="P369" s="81" t="s">
        <v>39</v>
      </c>
      <c r="Q369" s="81" t="s">
        <v>39</v>
      </c>
      <c r="R369" s="81" t="s">
        <v>39</v>
      </c>
      <c r="S369" s="77" t="s">
        <v>39</v>
      </c>
      <c r="T369" s="71" t="s">
        <v>39</v>
      </c>
      <c r="U369" s="71" t="s">
        <v>39</v>
      </c>
      <c r="V369" s="77" t="s">
        <v>39</v>
      </c>
      <c r="W369" s="72" t="s">
        <v>251</v>
      </c>
      <c r="X369" s="73" t="s">
        <v>39</v>
      </c>
      <c r="Y369" s="72" t="s">
        <v>39</v>
      </c>
      <c r="Z369" s="72" t="s">
        <v>39</v>
      </c>
      <c r="AA369" s="72" t="s">
        <v>39</v>
      </c>
      <c r="AB369" s="51" t="s">
        <v>39</v>
      </c>
      <c r="AC369" s="46" t="s">
        <v>39</v>
      </c>
      <c r="AD369" s="76" t="s">
        <v>1178</v>
      </c>
      <c r="AE369" s="25"/>
      <c r="AF369" s="17" t="s">
        <v>1179</v>
      </c>
    </row>
    <row r="370" s="2" customFormat="1" ht="132" customHeight="1" spans="1:32">
      <c r="A370" s="13">
        <v>368</v>
      </c>
      <c r="B370" s="14" t="s">
        <v>1192</v>
      </c>
      <c r="C370" s="15" t="s">
        <v>1142</v>
      </c>
      <c r="D370" s="15" t="s">
        <v>1173</v>
      </c>
      <c r="E370" s="15" t="s">
        <v>1174</v>
      </c>
      <c r="F370" s="13" t="s">
        <v>81</v>
      </c>
      <c r="G370" s="16" t="s">
        <v>178</v>
      </c>
      <c r="H370" s="18" t="s">
        <v>39</v>
      </c>
      <c r="I370" s="167" t="s">
        <v>1193</v>
      </c>
      <c r="J370" s="13" t="s">
        <v>1194</v>
      </c>
      <c r="K370" s="20" t="s">
        <v>39</v>
      </c>
      <c r="L370" s="21" t="s">
        <v>39</v>
      </c>
      <c r="M370" s="77">
        <v>0.28</v>
      </c>
      <c r="N370" s="77" t="s">
        <v>39</v>
      </c>
      <c r="O370" s="77" t="s">
        <v>39</v>
      </c>
      <c r="P370" s="81" t="s">
        <v>39</v>
      </c>
      <c r="Q370" s="81" t="s">
        <v>39</v>
      </c>
      <c r="R370" s="81" t="s">
        <v>39</v>
      </c>
      <c r="S370" s="77" t="s">
        <v>39</v>
      </c>
      <c r="T370" s="71" t="s">
        <v>39</v>
      </c>
      <c r="U370" s="71" t="s">
        <v>39</v>
      </c>
      <c r="V370" s="77" t="s">
        <v>39</v>
      </c>
      <c r="W370" s="72" t="s">
        <v>251</v>
      </c>
      <c r="X370" s="73" t="s">
        <v>39</v>
      </c>
      <c r="Y370" s="72" t="s">
        <v>39</v>
      </c>
      <c r="Z370" s="72" t="s">
        <v>39</v>
      </c>
      <c r="AA370" s="72" t="s">
        <v>39</v>
      </c>
      <c r="AB370" s="51" t="s">
        <v>39</v>
      </c>
      <c r="AC370" s="46" t="s">
        <v>39</v>
      </c>
      <c r="AD370" s="76" t="s">
        <v>1178</v>
      </c>
      <c r="AE370" s="25"/>
      <c r="AF370" s="17" t="s">
        <v>1179</v>
      </c>
    </row>
    <row r="371" s="2" customFormat="1" ht="132" customHeight="1" spans="1:32">
      <c r="A371" s="13">
        <v>369</v>
      </c>
      <c r="B371" s="14" t="s">
        <v>1195</v>
      </c>
      <c r="C371" s="15" t="s">
        <v>1142</v>
      </c>
      <c r="D371" s="15" t="s">
        <v>1173</v>
      </c>
      <c r="E371" s="15" t="s">
        <v>1174</v>
      </c>
      <c r="F371" s="13" t="s">
        <v>81</v>
      </c>
      <c r="G371" s="16" t="s">
        <v>178</v>
      </c>
      <c r="H371" s="18" t="s">
        <v>39</v>
      </c>
      <c r="I371" s="167" t="s">
        <v>1196</v>
      </c>
      <c r="J371" s="13" t="s">
        <v>1197</v>
      </c>
      <c r="K371" s="20" t="s">
        <v>39</v>
      </c>
      <c r="L371" s="21" t="s">
        <v>39</v>
      </c>
      <c r="M371" s="77">
        <v>0.28</v>
      </c>
      <c r="N371" s="77" t="s">
        <v>39</v>
      </c>
      <c r="O371" s="77" t="s">
        <v>39</v>
      </c>
      <c r="P371" s="81" t="s">
        <v>39</v>
      </c>
      <c r="Q371" s="81" t="s">
        <v>39</v>
      </c>
      <c r="R371" s="81" t="s">
        <v>39</v>
      </c>
      <c r="S371" s="77" t="s">
        <v>39</v>
      </c>
      <c r="T371" s="71" t="s">
        <v>39</v>
      </c>
      <c r="U371" s="71" t="s">
        <v>39</v>
      </c>
      <c r="V371" s="77" t="s">
        <v>39</v>
      </c>
      <c r="W371" s="72" t="s">
        <v>251</v>
      </c>
      <c r="X371" s="73" t="s">
        <v>39</v>
      </c>
      <c r="Y371" s="72" t="s">
        <v>39</v>
      </c>
      <c r="Z371" s="72" t="s">
        <v>39</v>
      </c>
      <c r="AA371" s="72" t="s">
        <v>39</v>
      </c>
      <c r="AB371" s="51" t="s">
        <v>39</v>
      </c>
      <c r="AC371" s="46" t="s">
        <v>39</v>
      </c>
      <c r="AD371" s="76" t="s">
        <v>1178</v>
      </c>
      <c r="AE371" s="25"/>
      <c r="AF371" s="17" t="s">
        <v>1179</v>
      </c>
    </row>
    <row r="372" s="2" customFormat="1" ht="132" customHeight="1" spans="1:32">
      <c r="A372" s="13">
        <v>370</v>
      </c>
      <c r="B372" s="14" t="s">
        <v>1198</v>
      </c>
      <c r="C372" s="15" t="s">
        <v>1142</v>
      </c>
      <c r="D372" s="15" t="s">
        <v>1173</v>
      </c>
      <c r="E372" s="15" t="s">
        <v>1174</v>
      </c>
      <c r="F372" s="13" t="s">
        <v>81</v>
      </c>
      <c r="G372" s="16" t="s">
        <v>178</v>
      </c>
      <c r="H372" s="18" t="s">
        <v>39</v>
      </c>
      <c r="I372" s="167" t="s">
        <v>673</v>
      </c>
      <c r="J372" s="13" t="s">
        <v>1199</v>
      </c>
      <c r="K372" s="20" t="s">
        <v>39</v>
      </c>
      <c r="L372" s="21" t="s">
        <v>39</v>
      </c>
      <c r="M372" s="77">
        <v>0.28</v>
      </c>
      <c r="N372" s="77" t="s">
        <v>39</v>
      </c>
      <c r="O372" s="77" t="s">
        <v>39</v>
      </c>
      <c r="P372" s="81" t="s">
        <v>39</v>
      </c>
      <c r="Q372" s="81" t="s">
        <v>39</v>
      </c>
      <c r="R372" s="81" t="s">
        <v>39</v>
      </c>
      <c r="S372" s="77" t="s">
        <v>39</v>
      </c>
      <c r="T372" s="71" t="s">
        <v>39</v>
      </c>
      <c r="U372" s="71" t="s">
        <v>39</v>
      </c>
      <c r="V372" s="77" t="s">
        <v>39</v>
      </c>
      <c r="W372" s="72" t="s">
        <v>251</v>
      </c>
      <c r="X372" s="73" t="s">
        <v>39</v>
      </c>
      <c r="Y372" s="72" t="s">
        <v>39</v>
      </c>
      <c r="Z372" s="72" t="s">
        <v>39</v>
      </c>
      <c r="AA372" s="72" t="s">
        <v>39</v>
      </c>
      <c r="AB372" s="51" t="s">
        <v>39</v>
      </c>
      <c r="AC372" s="46" t="s">
        <v>39</v>
      </c>
      <c r="AD372" s="76" t="s">
        <v>1178</v>
      </c>
      <c r="AE372" s="25"/>
      <c r="AF372" s="17" t="s">
        <v>1179</v>
      </c>
    </row>
    <row r="373" s="2" customFormat="1" ht="132" customHeight="1" spans="1:32">
      <c r="A373" s="13">
        <v>371</v>
      </c>
      <c r="B373" s="14" t="s">
        <v>1200</v>
      </c>
      <c r="C373" s="15" t="s">
        <v>1142</v>
      </c>
      <c r="D373" s="15" t="s">
        <v>1173</v>
      </c>
      <c r="E373" s="15" t="s">
        <v>1174</v>
      </c>
      <c r="F373" s="13" t="s">
        <v>81</v>
      </c>
      <c r="G373" s="16" t="s">
        <v>178</v>
      </c>
      <c r="H373" s="18" t="s">
        <v>39</v>
      </c>
      <c r="I373" s="43" t="s">
        <v>1201</v>
      </c>
      <c r="J373" s="13" t="s">
        <v>1202</v>
      </c>
      <c r="K373" s="20" t="s">
        <v>39</v>
      </c>
      <c r="L373" s="21" t="s">
        <v>39</v>
      </c>
      <c r="M373" s="77">
        <v>0.24</v>
      </c>
      <c r="N373" s="77" t="s">
        <v>39</v>
      </c>
      <c r="O373" s="77" t="s">
        <v>39</v>
      </c>
      <c r="P373" s="81" t="s">
        <v>39</v>
      </c>
      <c r="Q373" s="81" t="s">
        <v>39</v>
      </c>
      <c r="R373" s="81" t="s">
        <v>39</v>
      </c>
      <c r="S373" s="77" t="s">
        <v>39</v>
      </c>
      <c r="T373" s="71" t="s">
        <v>39</v>
      </c>
      <c r="U373" s="71" t="s">
        <v>39</v>
      </c>
      <c r="V373" s="77" t="s">
        <v>39</v>
      </c>
      <c r="W373" s="72" t="s">
        <v>251</v>
      </c>
      <c r="X373" s="73" t="s">
        <v>39</v>
      </c>
      <c r="Y373" s="72" t="s">
        <v>39</v>
      </c>
      <c r="Z373" s="72" t="s">
        <v>39</v>
      </c>
      <c r="AA373" s="72" t="s">
        <v>39</v>
      </c>
      <c r="AB373" s="51" t="s">
        <v>39</v>
      </c>
      <c r="AC373" s="46" t="s">
        <v>39</v>
      </c>
      <c r="AD373" s="76" t="s">
        <v>1178</v>
      </c>
      <c r="AE373" s="25"/>
      <c r="AF373" s="17" t="s">
        <v>1179</v>
      </c>
    </row>
    <row r="374" s="2" customFormat="1" ht="132" customHeight="1" spans="1:32">
      <c r="A374" s="13">
        <v>372</v>
      </c>
      <c r="B374" s="14" t="s">
        <v>1203</v>
      </c>
      <c r="C374" s="15" t="s">
        <v>1142</v>
      </c>
      <c r="D374" s="15" t="s">
        <v>1173</v>
      </c>
      <c r="E374" s="15" t="s">
        <v>1174</v>
      </c>
      <c r="F374" s="13" t="s">
        <v>81</v>
      </c>
      <c r="G374" s="16" t="s">
        <v>178</v>
      </c>
      <c r="H374" s="18" t="s">
        <v>39</v>
      </c>
      <c r="I374" s="43" t="s">
        <v>1204</v>
      </c>
      <c r="J374" s="13" t="s">
        <v>1205</v>
      </c>
      <c r="K374" s="20" t="s">
        <v>39</v>
      </c>
      <c r="L374" s="21" t="s">
        <v>39</v>
      </c>
      <c r="M374" s="77">
        <v>0.22</v>
      </c>
      <c r="N374" s="77" t="s">
        <v>39</v>
      </c>
      <c r="O374" s="77" t="s">
        <v>39</v>
      </c>
      <c r="P374" s="81" t="s">
        <v>39</v>
      </c>
      <c r="Q374" s="81" t="s">
        <v>39</v>
      </c>
      <c r="R374" s="81" t="s">
        <v>39</v>
      </c>
      <c r="S374" s="77" t="s">
        <v>39</v>
      </c>
      <c r="T374" s="71" t="s">
        <v>39</v>
      </c>
      <c r="U374" s="71" t="s">
        <v>39</v>
      </c>
      <c r="V374" s="77" t="s">
        <v>39</v>
      </c>
      <c r="W374" s="72" t="s">
        <v>251</v>
      </c>
      <c r="X374" s="73" t="s">
        <v>39</v>
      </c>
      <c r="Y374" s="72" t="s">
        <v>39</v>
      </c>
      <c r="Z374" s="72" t="s">
        <v>39</v>
      </c>
      <c r="AA374" s="72" t="s">
        <v>39</v>
      </c>
      <c r="AB374" s="51" t="s">
        <v>39</v>
      </c>
      <c r="AC374" s="46" t="s">
        <v>39</v>
      </c>
      <c r="AD374" s="76" t="s">
        <v>1178</v>
      </c>
      <c r="AE374" s="25"/>
      <c r="AF374" s="17" t="s">
        <v>1179</v>
      </c>
    </row>
    <row r="375" s="2" customFormat="1" ht="132" customHeight="1" spans="1:32">
      <c r="A375" s="13">
        <v>373</v>
      </c>
      <c r="B375" s="14" t="s">
        <v>1206</v>
      </c>
      <c r="C375" s="15" t="s">
        <v>1142</v>
      </c>
      <c r="D375" s="15" t="s">
        <v>1173</v>
      </c>
      <c r="E375" s="15" t="s">
        <v>1174</v>
      </c>
      <c r="F375" s="13" t="s">
        <v>81</v>
      </c>
      <c r="G375" s="16" t="s">
        <v>178</v>
      </c>
      <c r="H375" s="18" t="s">
        <v>39</v>
      </c>
      <c r="I375" s="43" t="s">
        <v>98</v>
      </c>
      <c r="J375" s="13" t="s">
        <v>1205</v>
      </c>
      <c r="K375" s="20" t="s">
        <v>39</v>
      </c>
      <c r="L375" s="21" t="s">
        <v>39</v>
      </c>
      <c r="M375" s="77">
        <v>0.16</v>
      </c>
      <c r="N375" s="77" t="s">
        <v>39</v>
      </c>
      <c r="O375" s="77" t="s">
        <v>39</v>
      </c>
      <c r="P375" s="81" t="s">
        <v>39</v>
      </c>
      <c r="Q375" s="81" t="s">
        <v>39</v>
      </c>
      <c r="R375" s="81" t="s">
        <v>39</v>
      </c>
      <c r="S375" s="77" t="s">
        <v>39</v>
      </c>
      <c r="T375" s="71" t="s">
        <v>39</v>
      </c>
      <c r="U375" s="71" t="s">
        <v>39</v>
      </c>
      <c r="V375" s="77" t="s">
        <v>39</v>
      </c>
      <c r="W375" s="72" t="s">
        <v>251</v>
      </c>
      <c r="X375" s="73" t="s">
        <v>39</v>
      </c>
      <c r="Y375" s="72" t="s">
        <v>39</v>
      </c>
      <c r="Z375" s="72" t="s">
        <v>39</v>
      </c>
      <c r="AA375" s="72" t="s">
        <v>39</v>
      </c>
      <c r="AB375" s="51" t="s">
        <v>39</v>
      </c>
      <c r="AC375" s="46" t="s">
        <v>39</v>
      </c>
      <c r="AD375" s="76" t="s">
        <v>1178</v>
      </c>
      <c r="AE375" s="25"/>
      <c r="AF375" s="17" t="s">
        <v>1179</v>
      </c>
    </row>
    <row r="376" s="2" customFormat="1" ht="12" customHeight="1" spans="1:32">
      <c r="A376" s="13">
        <v>374</v>
      </c>
      <c r="B376" s="521"/>
      <c r="C376" s="15" t="s">
        <v>1142</v>
      </c>
      <c r="D376" s="15" t="s">
        <v>1207</v>
      </c>
      <c r="E376" s="15" t="s">
        <v>1208</v>
      </c>
      <c r="F376" s="13" t="s">
        <v>53</v>
      </c>
      <c r="G376" s="16" t="s">
        <v>178</v>
      </c>
      <c r="H376" s="55" t="s">
        <v>39</v>
      </c>
      <c r="I376" s="88" t="s">
        <v>39</v>
      </c>
      <c r="J376" s="88" t="s">
        <v>39</v>
      </c>
      <c r="K376" s="19" t="s">
        <v>39</v>
      </c>
      <c r="L376" s="21" t="s">
        <v>39</v>
      </c>
      <c r="M376" s="19" t="s">
        <v>39</v>
      </c>
      <c r="N376" s="19" t="s">
        <v>39</v>
      </c>
      <c r="O376" s="19" t="s">
        <v>39</v>
      </c>
      <c r="P376" s="19" t="s">
        <v>39</v>
      </c>
      <c r="Q376" s="19" t="s">
        <v>39</v>
      </c>
      <c r="R376" s="19" t="s">
        <v>39</v>
      </c>
      <c r="S376" s="19" t="s">
        <v>39</v>
      </c>
      <c r="T376" s="106"/>
      <c r="U376" s="90" t="s">
        <v>39</v>
      </c>
      <c r="V376" s="19" t="s">
        <v>39</v>
      </c>
      <c r="W376" s="55" t="s">
        <v>39</v>
      </c>
      <c r="X376" s="138" t="s">
        <v>39</v>
      </c>
      <c r="Y376" s="55" t="s">
        <v>39</v>
      </c>
      <c r="Z376" s="55" t="s">
        <v>39</v>
      </c>
      <c r="AA376" s="55" t="s">
        <v>39</v>
      </c>
      <c r="AB376" s="46">
        <v>0.11</v>
      </c>
      <c r="AC376" s="118" t="s">
        <v>39</v>
      </c>
      <c r="AD376" s="48" t="s">
        <v>104</v>
      </c>
      <c r="AE376" s="25"/>
      <c r="AF376" s="17"/>
    </row>
    <row r="377" s="2" customFormat="1" ht="48" customHeight="1" spans="1:32">
      <c r="A377" s="13">
        <v>375</v>
      </c>
      <c r="B377" s="14" t="s">
        <v>1209</v>
      </c>
      <c r="C377" s="15" t="s">
        <v>1142</v>
      </c>
      <c r="D377" s="15" t="s">
        <v>1207</v>
      </c>
      <c r="E377" s="15" t="s">
        <v>1208</v>
      </c>
      <c r="F377" s="13" t="s">
        <v>53</v>
      </c>
      <c r="G377" s="16" t="s">
        <v>178</v>
      </c>
      <c r="H377" s="13" t="s">
        <v>60</v>
      </c>
      <c r="I377" s="43" t="s">
        <v>1210</v>
      </c>
      <c r="J377" s="13" t="s">
        <v>1211</v>
      </c>
      <c r="K377" s="20" t="s">
        <v>39</v>
      </c>
      <c r="L377" s="21">
        <v>1668000</v>
      </c>
      <c r="M377" s="75">
        <v>0.085</v>
      </c>
      <c r="N377" s="77" t="s">
        <v>39</v>
      </c>
      <c r="O377" s="77" t="s">
        <v>39</v>
      </c>
      <c r="P377" s="77" t="s">
        <v>39</v>
      </c>
      <c r="Q377" s="77" t="s">
        <v>39</v>
      </c>
      <c r="R377" s="77" t="s">
        <v>39</v>
      </c>
      <c r="S377" s="77" t="s">
        <v>39</v>
      </c>
      <c r="T377" s="77" t="s">
        <v>39</v>
      </c>
      <c r="U377" s="77" t="s">
        <v>39</v>
      </c>
      <c r="V377" s="72" t="s">
        <v>39</v>
      </c>
      <c r="W377" s="77">
        <v>0.45</v>
      </c>
      <c r="X377" s="73" t="s">
        <v>39</v>
      </c>
      <c r="Y377" s="72" t="s">
        <v>39</v>
      </c>
      <c r="Z377" s="72" t="s">
        <v>39</v>
      </c>
      <c r="AA377" s="72" t="s">
        <v>39</v>
      </c>
      <c r="AB377" s="51" t="s">
        <v>39</v>
      </c>
      <c r="AC377" s="46" t="s">
        <v>39</v>
      </c>
      <c r="AD377" s="76" t="s">
        <v>1212</v>
      </c>
      <c r="AE377" s="25" t="s">
        <v>1213</v>
      </c>
      <c r="AF377" s="17" t="s">
        <v>1214</v>
      </c>
    </row>
    <row r="378" s="2" customFormat="1" ht="48" customHeight="1" spans="1:32">
      <c r="A378" s="13">
        <v>376</v>
      </c>
      <c r="B378" s="14" t="s">
        <v>1215</v>
      </c>
      <c r="C378" s="15" t="s">
        <v>1142</v>
      </c>
      <c r="D378" s="15" t="s">
        <v>1207</v>
      </c>
      <c r="E378" s="15" t="s">
        <v>1208</v>
      </c>
      <c r="F378" s="13" t="s">
        <v>53</v>
      </c>
      <c r="G378" s="16" t="s">
        <v>178</v>
      </c>
      <c r="H378" s="13" t="s">
        <v>66</v>
      </c>
      <c r="I378" s="43" t="s">
        <v>319</v>
      </c>
      <c r="J378" s="13" t="s">
        <v>1216</v>
      </c>
      <c r="K378" s="20" t="s">
        <v>39</v>
      </c>
      <c r="L378" s="21">
        <v>984000</v>
      </c>
      <c r="M378" s="75">
        <v>0.085</v>
      </c>
      <c r="N378" s="77" t="s">
        <v>39</v>
      </c>
      <c r="O378" s="77" t="s">
        <v>39</v>
      </c>
      <c r="P378" s="77" t="s">
        <v>39</v>
      </c>
      <c r="Q378" s="77" t="s">
        <v>39</v>
      </c>
      <c r="R378" s="77" t="s">
        <v>39</v>
      </c>
      <c r="S378" s="77" t="s">
        <v>39</v>
      </c>
      <c r="T378" s="77" t="s">
        <v>39</v>
      </c>
      <c r="U378" s="77" t="s">
        <v>39</v>
      </c>
      <c r="V378" s="72" t="s">
        <v>39</v>
      </c>
      <c r="W378" s="77">
        <v>0.45</v>
      </c>
      <c r="X378" s="73" t="s">
        <v>39</v>
      </c>
      <c r="Y378" s="72" t="s">
        <v>39</v>
      </c>
      <c r="Z378" s="72" t="s">
        <v>39</v>
      </c>
      <c r="AA378" s="72" t="s">
        <v>39</v>
      </c>
      <c r="AB378" s="51" t="s">
        <v>39</v>
      </c>
      <c r="AC378" s="46" t="s">
        <v>39</v>
      </c>
      <c r="AD378" s="76" t="s">
        <v>1212</v>
      </c>
      <c r="AE378" s="25" t="s">
        <v>1213</v>
      </c>
      <c r="AF378" s="17" t="s">
        <v>1214</v>
      </c>
    </row>
    <row r="379" s="2" customFormat="1" ht="48" customHeight="1" spans="1:32">
      <c r="A379" s="13">
        <v>377</v>
      </c>
      <c r="B379" s="14" t="s">
        <v>1217</v>
      </c>
      <c r="C379" s="15" t="s">
        <v>1142</v>
      </c>
      <c r="D379" s="15" t="s">
        <v>1207</v>
      </c>
      <c r="E379" s="15" t="s">
        <v>1208</v>
      </c>
      <c r="F379" s="13" t="s">
        <v>53</v>
      </c>
      <c r="G379" s="16" t="s">
        <v>178</v>
      </c>
      <c r="H379" s="13" t="s">
        <v>70</v>
      </c>
      <c r="I379" s="43" t="s">
        <v>1218</v>
      </c>
      <c r="J379" s="13" t="s">
        <v>1219</v>
      </c>
      <c r="K379" s="20" t="s">
        <v>39</v>
      </c>
      <c r="L379" s="21">
        <v>662400</v>
      </c>
      <c r="M379" s="75">
        <v>0.085</v>
      </c>
      <c r="N379" s="77" t="s">
        <v>39</v>
      </c>
      <c r="O379" s="77" t="s">
        <v>39</v>
      </c>
      <c r="P379" s="77" t="s">
        <v>39</v>
      </c>
      <c r="Q379" s="77" t="s">
        <v>39</v>
      </c>
      <c r="R379" s="77" t="s">
        <v>39</v>
      </c>
      <c r="S379" s="77" t="s">
        <v>39</v>
      </c>
      <c r="T379" s="77" t="s">
        <v>39</v>
      </c>
      <c r="U379" s="77" t="s">
        <v>39</v>
      </c>
      <c r="V379" s="72" t="s">
        <v>39</v>
      </c>
      <c r="W379" s="77">
        <v>0.45</v>
      </c>
      <c r="X379" s="73" t="s">
        <v>39</v>
      </c>
      <c r="Y379" s="72" t="s">
        <v>39</v>
      </c>
      <c r="Z379" s="72" t="s">
        <v>39</v>
      </c>
      <c r="AA379" s="72" t="s">
        <v>39</v>
      </c>
      <c r="AB379" s="51" t="s">
        <v>39</v>
      </c>
      <c r="AC379" s="46" t="s">
        <v>39</v>
      </c>
      <c r="AD379" s="76" t="s">
        <v>1212</v>
      </c>
      <c r="AE379" s="25" t="s">
        <v>1213</v>
      </c>
      <c r="AF379" s="17" t="s">
        <v>1214</v>
      </c>
    </row>
    <row r="380" s="2" customFormat="1" ht="48" customHeight="1" spans="1:32">
      <c r="A380" s="13">
        <v>378</v>
      </c>
      <c r="B380" s="14" t="s">
        <v>1220</v>
      </c>
      <c r="C380" s="15" t="s">
        <v>1142</v>
      </c>
      <c r="D380" s="15" t="s">
        <v>1207</v>
      </c>
      <c r="E380" s="15" t="s">
        <v>1208</v>
      </c>
      <c r="F380" s="13" t="s">
        <v>53</v>
      </c>
      <c r="G380" s="16" t="s">
        <v>178</v>
      </c>
      <c r="H380" s="13" t="s">
        <v>74</v>
      </c>
      <c r="I380" s="43" t="s">
        <v>618</v>
      </c>
      <c r="J380" s="13" t="s">
        <v>1221</v>
      </c>
      <c r="K380" s="20" t="s">
        <v>39</v>
      </c>
      <c r="L380" s="21">
        <v>367200</v>
      </c>
      <c r="M380" s="75">
        <v>0.085</v>
      </c>
      <c r="N380" s="77" t="s">
        <v>39</v>
      </c>
      <c r="O380" s="77" t="s">
        <v>39</v>
      </c>
      <c r="P380" s="77" t="s">
        <v>39</v>
      </c>
      <c r="Q380" s="77" t="s">
        <v>39</v>
      </c>
      <c r="R380" s="77" t="s">
        <v>39</v>
      </c>
      <c r="S380" s="77" t="s">
        <v>39</v>
      </c>
      <c r="T380" s="77" t="s">
        <v>39</v>
      </c>
      <c r="U380" s="77" t="s">
        <v>39</v>
      </c>
      <c r="V380" s="72" t="s">
        <v>39</v>
      </c>
      <c r="W380" s="77">
        <v>0.45</v>
      </c>
      <c r="X380" s="73" t="s">
        <v>39</v>
      </c>
      <c r="Y380" s="72" t="s">
        <v>39</v>
      </c>
      <c r="Z380" s="72" t="s">
        <v>39</v>
      </c>
      <c r="AA380" s="72" t="s">
        <v>39</v>
      </c>
      <c r="AB380" s="51" t="s">
        <v>39</v>
      </c>
      <c r="AC380" s="46" t="s">
        <v>39</v>
      </c>
      <c r="AD380" s="76" t="s">
        <v>1212</v>
      </c>
      <c r="AE380" s="25" t="s">
        <v>1213</v>
      </c>
      <c r="AF380" s="17" t="s">
        <v>1214</v>
      </c>
    </row>
    <row r="381" s="2" customFormat="1" ht="48" customHeight="1" spans="1:32">
      <c r="A381" s="13">
        <v>379</v>
      </c>
      <c r="B381" s="14" t="s">
        <v>1222</v>
      </c>
      <c r="C381" s="15" t="s">
        <v>1142</v>
      </c>
      <c r="D381" s="15" t="s">
        <v>1207</v>
      </c>
      <c r="E381" s="15" t="s">
        <v>1208</v>
      </c>
      <c r="F381" s="13" t="s">
        <v>53</v>
      </c>
      <c r="G381" s="16" t="s">
        <v>178</v>
      </c>
      <c r="H381" s="13" t="s">
        <v>265</v>
      </c>
      <c r="I381" s="43" t="s">
        <v>1223</v>
      </c>
      <c r="J381" s="13" t="s">
        <v>1224</v>
      </c>
      <c r="K381" s="20" t="s">
        <v>39</v>
      </c>
      <c r="L381" s="21">
        <v>316800</v>
      </c>
      <c r="M381" s="75">
        <v>0.085</v>
      </c>
      <c r="N381" s="77" t="s">
        <v>39</v>
      </c>
      <c r="O381" s="77" t="s">
        <v>39</v>
      </c>
      <c r="P381" s="77" t="s">
        <v>39</v>
      </c>
      <c r="Q381" s="77" t="s">
        <v>39</v>
      </c>
      <c r="R381" s="77" t="s">
        <v>39</v>
      </c>
      <c r="S381" s="77" t="s">
        <v>39</v>
      </c>
      <c r="T381" s="77" t="s">
        <v>39</v>
      </c>
      <c r="U381" s="77" t="s">
        <v>39</v>
      </c>
      <c r="V381" s="72" t="s">
        <v>39</v>
      </c>
      <c r="W381" s="77">
        <v>0.45</v>
      </c>
      <c r="X381" s="73" t="s">
        <v>39</v>
      </c>
      <c r="Y381" s="72" t="s">
        <v>39</v>
      </c>
      <c r="Z381" s="72" t="s">
        <v>39</v>
      </c>
      <c r="AA381" s="72" t="s">
        <v>39</v>
      </c>
      <c r="AB381" s="51" t="s">
        <v>39</v>
      </c>
      <c r="AC381" s="46" t="s">
        <v>39</v>
      </c>
      <c r="AD381" s="76" t="s">
        <v>1212</v>
      </c>
      <c r="AE381" s="25" t="s">
        <v>1213</v>
      </c>
      <c r="AF381" s="17" t="s">
        <v>1214</v>
      </c>
    </row>
    <row r="382" s="2" customFormat="1" ht="48" customHeight="1" spans="1:32">
      <c r="A382" s="13">
        <v>380</v>
      </c>
      <c r="B382" s="14" t="s">
        <v>1225</v>
      </c>
      <c r="C382" s="15" t="s">
        <v>1142</v>
      </c>
      <c r="D382" s="15" t="s">
        <v>1207</v>
      </c>
      <c r="E382" s="15" t="s">
        <v>1208</v>
      </c>
      <c r="F382" s="13" t="s">
        <v>53</v>
      </c>
      <c r="G382" s="16" t="s">
        <v>178</v>
      </c>
      <c r="H382" s="13" t="s">
        <v>86</v>
      </c>
      <c r="I382" s="43" t="s">
        <v>1226</v>
      </c>
      <c r="J382" s="13" t="s">
        <v>1227</v>
      </c>
      <c r="K382" s="20" t="s">
        <v>39</v>
      </c>
      <c r="L382" s="21">
        <v>2232000</v>
      </c>
      <c r="M382" s="75">
        <v>0.085</v>
      </c>
      <c r="N382" s="77" t="s">
        <v>39</v>
      </c>
      <c r="O382" s="77" t="s">
        <v>39</v>
      </c>
      <c r="P382" s="77" t="s">
        <v>39</v>
      </c>
      <c r="Q382" s="77" t="s">
        <v>39</v>
      </c>
      <c r="R382" s="77" t="s">
        <v>39</v>
      </c>
      <c r="S382" s="77" t="s">
        <v>39</v>
      </c>
      <c r="T382" s="77" t="s">
        <v>39</v>
      </c>
      <c r="U382" s="77" t="s">
        <v>39</v>
      </c>
      <c r="V382" s="72" t="s">
        <v>39</v>
      </c>
      <c r="W382" s="77">
        <v>0.45</v>
      </c>
      <c r="X382" s="73" t="s">
        <v>39</v>
      </c>
      <c r="Y382" s="72" t="s">
        <v>39</v>
      </c>
      <c r="Z382" s="72" t="s">
        <v>39</v>
      </c>
      <c r="AA382" s="72" t="s">
        <v>39</v>
      </c>
      <c r="AB382" s="51" t="s">
        <v>39</v>
      </c>
      <c r="AC382" s="46" t="s">
        <v>39</v>
      </c>
      <c r="AD382" s="76" t="s">
        <v>1212</v>
      </c>
      <c r="AE382" s="25" t="s">
        <v>1213</v>
      </c>
      <c r="AF382" s="17" t="s">
        <v>1214</v>
      </c>
    </row>
    <row r="383" s="2" customFormat="1" ht="48" customHeight="1" spans="1:32">
      <c r="A383" s="13">
        <v>381</v>
      </c>
      <c r="B383" s="14" t="s">
        <v>1228</v>
      </c>
      <c r="C383" s="15" t="s">
        <v>1142</v>
      </c>
      <c r="D383" s="15" t="s">
        <v>1207</v>
      </c>
      <c r="E383" s="15" t="s">
        <v>1208</v>
      </c>
      <c r="F383" s="13" t="s">
        <v>53</v>
      </c>
      <c r="G383" s="16" t="s">
        <v>178</v>
      </c>
      <c r="H383" s="13" t="s">
        <v>272</v>
      </c>
      <c r="I383" s="43" t="s">
        <v>217</v>
      </c>
      <c r="J383" s="13" t="s">
        <v>1229</v>
      </c>
      <c r="K383" s="20" t="s">
        <v>39</v>
      </c>
      <c r="L383" s="21">
        <v>655200</v>
      </c>
      <c r="M383" s="75">
        <v>0.085</v>
      </c>
      <c r="N383" s="77" t="s">
        <v>39</v>
      </c>
      <c r="O383" s="77" t="s">
        <v>39</v>
      </c>
      <c r="P383" s="77" t="s">
        <v>39</v>
      </c>
      <c r="Q383" s="77" t="s">
        <v>39</v>
      </c>
      <c r="R383" s="77" t="s">
        <v>39</v>
      </c>
      <c r="S383" s="77" t="s">
        <v>39</v>
      </c>
      <c r="T383" s="77" t="s">
        <v>39</v>
      </c>
      <c r="U383" s="77" t="s">
        <v>39</v>
      </c>
      <c r="V383" s="72" t="s">
        <v>39</v>
      </c>
      <c r="W383" s="77">
        <v>0.45</v>
      </c>
      <c r="X383" s="73" t="s">
        <v>39</v>
      </c>
      <c r="Y383" s="72" t="s">
        <v>39</v>
      </c>
      <c r="Z383" s="72" t="s">
        <v>39</v>
      </c>
      <c r="AA383" s="72" t="s">
        <v>39</v>
      </c>
      <c r="AB383" s="51" t="s">
        <v>39</v>
      </c>
      <c r="AC383" s="46" t="s">
        <v>39</v>
      </c>
      <c r="AD383" s="76" t="s">
        <v>1212</v>
      </c>
      <c r="AE383" s="25" t="s">
        <v>1213</v>
      </c>
      <c r="AF383" s="17" t="s">
        <v>1214</v>
      </c>
    </row>
    <row r="384" s="2" customFormat="1" ht="24" customHeight="1" spans="1:32">
      <c r="A384" s="13">
        <v>382</v>
      </c>
      <c r="B384" s="14" t="s">
        <v>1230</v>
      </c>
      <c r="C384" s="15" t="s">
        <v>1142</v>
      </c>
      <c r="D384" s="15" t="s">
        <v>1207</v>
      </c>
      <c r="E384" s="15" t="s">
        <v>1208</v>
      </c>
      <c r="F384" s="13" t="s">
        <v>53</v>
      </c>
      <c r="G384" s="16" t="s">
        <v>178</v>
      </c>
      <c r="H384" s="13" t="s">
        <v>276</v>
      </c>
      <c r="I384" s="43" t="s">
        <v>1231</v>
      </c>
      <c r="J384" s="13" t="s">
        <v>1232</v>
      </c>
      <c r="K384" s="20" t="s">
        <v>39</v>
      </c>
      <c r="L384" s="21">
        <v>662400</v>
      </c>
      <c r="M384" s="75">
        <v>0.085</v>
      </c>
      <c r="N384" s="77" t="s">
        <v>39</v>
      </c>
      <c r="O384" s="77" t="s">
        <v>39</v>
      </c>
      <c r="P384" s="77" t="s">
        <v>39</v>
      </c>
      <c r="Q384" s="77" t="s">
        <v>39</v>
      </c>
      <c r="R384" s="77" t="s">
        <v>39</v>
      </c>
      <c r="S384" s="77" t="s">
        <v>39</v>
      </c>
      <c r="T384" s="77" t="s">
        <v>39</v>
      </c>
      <c r="U384" s="77" t="s">
        <v>39</v>
      </c>
      <c r="V384" s="72" t="s">
        <v>39</v>
      </c>
      <c r="W384" s="77">
        <v>0.45</v>
      </c>
      <c r="X384" s="73" t="s">
        <v>39</v>
      </c>
      <c r="Y384" s="72" t="s">
        <v>39</v>
      </c>
      <c r="Z384" s="72" t="s">
        <v>39</v>
      </c>
      <c r="AA384" s="72" t="s">
        <v>39</v>
      </c>
      <c r="AB384" s="51" t="s">
        <v>39</v>
      </c>
      <c r="AC384" s="46" t="s">
        <v>39</v>
      </c>
      <c r="AD384" s="76" t="s">
        <v>1212</v>
      </c>
      <c r="AE384" s="25" t="s">
        <v>644</v>
      </c>
      <c r="AF384" s="17" t="s">
        <v>1214</v>
      </c>
    </row>
    <row r="385" s="2" customFormat="1" ht="12" customHeight="1" spans="1:32">
      <c r="A385" s="13">
        <v>383</v>
      </c>
      <c r="B385" s="14" t="s">
        <v>1233</v>
      </c>
      <c r="C385" s="15" t="s">
        <v>1142</v>
      </c>
      <c r="D385" s="15" t="s">
        <v>1234</v>
      </c>
      <c r="E385" s="15" t="s">
        <v>1235</v>
      </c>
      <c r="F385" s="13" t="s">
        <v>37</v>
      </c>
      <c r="G385" s="16" t="s">
        <v>103</v>
      </c>
      <c r="H385" s="16" t="s">
        <v>39</v>
      </c>
      <c r="I385" s="167" t="s">
        <v>39</v>
      </c>
      <c r="J385" s="16" t="s">
        <v>39</v>
      </c>
      <c r="K385" s="20" t="s">
        <v>39</v>
      </c>
      <c r="L385" s="21" t="s">
        <v>39</v>
      </c>
      <c r="M385" s="97" t="s">
        <v>39</v>
      </c>
      <c r="N385" s="97" t="s">
        <v>39</v>
      </c>
      <c r="O385" s="83">
        <v>0.02</v>
      </c>
      <c r="P385" s="97" t="s">
        <v>39</v>
      </c>
      <c r="Q385" s="97" t="s">
        <v>39</v>
      </c>
      <c r="R385" s="97" t="s">
        <v>39</v>
      </c>
      <c r="S385" s="97" t="s">
        <v>39</v>
      </c>
      <c r="T385" s="97" t="s">
        <v>39</v>
      </c>
      <c r="U385" s="97" t="s">
        <v>39</v>
      </c>
      <c r="V385" s="97" t="s">
        <v>39</v>
      </c>
      <c r="W385" s="78"/>
      <c r="X385" s="83">
        <v>0.05</v>
      </c>
      <c r="Y385" s="85" t="s">
        <v>39</v>
      </c>
      <c r="Z385" s="85" t="s">
        <v>39</v>
      </c>
      <c r="AA385" s="85" t="s">
        <v>39</v>
      </c>
      <c r="AB385" s="22">
        <v>0.07</v>
      </c>
      <c r="AC385" s="18" t="s">
        <v>39</v>
      </c>
      <c r="AD385" s="152"/>
      <c r="AE385" s="25"/>
      <c r="AF385" s="206"/>
    </row>
    <row r="386" s="2" customFormat="1" ht="72" customHeight="1" spans="1:32">
      <c r="A386" s="13">
        <v>384</v>
      </c>
      <c r="B386" s="14" t="s">
        <v>1236</v>
      </c>
      <c r="C386" s="15" t="s">
        <v>1142</v>
      </c>
      <c r="D386" s="15" t="s">
        <v>1234</v>
      </c>
      <c r="E386" s="15" t="s">
        <v>1235</v>
      </c>
      <c r="F386" s="13" t="s">
        <v>81</v>
      </c>
      <c r="G386" s="16" t="s">
        <v>103</v>
      </c>
      <c r="H386" s="16" t="s">
        <v>60</v>
      </c>
      <c r="I386" s="167" t="s">
        <v>1237</v>
      </c>
      <c r="J386" s="16" t="s">
        <v>1238</v>
      </c>
      <c r="K386" s="20" t="s">
        <v>39</v>
      </c>
      <c r="L386" s="21">
        <v>621000</v>
      </c>
      <c r="M386" s="102">
        <v>0.12</v>
      </c>
      <c r="N386" s="97">
        <v>0.01</v>
      </c>
      <c r="O386" s="164" t="s">
        <v>39</v>
      </c>
      <c r="P386" s="164" t="s">
        <v>39</v>
      </c>
      <c r="Q386" s="102" t="s">
        <v>39</v>
      </c>
      <c r="R386" s="102" t="s">
        <v>39</v>
      </c>
      <c r="S386" s="97" t="s">
        <v>39</v>
      </c>
      <c r="T386" s="102">
        <v>0.03</v>
      </c>
      <c r="U386" s="102">
        <v>0.08</v>
      </c>
      <c r="V386" s="165">
        <v>0.06</v>
      </c>
      <c r="W386" s="78"/>
      <c r="X386" s="164" t="s">
        <v>39</v>
      </c>
      <c r="Y386" s="85" t="s">
        <v>39</v>
      </c>
      <c r="Z386" s="85" t="s">
        <v>39</v>
      </c>
      <c r="AA386" s="85" t="s">
        <v>39</v>
      </c>
      <c r="AB386" s="22" t="s">
        <v>39</v>
      </c>
      <c r="AC386" s="18" t="s">
        <v>39</v>
      </c>
      <c r="AD386" s="166" t="s">
        <v>1239</v>
      </c>
      <c r="AE386" s="25" t="s">
        <v>1240</v>
      </c>
      <c r="AF386" s="60" t="s">
        <v>1241</v>
      </c>
    </row>
    <row r="387" s="2" customFormat="1" ht="72" customHeight="1" spans="1:32">
      <c r="A387" s="13">
        <v>385</v>
      </c>
      <c r="B387" s="14" t="s">
        <v>1242</v>
      </c>
      <c r="C387" s="15" t="s">
        <v>1142</v>
      </c>
      <c r="D387" s="15" t="s">
        <v>1234</v>
      </c>
      <c r="E387" s="15" t="s">
        <v>1235</v>
      </c>
      <c r="F387" s="13" t="s">
        <v>81</v>
      </c>
      <c r="G387" s="16" t="s">
        <v>103</v>
      </c>
      <c r="H387" s="16" t="s">
        <v>66</v>
      </c>
      <c r="I387" s="167" t="s">
        <v>1243</v>
      </c>
      <c r="J387" s="16" t="s">
        <v>1244</v>
      </c>
      <c r="K387" s="20" t="s">
        <v>39</v>
      </c>
      <c r="L387" s="21">
        <v>610000</v>
      </c>
      <c r="M387" s="102">
        <v>0.12</v>
      </c>
      <c r="N387" s="97">
        <v>0.01</v>
      </c>
      <c r="O387" s="164" t="s">
        <v>39</v>
      </c>
      <c r="P387" s="164" t="s">
        <v>39</v>
      </c>
      <c r="Q387" s="102" t="s">
        <v>39</v>
      </c>
      <c r="R387" s="102" t="s">
        <v>39</v>
      </c>
      <c r="S387" s="97" t="s">
        <v>39</v>
      </c>
      <c r="T387" s="102">
        <v>0.03</v>
      </c>
      <c r="U387" s="102">
        <v>0.08</v>
      </c>
      <c r="V387" s="165">
        <v>0.06</v>
      </c>
      <c r="W387" s="78"/>
      <c r="X387" s="164" t="s">
        <v>39</v>
      </c>
      <c r="Y387" s="85" t="s">
        <v>39</v>
      </c>
      <c r="Z387" s="85" t="s">
        <v>39</v>
      </c>
      <c r="AA387" s="85" t="s">
        <v>39</v>
      </c>
      <c r="AB387" s="22" t="s">
        <v>39</v>
      </c>
      <c r="AC387" s="18" t="s">
        <v>39</v>
      </c>
      <c r="AD387" s="166" t="s">
        <v>1245</v>
      </c>
      <c r="AE387" s="25" t="s">
        <v>1240</v>
      </c>
      <c r="AF387" s="60" t="s">
        <v>1241</v>
      </c>
    </row>
    <row r="388" s="2" customFormat="1" ht="12" customHeight="1" spans="1:32">
      <c r="A388" s="13">
        <v>386</v>
      </c>
      <c r="B388" s="14" t="s">
        <v>1246</v>
      </c>
      <c r="C388" s="15" t="s">
        <v>1142</v>
      </c>
      <c r="D388" s="15" t="s">
        <v>1247</v>
      </c>
      <c r="E388" s="15" t="s">
        <v>1248</v>
      </c>
      <c r="F388" s="13" t="s">
        <v>37</v>
      </c>
      <c r="G388" s="16" t="s">
        <v>103</v>
      </c>
      <c r="H388" s="16" t="s">
        <v>39</v>
      </c>
      <c r="I388" s="167" t="s">
        <v>39</v>
      </c>
      <c r="J388" s="16" t="s">
        <v>39</v>
      </c>
      <c r="K388" s="20" t="s">
        <v>39</v>
      </c>
      <c r="L388" s="21" t="s">
        <v>39</v>
      </c>
      <c r="M388" s="97" t="s">
        <v>39</v>
      </c>
      <c r="N388" s="97" t="s">
        <v>39</v>
      </c>
      <c r="O388" s="78">
        <v>0.05</v>
      </c>
      <c r="P388" s="97" t="s">
        <v>39</v>
      </c>
      <c r="Q388" s="97" t="s">
        <v>39</v>
      </c>
      <c r="R388" s="97" t="s">
        <v>39</v>
      </c>
      <c r="S388" s="97" t="s">
        <v>39</v>
      </c>
      <c r="T388" s="97" t="s">
        <v>39</v>
      </c>
      <c r="U388" s="97" t="s">
        <v>39</v>
      </c>
      <c r="V388" s="97" t="s">
        <v>39</v>
      </c>
      <c r="W388" s="168"/>
      <c r="X388" s="85" t="s">
        <v>39</v>
      </c>
      <c r="Y388" s="85" t="s">
        <v>39</v>
      </c>
      <c r="Z388" s="85" t="s">
        <v>39</v>
      </c>
      <c r="AA388" s="85" t="s">
        <v>39</v>
      </c>
      <c r="AB388" s="22">
        <v>0.05</v>
      </c>
      <c r="AC388" s="18" t="s">
        <v>39</v>
      </c>
      <c r="AD388" s="152" t="s">
        <v>471</v>
      </c>
      <c r="AE388" s="25"/>
      <c r="AF388" s="17"/>
    </row>
    <row r="389" s="2" customFormat="1" ht="48" customHeight="1" spans="1:32">
      <c r="A389" s="13">
        <v>387</v>
      </c>
      <c r="B389" s="14" t="s">
        <v>1249</v>
      </c>
      <c r="C389" s="15" t="s">
        <v>1142</v>
      </c>
      <c r="D389" s="15" t="s">
        <v>1247</v>
      </c>
      <c r="E389" s="15" t="s">
        <v>1248</v>
      </c>
      <c r="F389" s="13" t="s">
        <v>81</v>
      </c>
      <c r="G389" s="16" t="s">
        <v>103</v>
      </c>
      <c r="H389" s="16" t="s">
        <v>60</v>
      </c>
      <c r="I389" s="167" t="s">
        <v>1250</v>
      </c>
      <c r="J389" s="16" t="s">
        <v>1251</v>
      </c>
      <c r="K389" s="20" t="s">
        <v>39</v>
      </c>
      <c r="L389" s="21">
        <v>800000</v>
      </c>
      <c r="M389" s="102">
        <v>0.19</v>
      </c>
      <c r="N389" s="97" t="s">
        <v>39</v>
      </c>
      <c r="O389" s="169">
        <v>0.017</v>
      </c>
      <c r="P389" s="170">
        <v>500</v>
      </c>
      <c r="Q389" s="102" t="s">
        <v>39</v>
      </c>
      <c r="R389" s="102" t="s">
        <v>39</v>
      </c>
      <c r="S389" s="97" t="s">
        <v>39</v>
      </c>
      <c r="T389" s="102">
        <v>0.03</v>
      </c>
      <c r="U389" s="149" t="s">
        <v>39</v>
      </c>
      <c r="V389" s="171" t="s">
        <v>39</v>
      </c>
      <c r="W389" s="97">
        <v>0.1</v>
      </c>
      <c r="X389" s="85" t="s">
        <v>39</v>
      </c>
      <c r="Y389" s="85" t="s">
        <v>39</v>
      </c>
      <c r="Z389" s="85" t="s">
        <v>39</v>
      </c>
      <c r="AA389" s="85" t="s">
        <v>39</v>
      </c>
      <c r="AB389" s="22" t="s">
        <v>39</v>
      </c>
      <c r="AC389" s="18" t="s">
        <v>39</v>
      </c>
      <c r="AD389" s="150" t="s">
        <v>1252</v>
      </c>
      <c r="AE389" s="25" t="s">
        <v>1253</v>
      </c>
      <c r="AF389" s="17" t="s">
        <v>1254</v>
      </c>
    </row>
    <row r="390" s="2" customFormat="1" ht="48" customHeight="1" spans="1:32">
      <c r="A390" s="13">
        <v>388</v>
      </c>
      <c r="B390" s="14" t="s">
        <v>1255</v>
      </c>
      <c r="C390" s="15" t="s">
        <v>1142</v>
      </c>
      <c r="D390" s="15" t="s">
        <v>1247</v>
      </c>
      <c r="E390" s="15" t="s">
        <v>1248</v>
      </c>
      <c r="F390" s="13" t="s">
        <v>81</v>
      </c>
      <c r="G390" s="16" t="s">
        <v>103</v>
      </c>
      <c r="H390" s="16" t="s">
        <v>66</v>
      </c>
      <c r="I390" s="167" t="s">
        <v>1256</v>
      </c>
      <c r="J390" s="16" t="s">
        <v>1257</v>
      </c>
      <c r="K390" s="20" t="s">
        <v>39</v>
      </c>
      <c r="L390" s="21">
        <v>640000</v>
      </c>
      <c r="M390" s="102">
        <v>0.19</v>
      </c>
      <c r="N390" s="97" t="s">
        <v>39</v>
      </c>
      <c r="O390" s="169">
        <v>0.017</v>
      </c>
      <c r="P390" s="170">
        <v>500</v>
      </c>
      <c r="Q390" s="102" t="s">
        <v>39</v>
      </c>
      <c r="R390" s="102" t="s">
        <v>39</v>
      </c>
      <c r="S390" s="97" t="s">
        <v>39</v>
      </c>
      <c r="T390" s="102">
        <v>0.03</v>
      </c>
      <c r="U390" s="149" t="s">
        <v>39</v>
      </c>
      <c r="V390" s="171" t="s">
        <v>39</v>
      </c>
      <c r="W390" s="97">
        <v>0.1</v>
      </c>
      <c r="X390" s="85" t="s">
        <v>39</v>
      </c>
      <c r="Y390" s="85" t="s">
        <v>39</v>
      </c>
      <c r="Z390" s="85" t="s">
        <v>39</v>
      </c>
      <c r="AA390" s="85" t="s">
        <v>39</v>
      </c>
      <c r="AB390" s="22" t="s">
        <v>39</v>
      </c>
      <c r="AC390" s="18" t="s">
        <v>39</v>
      </c>
      <c r="AD390" s="148" t="s">
        <v>1258</v>
      </c>
      <c r="AE390" s="25" t="s">
        <v>1253</v>
      </c>
      <c r="AF390" s="17"/>
    </row>
    <row r="391" s="2" customFormat="1" ht="48" customHeight="1" spans="1:32">
      <c r="A391" s="13">
        <v>389</v>
      </c>
      <c r="B391" s="14" t="s">
        <v>1259</v>
      </c>
      <c r="C391" s="15" t="s">
        <v>1142</v>
      </c>
      <c r="D391" s="15" t="s">
        <v>1247</v>
      </c>
      <c r="E391" s="15" t="s">
        <v>1248</v>
      </c>
      <c r="F391" s="13" t="s">
        <v>81</v>
      </c>
      <c r="G391" s="16" t="s">
        <v>103</v>
      </c>
      <c r="H391" s="16" t="s">
        <v>70</v>
      </c>
      <c r="I391" s="167" t="s">
        <v>98</v>
      </c>
      <c r="J391" s="16" t="s">
        <v>1260</v>
      </c>
      <c r="K391" s="20" t="s">
        <v>39</v>
      </c>
      <c r="L391" s="21">
        <v>160000</v>
      </c>
      <c r="M391" s="102">
        <v>0.19</v>
      </c>
      <c r="N391" s="97" t="s">
        <v>39</v>
      </c>
      <c r="O391" s="169">
        <v>0.017</v>
      </c>
      <c r="P391" s="170">
        <v>500</v>
      </c>
      <c r="Q391" s="102" t="s">
        <v>39</v>
      </c>
      <c r="R391" s="102" t="s">
        <v>39</v>
      </c>
      <c r="S391" s="97" t="s">
        <v>39</v>
      </c>
      <c r="T391" s="102">
        <v>0.03</v>
      </c>
      <c r="U391" s="149" t="s">
        <v>39</v>
      </c>
      <c r="V391" s="171" t="s">
        <v>39</v>
      </c>
      <c r="W391" s="78"/>
      <c r="X391" s="85" t="s">
        <v>39</v>
      </c>
      <c r="Y391" s="85" t="s">
        <v>39</v>
      </c>
      <c r="Z391" s="85" t="s">
        <v>39</v>
      </c>
      <c r="AA391" s="85" t="s">
        <v>39</v>
      </c>
      <c r="AB391" s="22" t="s">
        <v>39</v>
      </c>
      <c r="AC391" s="18" t="s">
        <v>39</v>
      </c>
      <c r="AD391" s="148" t="s">
        <v>1252</v>
      </c>
      <c r="AE391" s="25" t="s">
        <v>1253</v>
      </c>
      <c r="AF391" s="60" t="s">
        <v>1261</v>
      </c>
    </row>
    <row r="392" s="2" customFormat="1" ht="48" customHeight="1" spans="1:32">
      <c r="A392" s="13">
        <v>390</v>
      </c>
      <c r="B392" s="14" t="s">
        <v>1262</v>
      </c>
      <c r="C392" s="15" t="s">
        <v>1142</v>
      </c>
      <c r="D392" s="15" t="s">
        <v>1247</v>
      </c>
      <c r="E392" s="15" t="s">
        <v>1248</v>
      </c>
      <c r="F392" s="13" t="s">
        <v>81</v>
      </c>
      <c r="G392" s="16" t="s">
        <v>103</v>
      </c>
      <c r="H392" s="16" t="s">
        <v>74</v>
      </c>
      <c r="I392" s="167" t="s">
        <v>1263</v>
      </c>
      <c r="J392" s="16" t="s">
        <v>1264</v>
      </c>
      <c r="K392" s="20" t="s">
        <v>39</v>
      </c>
      <c r="L392" s="21">
        <v>240000</v>
      </c>
      <c r="M392" s="102">
        <v>0.17</v>
      </c>
      <c r="N392" s="97" t="s">
        <v>39</v>
      </c>
      <c r="O392" s="169">
        <v>0.017</v>
      </c>
      <c r="P392" s="170">
        <v>1000</v>
      </c>
      <c r="Q392" s="102" t="s">
        <v>39</v>
      </c>
      <c r="R392" s="102" t="s">
        <v>39</v>
      </c>
      <c r="S392" s="97" t="s">
        <v>39</v>
      </c>
      <c r="T392" s="102">
        <v>0.03</v>
      </c>
      <c r="U392" s="149" t="s">
        <v>39</v>
      </c>
      <c r="V392" s="171" t="s">
        <v>39</v>
      </c>
      <c r="W392" s="78"/>
      <c r="X392" s="85" t="s">
        <v>39</v>
      </c>
      <c r="Y392" s="85" t="s">
        <v>39</v>
      </c>
      <c r="Z392" s="85" t="s">
        <v>39</v>
      </c>
      <c r="AA392" s="85" t="s">
        <v>39</v>
      </c>
      <c r="AB392" s="22" t="s">
        <v>39</v>
      </c>
      <c r="AC392" s="18" t="s">
        <v>39</v>
      </c>
      <c r="AD392" s="148" t="s">
        <v>1265</v>
      </c>
      <c r="AE392" s="25" t="s">
        <v>1253</v>
      </c>
      <c r="AF392" s="206"/>
    </row>
    <row r="393" s="2" customFormat="1" ht="48" customHeight="1" spans="1:32">
      <c r="A393" s="13">
        <v>391</v>
      </c>
      <c r="B393" s="14" t="s">
        <v>1266</v>
      </c>
      <c r="C393" s="15" t="s">
        <v>1142</v>
      </c>
      <c r="D393" s="15" t="s">
        <v>1247</v>
      </c>
      <c r="E393" s="15" t="s">
        <v>1248</v>
      </c>
      <c r="F393" s="13" t="s">
        <v>81</v>
      </c>
      <c r="G393" s="16" t="s">
        <v>103</v>
      </c>
      <c r="H393" s="16" t="s">
        <v>265</v>
      </c>
      <c r="I393" s="167" t="s">
        <v>1267</v>
      </c>
      <c r="J393" s="16" t="s">
        <v>1268</v>
      </c>
      <c r="K393" s="20" t="s">
        <v>39</v>
      </c>
      <c r="L393" s="21">
        <v>320000</v>
      </c>
      <c r="M393" s="102">
        <v>0.23</v>
      </c>
      <c r="N393" s="97" t="s">
        <v>39</v>
      </c>
      <c r="O393" s="169">
        <v>0.017</v>
      </c>
      <c r="P393" s="170">
        <v>1000</v>
      </c>
      <c r="Q393" s="102" t="s">
        <v>39</v>
      </c>
      <c r="R393" s="102" t="s">
        <v>39</v>
      </c>
      <c r="S393" s="97" t="s">
        <v>39</v>
      </c>
      <c r="T393" s="102">
        <v>0.03</v>
      </c>
      <c r="U393" s="149" t="s">
        <v>39</v>
      </c>
      <c r="V393" s="171" t="s">
        <v>39</v>
      </c>
      <c r="W393" s="97">
        <v>0.1</v>
      </c>
      <c r="X393" s="85" t="s">
        <v>39</v>
      </c>
      <c r="Y393" s="85" t="s">
        <v>39</v>
      </c>
      <c r="Z393" s="85" t="s">
        <v>39</v>
      </c>
      <c r="AA393" s="85" t="s">
        <v>39</v>
      </c>
      <c r="AB393" s="22" t="s">
        <v>39</v>
      </c>
      <c r="AC393" s="18" t="s">
        <v>39</v>
      </c>
      <c r="AD393" s="148" t="s">
        <v>1252</v>
      </c>
      <c r="AE393" s="25" t="s">
        <v>1253</v>
      </c>
      <c r="AF393" s="17" t="s">
        <v>1254</v>
      </c>
    </row>
    <row r="394" s="2" customFormat="1" ht="84" customHeight="1" spans="1:32">
      <c r="A394" s="13">
        <v>392</v>
      </c>
      <c r="B394" s="14" t="s">
        <v>1269</v>
      </c>
      <c r="C394" s="15" t="s">
        <v>1142</v>
      </c>
      <c r="D394" s="15" t="s">
        <v>1247</v>
      </c>
      <c r="E394" s="15" t="s">
        <v>1248</v>
      </c>
      <c r="F394" s="13" t="s">
        <v>81</v>
      </c>
      <c r="G394" s="16" t="s">
        <v>103</v>
      </c>
      <c r="H394" s="16" t="s">
        <v>86</v>
      </c>
      <c r="I394" s="167" t="s">
        <v>186</v>
      </c>
      <c r="J394" s="16" t="s">
        <v>1270</v>
      </c>
      <c r="K394" s="20" t="s">
        <v>39</v>
      </c>
      <c r="L394" s="21">
        <v>320000</v>
      </c>
      <c r="M394" s="102">
        <v>0.23</v>
      </c>
      <c r="N394" s="97" t="s">
        <v>39</v>
      </c>
      <c r="O394" s="169">
        <v>0.017</v>
      </c>
      <c r="P394" s="170">
        <v>1000</v>
      </c>
      <c r="Q394" s="102" t="s">
        <v>39</v>
      </c>
      <c r="R394" s="102" t="s">
        <v>39</v>
      </c>
      <c r="S394" s="97" t="s">
        <v>39</v>
      </c>
      <c r="T394" s="102">
        <v>0.03</v>
      </c>
      <c r="U394" s="149" t="s">
        <v>39</v>
      </c>
      <c r="V394" s="171" t="s">
        <v>39</v>
      </c>
      <c r="W394" s="97">
        <v>0.1</v>
      </c>
      <c r="X394" s="85" t="s">
        <v>39</v>
      </c>
      <c r="Y394" s="85" t="s">
        <v>39</v>
      </c>
      <c r="Z394" s="85" t="s">
        <v>39</v>
      </c>
      <c r="AA394" s="85" t="s">
        <v>39</v>
      </c>
      <c r="AB394" s="22" t="s">
        <v>39</v>
      </c>
      <c r="AC394" s="18" t="s">
        <v>39</v>
      </c>
      <c r="AD394" s="148" t="s">
        <v>1252</v>
      </c>
      <c r="AE394" s="25" t="s">
        <v>1253</v>
      </c>
      <c r="AF394" s="60" t="s">
        <v>1271</v>
      </c>
    </row>
    <row r="395" s="2" customFormat="1" ht="48" customHeight="1" spans="1:32">
      <c r="A395" s="13">
        <v>393</v>
      </c>
      <c r="B395" s="14" t="s">
        <v>1272</v>
      </c>
      <c r="C395" s="15" t="s">
        <v>1142</v>
      </c>
      <c r="D395" s="15" t="s">
        <v>1247</v>
      </c>
      <c r="E395" s="15" t="s">
        <v>1248</v>
      </c>
      <c r="F395" s="13" t="s">
        <v>81</v>
      </c>
      <c r="G395" s="16" t="s">
        <v>103</v>
      </c>
      <c r="H395" s="16" t="s">
        <v>272</v>
      </c>
      <c r="I395" s="167" t="s">
        <v>198</v>
      </c>
      <c r="J395" s="16" t="s">
        <v>1273</v>
      </c>
      <c r="K395" s="20" t="s">
        <v>39</v>
      </c>
      <c r="L395" s="21">
        <v>240000</v>
      </c>
      <c r="M395" s="102">
        <v>0.23</v>
      </c>
      <c r="N395" s="97" t="s">
        <v>39</v>
      </c>
      <c r="O395" s="169">
        <v>0.017</v>
      </c>
      <c r="P395" s="170">
        <v>1000</v>
      </c>
      <c r="Q395" s="102" t="s">
        <v>39</v>
      </c>
      <c r="R395" s="102" t="s">
        <v>39</v>
      </c>
      <c r="S395" s="97" t="s">
        <v>39</v>
      </c>
      <c r="T395" s="102">
        <v>0.03</v>
      </c>
      <c r="U395" s="149" t="s">
        <v>39</v>
      </c>
      <c r="V395" s="171" t="s">
        <v>39</v>
      </c>
      <c r="W395" s="97">
        <v>0.1</v>
      </c>
      <c r="X395" s="85" t="s">
        <v>39</v>
      </c>
      <c r="Y395" s="85" t="s">
        <v>39</v>
      </c>
      <c r="Z395" s="85" t="s">
        <v>39</v>
      </c>
      <c r="AA395" s="85" t="s">
        <v>39</v>
      </c>
      <c r="AB395" s="22" t="s">
        <v>39</v>
      </c>
      <c r="AC395" s="18" t="s">
        <v>39</v>
      </c>
      <c r="AD395" s="148" t="s">
        <v>1274</v>
      </c>
      <c r="AE395" s="25" t="s">
        <v>1253</v>
      </c>
      <c r="AF395" s="17"/>
    </row>
    <row r="396" s="2" customFormat="1" ht="48" customHeight="1" spans="1:32">
      <c r="A396" s="13">
        <v>394</v>
      </c>
      <c r="B396" s="14" t="s">
        <v>1275</v>
      </c>
      <c r="C396" s="15" t="s">
        <v>1142</v>
      </c>
      <c r="D396" s="15" t="s">
        <v>1247</v>
      </c>
      <c r="E396" s="15" t="s">
        <v>1248</v>
      </c>
      <c r="F396" s="13" t="s">
        <v>81</v>
      </c>
      <c r="G396" s="16" t="s">
        <v>103</v>
      </c>
      <c r="H396" s="16" t="s">
        <v>276</v>
      </c>
      <c r="I396" s="167" t="s">
        <v>530</v>
      </c>
      <c r="J396" s="16" t="s">
        <v>1276</v>
      </c>
      <c r="K396" s="20" t="s">
        <v>39</v>
      </c>
      <c r="L396" s="21">
        <v>320000</v>
      </c>
      <c r="M396" s="102">
        <v>0.23</v>
      </c>
      <c r="N396" s="97" t="s">
        <v>39</v>
      </c>
      <c r="O396" s="169">
        <v>0.017</v>
      </c>
      <c r="P396" s="170">
        <v>1000</v>
      </c>
      <c r="Q396" s="102" t="s">
        <v>39</v>
      </c>
      <c r="R396" s="102" t="s">
        <v>39</v>
      </c>
      <c r="S396" s="97" t="s">
        <v>39</v>
      </c>
      <c r="T396" s="102">
        <v>0.03</v>
      </c>
      <c r="U396" s="149" t="s">
        <v>39</v>
      </c>
      <c r="V396" s="171" t="s">
        <v>39</v>
      </c>
      <c r="W396" s="97">
        <v>0.1</v>
      </c>
      <c r="X396" s="85" t="s">
        <v>39</v>
      </c>
      <c r="Y396" s="85" t="s">
        <v>39</v>
      </c>
      <c r="Z396" s="85" t="s">
        <v>39</v>
      </c>
      <c r="AA396" s="85" t="s">
        <v>39</v>
      </c>
      <c r="AB396" s="22" t="s">
        <v>39</v>
      </c>
      <c r="AC396" s="18" t="s">
        <v>39</v>
      </c>
      <c r="AD396" s="148" t="s">
        <v>1252</v>
      </c>
      <c r="AE396" s="25" t="s">
        <v>1253</v>
      </c>
      <c r="AF396" s="17"/>
    </row>
    <row r="397" s="2" customFormat="1" ht="48" customHeight="1" spans="1:32">
      <c r="A397" s="13">
        <v>395</v>
      </c>
      <c r="B397" s="14" t="s">
        <v>1277</v>
      </c>
      <c r="C397" s="15" t="s">
        <v>1142</v>
      </c>
      <c r="D397" s="15" t="s">
        <v>1247</v>
      </c>
      <c r="E397" s="15" t="s">
        <v>1248</v>
      </c>
      <c r="F397" s="13" t="s">
        <v>81</v>
      </c>
      <c r="G397" s="16" t="s">
        <v>103</v>
      </c>
      <c r="H397" s="16" t="s">
        <v>280</v>
      </c>
      <c r="I397" s="167" t="s">
        <v>618</v>
      </c>
      <c r="J397" s="16" t="s">
        <v>1278</v>
      </c>
      <c r="K397" s="20" t="s">
        <v>39</v>
      </c>
      <c r="L397" s="21">
        <v>240000</v>
      </c>
      <c r="M397" s="102">
        <v>0.23</v>
      </c>
      <c r="N397" s="97" t="s">
        <v>39</v>
      </c>
      <c r="O397" s="169">
        <v>0.017</v>
      </c>
      <c r="P397" s="170">
        <v>1000</v>
      </c>
      <c r="Q397" s="102" t="s">
        <v>39</v>
      </c>
      <c r="R397" s="102" t="s">
        <v>39</v>
      </c>
      <c r="S397" s="97" t="s">
        <v>39</v>
      </c>
      <c r="T397" s="102">
        <v>0.03</v>
      </c>
      <c r="U397" s="149" t="s">
        <v>39</v>
      </c>
      <c r="V397" s="171" t="s">
        <v>39</v>
      </c>
      <c r="W397" s="97">
        <v>0.1</v>
      </c>
      <c r="X397" s="85" t="s">
        <v>39</v>
      </c>
      <c r="Y397" s="85" t="s">
        <v>39</v>
      </c>
      <c r="Z397" s="85" t="s">
        <v>39</v>
      </c>
      <c r="AA397" s="85" t="s">
        <v>39</v>
      </c>
      <c r="AB397" s="22" t="s">
        <v>39</v>
      </c>
      <c r="AC397" s="18" t="s">
        <v>39</v>
      </c>
      <c r="AD397" s="148" t="s">
        <v>1279</v>
      </c>
      <c r="AE397" s="25" t="s">
        <v>1253</v>
      </c>
      <c r="AF397" s="60" t="s">
        <v>1261</v>
      </c>
    </row>
    <row r="398" s="2" customFormat="1" ht="48" customHeight="1" spans="1:32">
      <c r="A398" s="13">
        <v>396</v>
      </c>
      <c r="B398" s="14" t="s">
        <v>1280</v>
      </c>
      <c r="C398" s="15" t="s">
        <v>1142</v>
      </c>
      <c r="D398" s="15" t="s">
        <v>1247</v>
      </c>
      <c r="E398" s="15" t="s">
        <v>1248</v>
      </c>
      <c r="F398" s="13" t="s">
        <v>81</v>
      </c>
      <c r="G398" s="16" t="s">
        <v>103</v>
      </c>
      <c r="H398" s="16" t="s">
        <v>284</v>
      </c>
      <c r="I398" s="167" t="s">
        <v>723</v>
      </c>
      <c r="J398" s="16" t="s">
        <v>1281</v>
      </c>
      <c r="K398" s="20" t="s">
        <v>39</v>
      </c>
      <c r="L398" s="21">
        <v>400000</v>
      </c>
      <c r="M398" s="22">
        <v>0.23</v>
      </c>
      <c r="N398" s="20" t="s">
        <v>39</v>
      </c>
      <c r="O398" s="117">
        <v>0.017</v>
      </c>
      <c r="P398" s="172">
        <v>1000</v>
      </c>
      <c r="Q398" s="22" t="s">
        <v>39</v>
      </c>
      <c r="R398" s="22" t="s">
        <v>39</v>
      </c>
      <c r="S398" s="20" t="s">
        <v>39</v>
      </c>
      <c r="T398" s="22">
        <v>0.03</v>
      </c>
      <c r="U398" s="116" t="s">
        <v>39</v>
      </c>
      <c r="V398" s="26" t="s">
        <v>39</v>
      </c>
      <c r="W398" s="47"/>
      <c r="X398" s="24" t="s">
        <v>39</v>
      </c>
      <c r="Y398" s="24" t="s">
        <v>39</v>
      </c>
      <c r="Z398" s="24" t="s">
        <v>39</v>
      </c>
      <c r="AA398" s="24" t="s">
        <v>39</v>
      </c>
      <c r="AB398" s="22" t="s">
        <v>39</v>
      </c>
      <c r="AC398" s="18" t="s">
        <v>39</v>
      </c>
      <c r="AD398" s="48" t="s">
        <v>1252</v>
      </c>
      <c r="AE398" s="25" t="s">
        <v>1253</v>
      </c>
      <c r="AF398" s="206"/>
    </row>
    <row r="399" s="2" customFormat="1" ht="48" customHeight="1" spans="1:32">
      <c r="A399" s="13">
        <v>397</v>
      </c>
      <c r="B399" s="14" t="s">
        <v>1282</v>
      </c>
      <c r="C399" s="15" t="s">
        <v>1142</v>
      </c>
      <c r="D399" s="15" t="s">
        <v>1247</v>
      </c>
      <c r="E399" s="15" t="s">
        <v>1248</v>
      </c>
      <c r="F399" s="13" t="s">
        <v>81</v>
      </c>
      <c r="G399" s="16" t="s">
        <v>103</v>
      </c>
      <c r="H399" s="16" t="s">
        <v>322</v>
      </c>
      <c r="I399" s="167" t="s">
        <v>1283</v>
      </c>
      <c r="J399" s="16" t="s">
        <v>1284</v>
      </c>
      <c r="K399" s="20" t="s">
        <v>39</v>
      </c>
      <c r="L399" s="21">
        <v>240000</v>
      </c>
      <c r="M399" s="22">
        <v>0.23</v>
      </c>
      <c r="N399" s="20" t="s">
        <v>39</v>
      </c>
      <c r="O399" s="117">
        <v>0.017</v>
      </c>
      <c r="P399" s="172">
        <v>1000</v>
      </c>
      <c r="Q399" s="22" t="s">
        <v>39</v>
      </c>
      <c r="R399" s="22" t="s">
        <v>39</v>
      </c>
      <c r="S399" s="20" t="s">
        <v>39</v>
      </c>
      <c r="T399" s="22">
        <v>0.03</v>
      </c>
      <c r="U399" s="116" t="s">
        <v>39</v>
      </c>
      <c r="V399" s="26" t="s">
        <v>39</v>
      </c>
      <c r="W399" s="47"/>
      <c r="X399" s="24" t="s">
        <v>39</v>
      </c>
      <c r="Y399" s="24" t="s">
        <v>39</v>
      </c>
      <c r="Z399" s="24" t="s">
        <v>39</v>
      </c>
      <c r="AA399" s="24" t="s">
        <v>39</v>
      </c>
      <c r="AB399" s="22" t="s">
        <v>39</v>
      </c>
      <c r="AC399" s="18" t="s">
        <v>39</v>
      </c>
      <c r="AD399" s="48" t="s">
        <v>1252</v>
      </c>
      <c r="AE399" s="25" t="s">
        <v>1253</v>
      </c>
      <c r="AF399" s="60" t="s">
        <v>1261</v>
      </c>
    </row>
    <row r="400" s="2" customFormat="1" ht="72" customHeight="1" spans="1:32">
      <c r="A400" s="13">
        <v>398</v>
      </c>
      <c r="B400" s="14" t="s">
        <v>1285</v>
      </c>
      <c r="C400" s="15" t="s">
        <v>1142</v>
      </c>
      <c r="D400" s="15" t="s">
        <v>1247</v>
      </c>
      <c r="E400" s="15" t="s">
        <v>1248</v>
      </c>
      <c r="F400" s="13" t="s">
        <v>81</v>
      </c>
      <c r="G400" s="16" t="s">
        <v>103</v>
      </c>
      <c r="H400" s="16" t="s">
        <v>329</v>
      </c>
      <c r="I400" s="167" t="s">
        <v>1286</v>
      </c>
      <c r="J400" s="16" t="s">
        <v>1287</v>
      </c>
      <c r="K400" s="20" t="s">
        <v>39</v>
      </c>
      <c r="L400" s="21">
        <v>80000</v>
      </c>
      <c r="M400" s="22">
        <v>0.07</v>
      </c>
      <c r="N400" s="20" t="s">
        <v>39</v>
      </c>
      <c r="O400" s="117">
        <v>0.017</v>
      </c>
      <c r="P400" s="20" t="s">
        <v>39</v>
      </c>
      <c r="Q400" s="22" t="s">
        <v>39</v>
      </c>
      <c r="R400" s="22" t="s">
        <v>39</v>
      </c>
      <c r="S400" s="20" t="s">
        <v>39</v>
      </c>
      <c r="T400" s="22">
        <v>0.03</v>
      </c>
      <c r="U400" s="116" t="s">
        <v>39</v>
      </c>
      <c r="V400" s="26" t="s">
        <v>39</v>
      </c>
      <c r="W400" s="47"/>
      <c r="X400" s="24" t="s">
        <v>39</v>
      </c>
      <c r="Y400" s="24" t="s">
        <v>39</v>
      </c>
      <c r="Z400" s="24" t="s">
        <v>39</v>
      </c>
      <c r="AA400" s="24" t="s">
        <v>39</v>
      </c>
      <c r="AB400" s="22" t="s">
        <v>39</v>
      </c>
      <c r="AC400" s="18" t="s">
        <v>39</v>
      </c>
      <c r="AD400" s="48" t="s">
        <v>1288</v>
      </c>
      <c r="AE400" s="25" t="s">
        <v>1253</v>
      </c>
      <c r="AF400" s="60" t="s">
        <v>1261</v>
      </c>
    </row>
    <row r="401" s="2" customFormat="1" ht="12" customHeight="1" spans="1:32">
      <c r="A401" s="13">
        <v>399</v>
      </c>
      <c r="B401" s="14" t="s">
        <v>1289</v>
      </c>
      <c r="C401" s="15" t="s">
        <v>1142</v>
      </c>
      <c r="D401" s="173" t="s">
        <v>1290</v>
      </c>
      <c r="E401" s="15" t="s">
        <v>1291</v>
      </c>
      <c r="F401" s="13" t="s">
        <v>37</v>
      </c>
      <c r="G401" s="16" t="s">
        <v>103</v>
      </c>
      <c r="H401" s="16" t="s">
        <v>39</v>
      </c>
      <c r="I401" s="167" t="s">
        <v>39</v>
      </c>
      <c r="J401" s="16" t="s">
        <v>39</v>
      </c>
      <c r="K401" s="20" t="s">
        <v>39</v>
      </c>
      <c r="L401" s="21">
        <v>2125000</v>
      </c>
      <c r="M401" s="20" t="s">
        <v>39</v>
      </c>
      <c r="N401" s="20" t="s">
        <v>39</v>
      </c>
      <c r="O401" s="20" t="s">
        <v>39</v>
      </c>
      <c r="P401" s="20" t="s">
        <v>39</v>
      </c>
      <c r="Q401" s="20" t="s">
        <v>39</v>
      </c>
      <c r="R401" s="20" t="s">
        <v>39</v>
      </c>
      <c r="S401" s="20" t="s">
        <v>39</v>
      </c>
      <c r="T401" s="20" t="s">
        <v>39</v>
      </c>
      <c r="U401" s="20" t="s">
        <v>39</v>
      </c>
      <c r="V401" s="20" t="s">
        <v>39</v>
      </c>
      <c r="W401" s="55" t="s">
        <v>39</v>
      </c>
      <c r="X401" s="55" t="s">
        <v>39</v>
      </c>
      <c r="Y401" s="24" t="s">
        <v>39</v>
      </c>
      <c r="Z401" s="24" t="s">
        <v>39</v>
      </c>
      <c r="AA401" s="24" t="s">
        <v>39</v>
      </c>
      <c r="AB401" s="174">
        <v>100000</v>
      </c>
      <c r="AC401" s="46" t="s">
        <v>39</v>
      </c>
      <c r="AD401" s="17" t="s">
        <v>439</v>
      </c>
      <c r="AE401" s="25"/>
      <c r="AF401" s="206"/>
    </row>
    <row r="402" s="2" customFormat="1" ht="12" customHeight="1" spans="1:32">
      <c r="A402" s="13">
        <v>400</v>
      </c>
      <c r="B402" s="14" t="s">
        <v>1292</v>
      </c>
      <c r="C402" s="15" t="s">
        <v>1142</v>
      </c>
      <c r="D402" s="15" t="s">
        <v>1293</v>
      </c>
      <c r="E402" s="15" t="s">
        <v>1294</v>
      </c>
      <c r="F402" s="13" t="s">
        <v>37</v>
      </c>
      <c r="G402" s="16" t="s">
        <v>103</v>
      </c>
      <c r="H402" s="16" t="s">
        <v>39</v>
      </c>
      <c r="I402" s="167" t="s">
        <v>39</v>
      </c>
      <c r="J402" s="16" t="s">
        <v>39</v>
      </c>
      <c r="K402" s="20" t="s">
        <v>39</v>
      </c>
      <c r="L402" s="21">
        <v>2992000</v>
      </c>
      <c r="M402" s="20" t="s">
        <v>39</v>
      </c>
      <c r="N402" s="20" t="s">
        <v>39</v>
      </c>
      <c r="O402" s="23">
        <v>0.02</v>
      </c>
      <c r="P402" s="20" t="s">
        <v>39</v>
      </c>
      <c r="Q402" s="20" t="s">
        <v>39</v>
      </c>
      <c r="R402" s="20" t="s">
        <v>39</v>
      </c>
      <c r="S402" s="20" t="s">
        <v>39</v>
      </c>
      <c r="T402" s="20" t="s">
        <v>39</v>
      </c>
      <c r="U402" s="20" t="s">
        <v>39</v>
      </c>
      <c r="V402" s="20" t="s">
        <v>39</v>
      </c>
      <c r="W402" s="47"/>
      <c r="X402" s="24" t="s">
        <v>39</v>
      </c>
      <c r="Y402" s="24" t="s">
        <v>39</v>
      </c>
      <c r="Z402" s="24" t="s">
        <v>39</v>
      </c>
      <c r="AA402" s="24" t="s">
        <v>39</v>
      </c>
      <c r="AB402" s="46">
        <v>0.035</v>
      </c>
      <c r="AC402" s="46" t="s">
        <v>39</v>
      </c>
      <c r="AD402" s="17"/>
      <c r="AE402" s="25"/>
      <c r="AF402" s="206"/>
    </row>
    <row r="403" s="2" customFormat="1" ht="12" customHeight="1" spans="1:32">
      <c r="A403" s="13">
        <v>401</v>
      </c>
      <c r="B403" s="14" t="s">
        <v>1295</v>
      </c>
      <c r="C403" s="15" t="s">
        <v>1142</v>
      </c>
      <c r="D403" s="15" t="s">
        <v>1296</v>
      </c>
      <c r="E403" s="15" t="s">
        <v>1297</v>
      </c>
      <c r="F403" s="13" t="s">
        <v>53</v>
      </c>
      <c r="G403" s="16" t="s">
        <v>578</v>
      </c>
      <c r="H403" s="16" t="s">
        <v>39</v>
      </c>
      <c r="I403" s="167" t="s">
        <v>39</v>
      </c>
      <c r="J403" s="16" t="s">
        <v>39</v>
      </c>
      <c r="K403" s="20" t="s">
        <v>39</v>
      </c>
      <c r="L403" s="175">
        <v>2084000</v>
      </c>
      <c r="M403" s="116" t="s">
        <v>39</v>
      </c>
      <c r="N403" s="24" t="s">
        <v>39</v>
      </c>
      <c r="O403" s="24" t="s">
        <v>39</v>
      </c>
      <c r="P403" s="24" t="s">
        <v>39</v>
      </c>
      <c r="Q403" s="24" t="s">
        <v>39</v>
      </c>
      <c r="R403" s="24" t="s">
        <v>39</v>
      </c>
      <c r="S403" s="24" t="s">
        <v>39</v>
      </c>
      <c r="T403" s="22" t="s">
        <v>39</v>
      </c>
      <c r="U403" s="116" t="s">
        <v>39</v>
      </c>
      <c r="V403" s="24" t="s">
        <v>39</v>
      </c>
      <c r="W403" s="18" t="s">
        <v>39</v>
      </c>
      <c r="X403" s="55" t="s">
        <v>39</v>
      </c>
      <c r="Y403" s="55" t="s">
        <v>39</v>
      </c>
      <c r="Z403" s="55" t="s">
        <v>39</v>
      </c>
      <c r="AA403" s="55" t="s">
        <v>39</v>
      </c>
      <c r="AB403" s="51">
        <v>0.08</v>
      </c>
      <c r="AC403" s="46" t="s">
        <v>39</v>
      </c>
      <c r="AD403" s="17"/>
      <c r="AE403" s="25"/>
      <c r="AF403" s="206"/>
    </row>
    <row r="404" s="2" customFormat="1" ht="12" customHeight="1" spans="1:32">
      <c r="A404" s="13">
        <v>402</v>
      </c>
      <c r="B404" s="14" t="s">
        <v>1298</v>
      </c>
      <c r="C404" s="15" t="s">
        <v>1142</v>
      </c>
      <c r="D404" s="15" t="s">
        <v>1299</v>
      </c>
      <c r="E404" s="15" t="s">
        <v>1300</v>
      </c>
      <c r="F404" s="13" t="s">
        <v>37</v>
      </c>
      <c r="G404" s="16" t="s">
        <v>38</v>
      </c>
      <c r="H404" s="16" t="s">
        <v>39</v>
      </c>
      <c r="I404" s="167" t="s">
        <v>39</v>
      </c>
      <c r="J404" s="16" t="s">
        <v>39</v>
      </c>
      <c r="K404" s="20" t="s">
        <v>39</v>
      </c>
      <c r="L404" s="21" t="s">
        <v>39</v>
      </c>
      <c r="M404" s="20" t="s">
        <v>39</v>
      </c>
      <c r="N404" s="20" t="s">
        <v>39</v>
      </c>
      <c r="O404" s="20" t="s">
        <v>39</v>
      </c>
      <c r="P404" s="20" t="s">
        <v>39</v>
      </c>
      <c r="Q404" s="20" t="s">
        <v>39</v>
      </c>
      <c r="R404" s="20" t="s">
        <v>39</v>
      </c>
      <c r="S404" s="20" t="s">
        <v>39</v>
      </c>
      <c r="T404" s="20" t="s">
        <v>39</v>
      </c>
      <c r="U404" s="20" t="s">
        <v>39</v>
      </c>
      <c r="V404" s="20" t="s">
        <v>39</v>
      </c>
      <c r="W404" s="44"/>
      <c r="X404" s="45" t="s">
        <v>39</v>
      </c>
      <c r="Y404" s="45" t="s">
        <v>39</v>
      </c>
      <c r="Z404" s="45" t="s">
        <v>39</v>
      </c>
      <c r="AA404" s="45" t="s">
        <v>39</v>
      </c>
      <c r="AB404" s="46">
        <v>0.045</v>
      </c>
      <c r="AC404" s="46">
        <v>0.005</v>
      </c>
      <c r="AD404" s="48" t="s">
        <v>1301</v>
      </c>
      <c r="AE404" s="25"/>
      <c r="AF404" s="206"/>
    </row>
    <row r="405" s="2" customFormat="1" ht="60" customHeight="1" spans="1:32">
      <c r="A405" s="13">
        <v>403</v>
      </c>
      <c r="B405" s="14" t="s">
        <v>1302</v>
      </c>
      <c r="C405" s="15" t="s">
        <v>1142</v>
      </c>
      <c r="D405" s="15" t="s">
        <v>1299</v>
      </c>
      <c r="E405" s="15" t="s">
        <v>1300</v>
      </c>
      <c r="F405" s="13" t="s">
        <v>81</v>
      </c>
      <c r="G405" s="16" t="s">
        <v>38</v>
      </c>
      <c r="H405" s="16" t="s">
        <v>60</v>
      </c>
      <c r="I405" s="167" t="s">
        <v>1303</v>
      </c>
      <c r="J405" s="16" t="s">
        <v>1304</v>
      </c>
      <c r="K405" s="20" t="s">
        <v>39</v>
      </c>
      <c r="L405" s="21">
        <v>340000</v>
      </c>
      <c r="M405" s="20">
        <v>0.27</v>
      </c>
      <c r="N405" s="20" t="s">
        <v>39</v>
      </c>
      <c r="O405" s="20" t="s">
        <v>39</v>
      </c>
      <c r="P405" s="19" t="s">
        <v>39</v>
      </c>
      <c r="Q405" s="20" t="s">
        <v>39</v>
      </c>
      <c r="R405" s="19" t="s">
        <v>39</v>
      </c>
      <c r="S405" s="20" t="s">
        <v>39</v>
      </c>
      <c r="T405" s="19" t="s">
        <v>39</v>
      </c>
      <c r="U405" s="19" t="s">
        <v>39</v>
      </c>
      <c r="V405" s="20" t="s">
        <v>39</v>
      </c>
      <c r="W405" s="20">
        <v>0.25</v>
      </c>
      <c r="X405" s="45" t="s">
        <v>39</v>
      </c>
      <c r="Y405" s="45" t="s">
        <v>39</v>
      </c>
      <c r="Z405" s="45" t="s">
        <v>39</v>
      </c>
      <c r="AA405" s="45" t="s">
        <v>39</v>
      </c>
      <c r="AB405" s="52" t="s">
        <v>39</v>
      </c>
      <c r="AC405" s="52" t="s">
        <v>39</v>
      </c>
      <c r="AD405" s="48" t="s">
        <v>1305</v>
      </c>
      <c r="AE405" s="25" t="s">
        <v>1306</v>
      </c>
      <c r="AF405" s="48" t="s">
        <v>1307</v>
      </c>
    </row>
    <row r="406" s="2" customFormat="1" ht="60" customHeight="1" spans="1:32">
      <c r="A406" s="13">
        <v>404</v>
      </c>
      <c r="B406" s="14" t="s">
        <v>1308</v>
      </c>
      <c r="C406" s="15" t="s">
        <v>1142</v>
      </c>
      <c r="D406" s="15" t="s">
        <v>1299</v>
      </c>
      <c r="E406" s="15" t="s">
        <v>1300</v>
      </c>
      <c r="F406" s="13" t="s">
        <v>81</v>
      </c>
      <c r="G406" s="16" t="s">
        <v>38</v>
      </c>
      <c r="H406" s="16" t="s">
        <v>66</v>
      </c>
      <c r="I406" s="167" t="s">
        <v>1309</v>
      </c>
      <c r="J406" s="16" t="s">
        <v>1310</v>
      </c>
      <c r="K406" s="20" t="s">
        <v>39</v>
      </c>
      <c r="L406" s="21">
        <v>296000</v>
      </c>
      <c r="M406" s="20">
        <v>0.19</v>
      </c>
      <c r="N406" s="20" t="s">
        <v>39</v>
      </c>
      <c r="O406" s="20" t="s">
        <v>39</v>
      </c>
      <c r="P406" s="19" t="s">
        <v>39</v>
      </c>
      <c r="Q406" s="20" t="s">
        <v>39</v>
      </c>
      <c r="R406" s="19" t="s">
        <v>39</v>
      </c>
      <c r="S406" s="20" t="s">
        <v>39</v>
      </c>
      <c r="T406" s="22">
        <v>0.035</v>
      </c>
      <c r="U406" s="20"/>
      <c r="V406" s="20" t="s">
        <v>39</v>
      </c>
      <c r="W406" s="20">
        <v>0.2</v>
      </c>
      <c r="X406" s="45" t="s">
        <v>39</v>
      </c>
      <c r="Y406" s="45" t="s">
        <v>39</v>
      </c>
      <c r="Z406" s="45" t="s">
        <v>39</v>
      </c>
      <c r="AA406" s="45" t="s">
        <v>39</v>
      </c>
      <c r="AB406" s="52" t="s">
        <v>39</v>
      </c>
      <c r="AC406" s="52" t="s">
        <v>39</v>
      </c>
      <c r="AD406" s="48" t="s">
        <v>1305</v>
      </c>
      <c r="AE406" s="25" t="s">
        <v>1306</v>
      </c>
      <c r="AF406" s="48" t="s">
        <v>1311</v>
      </c>
    </row>
    <row r="407" s="2" customFormat="1" ht="60" customHeight="1" spans="1:32">
      <c r="A407" s="13">
        <v>405</v>
      </c>
      <c r="B407" s="14" t="s">
        <v>1312</v>
      </c>
      <c r="C407" s="15" t="s">
        <v>1142</v>
      </c>
      <c r="D407" s="15" t="s">
        <v>1299</v>
      </c>
      <c r="E407" s="15" t="s">
        <v>1300</v>
      </c>
      <c r="F407" s="13" t="s">
        <v>81</v>
      </c>
      <c r="G407" s="16" t="s">
        <v>38</v>
      </c>
      <c r="H407" s="16" t="s">
        <v>70</v>
      </c>
      <c r="I407" s="167" t="s">
        <v>339</v>
      </c>
      <c r="J407" s="16" t="s">
        <v>1313</v>
      </c>
      <c r="K407" s="20" t="s">
        <v>39</v>
      </c>
      <c r="L407" s="21">
        <v>1440000</v>
      </c>
      <c r="M407" s="22">
        <v>0.235</v>
      </c>
      <c r="N407" s="20" t="s">
        <v>39</v>
      </c>
      <c r="O407" s="20" t="s">
        <v>39</v>
      </c>
      <c r="P407" s="19" t="s">
        <v>39</v>
      </c>
      <c r="Q407" s="20" t="s">
        <v>39</v>
      </c>
      <c r="R407" s="19" t="s">
        <v>39</v>
      </c>
      <c r="S407" s="20" t="s">
        <v>39</v>
      </c>
      <c r="T407" s="19" t="s">
        <v>39</v>
      </c>
      <c r="U407" s="19" t="s">
        <v>39</v>
      </c>
      <c r="V407" s="20" t="s">
        <v>39</v>
      </c>
      <c r="W407" s="20">
        <v>0.43</v>
      </c>
      <c r="X407" s="45" t="s">
        <v>39</v>
      </c>
      <c r="Y407" s="45" t="s">
        <v>39</v>
      </c>
      <c r="Z407" s="45" t="s">
        <v>39</v>
      </c>
      <c r="AA407" s="45" t="s">
        <v>39</v>
      </c>
      <c r="AB407" s="52" t="s">
        <v>39</v>
      </c>
      <c r="AC407" s="52" t="s">
        <v>39</v>
      </c>
      <c r="AD407" s="48" t="s">
        <v>1305</v>
      </c>
      <c r="AE407" s="25" t="s">
        <v>1306</v>
      </c>
      <c r="AF407" s="48" t="s">
        <v>1314</v>
      </c>
    </row>
    <row r="408" s="2" customFormat="1" ht="60" customHeight="1" spans="1:32">
      <c r="A408" s="13">
        <v>406</v>
      </c>
      <c r="B408" s="14" t="s">
        <v>1315</v>
      </c>
      <c r="C408" s="15" t="s">
        <v>1142</v>
      </c>
      <c r="D408" s="15" t="s">
        <v>1299</v>
      </c>
      <c r="E408" s="15" t="s">
        <v>1300</v>
      </c>
      <c r="F408" s="13" t="s">
        <v>81</v>
      </c>
      <c r="G408" s="16" t="s">
        <v>38</v>
      </c>
      <c r="H408" s="16" t="s">
        <v>74</v>
      </c>
      <c r="I408" s="167" t="s">
        <v>98</v>
      </c>
      <c r="J408" s="16" t="s">
        <v>1316</v>
      </c>
      <c r="K408" s="20" t="s">
        <v>39</v>
      </c>
      <c r="L408" s="21">
        <v>800000</v>
      </c>
      <c r="M408" s="20">
        <v>0.19</v>
      </c>
      <c r="N408" s="20" t="s">
        <v>39</v>
      </c>
      <c r="O408" s="20" t="s">
        <v>39</v>
      </c>
      <c r="P408" s="19" t="s">
        <v>39</v>
      </c>
      <c r="Q408" s="20" t="s">
        <v>39</v>
      </c>
      <c r="R408" s="19" t="s">
        <v>39</v>
      </c>
      <c r="S408" s="20" t="s">
        <v>39</v>
      </c>
      <c r="T408" s="22">
        <v>0.035</v>
      </c>
      <c r="U408" s="20"/>
      <c r="V408" s="20" t="s">
        <v>39</v>
      </c>
      <c r="W408" s="20">
        <v>0.2</v>
      </c>
      <c r="X408" s="45" t="s">
        <v>39</v>
      </c>
      <c r="Y408" s="45" t="s">
        <v>39</v>
      </c>
      <c r="Z408" s="45" t="s">
        <v>39</v>
      </c>
      <c r="AA408" s="45" t="s">
        <v>39</v>
      </c>
      <c r="AB408" s="52" t="s">
        <v>39</v>
      </c>
      <c r="AC408" s="52" t="s">
        <v>39</v>
      </c>
      <c r="AD408" s="48" t="s">
        <v>1305</v>
      </c>
      <c r="AE408" s="25" t="s">
        <v>1306</v>
      </c>
      <c r="AF408" s="48" t="s">
        <v>1311</v>
      </c>
    </row>
    <row r="409" s="2" customFormat="1" ht="60" customHeight="1" spans="1:32">
      <c r="A409" s="13">
        <v>407</v>
      </c>
      <c r="B409" s="14" t="s">
        <v>1317</v>
      </c>
      <c r="C409" s="15" t="s">
        <v>1142</v>
      </c>
      <c r="D409" s="15" t="s">
        <v>1299</v>
      </c>
      <c r="E409" s="15" t="s">
        <v>1300</v>
      </c>
      <c r="F409" s="13" t="s">
        <v>81</v>
      </c>
      <c r="G409" s="16" t="s">
        <v>38</v>
      </c>
      <c r="H409" s="16" t="s">
        <v>265</v>
      </c>
      <c r="I409" s="167" t="s">
        <v>198</v>
      </c>
      <c r="J409" s="16" t="s">
        <v>1318</v>
      </c>
      <c r="K409" s="20" t="s">
        <v>39</v>
      </c>
      <c r="L409" s="21">
        <v>290000</v>
      </c>
      <c r="M409" s="20">
        <v>0.19</v>
      </c>
      <c r="N409" s="20" t="s">
        <v>39</v>
      </c>
      <c r="O409" s="20" t="s">
        <v>39</v>
      </c>
      <c r="P409" s="19" t="s">
        <v>39</v>
      </c>
      <c r="Q409" s="20" t="s">
        <v>39</v>
      </c>
      <c r="R409" s="19" t="s">
        <v>39</v>
      </c>
      <c r="S409" s="20" t="s">
        <v>39</v>
      </c>
      <c r="T409" s="22">
        <v>0.035</v>
      </c>
      <c r="U409" s="20"/>
      <c r="V409" s="20" t="s">
        <v>39</v>
      </c>
      <c r="W409" s="20">
        <v>0.2</v>
      </c>
      <c r="X409" s="45" t="s">
        <v>39</v>
      </c>
      <c r="Y409" s="45" t="s">
        <v>39</v>
      </c>
      <c r="Z409" s="45" t="s">
        <v>39</v>
      </c>
      <c r="AA409" s="45" t="s">
        <v>39</v>
      </c>
      <c r="AB409" s="52" t="s">
        <v>39</v>
      </c>
      <c r="AC409" s="52" t="s">
        <v>39</v>
      </c>
      <c r="AD409" s="48" t="s">
        <v>1305</v>
      </c>
      <c r="AE409" s="25" t="s">
        <v>1306</v>
      </c>
      <c r="AF409" s="48" t="s">
        <v>1311</v>
      </c>
    </row>
    <row r="410" s="2" customFormat="1" ht="60" customHeight="1" spans="1:32">
      <c r="A410" s="13">
        <v>408</v>
      </c>
      <c r="B410" s="14" t="s">
        <v>1319</v>
      </c>
      <c r="C410" s="15" t="s">
        <v>1142</v>
      </c>
      <c r="D410" s="15" t="s">
        <v>1299</v>
      </c>
      <c r="E410" s="15" t="s">
        <v>1300</v>
      </c>
      <c r="F410" s="13" t="s">
        <v>81</v>
      </c>
      <c r="G410" s="16" t="s">
        <v>38</v>
      </c>
      <c r="H410" s="16" t="s">
        <v>86</v>
      </c>
      <c r="I410" s="167" t="s">
        <v>316</v>
      </c>
      <c r="J410" s="16" t="s">
        <v>1320</v>
      </c>
      <c r="K410" s="20" t="s">
        <v>39</v>
      </c>
      <c r="L410" s="21">
        <v>210000</v>
      </c>
      <c r="M410" s="20">
        <v>0.19</v>
      </c>
      <c r="N410" s="20" t="s">
        <v>39</v>
      </c>
      <c r="O410" s="20" t="s">
        <v>39</v>
      </c>
      <c r="P410" s="19" t="s">
        <v>39</v>
      </c>
      <c r="Q410" s="20" t="s">
        <v>39</v>
      </c>
      <c r="R410" s="19" t="s">
        <v>39</v>
      </c>
      <c r="S410" s="20" t="s">
        <v>39</v>
      </c>
      <c r="T410" s="22">
        <v>0.035</v>
      </c>
      <c r="U410" s="20"/>
      <c r="V410" s="20" t="s">
        <v>39</v>
      </c>
      <c r="W410" s="20">
        <v>0.2</v>
      </c>
      <c r="X410" s="45" t="s">
        <v>39</v>
      </c>
      <c r="Y410" s="45" t="s">
        <v>39</v>
      </c>
      <c r="Z410" s="45" t="s">
        <v>39</v>
      </c>
      <c r="AA410" s="45" t="s">
        <v>39</v>
      </c>
      <c r="AB410" s="52" t="s">
        <v>39</v>
      </c>
      <c r="AC410" s="52" t="s">
        <v>39</v>
      </c>
      <c r="AD410" s="48" t="s">
        <v>1305</v>
      </c>
      <c r="AE410" s="25" t="s">
        <v>1306</v>
      </c>
      <c r="AF410" s="48" t="s">
        <v>1311</v>
      </c>
    </row>
    <row r="411" s="2" customFormat="1" ht="60" customHeight="1" spans="1:32">
      <c r="A411" s="13">
        <v>409</v>
      </c>
      <c r="B411" s="14" t="s">
        <v>1321</v>
      </c>
      <c r="C411" s="15" t="s">
        <v>1142</v>
      </c>
      <c r="D411" s="15" t="s">
        <v>1299</v>
      </c>
      <c r="E411" s="15" t="s">
        <v>1300</v>
      </c>
      <c r="F411" s="13" t="s">
        <v>81</v>
      </c>
      <c r="G411" s="16" t="s">
        <v>38</v>
      </c>
      <c r="H411" s="16" t="s">
        <v>272</v>
      </c>
      <c r="I411" s="167" t="s">
        <v>1322</v>
      </c>
      <c r="J411" s="16" t="s">
        <v>1323</v>
      </c>
      <c r="K411" s="20" t="s">
        <v>39</v>
      </c>
      <c r="L411" s="21">
        <v>280000</v>
      </c>
      <c r="M411" s="20">
        <v>0.19</v>
      </c>
      <c r="N411" s="20" t="s">
        <v>39</v>
      </c>
      <c r="O411" s="20" t="s">
        <v>39</v>
      </c>
      <c r="P411" s="19" t="s">
        <v>39</v>
      </c>
      <c r="Q411" s="20" t="s">
        <v>39</v>
      </c>
      <c r="R411" s="19" t="s">
        <v>39</v>
      </c>
      <c r="S411" s="20" t="s">
        <v>39</v>
      </c>
      <c r="T411" s="22">
        <v>0.035</v>
      </c>
      <c r="U411" s="20"/>
      <c r="V411" s="20" t="s">
        <v>39</v>
      </c>
      <c r="W411" s="20">
        <v>0.2</v>
      </c>
      <c r="X411" s="45" t="s">
        <v>39</v>
      </c>
      <c r="Y411" s="45" t="s">
        <v>39</v>
      </c>
      <c r="Z411" s="45" t="s">
        <v>39</v>
      </c>
      <c r="AA411" s="45" t="s">
        <v>39</v>
      </c>
      <c r="AB411" s="52" t="s">
        <v>39</v>
      </c>
      <c r="AC411" s="52" t="s">
        <v>39</v>
      </c>
      <c r="AD411" s="48" t="s">
        <v>1305</v>
      </c>
      <c r="AE411" s="25" t="s">
        <v>1306</v>
      </c>
      <c r="AF411" s="48" t="s">
        <v>1311</v>
      </c>
    </row>
    <row r="412" s="2" customFormat="1" ht="60" customHeight="1" spans="1:32">
      <c r="A412" s="13">
        <v>410</v>
      </c>
      <c r="B412" s="14" t="s">
        <v>1324</v>
      </c>
      <c r="C412" s="15" t="s">
        <v>1142</v>
      </c>
      <c r="D412" s="15" t="s">
        <v>1299</v>
      </c>
      <c r="E412" s="15" t="s">
        <v>1300</v>
      </c>
      <c r="F412" s="13" t="s">
        <v>81</v>
      </c>
      <c r="G412" s="16" t="s">
        <v>38</v>
      </c>
      <c r="H412" s="16" t="s">
        <v>276</v>
      </c>
      <c r="I412" s="167" t="s">
        <v>1325</v>
      </c>
      <c r="J412" s="16" t="s">
        <v>1326</v>
      </c>
      <c r="K412" s="20" t="s">
        <v>39</v>
      </c>
      <c r="L412" s="21">
        <v>260000</v>
      </c>
      <c r="M412" s="20">
        <v>0.19</v>
      </c>
      <c r="N412" s="20" t="s">
        <v>39</v>
      </c>
      <c r="O412" s="20" t="s">
        <v>39</v>
      </c>
      <c r="P412" s="19" t="s">
        <v>39</v>
      </c>
      <c r="Q412" s="20" t="s">
        <v>39</v>
      </c>
      <c r="R412" s="19" t="s">
        <v>39</v>
      </c>
      <c r="S412" s="20" t="s">
        <v>39</v>
      </c>
      <c r="T412" s="26">
        <v>1500</v>
      </c>
      <c r="U412" s="20"/>
      <c r="V412" s="20" t="s">
        <v>39</v>
      </c>
      <c r="W412" s="20">
        <v>0.2</v>
      </c>
      <c r="X412" s="45" t="s">
        <v>39</v>
      </c>
      <c r="Y412" s="45" t="s">
        <v>39</v>
      </c>
      <c r="Z412" s="45" t="s">
        <v>39</v>
      </c>
      <c r="AA412" s="45" t="s">
        <v>39</v>
      </c>
      <c r="AB412" s="52" t="s">
        <v>39</v>
      </c>
      <c r="AC412" s="52" t="s">
        <v>39</v>
      </c>
      <c r="AD412" s="48" t="s">
        <v>1305</v>
      </c>
      <c r="AE412" s="25" t="s">
        <v>1306</v>
      </c>
      <c r="AF412" s="48" t="s">
        <v>1311</v>
      </c>
    </row>
    <row r="413" s="2" customFormat="1" ht="60" customHeight="1" spans="1:32">
      <c r="A413" s="13">
        <v>411</v>
      </c>
      <c r="B413" s="14" t="s">
        <v>1327</v>
      </c>
      <c r="C413" s="15" t="s">
        <v>1142</v>
      </c>
      <c r="D413" s="15" t="s">
        <v>1299</v>
      </c>
      <c r="E413" s="15" t="s">
        <v>1300</v>
      </c>
      <c r="F413" s="13" t="s">
        <v>81</v>
      </c>
      <c r="G413" s="16" t="s">
        <v>38</v>
      </c>
      <c r="H413" s="16" t="s">
        <v>280</v>
      </c>
      <c r="I413" s="167" t="s">
        <v>1328</v>
      </c>
      <c r="J413" s="16" t="s">
        <v>1329</v>
      </c>
      <c r="K413" s="20" t="s">
        <v>39</v>
      </c>
      <c r="L413" s="21">
        <v>320000</v>
      </c>
      <c r="M413" s="20">
        <v>0.18</v>
      </c>
      <c r="N413" s="20" t="s">
        <v>39</v>
      </c>
      <c r="O413" s="20" t="s">
        <v>39</v>
      </c>
      <c r="P413" s="19" t="s">
        <v>39</v>
      </c>
      <c r="Q413" s="20" t="s">
        <v>39</v>
      </c>
      <c r="R413" s="19" t="s">
        <v>39</v>
      </c>
      <c r="S413" s="20" t="s">
        <v>39</v>
      </c>
      <c r="T413" s="22">
        <v>0.03</v>
      </c>
      <c r="U413" s="20"/>
      <c r="V413" s="20" t="s">
        <v>39</v>
      </c>
      <c r="W413" s="20">
        <v>0.2</v>
      </c>
      <c r="X413" s="45" t="s">
        <v>39</v>
      </c>
      <c r="Y413" s="45" t="s">
        <v>39</v>
      </c>
      <c r="Z413" s="45" t="s">
        <v>39</v>
      </c>
      <c r="AA413" s="45" t="s">
        <v>39</v>
      </c>
      <c r="AB413" s="52" t="s">
        <v>39</v>
      </c>
      <c r="AC413" s="52" t="s">
        <v>39</v>
      </c>
      <c r="AD413" s="48" t="s">
        <v>1305</v>
      </c>
      <c r="AE413" s="25" t="s">
        <v>1306</v>
      </c>
      <c r="AF413" s="48" t="s">
        <v>1311</v>
      </c>
    </row>
    <row r="414" s="2" customFormat="1" ht="60" customHeight="1" spans="1:32">
      <c r="A414" s="13">
        <v>412</v>
      </c>
      <c r="B414" s="14" t="s">
        <v>1330</v>
      </c>
      <c r="C414" s="15" t="s">
        <v>1142</v>
      </c>
      <c r="D414" s="15" t="s">
        <v>1299</v>
      </c>
      <c r="E414" s="15" t="s">
        <v>1300</v>
      </c>
      <c r="F414" s="13" t="s">
        <v>81</v>
      </c>
      <c r="G414" s="16" t="s">
        <v>38</v>
      </c>
      <c r="H414" s="16" t="s">
        <v>284</v>
      </c>
      <c r="I414" s="167" t="s">
        <v>186</v>
      </c>
      <c r="J414" s="16" t="s">
        <v>1331</v>
      </c>
      <c r="K414" s="20" t="s">
        <v>39</v>
      </c>
      <c r="L414" s="21">
        <v>330000</v>
      </c>
      <c r="M414" s="20">
        <v>0.28</v>
      </c>
      <c r="N414" s="20" t="s">
        <v>39</v>
      </c>
      <c r="O414" s="20" t="s">
        <v>39</v>
      </c>
      <c r="P414" s="19" t="s">
        <v>39</v>
      </c>
      <c r="Q414" s="20" t="s">
        <v>39</v>
      </c>
      <c r="R414" s="19" t="s">
        <v>39</v>
      </c>
      <c r="S414" s="20" t="s">
        <v>39</v>
      </c>
      <c r="T414" s="19" t="s">
        <v>39</v>
      </c>
      <c r="U414" s="19" t="s">
        <v>39</v>
      </c>
      <c r="V414" s="20" t="s">
        <v>39</v>
      </c>
      <c r="W414" s="20">
        <v>0.2</v>
      </c>
      <c r="X414" s="45" t="s">
        <v>39</v>
      </c>
      <c r="Y414" s="45" t="s">
        <v>39</v>
      </c>
      <c r="Z414" s="45" t="s">
        <v>39</v>
      </c>
      <c r="AA414" s="45" t="s">
        <v>39</v>
      </c>
      <c r="AB414" s="52" t="s">
        <v>39</v>
      </c>
      <c r="AC414" s="52" t="s">
        <v>39</v>
      </c>
      <c r="AD414" s="48" t="s">
        <v>1305</v>
      </c>
      <c r="AE414" s="25" t="s">
        <v>1332</v>
      </c>
      <c r="AF414" s="48" t="s">
        <v>1311</v>
      </c>
    </row>
    <row r="415" s="2" customFormat="1" ht="60" customHeight="1" spans="1:32">
      <c r="A415" s="13">
        <v>413</v>
      </c>
      <c r="B415" s="14" t="s">
        <v>1333</v>
      </c>
      <c r="C415" s="15" t="s">
        <v>1142</v>
      </c>
      <c r="D415" s="15" t="s">
        <v>1299</v>
      </c>
      <c r="E415" s="15" t="s">
        <v>1300</v>
      </c>
      <c r="F415" s="13" t="s">
        <v>81</v>
      </c>
      <c r="G415" s="16" t="s">
        <v>38</v>
      </c>
      <c r="H415" s="16" t="s">
        <v>322</v>
      </c>
      <c r="I415" s="167" t="s">
        <v>723</v>
      </c>
      <c r="J415" s="16" t="s">
        <v>1334</v>
      </c>
      <c r="K415" s="20" t="s">
        <v>39</v>
      </c>
      <c r="L415" s="21">
        <v>280000</v>
      </c>
      <c r="M415" s="20">
        <v>0.19</v>
      </c>
      <c r="N415" s="20" t="s">
        <v>39</v>
      </c>
      <c r="O415" s="20" t="s">
        <v>39</v>
      </c>
      <c r="P415" s="19" t="s">
        <v>39</v>
      </c>
      <c r="Q415" s="20" t="s">
        <v>39</v>
      </c>
      <c r="R415" s="19" t="s">
        <v>39</v>
      </c>
      <c r="S415" s="20" t="s">
        <v>39</v>
      </c>
      <c r="T415" s="26">
        <v>1200</v>
      </c>
      <c r="U415" s="20"/>
      <c r="V415" s="20" t="s">
        <v>39</v>
      </c>
      <c r="W415" s="20">
        <v>0.2</v>
      </c>
      <c r="X415" s="45" t="s">
        <v>39</v>
      </c>
      <c r="Y415" s="45" t="s">
        <v>39</v>
      </c>
      <c r="Z415" s="45" t="s">
        <v>39</v>
      </c>
      <c r="AA415" s="45" t="s">
        <v>39</v>
      </c>
      <c r="AB415" s="52" t="s">
        <v>39</v>
      </c>
      <c r="AC415" s="52" t="s">
        <v>39</v>
      </c>
      <c r="AD415" s="48" t="s">
        <v>1305</v>
      </c>
      <c r="AE415" s="25" t="s">
        <v>1306</v>
      </c>
      <c r="AF415" s="48" t="s">
        <v>1311</v>
      </c>
    </row>
    <row r="416" s="2" customFormat="1" ht="60" customHeight="1" spans="1:32">
      <c r="A416" s="13">
        <v>414</v>
      </c>
      <c r="B416" s="14" t="s">
        <v>1335</v>
      </c>
      <c r="C416" s="15" t="s">
        <v>1142</v>
      </c>
      <c r="D416" s="15" t="s">
        <v>1299</v>
      </c>
      <c r="E416" s="15" t="s">
        <v>1300</v>
      </c>
      <c r="F416" s="13" t="s">
        <v>81</v>
      </c>
      <c r="G416" s="16" t="s">
        <v>38</v>
      </c>
      <c r="H416" s="16" t="s">
        <v>329</v>
      </c>
      <c r="I416" s="167" t="s">
        <v>1190</v>
      </c>
      <c r="J416" s="16" t="s">
        <v>1336</v>
      </c>
      <c r="K416" s="20" t="s">
        <v>39</v>
      </c>
      <c r="L416" s="21">
        <v>330000</v>
      </c>
      <c r="M416" s="22">
        <v>0.275</v>
      </c>
      <c r="N416" s="20" t="s">
        <v>39</v>
      </c>
      <c r="O416" s="20" t="s">
        <v>39</v>
      </c>
      <c r="P416" s="19" t="s">
        <v>39</v>
      </c>
      <c r="Q416" s="20" t="s">
        <v>39</v>
      </c>
      <c r="R416" s="19" t="s">
        <v>39</v>
      </c>
      <c r="S416" s="20" t="s">
        <v>39</v>
      </c>
      <c r="T416" s="19" t="s">
        <v>39</v>
      </c>
      <c r="U416" s="19" t="s">
        <v>39</v>
      </c>
      <c r="V416" s="20" t="s">
        <v>39</v>
      </c>
      <c r="W416" s="20">
        <v>0.2</v>
      </c>
      <c r="X416" s="176" t="s">
        <v>39</v>
      </c>
      <c r="Y416" s="176" t="s">
        <v>39</v>
      </c>
      <c r="Z416" s="176" t="s">
        <v>39</v>
      </c>
      <c r="AA416" s="176" t="s">
        <v>39</v>
      </c>
      <c r="AB416" s="52" t="s">
        <v>39</v>
      </c>
      <c r="AC416" s="52" t="s">
        <v>39</v>
      </c>
      <c r="AD416" s="48" t="s">
        <v>1305</v>
      </c>
      <c r="AE416" s="25" t="s">
        <v>1332</v>
      </c>
      <c r="AF416" s="48" t="s">
        <v>1311</v>
      </c>
    </row>
    <row r="417" s="2" customFormat="1" ht="60" customHeight="1" spans="1:32">
      <c r="A417" s="13">
        <v>415</v>
      </c>
      <c r="B417" s="14" t="s">
        <v>1337</v>
      </c>
      <c r="C417" s="15" t="s">
        <v>1142</v>
      </c>
      <c r="D417" s="15" t="s">
        <v>1299</v>
      </c>
      <c r="E417" s="15" t="s">
        <v>1300</v>
      </c>
      <c r="F417" s="13" t="s">
        <v>81</v>
      </c>
      <c r="G417" s="16" t="s">
        <v>38</v>
      </c>
      <c r="H417" s="16" t="s">
        <v>333</v>
      </c>
      <c r="I417" s="167" t="s">
        <v>1338</v>
      </c>
      <c r="J417" s="16" t="s">
        <v>1339</v>
      </c>
      <c r="K417" s="20" t="s">
        <v>39</v>
      </c>
      <c r="L417" s="21">
        <v>330000</v>
      </c>
      <c r="M417" s="20">
        <v>0.19</v>
      </c>
      <c r="N417" s="20" t="s">
        <v>39</v>
      </c>
      <c r="O417" s="20" t="s">
        <v>39</v>
      </c>
      <c r="P417" s="19" t="s">
        <v>39</v>
      </c>
      <c r="Q417" s="20" t="s">
        <v>39</v>
      </c>
      <c r="R417" s="19" t="s">
        <v>39</v>
      </c>
      <c r="S417" s="20" t="s">
        <v>39</v>
      </c>
      <c r="T417" s="22">
        <v>0.035</v>
      </c>
      <c r="U417" s="20"/>
      <c r="V417" s="20" t="s">
        <v>39</v>
      </c>
      <c r="W417" s="20">
        <v>0.2</v>
      </c>
      <c r="X417" s="45" t="s">
        <v>39</v>
      </c>
      <c r="Y417" s="45" t="s">
        <v>39</v>
      </c>
      <c r="Z417" s="45" t="s">
        <v>39</v>
      </c>
      <c r="AA417" s="45" t="s">
        <v>39</v>
      </c>
      <c r="AB417" s="52" t="s">
        <v>39</v>
      </c>
      <c r="AC417" s="52" t="s">
        <v>39</v>
      </c>
      <c r="AD417" s="48" t="s">
        <v>1305</v>
      </c>
      <c r="AE417" s="25" t="s">
        <v>1306</v>
      </c>
      <c r="AF417" s="48" t="s">
        <v>1311</v>
      </c>
    </row>
    <row r="418" s="2" customFormat="1" ht="12" customHeight="1" spans="1:32">
      <c r="A418" s="13">
        <v>416</v>
      </c>
      <c r="B418" s="14" t="s">
        <v>1340</v>
      </c>
      <c r="C418" s="15" t="s">
        <v>1142</v>
      </c>
      <c r="D418" s="15" t="s">
        <v>1341</v>
      </c>
      <c r="E418" s="15" t="s">
        <v>1342</v>
      </c>
      <c r="F418" s="13" t="s">
        <v>37</v>
      </c>
      <c r="G418" s="16" t="s">
        <v>38</v>
      </c>
      <c r="H418" s="16" t="s">
        <v>39</v>
      </c>
      <c r="I418" s="167" t="s">
        <v>39</v>
      </c>
      <c r="J418" s="16" t="s">
        <v>39</v>
      </c>
      <c r="K418" s="20" t="s">
        <v>39</v>
      </c>
      <c r="L418" s="21" t="s">
        <v>39</v>
      </c>
      <c r="M418" s="20" t="s">
        <v>39</v>
      </c>
      <c r="N418" s="20" t="s">
        <v>39</v>
      </c>
      <c r="O418" s="20" t="s">
        <v>39</v>
      </c>
      <c r="P418" s="20" t="s">
        <v>39</v>
      </c>
      <c r="Q418" s="20" t="s">
        <v>39</v>
      </c>
      <c r="R418" s="20" t="s">
        <v>39</v>
      </c>
      <c r="S418" s="20" t="s">
        <v>39</v>
      </c>
      <c r="T418" s="20" t="s">
        <v>39</v>
      </c>
      <c r="U418" s="20" t="s">
        <v>39</v>
      </c>
      <c r="V418" s="20" t="s">
        <v>39</v>
      </c>
      <c r="W418" s="44"/>
      <c r="X418" s="45" t="s">
        <v>39</v>
      </c>
      <c r="Y418" s="45" t="s">
        <v>39</v>
      </c>
      <c r="Z418" s="45" t="s">
        <v>39</v>
      </c>
      <c r="AA418" s="45" t="s">
        <v>39</v>
      </c>
      <c r="AB418" s="46">
        <v>0.05</v>
      </c>
      <c r="AC418" s="52" t="s">
        <v>39</v>
      </c>
      <c r="AD418" s="17"/>
      <c r="AE418" s="25"/>
      <c r="AF418" s="206"/>
    </row>
    <row r="419" s="2" customFormat="1" ht="24" customHeight="1" spans="1:32">
      <c r="A419" s="13">
        <v>417</v>
      </c>
      <c r="B419" s="14" t="s">
        <v>1343</v>
      </c>
      <c r="C419" s="15" t="s">
        <v>1142</v>
      </c>
      <c r="D419" s="15" t="s">
        <v>1341</v>
      </c>
      <c r="E419" s="15" t="s">
        <v>1342</v>
      </c>
      <c r="F419" s="13" t="s">
        <v>81</v>
      </c>
      <c r="G419" s="16" t="s">
        <v>38</v>
      </c>
      <c r="H419" s="18" t="s">
        <v>39</v>
      </c>
      <c r="I419" s="167" t="s">
        <v>1344</v>
      </c>
      <c r="J419" s="18" t="s">
        <v>1345</v>
      </c>
      <c r="K419" s="20" t="s">
        <v>39</v>
      </c>
      <c r="L419" s="21" t="s">
        <v>39</v>
      </c>
      <c r="M419" s="20">
        <v>0.06</v>
      </c>
      <c r="N419" s="20" t="s">
        <v>39</v>
      </c>
      <c r="O419" s="20"/>
      <c r="P419" s="20" t="s">
        <v>39</v>
      </c>
      <c r="Q419" s="20" t="s">
        <v>39</v>
      </c>
      <c r="R419" s="20" t="s">
        <v>39</v>
      </c>
      <c r="S419" s="20"/>
      <c r="T419" s="19"/>
      <c r="U419" s="19"/>
      <c r="V419" s="26"/>
      <c r="W419" s="44"/>
      <c r="X419" s="45" t="s">
        <v>39</v>
      </c>
      <c r="Y419" s="45" t="s">
        <v>39</v>
      </c>
      <c r="Z419" s="45" t="s">
        <v>39</v>
      </c>
      <c r="AA419" s="45" t="s">
        <v>39</v>
      </c>
      <c r="AB419" s="52" t="s">
        <v>39</v>
      </c>
      <c r="AC419" s="52" t="s">
        <v>39</v>
      </c>
      <c r="AD419" s="48" t="s">
        <v>1346</v>
      </c>
      <c r="AE419" s="25" t="s">
        <v>1347</v>
      </c>
      <c r="AF419" s="17" t="s">
        <v>1348</v>
      </c>
    </row>
    <row r="420" s="2" customFormat="1" ht="24" customHeight="1" spans="1:32">
      <c r="A420" s="13">
        <v>418</v>
      </c>
      <c r="B420" s="14" t="s">
        <v>1349</v>
      </c>
      <c r="C420" s="15" t="s">
        <v>1142</v>
      </c>
      <c r="D420" s="15" t="s">
        <v>1341</v>
      </c>
      <c r="E420" s="15" t="s">
        <v>1342</v>
      </c>
      <c r="F420" s="13" t="s">
        <v>81</v>
      </c>
      <c r="G420" s="16" t="s">
        <v>38</v>
      </c>
      <c r="H420" s="18" t="s">
        <v>39</v>
      </c>
      <c r="I420" s="167" t="s">
        <v>1350</v>
      </c>
      <c r="J420" s="18" t="s">
        <v>1351</v>
      </c>
      <c r="K420" s="20" t="s">
        <v>39</v>
      </c>
      <c r="L420" s="21" t="s">
        <v>39</v>
      </c>
      <c r="M420" s="20">
        <v>0.06</v>
      </c>
      <c r="N420" s="20" t="s">
        <v>39</v>
      </c>
      <c r="O420" s="20" t="s">
        <v>39</v>
      </c>
      <c r="P420" s="20" t="s">
        <v>39</v>
      </c>
      <c r="Q420" s="20" t="s">
        <v>39</v>
      </c>
      <c r="R420" s="20" t="s">
        <v>39</v>
      </c>
      <c r="S420" s="20"/>
      <c r="T420" s="26">
        <v>3000</v>
      </c>
      <c r="U420" s="19"/>
      <c r="V420" s="20" t="s">
        <v>39</v>
      </c>
      <c r="W420" s="44"/>
      <c r="X420" s="45" t="s">
        <v>39</v>
      </c>
      <c r="Y420" s="45" t="s">
        <v>39</v>
      </c>
      <c r="Z420" s="45" t="s">
        <v>39</v>
      </c>
      <c r="AA420" s="45" t="s">
        <v>39</v>
      </c>
      <c r="AB420" s="52" t="s">
        <v>39</v>
      </c>
      <c r="AC420" s="52" t="s">
        <v>39</v>
      </c>
      <c r="AD420" s="48" t="s">
        <v>1352</v>
      </c>
      <c r="AE420" s="25" t="s">
        <v>1347</v>
      </c>
      <c r="AF420" s="17" t="s">
        <v>1353</v>
      </c>
    </row>
  </sheetData>
  <sheetProtection sheet="1" formatCells="0" formatColumns="0" formatRows="0" insertRows="0" insertColumns="0" insertHyperlinks="0" deleteColumns="0" deleteRows="0" sort="0" autoFilter="0" pivotTables="0"/>
  <autoFilter xmlns:etc="http://www.wps.cn/officeDocument/2017/etCustomData" ref="A2:AF420" etc:filterBottomFollowUsedRange="0">
    <sortState ref="A2:AF420">
      <sortCondition ref="A2:A420"/>
    </sortState>
    <extLst/>
  </autoFilter>
  <mergeCells count="1">
    <mergeCell ref="A1:N1"/>
  </mergeCells>
  <dataValidations count="1">
    <dataValidation type="list" allowBlank="1" showInputMessage="1" showErrorMessage="1" sqref="F129:F136">
      <formula1>"自营/分组作业,分组作业,强责,自营,人员服务外包,人员服务外包/自营"</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AR62"/>
  <sheetViews>
    <sheetView topLeftCell="AB1" workbookViewId="0">
      <selection activeCell="AC27" sqref="AC27"/>
    </sheetView>
  </sheetViews>
  <sheetFormatPr defaultColWidth="9" defaultRowHeight="13.5"/>
  <cols>
    <col min="1" max="1" width="31.875" customWidth="1"/>
    <col min="2" max="2" width="18.25" style="515" customWidth="1"/>
    <col min="3" max="3" width="18.375" style="515" customWidth="1"/>
    <col min="4" max="4" width="18.125" style="515" customWidth="1"/>
    <col min="5" max="38" width="15.875" style="515" customWidth="1"/>
    <col min="39" max="39" width="19.625" style="515" customWidth="1"/>
    <col min="40" max="40" width="18" style="515" customWidth="1"/>
    <col min="41" max="41" width="15.875" style="515" customWidth="1"/>
    <col min="42" max="43" width="19.5" style="515" customWidth="1"/>
    <col min="44" max="44" width="15.875" style="515" customWidth="1"/>
  </cols>
  <sheetData>
    <row r="3" ht="40.5" spans="1:44">
      <c r="A3" s="516" t="s">
        <v>5</v>
      </c>
      <c r="B3" s="517" t="s">
        <v>1354</v>
      </c>
      <c r="C3" s="517" t="s">
        <v>1355</v>
      </c>
      <c r="D3" s="517" t="s">
        <v>1356</v>
      </c>
      <c r="E3" s="517" t="s">
        <v>1357</v>
      </c>
      <c r="F3" s="517" t="s">
        <v>1358</v>
      </c>
      <c r="G3" s="517" t="s">
        <v>1359</v>
      </c>
      <c r="H3" s="517" t="s">
        <v>1360</v>
      </c>
      <c r="I3" s="517" t="s">
        <v>1361</v>
      </c>
      <c r="J3" s="517" t="s">
        <v>1362</v>
      </c>
      <c r="K3" s="517" t="s">
        <v>1363</v>
      </c>
      <c r="L3" s="517" t="s">
        <v>1364</v>
      </c>
      <c r="M3" s="517" t="s">
        <v>1365</v>
      </c>
      <c r="N3" s="517" t="s">
        <v>1366</v>
      </c>
      <c r="O3" s="517" t="s">
        <v>1367</v>
      </c>
      <c r="P3" s="517" t="s">
        <v>1368</v>
      </c>
      <c r="Q3" s="517" t="s">
        <v>1369</v>
      </c>
      <c r="R3" s="517" t="s">
        <v>1370</v>
      </c>
      <c r="S3" s="517" t="s">
        <v>1371</v>
      </c>
      <c r="T3" s="517" t="s">
        <v>1372</v>
      </c>
      <c r="U3" s="517" t="s">
        <v>1373</v>
      </c>
      <c r="V3" s="517" t="s">
        <v>1374</v>
      </c>
      <c r="W3" s="517" t="s">
        <v>1375</v>
      </c>
      <c r="X3" s="517" t="s">
        <v>1376</v>
      </c>
      <c r="Y3" s="517" t="s">
        <v>1377</v>
      </c>
      <c r="Z3" s="517" t="s">
        <v>1378</v>
      </c>
      <c r="AA3" s="517" t="s">
        <v>1379</v>
      </c>
      <c r="AB3" s="517" t="s">
        <v>1380</v>
      </c>
      <c r="AC3" s="517" t="s">
        <v>1381</v>
      </c>
      <c r="AD3" s="517" t="s">
        <v>1382</v>
      </c>
      <c r="AE3" s="517" t="s">
        <v>1383</v>
      </c>
      <c r="AF3" s="517" t="s">
        <v>1384</v>
      </c>
      <c r="AG3" s="517" t="s">
        <v>1385</v>
      </c>
      <c r="AH3" s="517" t="s">
        <v>1386</v>
      </c>
      <c r="AI3" s="517" t="s">
        <v>1387</v>
      </c>
      <c r="AJ3" s="517" t="s">
        <v>1388</v>
      </c>
      <c r="AK3" s="517" t="s">
        <v>1389</v>
      </c>
      <c r="AL3" s="517" t="s">
        <v>1390</v>
      </c>
      <c r="AM3" s="517" t="s">
        <v>1391</v>
      </c>
      <c r="AN3" s="517" t="s">
        <v>1392</v>
      </c>
      <c r="AO3" s="517" t="s">
        <v>1393</v>
      </c>
      <c r="AP3" s="517" t="s">
        <v>1394</v>
      </c>
      <c r="AQ3" s="517" t="s">
        <v>1395</v>
      </c>
      <c r="AR3" s="517" t="s">
        <v>1396</v>
      </c>
    </row>
    <row r="4" spans="1:44">
      <c r="A4" s="516" t="s">
        <v>56</v>
      </c>
      <c r="B4" s="517">
        <v>20389.69</v>
      </c>
      <c r="C4" s="517">
        <v>2461.48</v>
      </c>
      <c r="D4" s="517">
        <v>2461.48</v>
      </c>
      <c r="E4" s="517">
        <v>0</v>
      </c>
      <c r="F4" s="517">
        <v>351.64</v>
      </c>
      <c r="G4" s="517">
        <v>351.64</v>
      </c>
      <c r="H4" s="517">
        <v>0</v>
      </c>
      <c r="I4" s="517">
        <v>0</v>
      </c>
      <c r="J4" s="517">
        <v>0</v>
      </c>
      <c r="K4" s="517">
        <v>0</v>
      </c>
      <c r="L4" s="517">
        <v>1054.92</v>
      </c>
      <c r="M4" s="517">
        <v>1054.92</v>
      </c>
      <c r="N4" s="517">
        <v>0</v>
      </c>
      <c r="O4" s="517">
        <v>1054.92</v>
      </c>
      <c r="P4" s="517">
        <v>1054.92</v>
      </c>
      <c r="Q4" s="517">
        <v>0</v>
      </c>
      <c r="R4" s="517">
        <v>351.64</v>
      </c>
      <c r="S4" s="517">
        <v>351.64</v>
      </c>
      <c r="T4" s="517">
        <v>0</v>
      </c>
      <c r="U4" s="517">
        <v>703.28</v>
      </c>
      <c r="V4" s="517">
        <v>703.28</v>
      </c>
      <c r="W4" s="517">
        <v>0</v>
      </c>
      <c r="X4" s="517">
        <v>1406.56</v>
      </c>
      <c r="Y4" s="517">
        <v>1406.56</v>
      </c>
      <c r="Z4" s="517">
        <v>0</v>
      </c>
      <c r="AA4" s="517">
        <v>1758.2</v>
      </c>
      <c r="AB4" s="517">
        <v>1758.2</v>
      </c>
      <c r="AC4" s="517">
        <v>0</v>
      </c>
      <c r="AD4" s="517">
        <v>0</v>
      </c>
      <c r="AE4" s="517">
        <v>0</v>
      </c>
      <c r="AF4" s="517">
        <v>0</v>
      </c>
      <c r="AG4" s="517">
        <v>0</v>
      </c>
      <c r="AH4" s="517">
        <v>0</v>
      </c>
      <c r="AI4" s="517">
        <v>0</v>
      </c>
      <c r="AJ4" s="517">
        <v>0</v>
      </c>
      <c r="AK4" s="517">
        <v>0</v>
      </c>
      <c r="AL4" s="517">
        <v>0</v>
      </c>
      <c r="AM4" s="517">
        <v>1554.2</v>
      </c>
      <c r="AN4" s="517">
        <v>1554.2</v>
      </c>
      <c r="AO4" s="517">
        <v>0</v>
      </c>
      <c r="AP4" s="517">
        <v>31086.53</v>
      </c>
      <c r="AQ4" s="517">
        <v>31086.53</v>
      </c>
      <c r="AR4" s="517">
        <v>0</v>
      </c>
    </row>
    <row r="5" spans="1:44">
      <c r="A5" s="516" t="s">
        <v>919</v>
      </c>
      <c r="B5" s="517"/>
      <c r="C5" s="517">
        <v>0</v>
      </c>
      <c r="D5" s="517"/>
      <c r="E5" s="517">
        <v>0</v>
      </c>
      <c r="F5" s="517">
        <v>0</v>
      </c>
      <c r="G5" s="517"/>
      <c r="H5" s="517">
        <v>0</v>
      </c>
      <c r="I5" s="517">
        <v>0</v>
      </c>
      <c r="J5" s="517"/>
      <c r="K5" s="517">
        <v>0</v>
      </c>
      <c r="L5" s="517">
        <v>0</v>
      </c>
      <c r="M5" s="517"/>
      <c r="N5" s="517">
        <v>0</v>
      </c>
      <c r="O5" s="517">
        <v>0</v>
      </c>
      <c r="P5" s="517"/>
      <c r="Q5" s="517">
        <v>0</v>
      </c>
      <c r="R5" s="517">
        <v>0</v>
      </c>
      <c r="S5" s="517"/>
      <c r="T5" s="517">
        <v>0</v>
      </c>
      <c r="U5" s="517">
        <v>0</v>
      </c>
      <c r="V5" s="517"/>
      <c r="W5" s="517">
        <v>0</v>
      </c>
      <c r="X5" s="517">
        <v>0</v>
      </c>
      <c r="Y5" s="517"/>
      <c r="Z5" s="517">
        <v>0</v>
      </c>
      <c r="AA5" s="517">
        <v>0</v>
      </c>
      <c r="AB5" s="517"/>
      <c r="AC5" s="517">
        <v>0</v>
      </c>
      <c r="AD5" s="517">
        <v>0</v>
      </c>
      <c r="AE5" s="517"/>
      <c r="AF5" s="517">
        <v>0</v>
      </c>
      <c r="AG5" s="517">
        <v>0</v>
      </c>
      <c r="AH5" s="517"/>
      <c r="AI5" s="517">
        <v>0</v>
      </c>
      <c r="AJ5" s="517">
        <v>0</v>
      </c>
      <c r="AK5" s="517"/>
      <c r="AL5" s="517">
        <v>0</v>
      </c>
      <c r="AM5" s="517">
        <v>0</v>
      </c>
      <c r="AN5" s="517"/>
      <c r="AO5" s="517">
        <v>0</v>
      </c>
      <c r="AP5" s="517">
        <v>0</v>
      </c>
      <c r="AQ5" s="517">
        <v>0</v>
      </c>
      <c r="AR5" s="517">
        <v>0</v>
      </c>
    </row>
    <row r="6" spans="1:44">
      <c r="A6" s="516" t="s">
        <v>381</v>
      </c>
      <c r="B6" s="517"/>
      <c r="C6" s="517">
        <v>0</v>
      </c>
      <c r="D6" s="517"/>
      <c r="E6" s="517">
        <v>0</v>
      </c>
      <c r="F6" s="517">
        <v>0</v>
      </c>
      <c r="G6" s="517"/>
      <c r="H6" s="517">
        <v>0</v>
      </c>
      <c r="I6" s="517">
        <v>0</v>
      </c>
      <c r="J6" s="517"/>
      <c r="K6" s="517">
        <v>0</v>
      </c>
      <c r="L6" s="517">
        <v>0</v>
      </c>
      <c r="M6" s="517"/>
      <c r="N6" s="517">
        <v>0</v>
      </c>
      <c r="O6" s="517">
        <v>0</v>
      </c>
      <c r="P6" s="517"/>
      <c r="Q6" s="517">
        <v>0</v>
      </c>
      <c r="R6" s="517">
        <v>0</v>
      </c>
      <c r="S6" s="517"/>
      <c r="T6" s="517">
        <v>0</v>
      </c>
      <c r="U6" s="517">
        <v>0</v>
      </c>
      <c r="V6" s="517"/>
      <c r="W6" s="517">
        <v>0</v>
      </c>
      <c r="X6" s="517">
        <v>0</v>
      </c>
      <c r="Y6" s="517"/>
      <c r="Z6" s="517">
        <v>0</v>
      </c>
      <c r="AA6" s="517">
        <v>0</v>
      </c>
      <c r="AB6" s="517"/>
      <c r="AC6" s="517">
        <v>0</v>
      </c>
      <c r="AD6" s="517">
        <v>0</v>
      </c>
      <c r="AE6" s="517"/>
      <c r="AF6" s="517">
        <v>0</v>
      </c>
      <c r="AG6" s="517">
        <v>0</v>
      </c>
      <c r="AH6" s="517"/>
      <c r="AI6" s="517">
        <v>0</v>
      </c>
      <c r="AJ6" s="517">
        <v>0</v>
      </c>
      <c r="AK6" s="517"/>
      <c r="AL6" s="517">
        <v>0</v>
      </c>
      <c r="AM6" s="517">
        <v>0</v>
      </c>
      <c r="AN6" s="517"/>
      <c r="AO6" s="517">
        <v>0</v>
      </c>
      <c r="AP6" s="517">
        <v>0</v>
      </c>
      <c r="AQ6" s="517">
        <v>0</v>
      </c>
      <c r="AR6" s="517">
        <v>0</v>
      </c>
    </row>
    <row r="7" spans="1:44">
      <c r="A7" s="516" t="s">
        <v>384</v>
      </c>
      <c r="B7" s="517"/>
      <c r="C7" s="517">
        <v>0</v>
      </c>
      <c r="D7" s="517"/>
      <c r="E7" s="517">
        <v>0</v>
      </c>
      <c r="F7" s="517">
        <v>0</v>
      </c>
      <c r="G7" s="517"/>
      <c r="H7" s="517">
        <v>0</v>
      </c>
      <c r="I7" s="517">
        <v>0</v>
      </c>
      <c r="J7" s="517"/>
      <c r="K7" s="517">
        <v>0</v>
      </c>
      <c r="L7" s="517">
        <v>0</v>
      </c>
      <c r="M7" s="517"/>
      <c r="N7" s="517">
        <v>0</v>
      </c>
      <c r="O7" s="517">
        <v>0</v>
      </c>
      <c r="P7" s="517"/>
      <c r="Q7" s="517">
        <v>0</v>
      </c>
      <c r="R7" s="517">
        <v>0</v>
      </c>
      <c r="S7" s="517"/>
      <c r="T7" s="517">
        <v>0</v>
      </c>
      <c r="U7" s="517">
        <v>0</v>
      </c>
      <c r="V7" s="517"/>
      <c r="W7" s="517">
        <v>0</v>
      </c>
      <c r="X7" s="517">
        <v>0</v>
      </c>
      <c r="Y7" s="517"/>
      <c r="Z7" s="517">
        <v>0</v>
      </c>
      <c r="AA7" s="517">
        <v>0</v>
      </c>
      <c r="AB7" s="517"/>
      <c r="AC7" s="517">
        <v>0</v>
      </c>
      <c r="AD7" s="517">
        <v>0</v>
      </c>
      <c r="AE7" s="517"/>
      <c r="AF7" s="517">
        <v>0</v>
      </c>
      <c r="AG7" s="517">
        <v>0</v>
      </c>
      <c r="AH7" s="517"/>
      <c r="AI7" s="517">
        <v>0</v>
      </c>
      <c r="AJ7" s="517">
        <v>0</v>
      </c>
      <c r="AK7" s="517"/>
      <c r="AL7" s="517">
        <v>0</v>
      </c>
      <c r="AM7" s="517">
        <v>0</v>
      </c>
      <c r="AN7" s="517"/>
      <c r="AO7" s="517">
        <v>0</v>
      </c>
      <c r="AP7" s="517">
        <v>0</v>
      </c>
      <c r="AQ7" s="517">
        <v>0</v>
      </c>
      <c r="AR7" s="517">
        <v>0</v>
      </c>
    </row>
    <row r="8" spans="1:44">
      <c r="A8" s="516" t="s">
        <v>373</v>
      </c>
      <c r="B8" s="517"/>
      <c r="C8" s="517">
        <v>0</v>
      </c>
      <c r="D8" s="517"/>
      <c r="E8" s="517">
        <v>0</v>
      </c>
      <c r="F8" s="517">
        <v>0</v>
      </c>
      <c r="G8" s="517"/>
      <c r="H8" s="517">
        <v>0</v>
      </c>
      <c r="I8" s="517">
        <v>0</v>
      </c>
      <c r="J8" s="517"/>
      <c r="K8" s="517">
        <v>0</v>
      </c>
      <c r="L8" s="517">
        <v>0</v>
      </c>
      <c r="M8" s="517"/>
      <c r="N8" s="517">
        <v>0</v>
      </c>
      <c r="O8" s="517">
        <v>0</v>
      </c>
      <c r="P8" s="517"/>
      <c r="Q8" s="517">
        <v>0</v>
      </c>
      <c r="R8" s="517">
        <v>0</v>
      </c>
      <c r="S8" s="517"/>
      <c r="T8" s="517">
        <v>0</v>
      </c>
      <c r="U8" s="517">
        <v>0</v>
      </c>
      <c r="V8" s="517"/>
      <c r="W8" s="517">
        <v>0</v>
      </c>
      <c r="X8" s="517">
        <v>0</v>
      </c>
      <c r="Y8" s="517"/>
      <c r="Z8" s="517">
        <v>0</v>
      </c>
      <c r="AA8" s="517">
        <v>0</v>
      </c>
      <c r="AB8" s="517"/>
      <c r="AC8" s="517">
        <v>0</v>
      </c>
      <c r="AD8" s="517">
        <v>0</v>
      </c>
      <c r="AE8" s="517"/>
      <c r="AF8" s="517">
        <v>0</v>
      </c>
      <c r="AG8" s="517">
        <v>0</v>
      </c>
      <c r="AH8" s="517"/>
      <c r="AI8" s="517">
        <v>0</v>
      </c>
      <c r="AJ8" s="517">
        <v>0</v>
      </c>
      <c r="AK8" s="517"/>
      <c r="AL8" s="517">
        <v>0</v>
      </c>
      <c r="AM8" s="517">
        <v>0</v>
      </c>
      <c r="AN8" s="517"/>
      <c r="AO8" s="517">
        <v>0</v>
      </c>
      <c r="AP8" s="517">
        <v>0</v>
      </c>
      <c r="AQ8" s="517">
        <v>0</v>
      </c>
      <c r="AR8" s="517">
        <v>0</v>
      </c>
    </row>
    <row r="9" spans="1:44">
      <c r="A9" s="516" t="s">
        <v>378</v>
      </c>
      <c r="B9" s="517"/>
      <c r="C9" s="517">
        <v>0</v>
      </c>
      <c r="D9" s="517"/>
      <c r="E9" s="517">
        <v>0</v>
      </c>
      <c r="F9" s="517">
        <v>0</v>
      </c>
      <c r="G9" s="517"/>
      <c r="H9" s="517">
        <v>0</v>
      </c>
      <c r="I9" s="517">
        <v>0</v>
      </c>
      <c r="J9" s="517"/>
      <c r="K9" s="517">
        <v>0</v>
      </c>
      <c r="L9" s="517">
        <v>0</v>
      </c>
      <c r="M9" s="517"/>
      <c r="N9" s="517">
        <v>0</v>
      </c>
      <c r="O9" s="517">
        <v>0</v>
      </c>
      <c r="P9" s="517"/>
      <c r="Q9" s="517">
        <v>0</v>
      </c>
      <c r="R9" s="517">
        <v>0</v>
      </c>
      <c r="S9" s="517"/>
      <c r="T9" s="517">
        <v>0</v>
      </c>
      <c r="U9" s="517">
        <v>0</v>
      </c>
      <c r="V9" s="517"/>
      <c r="W9" s="517">
        <v>0</v>
      </c>
      <c r="X9" s="517">
        <v>0</v>
      </c>
      <c r="Y9" s="517"/>
      <c r="Z9" s="517">
        <v>0</v>
      </c>
      <c r="AA9" s="517">
        <v>0</v>
      </c>
      <c r="AB9" s="517"/>
      <c r="AC9" s="517">
        <v>0</v>
      </c>
      <c r="AD9" s="517">
        <v>0</v>
      </c>
      <c r="AE9" s="517"/>
      <c r="AF9" s="517">
        <v>0</v>
      </c>
      <c r="AG9" s="517">
        <v>0</v>
      </c>
      <c r="AH9" s="517"/>
      <c r="AI9" s="517">
        <v>0</v>
      </c>
      <c r="AJ9" s="517">
        <v>0</v>
      </c>
      <c r="AK9" s="517"/>
      <c r="AL9" s="517">
        <v>0</v>
      </c>
      <c r="AM9" s="517">
        <v>0</v>
      </c>
      <c r="AN9" s="517"/>
      <c r="AO9" s="517">
        <v>0</v>
      </c>
      <c r="AP9" s="517">
        <v>0</v>
      </c>
      <c r="AQ9" s="517">
        <v>0</v>
      </c>
      <c r="AR9" s="517">
        <v>0</v>
      </c>
    </row>
    <row r="10" spans="1:44">
      <c r="A10" s="516" t="s">
        <v>393</v>
      </c>
      <c r="B10" s="517"/>
      <c r="C10" s="517">
        <v>0</v>
      </c>
      <c r="D10" s="517"/>
      <c r="E10" s="517">
        <v>0</v>
      </c>
      <c r="F10" s="517">
        <v>0</v>
      </c>
      <c r="G10" s="517"/>
      <c r="H10" s="517">
        <v>0</v>
      </c>
      <c r="I10" s="517">
        <v>0</v>
      </c>
      <c r="J10" s="517"/>
      <c r="K10" s="517">
        <v>0</v>
      </c>
      <c r="L10" s="517">
        <v>0</v>
      </c>
      <c r="M10" s="517"/>
      <c r="N10" s="517">
        <v>0</v>
      </c>
      <c r="O10" s="517">
        <v>0</v>
      </c>
      <c r="P10" s="517"/>
      <c r="Q10" s="517">
        <v>0</v>
      </c>
      <c r="R10" s="517">
        <v>0</v>
      </c>
      <c r="S10" s="517"/>
      <c r="T10" s="517">
        <v>0</v>
      </c>
      <c r="U10" s="517">
        <v>0</v>
      </c>
      <c r="V10" s="517"/>
      <c r="W10" s="517">
        <v>0</v>
      </c>
      <c r="X10" s="517">
        <v>0</v>
      </c>
      <c r="Y10" s="517"/>
      <c r="Z10" s="517">
        <v>0</v>
      </c>
      <c r="AA10" s="517">
        <v>0</v>
      </c>
      <c r="AB10" s="517"/>
      <c r="AC10" s="517">
        <v>0</v>
      </c>
      <c r="AD10" s="517">
        <v>0</v>
      </c>
      <c r="AE10" s="517"/>
      <c r="AF10" s="517">
        <v>0</v>
      </c>
      <c r="AG10" s="517">
        <v>0</v>
      </c>
      <c r="AH10" s="517"/>
      <c r="AI10" s="517">
        <v>0</v>
      </c>
      <c r="AJ10" s="517">
        <v>0</v>
      </c>
      <c r="AK10" s="517"/>
      <c r="AL10" s="517">
        <v>0</v>
      </c>
      <c r="AM10" s="517">
        <v>0</v>
      </c>
      <c r="AN10" s="517"/>
      <c r="AO10" s="517">
        <v>0</v>
      </c>
      <c r="AP10" s="517">
        <v>0</v>
      </c>
      <c r="AQ10" s="517">
        <v>0</v>
      </c>
      <c r="AR10" s="517">
        <v>0</v>
      </c>
    </row>
    <row r="11" spans="1:44">
      <c r="A11" s="516" t="s">
        <v>387</v>
      </c>
      <c r="B11" s="517"/>
      <c r="C11" s="517">
        <v>0</v>
      </c>
      <c r="D11" s="517"/>
      <c r="E11" s="517">
        <v>0</v>
      </c>
      <c r="F11" s="517">
        <v>0</v>
      </c>
      <c r="G11" s="517"/>
      <c r="H11" s="517">
        <v>0</v>
      </c>
      <c r="I11" s="517">
        <v>0</v>
      </c>
      <c r="J11" s="517"/>
      <c r="K11" s="517">
        <v>0</v>
      </c>
      <c r="L11" s="517">
        <v>0</v>
      </c>
      <c r="M11" s="517"/>
      <c r="N11" s="517">
        <v>0</v>
      </c>
      <c r="O11" s="517">
        <v>0</v>
      </c>
      <c r="P11" s="517"/>
      <c r="Q11" s="517">
        <v>0</v>
      </c>
      <c r="R11" s="517">
        <v>0</v>
      </c>
      <c r="S11" s="517"/>
      <c r="T11" s="517">
        <v>0</v>
      </c>
      <c r="U11" s="517">
        <v>0</v>
      </c>
      <c r="V11" s="517"/>
      <c r="W11" s="517">
        <v>0</v>
      </c>
      <c r="X11" s="517">
        <v>0</v>
      </c>
      <c r="Y11" s="517"/>
      <c r="Z11" s="517">
        <v>0</v>
      </c>
      <c r="AA11" s="517">
        <v>0</v>
      </c>
      <c r="AB11" s="517"/>
      <c r="AC11" s="517">
        <v>0</v>
      </c>
      <c r="AD11" s="517">
        <v>0</v>
      </c>
      <c r="AE11" s="517"/>
      <c r="AF11" s="517">
        <v>0</v>
      </c>
      <c r="AG11" s="517">
        <v>0</v>
      </c>
      <c r="AH11" s="517"/>
      <c r="AI11" s="517">
        <v>0</v>
      </c>
      <c r="AJ11" s="517">
        <v>0</v>
      </c>
      <c r="AK11" s="517"/>
      <c r="AL11" s="517">
        <v>0</v>
      </c>
      <c r="AM11" s="517">
        <v>0</v>
      </c>
      <c r="AN11" s="517"/>
      <c r="AO11" s="517">
        <v>0</v>
      </c>
      <c r="AP11" s="517">
        <v>0</v>
      </c>
      <c r="AQ11" s="517">
        <v>0</v>
      </c>
      <c r="AR11" s="517">
        <v>0</v>
      </c>
    </row>
    <row r="12" spans="1:44">
      <c r="A12" s="516" t="s">
        <v>390</v>
      </c>
      <c r="B12" s="517"/>
      <c r="C12" s="517">
        <v>0</v>
      </c>
      <c r="D12" s="517"/>
      <c r="E12" s="517">
        <v>0</v>
      </c>
      <c r="F12" s="517">
        <v>0</v>
      </c>
      <c r="G12" s="517"/>
      <c r="H12" s="517">
        <v>0</v>
      </c>
      <c r="I12" s="517">
        <v>0</v>
      </c>
      <c r="J12" s="517"/>
      <c r="K12" s="517">
        <v>0</v>
      </c>
      <c r="L12" s="517">
        <v>0</v>
      </c>
      <c r="M12" s="517"/>
      <c r="N12" s="517">
        <v>0</v>
      </c>
      <c r="O12" s="517">
        <v>0</v>
      </c>
      <c r="P12" s="517"/>
      <c r="Q12" s="517">
        <v>0</v>
      </c>
      <c r="R12" s="517">
        <v>0</v>
      </c>
      <c r="S12" s="517"/>
      <c r="T12" s="517">
        <v>0</v>
      </c>
      <c r="U12" s="517">
        <v>0</v>
      </c>
      <c r="V12" s="517"/>
      <c r="W12" s="517">
        <v>0</v>
      </c>
      <c r="X12" s="517">
        <v>0</v>
      </c>
      <c r="Y12" s="517"/>
      <c r="Z12" s="517">
        <v>0</v>
      </c>
      <c r="AA12" s="517">
        <v>0</v>
      </c>
      <c r="AB12" s="517"/>
      <c r="AC12" s="517">
        <v>0</v>
      </c>
      <c r="AD12" s="517">
        <v>0</v>
      </c>
      <c r="AE12" s="517"/>
      <c r="AF12" s="517">
        <v>0</v>
      </c>
      <c r="AG12" s="517">
        <v>0</v>
      </c>
      <c r="AH12" s="517"/>
      <c r="AI12" s="517">
        <v>0</v>
      </c>
      <c r="AJ12" s="517">
        <v>0</v>
      </c>
      <c r="AK12" s="517"/>
      <c r="AL12" s="517">
        <v>0</v>
      </c>
      <c r="AM12" s="517">
        <v>0</v>
      </c>
      <c r="AN12" s="517"/>
      <c r="AO12" s="517">
        <v>0</v>
      </c>
      <c r="AP12" s="517">
        <v>0</v>
      </c>
      <c r="AQ12" s="517">
        <v>0</v>
      </c>
      <c r="AR12" s="517">
        <v>0</v>
      </c>
    </row>
    <row r="13" spans="1:44">
      <c r="A13" s="516" t="s">
        <v>755</v>
      </c>
      <c r="B13" s="517">
        <v>2007.86</v>
      </c>
      <c r="C13" s="517">
        <v>0</v>
      </c>
      <c r="D13" s="517"/>
      <c r="E13" s="517">
        <v>0</v>
      </c>
      <c r="F13" s="517">
        <v>0</v>
      </c>
      <c r="G13" s="517"/>
      <c r="H13" s="517">
        <v>0</v>
      </c>
      <c r="I13" s="517">
        <v>0</v>
      </c>
      <c r="J13" s="517"/>
      <c r="K13" s="517">
        <v>0</v>
      </c>
      <c r="L13" s="517">
        <v>0</v>
      </c>
      <c r="M13" s="517"/>
      <c r="N13" s="517">
        <v>0</v>
      </c>
      <c r="O13" s="517">
        <v>0</v>
      </c>
      <c r="P13" s="517"/>
      <c r="Q13" s="517">
        <v>0</v>
      </c>
      <c r="R13" s="517">
        <v>0</v>
      </c>
      <c r="S13" s="517"/>
      <c r="T13" s="517">
        <v>0</v>
      </c>
      <c r="U13" s="517">
        <v>0</v>
      </c>
      <c r="V13" s="517"/>
      <c r="W13" s="517">
        <v>0</v>
      </c>
      <c r="X13" s="517">
        <v>0</v>
      </c>
      <c r="Y13" s="517"/>
      <c r="Z13" s="517">
        <v>0</v>
      </c>
      <c r="AA13" s="517">
        <v>0</v>
      </c>
      <c r="AB13" s="517"/>
      <c r="AC13" s="517">
        <v>0</v>
      </c>
      <c r="AD13" s="517">
        <v>0</v>
      </c>
      <c r="AE13" s="517"/>
      <c r="AF13" s="517">
        <v>0</v>
      </c>
      <c r="AG13" s="517">
        <v>0</v>
      </c>
      <c r="AH13" s="517"/>
      <c r="AI13" s="517">
        <v>0</v>
      </c>
      <c r="AJ13" s="517">
        <v>0</v>
      </c>
      <c r="AK13" s="517"/>
      <c r="AL13" s="517">
        <v>0</v>
      </c>
      <c r="AM13" s="517">
        <v>0</v>
      </c>
      <c r="AN13" s="517"/>
      <c r="AO13" s="517">
        <v>0</v>
      </c>
      <c r="AP13" s="517">
        <v>2007.86</v>
      </c>
      <c r="AQ13" s="517">
        <v>2007.86</v>
      </c>
      <c r="AR13" s="517">
        <v>0</v>
      </c>
    </row>
    <row r="14" spans="1:44">
      <c r="A14" s="516" t="s">
        <v>52</v>
      </c>
      <c r="B14" s="517"/>
      <c r="C14" s="517">
        <v>0</v>
      </c>
      <c r="D14" s="517"/>
      <c r="E14" s="517">
        <v>0</v>
      </c>
      <c r="F14" s="517">
        <v>0</v>
      </c>
      <c r="G14" s="517"/>
      <c r="H14" s="517">
        <v>0</v>
      </c>
      <c r="I14" s="517">
        <v>0</v>
      </c>
      <c r="J14" s="517"/>
      <c r="K14" s="517">
        <v>0</v>
      </c>
      <c r="L14" s="517">
        <v>0</v>
      </c>
      <c r="M14" s="517"/>
      <c r="N14" s="517">
        <v>0</v>
      </c>
      <c r="O14" s="517">
        <v>0</v>
      </c>
      <c r="P14" s="517"/>
      <c r="Q14" s="517">
        <v>0</v>
      </c>
      <c r="R14" s="517">
        <v>0</v>
      </c>
      <c r="S14" s="517"/>
      <c r="T14" s="517">
        <v>0</v>
      </c>
      <c r="U14" s="517">
        <v>0</v>
      </c>
      <c r="V14" s="517"/>
      <c r="W14" s="517">
        <v>0</v>
      </c>
      <c r="X14" s="517">
        <v>0</v>
      </c>
      <c r="Y14" s="517"/>
      <c r="Z14" s="517">
        <v>0</v>
      </c>
      <c r="AA14" s="517">
        <v>0</v>
      </c>
      <c r="AB14" s="517"/>
      <c r="AC14" s="517">
        <v>0</v>
      </c>
      <c r="AD14" s="517">
        <v>0</v>
      </c>
      <c r="AE14" s="517"/>
      <c r="AF14" s="517">
        <v>0</v>
      </c>
      <c r="AG14" s="517">
        <v>0</v>
      </c>
      <c r="AH14" s="517"/>
      <c r="AI14" s="517">
        <v>0</v>
      </c>
      <c r="AJ14" s="517">
        <v>0</v>
      </c>
      <c r="AK14" s="517"/>
      <c r="AL14" s="517">
        <v>0</v>
      </c>
      <c r="AM14" s="517">
        <v>0</v>
      </c>
      <c r="AN14" s="517"/>
      <c r="AO14" s="517">
        <v>0</v>
      </c>
      <c r="AP14" s="517">
        <v>0</v>
      </c>
      <c r="AQ14" s="517">
        <v>0</v>
      </c>
      <c r="AR14" s="517">
        <v>0</v>
      </c>
    </row>
    <row r="15" spans="1:44">
      <c r="A15" s="516" t="s">
        <v>1342</v>
      </c>
      <c r="B15" s="517">
        <v>84</v>
      </c>
      <c r="C15" s="517">
        <v>1713.2412</v>
      </c>
      <c r="D15" s="517">
        <v>1713.2412</v>
      </c>
      <c r="E15" s="517">
        <v>0</v>
      </c>
      <c r="F15" s="517">
        <v>0</v>
      </c>
      <c r="G15" s="517">
        <v>0</v>
      </c>
      <c r="H15" s="517">
        <v>0</v>
      </c>
      <c r="I15" s="517">
        <v>0</v>
      </c>
      <c r="J15" s="517">
        <v>0</v>
      </c>
      <c r="K15" s="517">
        <v>0</v>
      </c>
      <c r="L15" s="517">
        <v>0</v>
      </c>
      <c r="M15" s="517">
        <v>0</v>
      </c>
      <c r="N15" s="517">
        <v>0</v>
      </c>
      <c r="O15" s="517">
        <v>0</v>
      </c>
      <c r="P15" s="517">
        <v>0</v>
      </c>
      <c r="Q15" s="517">
        <v>0</v>
      </c>
      <c r="R15" s="517">
        <v>0</v>
      </c>
      <c r="S15" s="517">
        <v>0</v>
      </c>
      <c r="T15" s="517">
        <v>0</v>
      </c>
      <c r="U15" s="517">
        <v>0</v>
      </c>
      <c r="V15" s="517">
        <v>0</v>
      </c>
      <c r="W15" s="517">
        <v>0</v>
      </c>
      <c r="X15" s="517">
        <v>790.1</v>
      </c>
      <c r="Y15" s="517">
        <v>790.1</v>
      </c>
      <c r="Z15" s="517">
        <v>0</v>
      </c>
      <c r="AA15" s="517">
        <v>0</v>
      </c>
      <c r="AB15" s="517">
        <v>0</v>
      </c>
      <c r="AC15" s="517">
        <v>0</v>
      </c>
      <c r="AD15" s="517">
        <v>0</v>
      </c>
      <c r="AE15" s="517">
        <v>0</v>
      </c>
      <c r="AF15" s="517">
        <v>0</v>
      </c>
      <c r="AG15" s="517">
        <v>0</v>
      </c>
      <c r="AH15" s="517">
        <v>0</v>
      </c>
      <c r="AI15" s="517">
        <v>0</v>
      </c>
      <c r="AJ15" s="517">
        <v>0</v>
      </c>
      <c r="AK15" s="517">
        <v>0</v>
      </c>
      <c r="AL15" s="517">
        <v>0</v>
      </c>
      <c r="AM15" s="517">
        <v>7873.79</v>
      </c>
      <c r="AN15" s="517">
        <v>7873.79</v>
      </c>
      <c r="AO15" s="517">
        <v>0</v>
      </c>
      <c r="AP15" s="517">
        <v>10461.1312</v>
      </c>
      <c r="AQ15" s="517">
        <v>10461.1312</v>
      </c>
      <c r="AR15" s="517">
        <v>0</v>
      </c>
    </row>
    <row r="16" spans="1:44">
      <c r="A16" s="516" t="s">
        <v>640</v>
      </c>
      <c r="B16" s="517">
        <v>109975.79</v>
      </c>
      <c r="C16" s="517">
        <v>97042.5382</v>
      </c>
      <c r="D16" s="517">
        <v>97042.54</v>
      </c>
      <c r="E16" s="517">
        <v>-0.00180000000477776</v>
      </c>
      <c r="F16" s="517">
        <v>8649.0172</v>
      </c>
      <c r="G16" s="517">
        <v>8649.02</v>
      </c>
      <c r="H16" s="517">
        <v>-0.00280000000154246</v>
      </c>
      <c r="I16" s="517">
        <v>0</v>
      </c>
      <c r="J16" s="517"/>
      <c r="K16" s="517">
        <v>0</v>
      </c>
      <c r="L16" s="517">
        <v>34596.0688</v>
      </c>
      <c r="M16" s="517">
        <v>34596.07</v>
      </c>
      <c r="N16" s="517">
        <v>-0.00120000000413256</v>
      </c>
      <c r="O16" s="517">
        <v>25947.0516</v>
      </c>
      <c r="P16" s="517">
        <v>25947.05</v>
      </c>
      <c r="Q16" s="517">
        <v>0.00159999999902993</v>
      </c>
      <c r="R16" s="517">
        <v>8649.0172</v>
      </c>
      <c r="S16" s="517">
        <v>8649.02</v>
      </c>
      <c r="T16" s="517">
        <v>-0.00280000000154246</v>
      </c>
      <c r="U16" s="517">
        <v>8649.0172</v>
      </c>
      <c r="V16" s="517">
        <v>8649.02</v>
      </c>
      <c r="W16" s="517">
        <v>-0.00280000000154246</v>
      </c>
      <c r="X16" s="517">
        <v>37276.9</v>
      </c>
      <c r="Y16" s="517">
        <v>37276.9</v>
      </c>
      <c r="Z16" s="517">
        <v>0</v>
      </c>
      <c r="AA16" s="517">
        <v>39996.86</v>
      </c>
      <c r="AB16" s="517">
        <v>39996.86</v>
      </c>
      <c r="AC16" s="517">
        <v>0</v>
      </c>
      <c r="AD16" s="517">
        <v>-16.5</v>
      </c>
      <c r="AE16" s="517">
        <v>-16.5</v>
      </c>
      <c r="AF16" s="517">
        <v>0</v>
      </c>
      <c r="AG16" s="517">
        <v>0</v>
      </c>
      <c r="AH16" s="517"/>
      <c r="AI16" s="517">
        <v>0</v>
      </c>
      <c r="AJ16" s="517">
        <v>0</v>
      </c>
      <c r="AK16" s="517"/>
      <c r="AL16" s="517">
        <v>0</v>
      </c>
      <c r="AM16" s="517">
        <v>147162.42</v>
      </c>
      <c r="AN16" s="517">
        <v>147162.42</v>
      </c>
      <c r="AO16" s="517">
        <v>0</v>
      </c>
      <c r="AP16" s="517">
        <v>517928.1802</v>
      </c>
      <c r="AQ16" s="517">
        <v>517928.19</v>
      </c>
      <c r="AR16" s="517">
        <v>-0.0097999999966305</v>
      </c>
    </row>
    <row r="17" spans="1:44">
      <c r="A17" s="516" t="s">
        <v>811</v>
      </c>
      <c r="B17" s="517">
        <v>23696.72</v>
      </c>
      <c r="C17" s="517">
        <v>41105.5051</v>
      </c>
      <c r="D17" s="517">
        <v>142572.81</v>
      </c>
      <c r="E17" s="517">
        <v>-101467.3049</v>
      </c>
      <c r="F17" s="517">
        <v>0</v>
      </c>
      <c r="G17" s="517"/>
      <c r="H17" s="517">
        <v>0</v>
      </c>
      <c r="I17" s="517">
        <v>0</v>
      </c>
      <c r="J17" s="517"/>
      <c r="K17" s="517">
        <v>0</v>
      </c>
      <c r="L17" s="517">
        <v>0</v>
      </c>
      <c r="M17" s="517"/>
      <c r="N17" s="517">
        <v>0</v>
      </c>
      <c r="O17" s="517">
        <v>0</v>
      </c>
      <c r="P17" s="517"/>
      <c r="Q17" s="517">
        <v>0</v>
      </c>
      <c r="R17" s="517">
        <v>0</v>
      </c>
      <c r="S17" s="517"/>
      <c r="T17" s="517">
        <v>0</v>
      </c>
      <c r="U17" s="517">
        <v>0</v>
      </c>
      <c r="V17" s="517"/>
      <c r="W17" s="517">
        <v>0</v>
      </c>
      <c r="X17" s="517">
        <v>0</v>
      </c>
      <c r="Y17" s="517"/>
      <c r="Z17" s="517">
        <v>0</v>
      </c>
      <c r="AA17" s="517">
        <v>1583.4</v>
      </c>
      <c r="AB17" s="517">
        <v>1583.4</v>
      </c>
      <c r="AC17" s="517">
        <v>0</v>
      </c>
      <c r="AD17" s="517">
        <v>-200</v>
      </c>
      <c r="AE17" s="517">
        <v>-200</v>
      </c>
      <c r="AF17" s="517">
        <v>0</v>
      </c>
      <c r="AG17" s="517">
        <v>38200</v>
      </c>
      <c r="AH17" s="517">
        <v>37676</v>
      </c>
      <c r="AI17" s="517">
        <v>524</v>
      </c>
      <c r="AJ17" s="517">
        <v>830.27</v>
      </c>
      <c r="AK17" s="517">
        <v>830.27</v>
      </c>
      <c r="AL17" s="517">
        <v>0</v>
      </c>
      <c r="AM17" s="517">
        <v>36356.41</v>
      </c>
      <c r="AN17" s="517">
        <v>36356.41</v>
      </c>
      <c r="AO17" s="517">
        <v>0</v>
      </c>
      <c r="AP17" s="517">
        <v>141572.3051</v>
      </c>
      <c r="AQ17" s="517">
        <v>242515.61</v>
      </c>
      <c r="AR17" s="517">
        <v>-100943.3049</v>
      </c>
    </row>
    <row r="18" spans="1:44">
      <c r="A18" s="516" t="s">
        <v>1144</v>
      </c>
      <c r="B18" s="517">
        <v>10481.08</v>
      </c>
      <c r="C18" s="517">
        <v>9001.23</v>
      </c>
      <c r="D18" s="517">
        <v>9001.23</v>
      </c>
      <c r="E18" s="517">
        <v>0</v>
      </c>
      <c r="F18" s="517">
        <v>0</v>
      </c>
      <c r="G18" s="517"/>
      <c r="H18" s="517">
        <v>0</v>
      </c>
      <c r="I18" s="517">
        <v>0</v>
      </c>
      <c r="J18" s="517"/>
      <c r="K18" s="517">
        <v>0</v>
      </c>
      <c r="L18" s="517">
        <v>0</v>
      </c>
      <c r="M18" s="517"/>
      <c r="N18" s="517">
        <v>0</v>
      </c>
      <c r="O18" s="517">
        <v>0</v>
      </c>
      <c r="P18" s="517"/>
      <c r="Q18" s="517">
        <v>0</v>
      </c>
      <c r="R18" s="517">
        <v>0</v>
      </c>
      <c r="S18" s="517"/>
      <c r="T18" s="517">
        <v>0</v>
      </c>
      <c r="U18" s="517">
        <v>0</v>
      </c>
      <c r="V18" s="517"/>
      <c r="W18" s="517">
        <v>0</v>
      </c>
      <c r="X18" s="517">
        <v>1658.13</v>
      </c>
      <c r="Y18" s="517">
        <v>1658.13</v>
      </c>
      <c r="Z18" s="517">
        <v>0</v>
      </c>
      <c r="AA18" s="517">
        <v>2605.62</v>
      </c>
      <c r="AB18" s="517">
        <v>2605.62</v>
      </c>
      <c r="AC18" s="517">
        <v>0</v>
      </c>
      <c r="AD18" s="517">
        <v>0</v>
      </c>
      <c r="AE18" s="517">
        <v>0</v>
      </c>
      <c r="AF18" s="517">
        <v>0</v>
      </c>
      <c r="AG18" s="517">
        <v>0</v>
      </c>
      <c r="AH18" s="517"/>
      <c r="AI18" s="517">
        <v>0</v>
      </c>
      <c r="AJ18" s="517">
        <v>0</v>
      </c>
      <c r="AK18" s="517"/>
      <c r="AL18" s="517">
        <v>0</v>
      </c>
      <c r="AM18" s="517">
        <v>0</v>
      </c>
      <c r="AN18" s="517">
        <v>0</v>
      </c>
      <c r="AO18" s="517">
        <v>0</v>
      </c>
      <c r="AP18" s="517">
        <v>10481.08</v>
      </c>
      <c r="AQ18" s="517">
        <v>10481.08</v>
      </c>
      <c r="AR18" s="517">
        <v>0</v>
      </c>
    </row>
    <row r="19" spans="1:44">
      <c r="A19" s="516" t="s">
        <v>291</v>
      </c>
      <c r="B19" s="517">
        <v>12030.43</v>
      </c>
      <c r="C19" s="517">
        <v>14614.9272</v>
      </c>
      <c r="D19" s="517">
        <v>14614.9272</v>
      </c>
      <c r="E19" s="517">
        <v>0</v>
      </c>
      <c r="F19" s="517">
        <v>1217.9106</v>
      </c>
      <c r="G19" s="517">
        <v>1217.9106</v>
      </c>
      <c r="H19" s="517">
        <v>0</v>
      </c>
      <c r="I19" s="517">
        <v>0</v>
      </c>
      <c r="J19" s="517"/>
      <c r="K19" s="517">
        <v>0</v>
      </c>
      <c r="L19" s="517">
        <v>1217.9106</v>
      </c>
      <c r="M19" s="517">
        <v>1217.9106</v>
      </c>
      <c r="N19" s="517">
        <v>0</v>
      </c>
      <c r="O19" s="517">
        <v>1217.9106</v>
      </c>
      <c r="P19" s="517">
        <v>1217.9106</v>
      </c>
      <c r="Q19" s="517">
        <v>0</v>
      </c>
      <c r="R19" s="517">
        <v>1217.9106</v>
      </c>
      <c r="S19" s="517">
        <v>1217.9106</v>
      </c>
      <c r="T19" s="517">
        <v>0</v>
      </c>
      <c r="U19" s="517">
        <v>2435.8212</v>
      </c>
      <c r="V19" s="517">
        <v>2435.8212</v>
      </c>
      <c r="W19" s="517">
        <v>0</v>
      </c>
      <c r="X19" s="517">
        <v>6720.3605</v>
      </c>
      <c r="Y19" s="517">
        <v>6720.3605</v>
      </c>
      <c r="Z19" s="517">
        <v>0</v>
      </c>
      <c r="AA19" s="517">
        <v>4517.54722388575</v>
      </c>
      <c r="AB19" s="517">
        <v>4517.54722388575</v>
      </c>
      <c r="AC19" s="517">
        <v>0</v>
      </c>
      <c r="AD19" s="517">
        <v>2000</v>
      </c>
      <c r="AE19" s="517">
        <v>2000</v>
      </c>
      <c r="AF19" s="517">
        <v>0</v>
      </c>
      <c r="AG19" s="517">
        <v>0</v>
      </c>
      <c r="AH19" s="517"/>
      <c r="AI19" s="517">
        <v>0</v>
      </c>
      <c r="AJ19" s="517">
        <v>0</v>
      </c>
      <c r="AK19" s="517"/>
      <c r="AL19" s="517">
        <v>0</v>
      </c>
      <c r="AM19" s="517">
        <v>30158.93</v>
      </c>
      <c r="AN19" s="517">
        <v>30158.93</v>
      </c>
      <c r="AO19" s="517">
        <v>0</v>
      </c>
      <c r="AP19" s="517">
        <v>77349.6585238858</v>
      </c>
      <c r="AQ19" s="517">
        <v>77349.6585238858</v>
      </c>
      <c r="AR19" s="517">
        <v>0</v>
      </c>
    </row>
    <row r="20" spans="1:44">
      <c r="A20" s="516" t="s">
        <v>1174</v>
      </c>
      <c r="B20" s="517">
        <v>9616.08</v>
      </c>
      <c r="C20" s="517">
        <v>12197.304</v>
      </c>
      <c r="D20" s="517">
        <v>12197.304</v>
      </c>
      <c r="E20" s="517">
        <v>0</v>
      </c>
      <c r="F20" s="517">
        <v>0</v>
      </c>
      <c r="G20" s="517"/>
      <c r="H20" s="517">
        <v>0</v>
      </c>
      <c r="I20" s="517">
        <v>0</v>
      </c>
      <c r="J20" s="517"/>
      <c r="K20" s="517">
        <v>0</v>
      </c>
      <c r="L20" s="517">
        <v>0</v>
      </c>
      <c r="M20" s="517"/>
      <c r="N20" s="517">
        <v>0</v>
      </c>
      <c r="O20" s="517">
        <v>0</v>
      </c>
      <c r="P20" s="517"/>
      <c r="Q20" s="517">
        <v>0</v>
      </c>
      <c r="R20" s="517">
        <v>0</v>
      </c>
      <c r="S20" s="517"/>
      <c r="T20" s="517">
        <v>0</v>
      </c>
      <c r="U20" s="517">
        <v>0</v>
      </c>
      <c r="V20" s="517"/>
      <c r="W20" s="517">
        <v>0</v>
      </c>
      <c r="X20" s="517">
        <v>0</v>
      </c>
      <c r="Y20" s="517"/>
      <c r="Z20" s="517">
        <v>0</v>
      </c>
      <c r="AA20" s="517">
        <v>0</v>
      </c>
      <c r="AB20" s="517"/>
      <c r="AC20" s="517">
        <v>0</v>
      </c>
      <c r="AD20" s="517">
        <v>0</v>
      </c>
      <c r="AE20" s="517"/>
      <c r="AF20" s="517">
        <v>0</v>
      </c>
      <c r="AG20" s="517">
        <v>0</v>
      </c>
      <c r="AH20" s="517"/>
      <c r="AI20" s="517">
        <v>0</v>
      </c>
      <c r="AJ20" s="517">
        <v>0</v>
      </c>
      <c r="AK20" s="517"/>
      <c r="AL20" s="517">
        <v>0</v>
      </c>
      <c r="AM20" s="517">
        <v>0</v>
      </c>
      <c r="AN20" s="517">
        <v>0</v>
      </c>
      <c r="AO20" s="517">
        <v>0</v>
      </c>
      <c r="AP20" s="517">
        <v>21813.384</v>
      </c>
      <c r="AQ20" s="517">
        <v>21813.384</v>
      </c>
      <c r="AR20" s="517">
        <v>0</v>
      </c>
    </row>
    <row r="21" spans="1:44">
      <c r="A21" s="516" t="s">
        <v>1300</v>
      </c>
      <c r="B21" s="517">
        <v>312</v>
      </c>
      <c r="C21" s="517">
        <v>16438.04</v>
      </c>
      <c r="D21" s="517">
        <v>16438.04</v>
      </c>
      <c r="E21" s="517">
        <v>0</v>
      </c>
      <c r="F21" s="517">
        <v>0</v>
      </c>
      <c r="G21" s="517">
        <v>0</v>
      </c>
      <c r="H21" s="517">
        <v>0</v>
      </c>
      <c r="I21" s="517">
        <v>0</v>
      </c>
      <c r="J21" s="517">
        <v>0</v>
      </c>
      <c r="K21" s="517">
        <v>0</v>
      </c>
      <c r="L21" s="517">
        <v>0</v>
      </c>
      <c r="M21" s="517">
        <v>0</v>
      </c>
      <c r="N21" s="517">
        <v>0</v>
      </c>
      <c r="O21" s="517">
        <v>0</v>
      </c>
      <c r="P21" s="517">
        <v>0</v>
      </c>
      <c r="Q21" s="517">
        <v>0</v>
      </c>
      <c r="R21" s="517">
        <v>0</v>
      </c>
      <c r="S21" s="517">
        <v>0</v>
      </c>
      <c r="T21" s="517">
        <v>0</v>
      </c>
      <c r="U21" s="517">
        <v>0</v>
      </c>
      <c r="V21" s="517">
        <v>0</v>
      </c>
      <c r="W21" s="517">
        <v>0</v>
      </c>
      <c r="X21" s="517">
        <v>0</v>
      </c>
      <c r="Y21" s="517">
        <v>0</v>
      </c>
      <c r="Z21" s="517">
        <v>0</v>
      </c>
      <c r="AA21" s="517">
        <v>0</v>
      </c>
      <c r="AB21" s="517">
        <v>0</v>
      </c>
      <c r="AC21" s="517">
        <v>0</v>
      </c>
      <c r="AD21" s="517">
        <v>0</v>
      </c>
      <c r="AE21" s="517">
        <v>0</v>
      </c>
      <c r="AF21" s="517">
        <v>0</v>
      </c>
      <c r="AG21" s="517">
        <v>0</v>
      </c>
      <c r="AH21" s="517">
        <v>0</v>
      </c>
      <c r="AI21" s="517">
        <v>0</v>
      </c>
      <c r="AJ21" s="517">
        <v>0</v>
      </c>
      <c r="AK21" s="517">
        <v>0</v>
      </c>
      <c r="AL21" s="517">
        <v>0</v>
      </c>
      <c r="AM21" s="517">
        <v>0</v>
      </c>
      <c r="AN21" s="517">
        <v>0</v>
      </c>
      <c r="AO21" s="517">
        <v>0</v>
      </c>
      <c r="AP21" s="517">
        <v>312</v>
      </c>
      <c r="AQ21" s="517">
        <v>312</v>
      </c>
      <c r="AR21" s="517">
        <v>0</v>
      </c>
    </row>
    <row r="22" spans="1:44">
      <c r="A22" s="518" t="s">
        <v>946</v>
      </c>
      <c r="B22" s="517">
        <v>71039</v>
      </c>
      <c r="C22" s="517">
        <v>46955.3968</v>
      </c>
      <c r="D22" s="517">
        <v>46955.1</v>
      </c>
      <c r="E22" s="517">
        <v>0.296799999998257</v>
      </c>
      <c r="F22" s="517">
        <v>3995.0376</v>
      </c>
      <c r="G22" s="517">
        <v>3995.06</v>
      </c>
      <c r="H22" s="517">
        <v>3995.0376</v>
      </c>
      <c r="I22" s="517">
        <v>0</v>
      </c>
      <c r="J22" s="517">
        <v>0</v>
      </c>
      <c r="K22" s="517">
        <v>0</v>
      </c>
      <c r="L22" s="517">
        <v>7363.142</v>
      </c>
      <c r="M22" s="517">
        <v>7363.14</v>
      </c>
      <c r="N22" s="517">
        <v>0.00200000000018008</v>
      </c>
      <c r="O22" s="517">
        <v>3995.0376</v>
      </c>
      <c r="P22" s="517">
        <v>3995.06</v>
      </c>
      <c r="Q22" s="517">
        <v>-0.0223999999998341</v>
      </c>
      <c r="R22" s="517">
        <v>3995.0376</v>
      </c>
      <c r="S22" s="517">
        <v>3995.06</v>
      </c>
      <c r="T22" s="517">
        <v>-0.0223999999998341</v>
      </c>
      <c r="U22" s="517">
        <v>0</v>
      </c>
      <c r="V22" s="517">
        <v>0</v>
      </c>
      <c r="W22" s="517">
        <v>0</v>
      </c>
      <c r="X22" s="517">
        <v>28204</v>
      </c>
      <c r="Y22" s="517">
        <v>28204</v>
      </c>
      <c r="Z22" s="517">
        <v>-4.54747350886464e-13</v>
      </c>
      <c r="AA22" s="517">
        <v>2329</v>
      </c>
      <c r="AB22" s="517">
        <v>2329</v>
      </c>
      <c r="AC22" s="517">
        <v>-1.13686837721616e-13</v>
      </c>
      <c r="AD22" s="517">
        <v>0</v>
      </c>
      <c r="AE22" s="517">
        <v>0</v>
      </c>
      <c r="AF22" s="517">
        <v>0</v>
      </c>
      <c r="AG22" s="517">
        <v>0</v>
      </c>
      <c r="AH22" s="517">
        <v>0</v>
      </c>
      <c r="AI22" s="517">
        <v>0</v>
      </c>
      <c r="AJ22" s="517">
        <v>15601.28</v>
      </c>
      <c r="AK22" s="517">
        <v>15601.28</v>
      </c>
      <c r="AL22" s="517">
        <v>0</v>
      </c>
      <c r="AM22" s="517">
        <v>120224</v>
      </c>
      <c r="AN22" s="517">
        <v>120224</v>
      </c>
      <c r="AO22" s="517">
        <v>0</v>
      </c>
      <c r="AP22" s="517">
        <v>303700.9316</v>
      </c>
      <c r="AQ22" s="517">
        <v>303700.7</v>
      </c>
      <c r="AR22" s="517">
        <v>0.231600000000981</v>
      </c>
    </row>
    <row r="23" spans="1:44">
      <c r="A23" s="518" t="s">
        <v>985</v>
      </c>
      <c r="B23" s="517">
        <v>115662</v>
      </c>
      <c r="C23" s="517">
        <v>106121.9137</v>
      </c>
      <c r="D23" s="517">
        <v>107048.19</v>
      </c>
      <c r="E23" s="517">
        <v>-926.276300000012</v>
      </c>
      <c r="F23" s="517">
        <v>0</v>
      </c>
      <c r="G23" s="517">
        <v>0</v>
      </c>
      <c r="H23" s="517">
        <v>0</v>
      </c>
      <c r="I23" s="517">
        <v>0</v>
      </c>
      <c r="J23" s="517">
        <v>0</v>
      </c>
      <c r="K23" s="517">
        <v>0</v>
      </c>
      <c r="L23" s="517">
        <v>926.2728</v>
      </c>
      <c r="M23" s="517"/>
      <c r="N23" s="517">
        <v>926.2728</v>
      </c>
      <c r="O23" s="517">
        <v>0</v>
      </c>
      <c r="P23" s="517">
        <v>0</v>
      </c>
      <c r="Q23" s="517">
        <v>0</v>
      </c>
      <c r="R23" s="517">
        <v>0</v>
      </c>
      <c r="S23" s="517">
        <v>0</v>
      </c>
      <c r="T23" s="517">
        <v>0</v>
      </c>
      <c r="U23" s="517">
        <v>0</v>
      </c>
      <c r="V23" s="517">
        <v>0</v>
      </c>
      <c r="W23" s="517">
        <v>0</v>
      </c>
      <c r="X23" s="517">
        <v>17372.47</v>
      </c>
      <c r="Y23" s="517">
        <v>17372.47</v>
      </c>
      <c r="Z23" s="517">
        <v>0</v>
      </c>
      <c r="AA23" s="517">
        <v>12379.64</v>
      </c>
      <c r="AB23" s="517">
        <v>12379.64</v>
      </c>
      <c r="AC23" s="517">
        <v>0</v>
      </c>
      <c r="AD23" s="517">
        <v>0</v>
      </c>
      <c r="AE23" s="517">
        <v>0</v>
      </c>
      <c r="AF23" s="517">
        <v>0</v>
      </c>
      <c r="AG23" s="517">
        <v>0</v>
      </c>
      <c r="AH23" s="517">
        <v>0</v>
      </c>
      <c r="AI23" s="517">
        <v>0</v>
      </c>
      <c r="AJ23" s="517">
        <v>0</v>
      </c>
      <c r="AK23" s="517">
        <v>0</v>
      </c>
      <c r="AL23" s="517">
        <v>0</v>
      </c>
      <c r="AM23" s="517">
        <v>160180</v>
      </c>
      <c r="AN23" s="517">
        <v>160180</v>
      </c>
      <c r="AO23" s="517">
        <v>0</v>
      </c>
      <c r="AP23" s="517">
        <v>412642.2965</v>
      </c>
      <c r="AQ23" s="517">
        <v>412642.3</v>
      </c>
      <c r="AR23" s="517">
        <v>-0.00350000001344597</v>
      </c>
    </row>
    <row r="24" spans="1:44">
      <c r="A24" s="518" t="s">
        <v>876</v>
      </c>
      <c r="B24" s="517">
        <v>126169.66</v>
      </c>
      <c r="C24" s="517">
        <v>61142.4911</v>
      </c>
      <c r="D24" s="517">
        <v>61142.5</v>
      </c>
      <c r="E24" s="517">
        <v>-0.00890000000163127</v>
      </c>
      <c r="F24" s="517">
        <v>0</v>
      </c>
      <c r="G24" s="517">
        <v>0</v>
      </c>
      <c r="H24" s="517">
        <v>0</v>
      </c>
      <c r="I24" s="517">
        <v>0</v>
      </c>
      <c r="J24" s="517">
        <v>0</v>
      </c>
      <c r="K24" s="517">
        <v>0</v>
      </c>
      <c r="L24" s="517">
        <v>0</v>
      </c>
      <c r="M24" s="517">
        <v>0</v>
      </c>
      <c r="N24" s="517">
        <v>0</v>
      </c>
      <c r="O24" s="517">
        <v>0</v>
      </c>
      <c r="P24" s="517">
        <v>0</v>
      </c>
      <c r="Q24" s="517">
        <v>0</v>
      </c>
      <c r="R24" s="517">
        <v>0</v>
      </c>
      <c r="S24" s="517">
        <v>0</v>
      </c>
      <c r="T24" s="517">
        <v>0</v>
      </c>
      <c r="U24" s="517">
        <v>0</v>
      </c>
      <c r="V24" s="517">
        <v>0</v>
      </c>
      <c r="W24" s="517">
        <v>0</v>
      </c>
      <c r="X24" s="517">
        <v>8956.4117</v>
      </c>
      <c r="Y24" s="517">
        <v>8956.5</v>
      </c>
      <c r="Z24" s="517">
        <v>-0.0883000000003449</v>
      </c>
      <c r="AA24" s="517">
        <v>8956.4117</v>
      </c>
      <c r="AB24" s="517">
        <v>8956.5</v>
      </c>
      <c r="AC24" s="517">
        <v>-0.0883000000003449</v>
      </c>
      <c r="AD24" s="517">
        <v>0</v>
      </c>
      <c r="AE24" s="517">
        <v>0</v>
      </c>
      <c r="AF24" s="517">
        <v>0</v>
      </c>
      <c r="AG24" s="517">
        <v>0</v>
      </c>
      <c r="AH24" s="517">
        <v>0</v>
      </c>
      <c r="AI24" s="517">
        <v>0</v>
      </c>
      <c r="AJ24" s="517">
        <v>0</v>
      </c>
      <c r="AK24" s="517">
        <v>0</v>
      </c>
      <c r="AL24" s="517">
        <v>0</v>
      </c>
      <c r="AM24" s="517">
        <v>105898.2</v>
      </c>
      <c r="AN24" s="517">
        <v>105898.2</v>
      </c>
      <c r="AO24" s="517">
        <v>0</v>
      </c>
      <c r="AP24" s="517">
        <v>311123.1745</v>
      </c>
      <c r="AQ24" s="517">
        <v>311123.36</v>
      </c>
      <c r="AR24" s="517">
        <v>-0.185499999994136</v>
      </c>
    </row>
    <row r="25" spans="1:44">
      <c r="A25" s="516" t="s">
        <v>1248</v>
      </c>
      <c r="B25" s="517">
        <v>84222.93</v>
      </c>
      <c r="C25" s="517">
        <v>112086.0828</v>
      </c>
      <c r="D25" s="517">
        <v>112086.0828</v>
      </c>
      <c r="E25" s="517">
        <v>0</v>
      </c>
      <c r="F25" s="517">
        <v>0</v>
      </c>
      <c r="G25" s="517"/>
      <c r="H25" s="517">
        <v>0</v>
      </c>
      <c r="I25" s="517">
        <v>0</v>
      </c>
      <c r="J25" s="517"/>
      <c r="K25" s="517">
        <v>0</v>
      </c>
      <c r="L25" s="517">
        <v>0</v>
      </c>
      <c r="M25" s="517"/>
      <c r="N25" s="517">
        <v>0</v>
      </c>
      <c r="O25" s="517">
        <v>0</v>
      </c>
      <c r="P25" s="517"/>
      <c r="Q25" s="517">
        <v>0</v>
      </c>
      <c r="R25" s="517">
        <v>0</v>
      </c>
      <c r="S25" s="517"/>
      <c r="T25" s="517">
        <v>0</v>
      </c>
      <c r="U25" s="517">
        <v>0</v>
      </c>
      <c r="V25" s="517"/>
      <c r="W25" s="517">
        <v>0</v>
      </c>
      <c r="X25" s="517">
        <v>17306.5278</v>
      </c>
      <c r="Y25" s="517">
        <v>17306.5278</v>
      </c>
      <c r="Z25" s="517">
        <v>0</v>
      </c>
      <c r="AA25" s="517">
        <v>0</v>
      </c>
      <c r="AB25" s="517"/>
      <c r="AC25" s="517">
        <v>0</v>
      </c>
      <c r="AD25" s="517">
        <v>1750</v>
      </c>
      <c r="AE25" s="517">
        <v>1750</v>
      </c>
      <c r="AF25" s="517">
        <v>0</v>
      </c>
      <c r="AG25" s="517">
        <v>9500</v>
      </c>
      <c r="AH25" s="517">
        <v>9500</v>
      </c>
      <c r="AI25" s="517">
        <v>0</v>
      </c>
      <c r="AJ25" s="517">
        <v>0</v>
      </c>
      <c r="AK25" s="517"/>
      <c r="AL25" s="517">
        <v>0</v>
      </c>
      <c r="AM25" s="517">
        <v>93585.45</v>
      </c>
      <c r="AN25" s="517">
        <v>93585.45</v>
      </c>
      <c r="AO25" s="517">
        <v>0</v>
      </c>
      <c r="AP25" s="517">
        <v>318450.9906</v>
      </c>
      <c r="AQ25" s="517">
        <v>318450.9906</v>
      </c>
      <c r="AR25" s="517">
        <v>0</v>
      </c>
    </row>
    <row r="26" spans="1:44">
      <c r="A26" s="516" t="s">
        <v>337</v>
      </c>
      <c r="B26" s="517">
        <v>22818.83</v>
      </c>
      <c r="C26" s="517">
        <v>58897.66</v>
      </c>
      <c r="D26" s="517">
        <v>58897.66</v>
      </c>
      <c r="E26" s="517">
        <v>0</v>
      </c>
      <c r="F26" s="517">
        <v>0</v>
      </c>
      <c r="G26" s="517"/>
      <c r="H26" s="517">
        <v>0</v>
      </c>
      <c r="I26" s="517">
        <v>0</v>
      </c>
      <c r="J26" s="517"/>
      <c r="K26" s="517">
        <v>0</v>
      </c>
      <c r="L26" s="517">
        <v>0</v>
      </c>
      <c r="M26" s="517"/>
      <c r="N26" s="517">
        <v>0</v>
      </c>
      <c r="O26" s="517">
        <v>0</v>
      </c>
      <c r="P26" s="517"/>
      <c r="Q26" s="517">
        <v>0</v>
      </c>
      <c r="R26" s="517">
        <v>0</v>
      </c>
      <c r="S26" s="517"/>
      <c r="T26" s="517">
        <v>0</v>
      </c>
      <c r="U26" s="517">
        <v>2400</v>
      </c>
      <c r="V26" s="517">
        <v>2400</v>
      </c>
      <c r="W26" s="517">
        <v>0</v>
      </c>
      <c r="X26" s="517">
        <v>8334.5775</v>
      </c>
      <c r="Y26" s="517">
        <v>8334.5775</v>
      </c>
      <c r="Z26" s="517">
        <v>0</v>
      </c>
      <c r="AA26" s="517">
        <v>11112.77</v>
      </c>
      <c r="AB26" s="517">
        <v>11112.77</v>
      </c>
      <c r="AC26" s="517">
        <v>0</v>
      </c>
      <c r="AD26" s="517">
        <v>500</v>
      </c>
      <c r="AE26" s="517">
        <v>500</v>
      </c>
      <c r="AF26" s="517">
        <v>0</v>
      </c>
      <c r="AG26" s="517">
        <v>0</v>
      </c>
      <c r="AH26" s="517"/>
      <c r="AI26" s="517">
        <v>0</v>
      </c>
      <c r="AJ26" s="517">
        <v>0</v>
      </c>
      <c r="AK26" s="517"/>
      <c r="AL26" s="517">
        <v>0</v>
      </c>
      <c r="AM26" s="517">
        <v>65906.6699999999</v>
      </c>
      <c r="AN26" s="517">
        <v>65906.6699999999</v>
      </c>
      <c r="AO26" s="517">
        <v>0</v>
      </c>
      <c r="AP26" s="517">
        <v>169970.5075</v>
      </c>
      <c r="AQ26" s="517">
        <v>169970.5075</v>
      </c>
      <c r="AR26" s="517">
        <v>0</v>
      </c>
    </row>
    <row r="27" spans="1:44">
      <c r="A27" s="516" t="s">
        <v>247</v>
      </c>
      <c r="B27" s="517">
        <v>7306.36</v>
      </c>
      <c r="C27" s="517">
        <v>0</v>
      </c>
      <c r="D27" s="517"/>
      <c r="E27" s="517">
        <v>0</v>
      </c>
      <c r="F27" s="517">
        <v>0</v>
      </c>
      <c r="G27" s="517"/>
      <c r="H27" s="517">
        <v>0</v>
      </c>
      <c r="I27" s="517">
        <v>0</v>
      </c>
      <c r="J27" s="517"/>
      <c r="K27" s="517">
        <v>0</v>
      </c>
      <c r="L27" s="517">
        <v>0</v>
      </c>
      <c r="M27" s="517"/>
      <c r="N27" s="517">
        <v>0</v>
      </c>
      <c r="O27" s="517">
        <v>0</v>
      </c>
      <c r="P27" s="517"/>
      <c r="Q27" s="517">
        <v>0</v>
      </c>
      <c r="R27" s="517">
        <v>0</v>
      </c>
      <c r="S27" s="517"/>
      <c r="T27" s="517">
        <v>0</v>
      </c>
      <c r="U27" s="517">
        <v>0</v>
      </c>
      <c r="V27" s="517"/>
      <c r="W27" s="517">
        <v>0</v>
      </c>
      <c r="X27" s="517">
        <v>0</v>
      </c>
      <c r="Y27" s="517"/>
      <c r="Z27" s="517">
        <v>0</v>
      </c>
      <c r="AA27" s="517">
        <v>0</v>
      </c>
      <c r="AB27" s="517"/>
      <c r="AC27" s="517">
        <v>0</v>
      </c>
      <c r="AD27" s="517">
        <v>0</v>
      </c>
      <c r="AE27" s="517"/>
      <c r="AF27" s="517">
        <v>0</v>
      </c>
      <c r="AG27" s="517">
        <v>0</v>
      </c>
      <c r="AH27" s="517"/>
      <c r="AI27" s="517">
        <v>0</v>
      </c>
      <c r="AJ27" s="517">
        <v>0</v>
      </c>
      <c r="AK27" s="517"/>
      <c r="AL27" s="517">
        <v>0</v>
      </c>
      <c r="AM27" s="517">
        <v>0</v>
      </c>
      <c r="AN27" s="517"/>
      <c r="AO27" s="517">
        <v>0</v>
      </c>
      <c r="AP27" s="517">
        <v>7306.36</v>
      </c>
      <c r="AQ27" s="517">
        <v>7306.36</v>
      </c>
      <c r="AR27" s="517">
        <v>0</v>
      </c>
    </row>
    <row r="28" spans="1:44">
      <c r="A28" s="518" t="s">
        <v>922</v>
      </c>
      <c r="B28" s="517">
        <v>42358.02</v>
      </c>
      <c r="C28" s="517">
        <v>9329.69225</v>
      </c>
      <c r="D28" s="517">
        <v>9328.97</v>
      </c>
      <c r="E28" s="517">
        <v>0.722249999999576</v>
      </c>
      <c r="F28" s="517">
        <v>0</v>
      </c>
      <c r="G28" s="517">
        <v>0</v>
      </c>
      <c r="H28" s="517">
        <v>0</v>
      </c>
      <c r="I28" s="517">
        <v>0</v>
      </c>
      <c r="J28" s="517">
        <v>0</v>
      </c>
      <c r="K28" s="517">
        <v>0</v>
      </c>
      <c r="L28" s="517">
        <v>0</v>
      </c>
      <c r="M28" s="517">
        <v>0</v>
      </c>
      <c r="N28" s="517">
        <v>0</v>
      </c>
      <c r="O28" s="517">
        <v>0</v>
      </c>
      <c r="P28" s="517">
        <v>0</v>
      </c>
      <c r="Q28" s="517">
        <v>0</v>
      </c>
      <c r="R28" s="517">
        <v>0</v>
      </c>
      <c r="S28" s="517">
        <v>0</v>
      </c>
      <c r="T28" s="517">
        <v>0</v>
      </c>
      <c r="U28" s="517">
        <v>0</v>
      </c>
      <c r="V28" s="517">
        <v>0</v>
      </c>
      <c r="W28" s="517">
        <v>0</v>
      </c>
      <c r="X28" s="517">
        <v>3000</v>
      </c>
      <c r="Y28" s="517">
        <v>700</v>
      </c>
      <c r="Z28" s="517">
        <v>2300</v>
      </c>
      <c r="AA28" s="517">
        <v>4000</v>
      </c>
      <c r="AB28" s="517">
        <v>1000</v>
      </c>
      <c r="AC28" s="517">
        <v>3000</v>
      </c>
      <c r="AD28" s="517">
        <v>0</v>
      </c>
      <c r="AE28" s="517">
        <v>0</v>
      </c>
      <c r="AF28" s="517">
        <v>0</v>
      </c>
      <c r="AG28" s="517">
        <v>0</v>
      </c>
      <c r="AH28" s="517">
        <v>0</v>
      </c>
      <c r="AI28" s="517">
        <v>0</v>
      </c>
      <c r="AJ28" s="517">
        <v>0</v>
      </c>
      <c r="AK28" s="517">
        <v>0</v>
      </c>
      <c r="AL28" s="517">
        <v>0</v>
      </c>
      <c r="AM28" s="517">
        <v>27164.54</v>
      </c>
      <c r="AN28" s="517">
        <v>27164.54</v>
      </c>
      <c r="AO28" s="517">
        <v>0</v>
      </c>
      <c r="AP28" s="517">
        <v>85852.25225</v>
      </c>
      <c r="AQ28" s="517">
        <v>80551.53</v>
      </c>
      <c r="AR28" s="517">
        <v>5300.72225</v>
      </c>
    </row>
    <row r="29" spans="1:44">
      <c r="A29" s="516" t="s">
        <v>79</v>
      </c>
      <c r="B29" s="517">
        <v>43140.84</v>
      </c>
      <c r="C29" s="517">
        <v>4092.4344</v>
      </c>
      <c r="D29" s="517">
        <v>4092.4344</v>
      </c>
      <c r="E29" s="517">
        <v>0</v>
      </c>
      <c r="F29" s="517">
        <v>1328.4694</v>
      </c>
      <c r="G29" s="517">
        <v>1328.4694</v>
      </c>
      <c r="H29" s="517">
        <v>-1.4210854715202e-14</v>
      </c>
      <c r="I29" s="517">
        <v>0</v>
      </c>
      <c r="J29" s="517">
        <v>0</v>
      </c>
      <c r="K29" s="517">
        <v>0</v>
      </c>
      <c r="L29" s="517">
        <v>2549.9126</v>
      </c>
      <c r="M29" s="517">
        <v>2549.9126</v>
      </c>
      <c r="N29" s="517">
        <v>0</v>
      </c>
      <c r="O29" s="517">
        <v>2228.834</v>
      </c>
      <c r="P29" s="517">
        <v>2228.834</v>
      </c>
      <c r="Q29" s="517">
        <v>0</v>
      </c>
      <c r="R29" s="517">
        <v>0</v>
      </c>
      <c r="S29" s="517">
        <v>0</v>
      </c>
      <c r="T29" s="517">
        <v>0</v>
      </c>
      <c r="U29" s="517">
        <v>2335.8602</v>
      </c>
      <c r="V29" s="517">
        <v>2335.8602</v>
      </c>
      <c r="W29" s="517">
        <v>-1.4210854715202e-14</v>
      </c>
      <c r="X29" s="517">
        <v>0</v>
      </c>
      <c r="Y29" s="517">
        <v>0</v>
      </c>
      <c r="Z29" s="517">
        <v>0</v>
      </c>
      <c r="AA29" s="517">
        <v>260.7768</v>
      </c>
      <c r="AB29" s="517">
        <v>260.7768</v>
      </c>
      <c r="AC29" s="517">
        <v>0</v>
      </c>
      <c r="AD29" s="517">
        <v>6592.2916</v>
      </c>
      <c r="AE29" s="517">
        <v>6592.2916</v>
      </c>
      <c r="AF29" s="517">
        <v>0</v>
      </c>
      <c r="AG29" s="517">
        <v>0</v>
      </c>
      <c r="AH29" s="517">
        <v>0</v>
      </c>
      <c r="AI29" s="517">
        <v>0</v>
      </c>
      <c r="AJ29" s="517">
        <v>0</v>
      </c>
      <c r="AK29" s="517">
        <v>0</v>
      </c>
      <c r="AL29" s="517">
        <v>0</v>
      </c>
      <c r="AM29" s="517">
        <v>99898.24</v>
      </c>
      <c r="AN29" s="517">
        <v>99898.24</v>
      </c>
      <c r="AO29" s="517">
        <v>0</v>
      </c>
      <c r="AP29" s="517">
        <v>162427.659</v>
      </c>
      <c r="AQ29" s="517">
        <v>162427.659</v>
      </c>
      <c r="AR29" s="517">
        <v>6.96331881044898e-12</v>
      </c>
    </row>
    <row r="30" spans="1:44">
      <c r="A30" s="516" t="s">
        <v>1059</v>
      </c>
      <c r="B30" s="517">
        <v>51769.07</v>
      </c>
      <c r="C30" s="517">
        <v>29865.6353</v>
      </c>
      <c r="D30" s="517">
        <v>29865.6353</v>
      </c>
      <c r="E30" s="517">
        <v>0</v>
      </c>
      <c r="F30" s="517">
        <v>2303.8361</v>
      </c>
      <c r="G30" s="517">
        <v>2303.8361</v>
      </c>
      <c r="H30" s="517">
        <v>0</v>
      </c>
      <c r="I30" s="517">
        <v>0</v>
      </c>
      <c r="J30" s="517">
        <v>0</v>
      </c>
      <c r="K30" s="517">
        <v>0</v>
      </c>
      <c r="L30" s="517">
        <v>2303.8361</v>
      </c>
      <c r="M30" s="517">
        <v>2303.8361</v>
      </c>
      <c r="N30" s="517">
        <v>0</v>
      </c>
      <c r="O30" s="517">
        <v>2303.8361</v>
      </c>
      <c r="P30" s="517">
        <v>2303.8361</v>
      </c>
      <c r="Q30" s="517">
        <v>0</v>
      </c>
      <c r="R30" s="517">
        <v>0</v>
      </c>
      <c r="S30" s="517">
        <v>0</v>
      </c>
      <c r="T30" s="517">
        <v>0</v>
      </c>
      <c r="U30" s="517">
        <v>0</v>
      </c>
      <c r="V30" s="517">
        <v>0</v>
      </c>
      <c r="W30" s="517">
        <v>0</v>
      </c>
      <c r="X30" s="517">
        <v>3633.33</v>
      </c>
      <c r="Y30" s="517">
        <v>3633.33</v>
      </c>
      <c r="Z30" s="517">
        <v>0</v>
      </c>
      <c r="AA30" s="517">
        <v>16126.8527</v>
      </c>
      <c r="AB30" s="517">
        <v>16126.8527</v>
      </c>
      <c r="AC30" s="517">
        <v>0</v>
      </c>
      <c r="AD30" s="517">
        <v>5145.05</v>
      </c>
      <c r="AE30" s="517">
        <v>5145.05</v>
      </c>
      <c r="AF30" s="517">
        <v>0</v>
      </c>
      <c r="AG30" s="517">
        <v>0</v>
      </c>
      <c r="AH30" s="517">
        <v>0</v>
      </c>
      <c r="AI30" s="517">
        <v>0</v>
      </c>
      <c r="AJ30" s="517">
        <v>0</v>
      </c>
      <c r="AK30" s="517">
        <v>0</v>
      </c>
      <c r="AL30" s="517">
        <v>0</v>
      </c>
      <c r="AM30" s="517">
        <v>108379.57</v>
      </c>
      <c r="AN30" s="517">
        <v>108379.57</v>
      </c>
      <c r="AO30" s="517">
        <v>0</v>
      </c>
      <c r="AP30" s="517">
        <v>221831.0163</v>
      </c>
      <c r="AQ30" s="517">
        <v>221831.0163</v>
      </c>
      <c r="AR30" s="517">
        <v>0</v>
      </c>
    </row>
    <row r="31" spans="1:44">
      <c r="A31" s="516" t="s">
        <v>1080</v>
      </c>
      <c r="B31" s="517"/>
      <c r="C31" s="517"/>
      <c r="D31" s="517"/>
      <c r="E31" s="517"/>
      <c r="F31" s="517"/>
      <c r="G31" s="517"/>
      <c r="H31" s="517"/>
      <c r="I31" s="517"/>
      <c r="J31" s="517"/>
      <c r="K31" s="517"/>
      <c r="L31" s="517"/>
      <c r="M31" s="517"/>
      <c r="N31" s="517"/>
      <c r="O31" s="517"/>
      <c r="P31" s="517"/>
      <c r="Q31" s="517"/>
      <c r="R31" s="517"/>
      <c r="S31" s="517"/>
      <c r="T31" s="517"/>
      <c r="U31" s="517"/>
      <c r="V31" s="517"/>
      <c r="W31" s="517"/>
      <c r="X31" s="517"/>
      <c r="Y31" s="517"/>
      <c r="Z31" s="517"/>
      <c r="AA31" s="517"/>
      <c r="AB31" s="517"/>
      <c r="AC31" s="517"/>
      <c r="AD31" s="517"/>
      <c r="AE31" s="517"/>
      <c r="AF31" s="517"/>
      <c r="AG31" s="517"/>
      <c r="AH31" s="517"/>
      <c r="AI31" s="517"/>
      <c r="AJ31" s="517"/>
      <c r="AK31" s="517"/>
      <c r="AL31" s="517"/>
      <c r="AM31" s="517"/>
      <c r="AN31" s="517"/>
      <c r="AO31" s="517"/>
      <c r="AP31" s="517"/>
      <c r="AQ31" s="517"/>
      <c r="AR31" s="517"/>
    </row>
    <row r="32" spans="1:44">
      <c r="A32" s="516" t="s">
        <v>1084</v>
      </c>
      <c r="B32" s="517"/>
      <c r="C32" s="517">
        <v>0</v>
      </c>
      <c r="D32" s="517"/>
      <c r="E32" s="517">
        <v>0</v>
      </c>
      <c r="F32" s="517">
        <v>0</v>
      </c>
      <c r="G32" s="517"/>
      <c r="H32" s="517">
        <v>0</v>
      </c>
      <c r="I32" s="517">
        <v>0</v>
      </c>
      <c r="J32" s="517"/>
      <c r="K32" s="517">
        <v>0</v>
      </c>
      <c r="L32" s="517">
        <v>0</v>
      </c>
      <c r="M32" s="517"/>
      <c r="N32" s="517">
        <v>0</v>
      </c>
      <c r="O32" s="517">
        <v>0</v>
      </c>
      <c r="P32" s="517"/>
      <c r="Q32" s="517">
        <v>0</v>
      </c>
      <c r="R32" s="517">
        <v>0</v>
      </c>
      <c r="S32" s="517"/>
      <c r="T32" s="517">
        <v>0</v>
      </c>
      <c r="U32" s="517">
        <v>0</v>
      </c>
      <c r="V32" s="517"/>
      <c r="W32" s="517">
        <v>0</v>
      </c>
      <c r="X32" s="517">
        <v>0</v>
      </c>
      <c r="Y32" s="517"/>
      <c r="Z32" s="517">
        <v>0</v>
      </c>
      <c r="AA32" s="517">
        <v>0</v>
      </c>
      <c r="AB32" s="517"/>
      <c r="AC32" s="517">
        <v>0</v>
      </c>
      <c r="AD32" s="517">
        <v>0</v>
      </c>
      <c r="AE32" s="517"/>
      <c r="AF32" s="517">
        <v>0</v>
      </c>
      <c r="AG32" s="517">
        <v>0</v>
      </c>
      <c r="AH32" s="517"/>
      <c r="AI32" s="517">
        <v>0</v>
      </c>
      <c r="AJ32" s="517">
        <v>0</v>
      </c>
      <c r="AK32" s="517"/>
      <c r="AL32" s="517">
        <v>0</v>
      </c>
      <c r="AM32" s="517">
        <v>0</v>
      </c>
      <c r="AN32" s="517"/>
      <c r="AO32" s="517">
        <v>0</v>
      </c>
      <c r="AP32" s="517">
        <v>0</v>
      </c>
      <c r="AQ32" s="517">
        <v>0</v>
      </c>
      <c r="AR32" s="517">
        <v>0</v>
      </c>
    </row>
    <row r="33" spans="1:44">
      <c r="A33" s="516" t="s">
        <v>1026</v>
      </c>
      <c r="B33" s="517">
        <v>46748.49</v>
      </c>
      <c r="C33" s="517">
        <v>35013.1349</v>
      </c>
      <c r="D33" s="517">
        <v>35013.1349</v>
      </c>
      <c r="E33" s="517">
        <v>-3.63797880709171e-12</v>
      </c>
      <c r="F33" s="517">
        <v>0</v>
      </c>
      <c r="G33" s="517">
        <v>0</v>
      </c>
      <c r="H33" s="517">
        <v>0</v>
      </c>
      <c r="I33" s="517">
        <v>5049.9382</v>
      </c>
      <c r="J33" s="517">
        <v>5049.9382</v>
      </c>
      <c r="K33" s="517">
        <v>0</v>
      </c>
      <c r="L33" s="517">
        <v>0</v>
      </c>
      <c r="M33" s="517">
        <v>0</v>
      </c>
      <c r="N33" s="517">
        <v>0</v>
      </c>
      <c r="O33" s="517">
        <v>0</v>
      </c>
      <c r="P33" s="517">
        <v>0</v>
      </c>
      <c r="Q33" s="517">
        <v>0</v>
      </c>
      <c r="R33" s="517">
        <v>0</v>
      </c>
      <c r="S33" s="517">
        <v>0</v>
      </c>
      <c r="T33" s="517">
        <v>0</v>
      </c>
      <c r="U33" s="517">
        <v>0</v>
      </c>
      <c r="V33" s="517">
        <v>0</v>
      </c>
      <c r="W33" s="517">
        <v>0</v>
      </c>
      <c r="X33" s="517">
        <v>5049.9382</v>
      </c>
      <c r="Y33" s="517">
        <v>5049.9382</v>
      </c>
      <c r="Z33" s="517">
        <v>0</v>
      </c>
      <c r="AA33" s="517">
        <v>17674.7837</v>
      </c>
      <c r="AB33" s="517">
        <v>17674.79</v>
      </c>
      <c r="AC33" s="517">
        <v>-0.00630000000091968</v>
      </c>
      <c r="AD33" s="517">
        <v>0</v>
      </c>
      <c r="AE33" s="517">
        <v>0</v>
      </c>
      <c r="AF33" s="517">
        <v>0</v>
      </c>
      <c r="AG33" s="517">
        <v>0</v>
      </c>
      <c r="AH33" s="517">
        <v>0</v>
      </c>
      <c r="AI33" s="517">
        <v>0</v>
      </c>
      <c r="AJ33" s="517">
        <v>0</v>
      </c>
      <c r="AK33" s="517">
        <v>0</v>
      </c>
      <c r="AL33" s="517">
        <v>0</v>
      </c>
      <c r="AM33" s="517">
        <v>123692.08</v>
      </c>
      <c r="AN33" s="517">
        <v>123692.08</v>
      </c>
      <c r="AO33" s="517">
        <v>0</v>
      </c>
      <c r="AP33" s="517">
        <v>233228.365</v>
      </c>
      <c r="AQ33" s="517">
        <v>233228.3713</v>
      </c>
      <c r="AR33" s="517">
        <v>-0.00630000000091968</v>
      </c>
    </row>
    <row r="34" spans="1:44">
      <c r="A34" s="516" t="s">
        <v>1102</v>
      </c>
      <c r="B34" s="517">
        <v>192792.35</v>
      </c>
      <c r="C34" s="517">
        <v>34459.25</v>
      </c>
      <c r="D34" s="517">
        <v>34459.25</v>
      </c>
      <c r="E34" s="517">
        <v>0</v>
      </c>
      <c r="F34" s="517">
        <v>0</v>
      </c>
      <c r="G34" s="517"/>
      <c r="H34" s="517">
        <v>0</v>
      </c>
      <c r="I34" s="517">
        <v>0</v>
      </c>
      <c r="J34" s="517"/>
      <c r="K34" s="517">
        <v>0</v>
      </c>
      <c r="L34" s="517">
        <v>0</v>
      </c>
      <c r="M34" s="517"/>
      <c r="N34" s="517">
        <v>0</v>
      </c>
      <c r="O34" s="517">
        <v>0</v>
      </c>
      <c r="P34" s="517"/>
      <c r="Q34" s="517">
        <v>0</v>
      </c>
      <c r="R34" s="517">
        <v>0</v>
      </c>
      <c r="S34" s="517"/>
      <c r="T34" s="517">
        <v>0</v>
      </c>
      <c r="U34" s="517">
        <v>0</v>
      </c>
      <c r="V34" s="517"/>
      <c r="W34" s="517">
        <v>0</v>
      </c>
      <c r="X34" s="517">
        <v>0</v>
      </c>
      <c r="Y34" s="517"/>
      <c r="Z34" s="517">
        <v>0</v>
      </c>
      <c r="AA34" s="517">
        <v>0</v>
      </c>
      <c r="AB34" s="517">
        <v>0</v>
      </c>
      <c r="AC34" s="517">
        <v>0</v>
      </c>
      <c r="AD34" s="517">
        <v>0</v>
      </c>
      <c r="AE34" s="517"/>
      <c r="AF34" s="517">
        <v>0</v>
      </c>
      <c r="AG34" s="517">
        <v>0</v>
      </c>
      <c r="AH34" s="517"/>
      <c r="AI34" s="517">
        <v>0</v>
      </c>
      <c r="AJ34" s="517">
        <v>0</v>
      </c>
      <c r="AK34" s="517"/>
      <c r="AL34" s="517">
        <v>0</v>
      </c>
      <c r="AM34" s="517">
        <v>66161.76</v>
      </c>
      <c r="AN34" s="517">
        <v>66161.76</v>
      </c>
      <c r="AO34" s="517">
        <v>0</v>
      </c>
      <c r="AP34" s="517">
        <v>293413.36</v>
      </c>
      <c r="AQ34" s="517">
        <v>293413.36</v>
      </c>
      <c r="AR34" s="517">
        <v>0</v>
      </c>
    </row>
    <row r="35" spans="1:44">
      <c r="A35" s="516" t="s">
        <v>1096</v>
      </c>
      <c r="B35" s="517">
        <v>221257.16</v>
      </c>
      <c r="C35" s="517">
        <v>5107.4</v>
      </c>
      <c r="D35" s="517">
        <v>5107.4</v>
      </c>
      <c r="E35" s="517">
        <v>0</v>
      </c>
      <c r="F35" s="517">
        <v>0</v>
      </c>
      <c r="G35" s="517"/>
      <c r="H35" s="517">
        <v>0</v>
      </c>
      <c r="I35" s="517">
        <v>0</v>
      </c>
      <c r="J35" s="517"/>
      <c r="K35" s="517">
        <v>0</v>
      </c>
      <c r="L35" s="517">
        <v>0</v>
      </c>
      <c r="M35" s="517"/>
      <c r="N35" s="517">
        <v>0</v>
      </c>
      <c r="O35" s="517">
        <v>0</v>
      </c>
      <c r="P35" s="517"/>
      <c r="Q35" s="517">
        <v>0</v>
      </c>
      <c r="R35" s="517">
        <v>0</v>
      </c>
      <c r="S35" s="517"/>
      <c r="T35" s="517">
        <v>0</v>
      </c>
      <c r="U35" s="517">
        <v>0</v>
      </c>
      <c r="V35" s="517"/>
      <c r="W35" s="517">
        <v>0</v>
      </c>
      <c r="X35" s="517">
        <v>0</v>
      </c>
      <c r="Y35" s="517"/>
      <c r="Z35" s="517">
        <v>0</v>
      </c>
      <c r="AA35" s="517">
        <v>0</v>
      </c>
      <c r="AB35" s="517"/>
      <c r="AC35" s="517">
        <v>0</v>
      </c>
      <c r="AD35" s="517">
        <v>0</v>
      </c>
      <c r="AE35" s="517"/>
      <c r="AF35" s="517">
        <v>0</v>
      </c>
      <c r="AG35" s="517">
        <v>0</v>
      </c>
      <c r="AH35" s="517"/>
      <c r="AI35" s="517">
        <v>0</v>
      </c>
      <c r="AJ35" s="517">
        <v>0</v>
      </c>
      <c r="AK35" s="517"/>
      <c r="AL35" s="517">
        <v>0</v>
      </c>
      <c r="AM35" s="517">
        <v>62294.72</v>
      </c>
      <c r="AN35" s="517">
        <v>62294.72</v>
      </c>
      <c r="AO35" s="517">
        <v>0</v>
      </c>
      <c r="AP35" s="517">
        <v>288659.28</v>
      </c>
      <c r="AQ35" s="517">
        <v>288659.28</v>
      </c>
      <c r="AR35" s="517">
        <v>0</v>
      </c>
    </row>
    <row r="36" spans="1:44">
      <c r="A36" s="516" t="s">
        <v>1112</v>
      </c>
      <c r="B36" s="517">
        <v>72868.5</v>
      </c>
      <c r="C36" s="517">
        <v>42275.1512</v>
      </c>
      <c r="D36" s="517">
        <v>42275.15</v>
      </c>
      <c r="E36" s="517">
        <v>0.00120000000060827</v>
      </c>
      <c r="F36" s="517">
        <v>0</v>
      </c>
      <c r="G36" s="517"/>
      <c r="H36" s="517">
        <v>0</v>
      </c>
      <c r="I36" s="517">
        <v>0</v>
      </c>
      <c r="J36" s="517"/>
      <c r="K36" s="517">
        <v>0</v>
      </c>
      <c r="L36" s="517">
        <v>0</v>
      </c>
      <c r="M36" s="517"/>
      <c r="N36" s="517">
        <v>0</v>
      </c>
      <c r="O36" s="517">
        <v>0</v>
      </c>
      <c r="P36" s="517"/>
      <c r="Q36" s="517">
        <v>0</v>
      </c>
      <c r="R36" s="517">
        <v>0</v>
      </c>
      <c r="S36" s="517"/>
      <c r="T36" s="517">
        <v>0</v>
      </c>
      <c r="U36" s="517">
        <v>0</v>
      </c>
      <c r="V36" s="517"/>
      <c r="W36" s="517">
        <v>0</v>
      </c>
      <c r="X36" s="517">
        <v>1800</v>
      </c>
      <c r="Y36" s="517">
        <v>1800</v>
      </c>
      <c r="Z36" s="517">
        <v>0</v>
      </c>
      <c r="AA36" s="517">
        <v>11731.5524</v>
      </c>
      <c r="AB36" s="517">
        <v>11731.55</v>
      </c>
      <c r="AC36" s="517">
        <v>0.00239999999962492</v>
      </c>
      <c r="AD36" s="517">
        <v>7990.28</v>
      </c>
      <c r="AE36" s="517">
        <v>7990.28</v>
      </c>
      <c r="AF36" s="517">
        <v>0</v>
      </c>
      <c r="AG36" s="517">
        <v>0</v>
      </c>
      <c r="AH36" s="517"/>
      <c r="AI36" s="517">
        <v>0</v>
      </c>
      <c r="AJ36" s="517">
        <v>0</v>
      </c>
      <c r="AK36" s="517"/>
      <c r="AL36" s="517">
        <v>0</v>
      </c>
      <c r="AM36" s="517">
        <v>133275.73</v>
      </c>
      <c r="AN36" s="517">
        <v>133275.73</v>
      </c>
      <c r="AO36" s="517">
        <v>0</v>
      </c>
      <c r="AP36" s="517">
        <v>269941.2136</v>
      </c>
      <c r="AQ36" s="517">
        <v>269941.21</v>
      </c>
      <c r="AR36" s="517">
        <v>0.00360000000546279</v>
      </c>
    </row>
    <row r="37" spans="1:44">
      <c r="A37" s="516" t="s">
        <v>1087</v>
      </c>
      <c r="B37" s="517">
        <v>219777.56</v>
      </c>
      <c r="C37" s="517">
        <v>23862.0549</v>
      </c>
      <c r="D37" s="517">
        <v>23862.06</v>
      </c>
      <c r="E37" s="517">
        <v>-0.00510000000031141</v>
      </c>
      <c r="F37" s="517">
        <v>0</v>
      </c>
      <c r="G37" s="517"/>
      <c r="H37" s="517">
        <v>0</v>
      </c>
      <c r="I37" s="517">
        <v>0</v>
      </c>
      <c r="J37" s="517"/>
      <c r="K37" s="517">
        <v>0</v>
      </c>
      <c r="L37" s="517">
        <v>0</v>
      </c>
      <c r="M37" s="517"/>
      <c r="N37" s="517">
        <v>0</v>
      </c>
      <c r="O37" s="517">
        <v>0</v>
      </c>
      <c r="P37" s="517"/>
      <c r="Q37" s="517">
        <v>0</v>
      </c>
      <c r="R37" s="517">
        <v>0</v>
      </c>
      <c r="S37" s="517"/>
      <c r="T37" s="517">
        <v>0</v>
      </c>
      <c r="U37" s="517">
        <v>0</v>
      </c>
      <c r="V37" s="517"/>
      <c r="W37" s="517">
        <v>0</v>
      </c>
      <c r="X37" s="517">
        <v>0</v>
      </c>
      <c r="Y37" s="517"/>
      <c r="Z37" s="517">
        <v>0</v>
      </c>
      <c r="AA37" s="517">
        <v>0</v>
      </c>
      <c r="AB37" s="517"/>
      <c r="AC37" s="517">
        <v>0</v>
      </c>
      <c r="AD37" s="517">
        <v>0</v>
      </c>
      <c r="AE37" s="517"/>
      <c r="AF37" s="517">
        <v>0</v>
      </c>
      <c r="AG37" s="517">
        <v>0</v>
      </c>
      <c r="AH37" s="517"/>
      <c r="AI37" s="517">
        <v>0</v>
      </c>
      <c r="AJ37" s="517">
        <v>0</v>
      </c>
      <c r="AK37" s="517"/>
      <c r="AL37" s="517">
        <v>0</v>
      </c>
      <c r="AM37" s="517">
        <v>125048.41</v>
      </c>
      <c r="AN37" s="517">
        <v>125048.41</v>
      </c>
      <c r="AO37" s="517">
        <v>0</v>
      </c>
      <c r="AP37" s="517">
        <v>368688.0249</v>
      </c>
      <c r="AQ37" s="517">
        <v>368688.03</v>
      </c>
      <c r="AR37" s="517">
        <v>-0.00510000005033362</v>
      </c>
    </row>
    <row r="38" spans="1:44">
      <c r="A38" s="516" t="s">
        <v>445</v>
      </c>
      <c r="B38" s="517">
        <v>14403.56</v>
      </c>
      <c r="C38" s="517">
        <v>0</v>
      </c>
      <c r="D38" s="517">
        <v>0</v>
      </c>
      <c r="E38" s="517">
        <v>0</v>
      </c>
      <c r="F38" s="517">
        <v>0</v>
      </c>
      <c r="G38" s="517"/>
      <c r="H38" s="517">
        <v>0</v>
      </c>
      <c r="I38" s="517">
        <v>0</v>
      </c>
      <c r="J38" s="517"/>
      <c r="K38" s="517">
        <v>0</v>
      </c>
      <c r="L38" s="517">
        <v>0</v>
      </c>
      <c r="M38" s="517"/>
      <c r="N38" s="517">
        <v>0</v>
      </c>
      <c r="O38" s="517">
        <v>0</v>
      </c>
      <c r="P38" s="517">
        <v>0</v>
      </c>
      <c r="Q38" s="517">
        <v>0</v>
      </c>
      <c r="R38" s="517">
        <v>0</v>
      </c>
      <c r="S38" s="517"/>
      <c r="T38" s="517">
        <v>0</v>
      </c>
      <c r="U38" s="517">
        <v>0</v>
      </c>
      <c r="V38" s="517"/>
      <c r="W38" s="517">
        <v>0</v>
      </c>
      <c r="X38" s="517">
        <v>0</v>
      </c>
      <c r="Y38" s="517"/>
      <c r="Z38" s="517">
        <v>0</v>
      </c>
      <c r="AA38" s="517">
        <v>0</v>
      </c>
      <c r="AB38" s="517"/>
      <c r="AC38" s="517">
        <v>0</v>
      </c>
      <c r="AD38" s="517">
        <v>0</v>
      </c>
      <c r="AE38" s="517"/>
      <c r="AF38" s="517">
        <v>0</v>
      </c>
      <c r="AG38" s="517">
        <v>0</v>
      </c>
      <c r="AH38" s="517"/>
      <c r="AI38" s="517">
        <v>0</v>
      </c>
      <c r="AJ38" s="517">
        <v>0</v>
      </c>
      <c r="AK38" s="517"/>
      <c r="AL38" s="517">
        <v>0</v>
      </c>
      <c r="AM38" s="517">
        <v>0</v>
      </c>
      <c r="AN38" s="517"/>
      <c r="AO38" s="517">
        <v>0</v>
      </c>
      <c r="AP38" s="517">
        <v>14403.56</v>
      </c>
      <c r="AQ38" s="517">
        <v>14403.56</v>
      </c>
      <c r="AR38" s="517">
        <v>0</v>
      </c>
    </row>
    <row r="39" spans="1:44">
      <c r="A39" s="516" t="s">
        <v>763</v>
      </c>
      <c r="B39" s="517"/>
      <c r="C39" s="517">
        <v>38154.862</v>
      </c>
      <c r="D39" s="517">
        <v>38154.87</v>
      </c>
      <c r="E39" s="517">
        <v>-0.00799999999799184</v>
      </c>
      <c r="F39" s="517">
        <v>0</v>
      </c>
      <c r="G39" s="517"/>
      <c r="H39" s="517">
        <v>0</v>
      </c>
      <c r="I39" s="517">
        <v>0</v>
      </c>
      <c r="J39" s="517"/>
      <c r="K39" s="517">
        <v>0</v>
      </c>
      <c r="L39" s="517">
        <v>0</v>
      </c>
      <c r="M39" s="517"/>
      <c r="N39" s="517">
        <v>0</v>
      </c>
      <c r="O39" s="517">
        <v>0</v>
      </c>
      <c r="P39" s="517"/>
      <c r="Q39" s="517">
        <v>0</v>
      </c>
      <c r="R39" s="517">
        <v>0</v>
      </c>
      <c r="S39" s="517"/>
      <c r="T39" s="517">
        <v>0</v>
      </c>
      <c r="U39" s="517">
        <v>0</v>
      </c>
      <c r="V39" s="517"/>
      <c r="W39" s="517">
        <v>0</v>
      </c>
      <c r="X39" s="517">
        <v>0</v>
      </c>
      <c r="Y39" s="517"/>
      <c r="Z39" s="517">
        <v>0</v>
      </c>
      <c r="AA39" s="517">
        <v>969.67</v>
      </c>
      <c r="AB39" s="517">
        <v>969.67</v>
      </c>
      <c r="AC39" s="517">
        <v>0</v>
      </c>
      <c r="AD39" s="517">
        <v>0</v>
      </c>
      <c r="AE39" s="517"/>
      <c r="AF39" s="517">
        <v>0</v>
      </c>
      <c r="AG39" s="517">
        <v>0</v>
      </c>
      <c r="AH39" s="517"/>
      <c r="AI39" s="517">
        <v>0</v>
      </c>
      <c r="AJ39" s="517">
        <v>0</v>
      </c>
      <c r="AK39" s="517"/>
      <c r="AL39" s="517">
        <v>0</v>
      </c>
      <c r="AM39" s="517">
        <v>27141.5</v>
      </c>
      <c r="AN39" s="517">
        <v>27141.5</v>
      </c>
      <c r="AO39" s="517">
        <v>0</v>
      </c>
      <c r="AP39" s="517">
        <v>66266.032</v>
      </c>
      <c r="AQ39" s="517">
        <v>66266.04</v>
      </c>
      <c r="AR39" s="517">
        <v>-0.00799999999799184</v>
      </c>
    </row>
    <row r="40" spans="1:44">
      <c r="A40" s="516" t="s">
        <v>1235</v>
      </c>
      <c r="B40" s="517"/>
      <c r="C40" s="517">
        <v>20825.28</v>
      </c>
      <c r="D40" s="517">
        <v>20825.28</v>
      </c>
      <c r="E40" s="517">
        <v>0</v>
      </c>
      <c r="F40" s="517">
        <v>1060.89</v>
      </c>
      <c r="G40" s="517">
        <v>1060.89</v>
      </c>
      <c r="H40" s="517">
        <v>0</v>
      </c>
      <c r="I40" s="517">
        <v>0</v>
      </c>
      <c r="J40" s="517"/>
      <c r="K40" s="517">
        <v>0</v>
      </c>
      <c r="L40" s="517">
        <v>0</v>
      </c>
      <c r="M40" s="517"/>
      <c r="N40" s="517">
        <v>0</v>
      </c>
      <c r="O40" s="517">
        <v>0</v>
      </c>
      <c r="P40" s="517"/>
      <c r="Q40" s="517">
        <v>0</v>
      </c>
      <c r="R40" s="517">
        <v>0</v>
      </c>
      <c r="S40" s="517"/>
      <c r="T40" s="517">
        <v>0</v>
      </c>
      <c r="U40" s="517">
        <v>0</v>
      </c>
      <c r="V40" s="517"/>
      <c r="W40" s="517">
        <v>0</v>
      </c>
      <c r="X40" s="517">
        <v>5206.32</v>
      </c>
      <c r="Y40" s="517">
        <v>5206.32</v>
      </c>
      <c r="Z40" s="517">
        <v>0</v>
      </c>
      <c r="AA40" s="517">
        <v>13883.52</v>
      </c>
      <c r="AB40" s="517">
        <v>13883.52</v>
      </c>
      <c r="AC40" s="517">
        <v>0</v>
      </c>
      <c r="AD40" s="517">
        <v>1500</v>
      </c>
      <c r="AE40" s="517">
        <v>1500</v>
      </c>
      <c r="AF40" s="517">
        <v>0</v>
      </c>
      <c r="AG40" s="517">
        <v>9823.24528301887</v>
      </c>
      <c r="AH40" s="517">
        <v>9823.24528301887</v>
      </c>
      <c r="AI40" s="517">
        <v>0</v>
      </c>
      <c r="AJ40" s="517">
        <v>3000</v>
      </c>
      <c r="AK40" s="517">
        <v>3000</v>
      </c>
      <c r="AL40" s="517">
        <v>0</v>
      </c>
      <c r="AM40" s="517">
        <v>58596.23</v>
      </c>
      <c r="AN40" s="517">
        <v>58596.23</v>
      </c>
      <c r="AO40" s="517">
        <v>0</v>
      </c>
      <c r="AP40" s="517">
        <v>113895.485283019</v>
      </c>
      <c r="AQ40" s="517">
        <v>113895.485283019</v>
      </c>
      <c r="AR40" s="517">
        <v>-2.91038304567337e-11</v>
      </c>
    </row>
    <row r="41" spans="1:44">
      <c r="A41" s="516" t="s">
        <v>102</v>
      </c>
      <c r="B41" s="517">
        <v>25066.07</v>
      </c>
      <c r="C41" s="517">
        <v>12254.8984</v>
      </c>
      <c r="D41" s="517">
        <v>12254.8984</v>
      </c>
      <c r="E41" s="517">
        <v>0</v>
      </c>
      <c r="F41" s="517">
        <v>0</v>
      </c>
      <c r="G41" s="517"/>
      <c r="H41" s="517">
        <v>0</v>
      </c>
      <c r="I41" s="517">
        <v>0</v>
      </c>
      <c r="J41" s="517"/>
      <c r="K41" s="517">
        <v>0</v>
      </c>
      <c r="L41" s="517">
        <v>10274.67995</v>
      </c>
      <c r="M41" s="517">
        <v>10274.67995</v>
      </c>
      <c r="N41" s="517">
        <v>0</v>
      </c>
      <c r="O41" s="517">
        <v>3317.7846</v>
      </c>
      <c r="P41" s="517">
        <v>3317.7846</v>
      </c>
      <c r="Q41" s="517">
        <v>0</v>
      </c>
      <c r="R41" s="517">
        <v>5298.00305</v>
      </c>
      <c r="S41" s="517">
        <v>5298.00305</v>
      </c>
      <c r="T41" s="517">
        <v>0</v>
      </c>
      <c r="U41" s="517">
        <v>0</v>
      </c>
      <c r="V41" s="517"/>
      <c r="W41" s="517">
        <v>0</v>
      </c>
      <c r="X41" s="517">
        <v>5319.0769</v>
      </c>
      <c r="Y41" s="517">
        <v>5319.0769</v>
      </c>
      <c r="Z41" s="517">
        <v>0</v>
      </c>
      <c r="AA41" s="517">
        <v>11228.9138</v>
      </c>
      <c r="AB41" s="517">
        <v>11228.9138</v>
      </c>
      <c r="AC41" s="517">
        <v>0</v>
      </c>
      <c r="AD41" s="517">
        <v>0</v>
      </c>
      <c r="AE41" s="517"/>
      <c r="AF41" s="517">
        <v>0</v>
      </c>
      <c r="AG41" s="517">
        <v>0</v>
      </c>
      <c r="AH41" s="517"/>
      <c r="AI41" s="517">
        <v>0</v>
      </c>
      <c r="AJ41" s="517">
        <v>0</v>
      </c>
      <c r="AK41" s="517"/>
      <c r="AL41" s="517">
        <v>0</v>
      </c>
      <c r="AM41" s="517">
        <v>36324</v>
      </c>
      <c r="AN41" s="517">
        <v>36324</v>
      </c>
      <c r="AO41" s="517">
        <v>0</v>
      </c>
      <c r="AP41" s="517">
        <v>109083.4267</v>
      </c>
      <c r="AQ41" s="517">
        <v>109083.4267</v>
      </c>
      <c r="AR41" s="517">
        <v>0</v>
      </c>
    </row>
    <row r="42" spans="1:44">
      <c r="A42" s="516" t="s">
        <v>46</v>
      </c>
      <c r="B42" s="517"/>
      <c r="C42" s="517"/>
      <c r="D42" s="517"/>
      <c r="E42" s="517"/>
      <c r="F42" s="517"/>
      <c r="G42" s="517"/>
      <c r="H42" s="517"/>
      <c r="I42" s="517"/>
      <c r="J42" s="517"/>
      <c r="K42" s="517"/>
      <c r="L42" s="517"/>
      <c r="M42" s="517"/>
      <c r="N42" s="517"/>
      <c r="O42" s="517"/>
      <c r="P42" s="517"/>
      <c r="Q42" s="517"/>
      <c r="R42" s="517"/>
      <c r="S42" s="517"/>
      <c r="T42" s="517"/>
      <c r="U42" s="517"/>
      <c r="V42" s="517"/>
      <c r="W42" s="517"/>
      <c r="X42" s="517"/>
      <c r="Y42" s="517"/>
      <c r="Z42" s="517"/>
      <c r="AA42" s="517"/>
      <c r="AB42" s="517"/>
      <c r="AC42" s="517"/>
      <c r="AD42" s="517"/>
      <c r="AE42" s="517"/>
      <c r="AF42" s="517"/>
      <c r="AG42" s="517"/>
      <c r="AH42" s="517"/>
      <c r="AI42" s="517"/>
      <c r="AJ42" s="517"/>
      <c r="AK42" s="517"/>
      <c r="AL42" s="517"/>
      <c r="AM42" s="517">
        <v>1374.2894</v>
      </c>
      <c r="AN42" s="517">
        <v>1374.2894</v>
      </c>
      <c r="AO42" s="517">
        <v>0</v>
      </c>
      <c r="AP42" s="517"/>
      <c r="AQ42" s="517"/>
      <c r="AR42" s="517"/>
    </row>
    <row r="43" spans="1:44">
      <c r="A43" s="516" t="s">
        <v>470</v>
      </c>
      <c r="B43" s="517">
        <v>0</v>
      </c>
      <c r="C43" s="517">
        <v>4439.03925</v>
      </c>
      <c r="D43" s="517">
        <v>4439.05</v>
      </c>
      <c r="E43" s="517">
        <v>-0.0107499999998879</v>
      </c>
      <c r="F43" s="517">
        <v>0</v>
      </c>
      <c r="G43" s="517"/>
      <c r="H43" s="517">
        <v>0</v>
      </c>
      <c r="I43" s="517">
        <v>0</v>
      </c>
      <c r="J43" s="517"/>
      <c r="K43" s="517">
        <v>0</v>
      </c>
      <c r="L43" s="517">
        <v>0</v>
      </c>
      <c r="M43" s="517"/>
      <c r="N43" s="517">
        <v>0</v>
      </c>
      <c r="O43" s="517">
        <v>0</v>
      </c>
      <c r="P43" s="517"/>
      <c r="Q43" s="517">
        <v>0</v>
      </c>
      <c r="R43" s="517">
        <v>0</v>
      </c>
      <c r="S43" s="517"/>
      <c r="T43" s="517">
        <v>0</v>
      </c>
      <c r="U43" s="517">
        <v>0</v>
      </c>
      <c r="V43" s="517"/>
      <c r="W43" s="517">
        <v>0</v>
      </c>
      <c r="X43" s="517">
        <v>7130.82895</v>
      </c>
      <c r="Y43" s="517">
        <v>7130.82895</v>
      </c>
      <c r="Z43" s="517">
        <v>0</v>
      </c>
      <c r="AA43" s="517">
        <v>19101.6824</v>
      </c>
      <c r="AB43" s="517">
        <v>19101.6824</v>
      </c>
      <c r="AC43" s="517">
        <v>0</v>
      </c>
      <c r="AD43" s="517">
        <v>0</v>
      </c>
      <c r="AE43" s="517"/>
      <c r="AF43" s="517">
        <v>0</v>
      </c>
      <c r="AG43" s="517">
        <v>0</v>
      </c>
      <c r="AH43" s="517"/>
      <c r="AI43" s="517">
        <v>0</v>
      </c>
      <c r="AJ43" s="517">
        <v>0</v>
      </c>
      <c r="AK43" s="517"/>
      <c r="AL43" s="517">
        <v>0</v>
      </c>
      <c r="AM43" s="517">
        <v>26193.92</v>
      </c>
      <c r="AN43" s="517">
        <v>26193.92</v>
      </c>
      <c r="AO43" s="517">
        <v>0</v>
      </c>
      <c r="AP43" s="517">
        <v>56865.4706</v>
      </c>
      <c r="AQ43" s="517">
        <v>56865.48135</v>
      </c>
      <c r="AR43" s="517">
        <v>-0.0107499999999163</v>
      </c>
    </row>
    <row r="44" spans="1:44">
      <c r="A44" s="516" t="s">
        <v>1297</v>
      </c>
      <c r="B44" s="517"/>
      <c r="C44" s="517">
        <v>0</v>
      </c>
      <c r="D44" s="517"/>
      <c r="E44" s="517">
        <v>0</v>
      </c>
      <c r="F44" s="517">
        <v>0</v>
      </c>
      <c r="G44" s="517"/>
      <c r="H44" s="517">
        <v>0</v>
      </c>
      <c r="I44" s="517">
        <v>0</v>
      </c>
      <c r="J44" s="517"/>
      <c r="K44" s="517">
        <v>0</v>
      </c>
      <c r="L44" s="517">
        <v>0</v>
      </c>
      <c r="M44" s="517"/>
      <c r="N44" s="517">
        <v>0</v>
      </c>
      <c r="O44" s="517">
        <v>0</v>
      </c>
      <c r="P44" s="517"/>
      <c r="Q44" s="517">
        <v>0</v>
      </c>
      <c r="R44" s="517">
        <v>0</v>
      </c>
      <c r="S44" s="517"/>
      <c r="T44" s="517">
        <v>0</v>
      </c>
      <c r="U44" s="517">
        <v>0</v>
      </c>
      <c r="V44" s="517"/>
      <c r="W44" s="517">
        <v>0</v>
      </c>
      <c r="X44" s="517">
        <v>0</v>
      </c>
      <c r="Y44" s="517"/>
      <c r="Z44" s="517">
        <v>0</v>
      </c>
      <c r="AA44" s="517">
        <v>0</v>
      </c>
      <c r="AB44" s="517"/>
      <c r="AC44" s="517">
        <v>0</v>
      </c>
      <c r="AD44" s="517">
        <v>0</v>
      </c>
      <c r="AE44" s="517"/>
      <c r="AF44" s="517">
        <v>0</v>
      </c>
      <c r="AG44" s="517">
        <v>0</v>
      </c>
      <c r="AH44" s="517"/>
      <c r="AI44" s="517">
        <v>0</v>
      </c>
      <c r="AJ44" s="517">
        <v>0</v>
      </c>
      <c r="AK44" s="517"/>
      <c r="AL44" s="517">
        <v>0</v>
      </c>
      <c r="AM44" s="517">
        <v>0</v>
      </c>
      <c r="AN44" s="517"/>
      <c r="AO44" s="517">
        <v>0</v>
      </c>
      <c r="AP44" s="517">
        <v>0</v>
      </c>
      <c r="AQ44" s="517">
        <v>0</v>
      </c>
      <c r="AR44" s="517">
        <v>0</v>
      </c>
    </row>
    <row r="45" spans="1:44">
      <c r="A45" s="516" t="s">
        <v>577</v>
      </c>
      <c r="B45" s="517">
        <v>7000.19</v>
      </c>
      <c r="C45" s="517">
        <v>5450.144</v>
      </c>
      <c r="D45" s="517">
        <v>5450.16</v>
      </c>
      <c r="E45" s="517">
        <v>-0.0160000000000906</v>
      </c>
      <c r="F45" s="517">
        <v>0</v>
      </c>
      <c r="G45" s="517">
        <v>0</v>
      </c>
      <c r="H45" s="517">
        <v>0</v>
      </c>
      <c r="I45" s="517">
        <v>0</v>
      </c>
      <c r="J45" s="517">
        <v>0</v>
      </c>
      <c r="K45" s="517">
        <v>0</v>
      </c>
      <c r="L45" s="517">
        <v>0</v>
      </c>
      <c r="M45" s="517">
        <v>0</v>
      </c>
      <c r="N45" s="517">
        <v>0</v>
      </c>
      <c r="O45" s="517">
        <v>0</v>
      </c>
      <c r="P45" s="517">
        <v>0</v>
      </c>
      <c r="Q45" s="517">
        <v>0</v>
      </c>
      <c r="R45" s="517">
        <v>0</v>
      </c>
      <c r="S45" s="517">
        <v>0</v>
      </c>
      <c r="T45" s="517">
        <v>0</v>
      </c>
      <c r="U45" s="517">
        <v>0</v>
      </c>
      <c r="V45" s="517">
        <v>0</v>
      </c>
      <c r="W45" s="517">
        <v>0</v>
      </c>
      <c r="X45" s="517">
        <v>1186.78</v>
      </c>
      <c r="Y45" s="517">
        <v>1186.8</v>
      </c>
      <c r="Z45" s="517">
        <v>-0.0199999999999534</v>
      </c>
      <c r="AA45" s="517">
        <v>2241.03</v>
      </c>
      <c r="AB45" s="517">
        <v>2241.03</v>
      </c>
      <c r="AC45" s="517">
        <v>-7.09935582543508e-15</v>
      </c>
      <c r="AD45" s="517">
        <v>57.05</v>
      </c>
      <c r="AE45" s="517">
        <v>57.05</v>
      </c>
      <c r="AF45" s="517">
        <v>0</v>
      </c>
      <c r="AG45" s="517">
        <v>0</v>
      </c>
      <c r="AH45" s="517">
        <v>0</v>
      </c>
      <c r="AI45" s="517">
        <v>0</v>
      </c>
      <c r="AJ45" s="517">
        <v>0</v>
      </c>
      <c r="AK45" s="517">
        <v>0</v>
      </c>
      <c r="AL45" s="517">
        <v>0</v>
      </c>
      <c r="AM45" s="517">
        <v>2576.14</v>
      </c>
      <c r="AN45" s="517">
        <v>2576.14</v>
      </c>
      <c r="AO45" s="517">
        <v>0</v>
      </c>
      <c r="AP45" s="517">
        <v>18511.334</v>
      </c>
      <c r="AQ45" s="517">
        <v>18511.37</v>
      </c>
      <c r="AR45" s="517">
        <v>-0.0359999999998593</v>
      </c>
    </row>
    <row r="46" spans="1:44">
      <c r="A46" s="516" t="s">
        <v>505</v>
      </c>
      <c r="B46" s="517"/>
      <c r="C46" s="517">
        <v>0</v>
      </c>
      <c r="D46" s="517"/>
      <c r="E46" s="517">
        <v>0</v>
      </c>
      <c r="F46" s="517">
        <v>0</v>
      </c>
      <c r="G46" s="517"/>
      <c r="H46" s="517">
        <v>0</v>
      </c>
      <c r="I46" s="517">
        <v>0</v>
      </c>
      <c r="J46" s="517"/>
      <c r="K46" s="517">
        <v>0</v>
      </c>
      <c r="L46" s="517">
        <v>0</v>
      </c>
      <c r="M46" s="517"/>
      <c r="N46" s="517">
        <v>0</v>
      </c>
      <c r="O46" s="517">
        <v>0</v>
      </c>
      <c r="P46" s="517"/>
      <c r="Q46" s="517">
        <v>0</v>
      </c>
      <c r="R46" s="517">
        <v>0</v>
      </c>
      <c r="S46" s="517"/>
      <c r="T46" s="517">
        <v>0</v>
      </c>
      <c r="U46" s="517">
        <v>0</v>
      </c>
      <c r="V46" s="517"/>
      <c r="W46" s="517">
        <v>0</v>
      </c>
      <c r="X46" s="517">
        <v>0</v>
      </c>
      <c r="Y46" s="517"/>
      <c r="Z46" s="517">
        <v>0</v>
      </c>
      <c r="AA46" s="517">
        <v>0</v>
      </c>
      <c r="AB46" s="517"/>
      <c r="AC46" s="517">
        <v>0</v>
      </c>
      <c r="AD46" s="517">
        <v>0</v>
      </c>
      <c r="AE46" s="517"/>
      <c r="AF46" s="517">
        <v>0</v>
      </c>
      <c r="AG46" s="517">
        <v>0</v>
      </c>
      <c r="AH46" s="517"/>
      <c r="AI46" s="517">
        <v>0</v>
      </c>
      <c r="AJ46" s="517">
        <v>0</v>
      </c>
      <c r="AK46" s="517"/>
      <c r="AL46" s="517">
        <v>0</v>
      </c>
      <c r="AM46" s="517">
        <v>0</v>
      </c>
      <c r="AN46" s="517"/>
      <c r="AO46" s="517">
        <v>0</v>
      </c>
      <c r="AP46" s="517">
        <v>0</v>
      </c>
      <c r="AQ46" s="517">
        <v>0</v>
      </c>
      <c r="AR46" s="517">
        <v>0</v>
      </c>
    </row>
    <row r="47" spans="1:44">
      <c r="A47" s="518" t="s">
        <v>400</v>
      </c>
      <c r="B47" s="517">
        <v>111820.33</v>
      </c>
      <c r="C47" s="517">
        <v>79345.3366</v>
      </c>
      <c r="D47" s="517">
        <v>79345.34</v>
      </c>
      <c r="E47" s="517">
        <v>-0.00340000000915097</v>
      </c>
      <c r="F47" s="517">
        <v>0</v>
      </c>
      <c r="G47" s="517">
        <v>0</v>
      </c>
      <c r="H47" s="517">
        <v>0</v>
      </c>
      <c r="I47" s="517">
        <v>10148.1056</v>
      </c>
      <c r="J47" s="517">
        <v>10148.11</v>
      </c>
      <c r="K47" s="517">
        <v>-0.0044000000003166</v>
      </c>
      <c r="L47" s="517">
        <v>0</v>
      </c>
      <c r="M47" s="517">
        <v>0</v>
      </c>
      <c r="N47" s="517">
        <v>0</v>
      </c>
      <c r="O47" s="517">
        <v>0</v>
      </c>
      <c r="P47" s="517">
        <v>0</v>
      </c>
      <c r="Q47" s="517">
        <v>0</v>
      </c>
      <c r="R47" s="517">
        <v>0</v>
      </c>
      <c r="S47" s="517">
        <v>0</v>
      </c>
      <c r="T47" s="517">
        <v>0</v>
      </c>
      <c r="U47" s="517">
        <v>0</v>
      </c>
      <c r="V47" s="517">
        <v>0</v>
      </c>
      <c r="W47" s="517">
        <v>0</v>
      </c>
      <c r="X47" s="517">
        <v>20296.2112</v>
      </c>
      <c r="Y47" s="517">
        <v>20296.21</v>
      </c>
      <c r="Z47" s="517">
        <v>0.00120000000140408</v>
      </c>
      <c r="AA47" s="517">
        <v>19209.5431</v>
      </c>
      <c r="AB47" s="517">
        <v>19209.54</v>
      </c>
      <c r="AC47" s="517">
        <v>0.00310000000069977</v>
      </c>
      <c r="AD47" s="517">
        <v>0</v>
      </c>
      <c r="AE47" s="517">
        <v>0</v>
      </c>
      <c r="AF47" s="517">
        <v>0</v>
      </c>
      <c r="AG47" s="517">
        <v>0</v>
      </c>
      <c r="AH47" s="517">
        <v>0</v>
      </c>
      <c r="AI47" s="517">
        <v>0</v>
      </c>
      <c r="AJ47" s="517">
        <v>0</v>
      </c>
      <c r="AK47" s="517">
        <v>0</v>
      </c>
      <c r="AL47" s="517">
        <v>0</v>
      </c>
      <c r="AM47" s="517">
        <v>138459.51</v>
      </c>
      <c r="AN47" s="517">
        <v>138459.51</v>
      </c>
      <c r="AO47" s="517">
        <v>0</v>
      </c>
      <c r="AP47" s="517">
        <v>379279.0365</v>
      </c>
      <c r="AQ47" s="517">
        <v>379279.04</v>
      </c>
      <c r="AR47" s="517">
        <v>-0.00350000001844819</v>
      </c>
    </row>
    <row r="48" spans="1:44">
      <c r="A48" s="516" t="s">
        <v>438</v>
      </c>
      <c r="B48" s="517"/>
      <c r="C48" s="517">
        <v>0</v>
      </c>
      <c r="D48" s="517"/>
      <c r="E48" s="517">
        <v>0</v>
      </c>
      <c r="F48" s="517">
        <v>0</v>
      </c>
      <c r="G48" s="517"/>
      <c r="H48" s="517">
        <v>0</v>
      </c>
      <c r="I48" s="517">
        <v>0</v>
      </c>
      <c r="J48" s="517"/>
      <c r="K48" s="517">
        <v>0</v>
      </c>
      <c r="L48" s="517">
        <v>0</v>
      </c>
      <c r="M48" s="517"/>
      <c r="N48" s="517">
        <v>0</v>
      </c>
      <c r="O48" s="517">
        <v>0</v>
      </c>
      <c r="P48" s="517"/>
      <c r="Q48" s="517">
        <v>0</v>
      </c>
      <c r="R48" s="517">
        <v>0</v>
      </c>
      <c r="S48" s="517"/>
      <c r="T48" s="517">
        <v>0</v>
      </c>
      <c r="U48" s="517">
        <v>0</v>
      </c>
      <c r="V48" s="517"/>
      <c r="W48" s="517">
        <v>0</v>
      </c>
      <c r="X48" s="517">
        <v>0</v>
      </c>
      <c r="Y48" s="517"/>
      <c r="Z48" s="517">
        <v>0</v>
      </c>
      <c r="AA48" s="517">
        <v>0</v>
      </c>
      <c r="AB48" s="517"/>
      <c r="AC48" s="517">
        <v>0</v>
      </c>
      <c r="AD48" s="517">
        <v>0</v>
      </c>
      <c r="AE48" s="517"/>
      <c r="AF48" s="517">
        <v>0</v>
      </c>
      <c r="AG48" s="517">
        <v>0</v>
      </c>
      <c r="AH48" s="517"/>
      <c r="AI48" s="517">
        <v>0</v>
      </c>
      <c r="AJ48" s="517">
        <v>0</v>
      </c>
      <c r="AK48" s="517"/>
      <c r="AL48" s="517">
        <v>0</v>
      </c>
      <c r="AM48" s="517">
        <v>0</v>
      </c>
      <c r="AN48" s="517"/>
      <c r="AO48" s="517">
        <v>0</v>
      </c>
      <c r="AP48" s="517">
        <v>0</v>
      </c>
      <c r="AQ48" s="517">
        <v>0</v>
      </c>
      <c r="AR48" s="517">
        <v>0</v>
      </c>
    </row>
    <row r="49" spans="1:44">
      <c r="A49" s="516" t="s">
        <v>442</v>
      </c>
      <c r="B49" s="517"/>
      <c r="C49" s="517">
        <v>0</v>
      </c>
      <c r="D49" s="517"/>
      <c r="E49" s="517">
        <v>0</v>
      </c>
      <c r="F49" s="517">
        <v>0</v>
      </c>
      <c r="G49" s="517"/>
      <c r="H49" s="517">
        <v>0</v>
      </c>
      <c r="I49" s="517">
        <v>0</v>
      </c>
      <c r="J49" s="517"/>
      <c r="K49" s="517">
        <v>0</v>
      </c>
      <c r="L49" s="517">
        <v>0</v>
      </c>
      <c r="M49" s="517"/>
      <c r="N49" s="517">
        <v>0</v>
      </c>
      <c r="O49" s="517">
        <v>0</v>
      </c>
      <c r="P49" s="517"/>
      <c r="Q49" s="517">
        <v>0</v>
      </c>
      <c r="R49" s="517">
        <v>0</v>
      </c>
      <c r="S49" s="517"/>
      <c r="T49" s="517">
        <v>0</v>
      </c>
      <c r="U49" s="517">
        <v>0</v>
      </c>
      <c r="V49" s="517"/>
      <c r="W49" s="517">
        <v>0</v>
      </c>
      <c r="X49" s="517">
        <v>0</v>
      </c>
      <c r="Y49" s="517"/>
      <c r="Z49" s="517">
        <v>0</v>
      </c>
      <c r="AA49" s="517">
        <v>0</v>
      </c>
      <c r="AB49" s="517"/>
      <c r="AC49" s="517">
        <v>0</v>
      </c>
      <c r="AD49" s="517">
        <v>0</v>
      </c>
      <c r="AE49" s="517"/>
      <c r="AF49" s="517">
        <v>0</v>
      </c>
      <c r="AG49" s="517">
        <v>0</v>
      </c>
      <c r="AH49" s="517"/>
      <c r="AI49" s="517">
        <v>0</v>
      </c>
      <c r="AJ49" s="517">
        <v>0</v>
      </c>
      <c r="AK49" s="517"/>
      <c r="AL49" s="517">
        <v>0</v>
      </c>
      <c r="AM49" s="517">
        <v>0</v>
      </c>
      <c r="AN49" s="517"/>
      <c r="AO49" s="517">
        <v>0</v>
      </c>
      <c r="AP49" s="517">
        <v>0</v>
      </c>
      <c r="AQ49" s="517">
        <v>0</v>
      </c>
      <c r="AR49" s="517">
        <v>0</v>
      </c>
    </row>
    <row r="50" spans="1:44">
      <c r="A50" s="516" t="s">
        <v>238</v>
      </c>
      <c r="B50" s="517">
        <v>23548.67</v>
      </c>
      <c r="C50" s="517">
        <v>0</v>
      </c>
      <c r="D50" s="517">
        <v>0</v>
      </c>
      <c r="E50" s="517">
        <v>0</v>
      </c>
      <c r="F50" s="517">
        <v>0</v>
      </c>
      <c r="G50" s="517">
        <v>0</v>
      </c>
      <c r="H50" s="517">
        <v>0</v>
      </c>
      <c r="I50" s="517">
        <v>0</v>
      </c>
      <c r="J50" s="517"/>
      <c r="K50" s="517">
        <v>0</v>
      </c>
      <c r="L50" s="517">
        <v>0</v>
      </c>
      <c r="M50" s="517">
        <v>0</v>
      </c>
      <c r="N50" s="517">
        <v>0</v>
      </c>
      <c r="O50" s="517">
        <v>0</v>
      </c>
      <c r="P50" s="517"/>
      <c r="Q50" s="517">
        <v>0</v>
      </c>
      <c r="R50" s="517">
        <v>0</v>
      </c>
      <c r="S50" s="517"/>
      <c r="T50" s="517">
        <v>0</v>
      </c>
      <c r="U50" s="517">
        <v>0</v>
      </c>
      <c r="V50" s="517"/>
      <c r="W50" s="517">
        <v>0</v>
      </c>
      <c r="X50" s="517">
        <v>0</v>
      </c>
      <c r="Y50" s="517"/>
      <c r="Z50" s="517">
        <v>0</v>
      </c>
      <c r="AA50" s="517">
        <v>10351.87</v>
      </c>
      <c r="AB50" s="517">
        <v>10351.87</v>
      </c>
      <c r="AC50" s="517">
        <v>0</v>
      </c>
      <c r="AD50" s="517">
        <v>0</v>
      </c>
      <c r="AE50" s="517"/>
      <c r="AF50" s="517">
        <v>0</v>
      </c>
      <c r="AG50" s="517">
        <v>0</v>
      </c>
      <c r="AH50" s="517"/>
      <c r="AI50" s="517">
        <v>0</v>
      </c>
      <c r="AJ50" s="517">
        <v>0</v>
      </c>
      <c r="AK50" s="517"/>
      <c r="AL50" s="517">
        <v>0</v>
      </c>
      <c r="AM50" s="517">
        <v>0</v>
      </c>
      <c r="AN50" s="517">
        <v>0</v>
      </c>
      <c r="AO50" s="517">
        <v>0</v>
      </c>
      <c r="AP50" s="517">
        <v>33900.54</v>
      </c>
      <c r="AQ50" s="517">
        <v>33900.54</v>
      </c>
      <c r="AR50" s="517">
        <v>0</v>
      </c>
    </row>
    <row r="51" spans="1:44">
      <c r="A51" s="516" t="s">
        <v>207</v>
      </c>
      <c r="B51" s="517">
        <v>13454.15</v>
      </c>
      <c r="C51" s="517">
        <v>941.5</v>
      </c>
      <c r="D51" s="517">
        <v>941.5</v>
      </c>
      <c r="E51" s="517">
        <v>0</v>
      </c>
      <c r="F51" s="517">
        <v>0</v>
      </c>
      <c r="G51" s="517"/>
      <c r="H51" s="517">
        <v>0</v>
      </c>
      <c r="I51" s="517">
        <v>134.5</v>
      </c>
      <c r="J51" s="517">
        <v>134.5</v>
      </c>
      <c r="K51" s="517">
        <v>0</v>
      </c>
      <c r="L51" s="517">
        <v>0</v>
      </c>
      <c r="M51" s="517"/>
      <c r="N51" s="517">
        <v>0</v>
      </c>
      <c r="O51" s="517">
        <v>0</v>
      </c>
      <c r="P51" s="517"/>
      <c r="Q51" s="517">
        <v>0</v>
      </c>
      <c r="R51" s="517">
        <v>0</v>
      </c>
      <c r="S51" s="517"/>
      <c r="T51" s="517">
        <v>0</v>
      </c>
      <c r="U51" s="517">
        <v>0</v>
      </c>
      <c r="V51" s="517"/>
      <c r="W51" s="517">
        <v>0</v>
      </c>
      <c r="X51" s="517">
        <v>385.75</v>
      </c>
      <c r="Y51" s="517">
        <v>385.75</v>
      </c>
      <c r="Z51" s="517">
        <v>0</v>
      </c>
      <c r="AA51" s="517">
        <v>486</v>
      </c>
      <c r="AB51" s="517">
        <v>486</v>
      </c>
      <c r="AC51" s="517">
        <v>0</v>
      </c>
      <c r="AD51" s="517">
        <v>75.5</v>
      </c>
      <c r="AE51" s="517">
        <v>75.5</v>
      </c>
      <c r="AF51" s="517">
        <v>0</v>
      </c>
      <c r="AG51" s="517">
        <v>15000</v>
      </c>
      <c r="AH51" s="517">
        <v>15000</v>
      </c>
      <c r="AI51" s="517">
        <v>0</v>
      </c>
      <c r="AJ51" s="517">
        <v>0</v>
      </c>
      <c r="AK51" s="517"/>
      <c r="AL51" s="517">
        <v>0</v>
      </c>
      <c r="AM51" s="517">
        <v>0</v>
      </c>
      <c r="AN51" s="517">
        <v>0</v>
      </c>
      <c r="AO51" s="517">
        <v>0</v>
      </c>
      <c r="AP51" s="517">
        <v>30477.4</v>
      </c>
      <c r="AQ51" s="517">
        <v>30477.4</v>
      </c>
      <c r="AR51" s="517">
        <v>0</v>
      </c>
    </row>
    <row r="52" spans="1:44">
      <c r="A52" s="516" t="s">
        <v>184</v>
      </c>
      <c r="B52" s="517">
        <v>30267.08</v>
      </c>
      <c r="C52" s="517">
        <v>15576.846</v>
      </c>
      <c r="D52" s="517">
        <v>15576.85</v>
      </c>
      <c r="E52" s="517">
        <v>-0.00400000000036016</v>
      </c>
      <c r="F52" s="517">
        <v>0</v>
      </c>
      <c r="G52" s="517"/>
      <c r="H52" s="517">
        <v>0</v>
      </c>
      <c r="I52" s="517">
        <v>2596.141</v>
      </c>
      <c r="J52" s="517">
        <v>2596</v>
      </c>
      <c r="K52" s="517">
        <v>0.140999999999849</v>
      </c>
      <c r="L52" s="517">
        <v>0</v>
      </c>
      <c r="M52" s="517"/>
      <c r="N52" s="517">
        <v>0</v>
      </c>
      <c r="O52" s="517">
        <v>0</v>
      </c>
      <c r="P52" s="517"/>
      <c r="Q52" s="517">
        <v>0</v>
      </c>
      <c r="R52" s="517">
        <v>0</v>
      </c>
      <c r="S52" s="517"/>
      <c r="T52" s="517">
        <v>0</v>
      </c>
      <c r="U52" s="517">
        <v>0</v>
      </c>
      <c r="V52" s="517"/>
      <c r="W52" s="517">
        <v>0</v>
      </c>
      <c r="X52" s="517">
        <v>2831.85</v>
      </c>
      <c r="Y52" s="517">
        <v>2831.85</v>
      </c>
      <c r="Z52" s="517">
        <v>0</v>
      </c>
      <c r="AA52" s="517">
        <v>3142</v>
      </c>
      <c r="AB52" s="517">
        <v>3142</v>
      </c>
      <c r="AC52" s="517">
        <v>0</v>
      </c>
      <c r="AD52" s="517">
        <v>1954.49</v>
      </c>
      <c r="AE52" s="517">
        <v>1954.49</v>
      </c>
      <c r="AF52" s="517">
        <v>0</v>
      </c>
      <c r="AG52" s="517">
        <v>4543.24675</v>
      </c>
      <c r="AH52" s="517">
        <v>4543.25</v>
      </c>
      <c r="AI52" s="517">
        <v>-0.00324999999992315</v>
      </c>
      <c r="AJ52" s="517">
        <v>0</v>
      </c>
      <c r="AK52" s="517"/>
      <c r="AL52" s="517">
        <v>0</v>
      </c>
      <c r="AM52" s="517">
        <v>20099.98</v>
      </c>
      <c r="AN52" s="517">
        <v>20099.98</v>
      </c>
      <c r="AO52" s="517">
        <v>0</v>
      </c>
      <c r="AP52" s="517">
        <v>81011.63375</v>
      </c>
      <c r="AQ52" s="517">
        <v>81011.5</v>
      </c>
      <c r="AR52" s="517">
        <v>0.133750000002692</v>
      </c>
    </row>
    <row r="53" spans="1:44">
      <c r="A53" s="516" t="s">
        <v>231</v>
      </c>
      <c r="B53" s="517">
        <v>29285.63</v>
      </c>
      <c r="C53" s="517">
        <v>2578.0053</v>
      </c>
      <c r="D53" s="517">
        <v>2578.01</v>
      </c>
      <c r="E53" s="517">
        <v>-0.00470000000041182</v>
      </c>
      <c r="F53" s="517">
        <v>0</v>
      </c>
      <c r="G53" s="517"/>
      <c r="H53" s="517">
        <v>0</v>
      </c>
      <c r="I53" s="517">
        <v>1718.6702</v>
      </c>
      <c r="J53" s="517">
        <v>1718.67</v>
      </c>
      <c r="K53" s="517">
        <v>0.000199999999949796</v>
      </c>
      <c r="L53" s="517">
        <v>0</v>
      </c>
      <c r="M53" s="517"/>
      <c r="N53" s="517">
        <v>0</v>
      </c>
      <c r="O53" s="517">
        <v>0</v>
      </c>
      <c r="P53" s="517"/>
      <c r="Q53" s="517">
        <v>0</v>
      </c>
      <c r="R53" s="517">
        <v>0</v>
      </c>
      <c r="S53" s="517"/>
      <c r="T53" s="517">
        <v>0</v>
      </c>
      <c r="U53" s="517">
        <v>0</v>
      </c>
      <c r="V53" s="517"/>
      <c r="W53" s="517">
        <v>0</v>
      </c>
      <c r="X53" s="517">
        <v>1718.6702</v>
      </c>
      <c r="Y53" s="517">
        <v>1718.67</v>
      </c>
      <c r="Z53" s="517">
        <v>0.000199999999949796</v>
      </c>
      <c r="AA53" s="517">
        <v>0</v>
      </c>
      <c r="AB53" s="517"/>
      <c r="AC53" s="517">
        <v>0</v>
      </c>
      <c r="AD53" s="517">
        <v>0</v>
      </c>
      <c r="AE53" s="517"/>
      <c r="AF53" s="517">
        <v>0</v>
      </c>
      <c r="AG53" s="517">
        <v>859.3351</v>
      </c>
      <c r="AH53" s="517">
        <v>859.34</v>
      </c>
      <c r="AI53" s="517">
        <v>-0.00490000000002055</v>
      </c>
      <c r="AJ53" s="517">
        <v>0</v>
      </c>
      <c r="AK53" s="517"/>
      <c r="AL53" s="517">
        <v>0</v>
      </c>
      <c r="AM53" s="517">
        <v>40922.01</v>
      </c>
      <c r="AN53" s="517">
        <v>40922.01</v>
      </c>
      <c r="AO53" s="517">
        <v>0</v>
      </c>
      <c r="AP53" s="517">
        <v>77082.3208</v>
      </c>
      <c r="AQ53" s="517">
        <v>77082.33</v>
      </c>
      <c r="AR53" s="517">
        <v>-0.00919999998586718</v>
      </c>
    </row>
    <row r="54" spans="1:44">
      <c r="A54" s="518" t="s">
        <v>507</v>
      </c>
      <c r="B54" s="517">
        <v>34997.28</v>
      </c>
      <c r="C54" s="517">
        <v>62722.06</v>
      </c>
      <c r="D54" s="517">
        <v>65338.65</v>
      </c>
      <c r="E54" s="517">
        <v>-2616.59</v>
      </c>
      <c r="F54" s="517">
        <v>0</v>
      </c>
      <c r="G54" s="517">
        <v>0</v>
      </c>
      <c r="H54" s="517">
        <v>0</v>
      </c>
      <c r="I54" s="517">
        <v>0</v>
      </c>
      <c r="J54" s="517"/>
      <c r="K54" s="517">
        <v>0</v>
      </c>
      <c r="L54" s="517">
        <v>0</v>
      </c>
      <c r="M54" s="517">
        <v>0</v>
      </c>
      <c r="N54" s="517">
        <v>0</v>
      </c>
      <c r="O54" s="517">
        <v>0</v>
      </c>
      <c r="P54" s="517">
        <v>0</v>
      </c>
      <c r="Q54" s="517">
        <v>0</v>
      </c>
      <c r="R54" s="517">
        <v>0</v>
      </c>
      <c r="S54" s="517">
        <v>0</v>
      </c>
      <c r="T54" s="517">
        <v>0</v>
      </c>
      <c r="U54" s="517">
        <v>0</v>
      </c>
      <c r="V54" s="517">
        <v>0</v>
      </c>
      <c r="W54" s="517">
        <v>0</v>
      </c>
      <c r="X54" s="517">
        <v>8154</v>
      </c>
      <c r="Y54" s="517">
        <v>8154</v>
      </c>
      <c r="Z54" s="517">
        <v>0</v>
      </c>
      <c r="AA54" s="517">
        <v>22821.76</v>
      </c>
      <c r="AB54" s="517">
        <v>22821.76</v>
      </c>
      <c r="AC54" s="517">
        <v>0</v>
      </c>
      <c r="AD54" s="517">
        <v>2348.76</v>
      </c>
      <c r="AE54" s="517">
        <v>2348.76</v>
      </c>
      <c r="AF54" s="517">
        <v>0</v>
      </c>
      <c r="AG54" s="517">
        <v>20000</v>
      </c>
      <c r="AH54" s="517">
        <v>20000</v>
      </c>
      <c r="AI54" s="517">
        <v>0</v>
      </c>
      <c r="AJ54" s="517">
        <v>0</v>
      </c>
      <c r="AK54" s="517">
        <v>0</v>
      </c>
      <c r="AL54" s="517">
        <v>0</v>
      </c>
      <c r="AM54" s="517">
        <v>107259.41</v>
      </c>
      <c r="AN54" s="517">
        <v>107259.41</v>
      </c>
      <c r="AO54" s="517">
        <v>0</v>
      </c>
      <c r="AP54" s="517">
        <v>258303.27</v>
      </c>
      <c r="AQ54" s="517">
        <v>260919.86</v>
      </c>
      <c r="AR54" s="517">
        <v>-2616.59</v>
      </c>
    </row>
    <row r="55" spans="1:44">
      <c r="A55" s="516" t="s">
        <v>1208</v>
      </c>
      <c r="B55" s="517">
        <v>39905.78</v>
      </c>
      <c r="C55" s="517">
        <v>12742.7812962963</v>
      </c>
      <c r="D55" s="517"/>
      <c r="E55" s="517">
        <v>12742.7812962963</v>
      </c>
      <c r="F55" s="517">
        <v>0</v>
      </c>
      <c r="G55" s="517"/>
      <c r="H55" s="517">
        <v>0</v>
      </c>
      <c r="I55" s="517">
        <v>0</v>
      </c>
      <c r="J55" s="517"/>
      <c r="K55" s="517">
        <v>0</v>
      </c>
      <c r="L55" s="517">
        <v>0</v>
      </c>
      <c r="M55" s="517"/>
      <c r="N55" s="517">
        <v>0</v>
      </c>
      <c r="O55" s="517">
        <v>0</v>
      </c>
      <c r="P55" s="517"/>
      <c r="Q55" s="517">
        <v>0</v>
      </c>
      <c r="R55" s="517">
        <v>0</v>
      </c>
      <c r="S55" s="517"/>
      <c r="T55" s="517">
        <v>0</v>
      </c>
      <c r="U55" s="517">
        <v>0</v>
      </c>
      <c r="V55" s="517"/>
      <c r="W55" s="517">
        <v>0</v>
      </c>
      <c r="X55" s="517">
        <v>0</v>
      </c>
      <c r="Y55" s="517"/>
      <c r="Z55" s="517">
        <v>0</v>
      </c>
      <c r="AA55" s="517">
        <v>0</v>
      </c>
      <c r="AB55" s="517"/>
      <c r="AC55" s="517">
        <v>0</v>
      </c>
      <c r="AD55" s="517">
        <v>597.31</v>
      </c>
      <c r="AE55" s="517">
        <v>597.31</v>
      </c>
      <c r="AF55" s="517">
        <v>0</v>
      </c>
      <c r="AG55" s="517">
        <v>0</v>
      </c>
      <c r="AH55" s="517"/>
      <c r="AI55" s="517">
        <v>0</v>
      </c>
      <c r="AJ55" s="517">
        <v>0</v>
      </c>
      <c r="AK55" s="517"/>
      <c r="AL55" s="517">
        <v>0</v>
      </c>
      <c r="AM55" s="517">
        <v>0</v>
      </c>
      <c r="AN55" s="517"/>
      <c r="AO55" s="517">
        <v>0</v>
      </c>
      <c r="AP55" s="517">
        <v>53245.8712962963</v>
      </c>
      <c r="AQ55" s="517">
        <v>40503.09</v>
      </c>
      <c r="AR55" s="517">
        <v>12742.7812962963</v>
      </c>
    </row>
    <row r="56" spans="1:44">
      <c r="A56" s="516" t="s">
        <v>734</v>
      </c>
      <c r="B56" s="517">
        <v>49559.22</v>
      </c>
      <c r="C56" s="517">
        <v>5887.7055</v>
      </c>
      <c r="D56" s="517">
        <v>5887.71</v>
      </c>
      <c r="E56" s="517">
        <v>-0.00449999999955253</v>
      </c>
      <c r="F56" s="517">
        <v>1962.5685</v>
      </c>
      <c r="G56" s="517">
        <v>1962.57</v>
      </c>
      <c r="H56" s="517">
        <v>-0.00149999999996453</v>
      </c>
      <c r="I56" s="517">
        <v>11775.411</v>
      </c>
      <c r="J56" s="517">
        <v>11775.41</v>
      </c>
      <c r="K56" s="517">
        <v>0.00100000000020373</v>
      </c>
      <c r="L56" s="517">
        <v>3925.137</v>
      </c>
      <c r="M56" s="517">
        <v>3925.14</v>
      </c>
      <c r="N56" s="517">
        <v>-0.00299999999992906</v>
      </c>
      <c r="O56" s="517">
        <v>5887.7055</v>
      </c>
      <c r="P56" s="517">
        <v>5887.71</v>
      </c>
      <c r="Q56" s="517">
        <v>-0.00449999999955253</v>
      </c>
      <c r="R56" s="517">
        <v>1962.5685</v>
      </c>
      <c r="S56" s="517">
        <v>1962.57</v>
      </c>
      <c r="T56" s="517">
        <v>-0.00149999999996453</v>
      </c>
      <c r="U56" s="517">
        <v>1962.5685</v>
      </c>
      <c r="V56" s="517">
        <v>1962.57</v>
      </c>
      <c r="W56" s="517">
        <v>-0.00149999999996453</v>
      </c>
      <c r="X56" s="517">
        <v>567.15</v>
      </c>
      <c r="Y56" s="517">
        <v>567.15</v>
      </c>
      <c r="Z56" s="517">
        <v>0</v>
      </c>
      <c r="AA56" s="517">
        <v>20895.36</v>
      </c>
      <c r="AB56" s="517">
        <v>20895.36</v>
      </c>
      <c r="AC56" s="517">
        <v>0</v>
      </c>
      <c r="AD56" s="517">
        <v>3901.75</v>
      </c>
      <c r="AE56" s="517">
        <v>3901.75</v>
      </c>
      <c r="AF56" s="517">
        <v>0</v>
      </c>
      <c r="AG56" s="517">
        <v>392.5137</v>
      </c>
      <c r="AH56" s="517">
        <v>392.34</v>
      </c>
      <c r="AI56" s="517">
        <v>0.173699999999997</v>
      </c>
      <c r="AJ56" s="517">
        <v>0</v>
      </c>
      <c r="AK56" s="517"/>
      <c r="AL56" s="517">
        <v>0</v>
      </c>
      <c r="AM56" s="517">
        <v>54725.15</v>
      </c>
      <c r="AN56" s="517">
        <v>54725.15</v>
      </c>
      <c r="AO56" s="517">
        <v>0</v>
      </c>
      <c r="AP56" s="517">
        <v>163404.8082</v>
      </c>
      <c r="AQ56" s="517">
        <v>163404.65</v>
      </c>
      <c r="AR56" s="517">
        <v>0.158199999998942</v>
      </c>
    </row>
    <row r="57" spans="1:44">
      <c r="A57" s="516" t="s">
        <v>396</v>
      </c>
      <c r="B57" s="517"/>
      <c r="C57" s="517">
        <v>0</v>
      </c>
      <c r="D57" s="517"/>
      <c r="E57" s="517">
        <v>0</v>
      </c>
      <c r="F57" s="517">
        <v>0</v>
      </c>
      <c r="G57" s="517"/>
      <c r="H57" s="517">
        <v>0</v>
      </c>
      <c r="I57" s="517">
        <v>0</v>
      </c>
      <c r="J57" s="517"/>
      <c r="K57" s="517">
        <v>0</v>
      </c>
      <c r="L57" s="517">
        <v>0</v>
      </c>
      <c r="M57" s="517"/>
      <c r="N57" s="517">
        <v>0</v>
      </c>
      <c r="O57" s="517">
        <v>0</v>
      </c>
      <c r="P57" s="517"/>
      <c r="Q57" s="517">
        <v>0</v>
      </c>
      <c r="R57" s="517">
        <v>0</v>
      </c>
      <c r="S57" s="517"/>
      <c r="T57" s="517">
        <v>0</v>
      </c>
      <c r="U57" s="517">
        <v>0</v>
      </c>
      <c r="V57" s="517"/>
      <c r="W57" s="517">
        <v>0</v>
      </c>
      <c r="X57" s="517">
        <v>0</v>
      </c>
      <c r="Y57" s="517"/>
      <c r="Z57" s="517">
        <v>0</v>
      </c>
      <c r="AA57" s="517">
        <v>0</v>
      </c>
      <c r="AB57" s="517"/>
      <c r="AC57" s="517">
        <v>0</v>
      </c>
      <c r="AD57" s="517">
        <v>0</v>
      </c>
      <c r="AE57" s="517"/>
      <c r="AF57" s="517">
        <v>0</v>
      </c>
      <c r="AG57" s="517">
        <v>0</v>
      </c>
      <c r="AH57" s="517"/>
      <c r="AI57" s="517">
        <v>0</v>
      </c>
      <c r="AJ57" s="517">
        <v>0</v>
      </c>
      <c r="AK57" s="517"/>
      <c r="AL57" s="517">
        <v>0</v>
      </c>
      <c r="AM57" s="517">
        <v>0</v>
      </c>
      <c r="AN57" s="517"/>
      <c r="AO57" s="517">
        <v>0</v>
      </c>
      <c r="AP57" s="517">
        <v>0</v>
      </c>
      <c r="AQ57" s="517">
        <v>0</v>
      </c>
      <c r="AR57" s="517">
        <v>0</v>
      </c>
    </row>
    <row r="58" spans="1:44">
      <c r="A58" s="516" t="s">
        <v>1397</v>
      </c>
      <c r="B58" s="517">
        <v>1885832.38</v>
      </c>
      <c r="C58" s="517">
        <v>1024701.0213963</v>
      </c>
      <c r="D58" s="517">
        <v>1116967.4582</v>
      </c>
      <c r="E58" s="517">
        <v>-92266.4368037037</v>
      </c>
      <c r="F58" s="517">
        <v>20869.3694</v>
      </c>
      <c r="G58" s="517">
        <v>20869.3961</v>
      </c>
      <c r="H58" s="517">
        <v>3995.0333</v>
      </c>
      <c r="I58" s="517">
        <v>31422.766</v>
      </c>
      <c r="J58" s="517">
        <v>31422.6282</v>
      </c>
      <c r="K58" s="517">
        <v>0.137799999999686</v>
      </c>
      <c r="L58" s="517">
        <v>64211.87985</v>
      </c>
      <c r="M58" s="517">
        <v>63285.60925</v>
      </c>
      <c r="N58" s="517">
        <v>926.270599999996</v>
      </c>
      <c r="O58" s="517">
        <v>45953.08</v>
      </c>
      <c r="P58" s="517">
        <v>45953.1053</v>
      </c>
      <c r="Q58" s="517">
        <v>-0.0253000000003567</v>
      </c>
      <c r="R58" s="517">
        <v>21474.17695</v>
      </c>
      <c r="S58" s="517">
        <v>21474.20365</v>
      </c>
      <c r="T58" s="517">
        <v>-0.0267000000013411</v>
      </c>
      <c r="U58" s="517">
        <v>18486.5471</v>
      </c>
      <c r="V58" s="517">
        <v>18486.5514</v>
      </c>
      <c r="W58" s="517">
        <v>-0.0043000000015212</v>
      </c>
      <c r="X58" s="517">
        <v>194305.94295</v>
      </c>
      <c r="Y58" s="517">
        <v>192006.04985</v>
      </c>
      <c r="Z58" s="517">
        <v>2299.8931</v>
      </c>
      <c r="AA58" s="517">
        <v>259364.763823886</v>
      </c>
      <c r="AB58" s="517">
        <v>256364.852923886</v>
      </c>
      <c r="AC58" s="517">
        <v>2999.9109</v>
      </c>
      <c r="AD58" s="517">
        <v>34195.9816</v>
      </c>
      <c r="AE58" s="517">
        <v>34195.9816</v>
      </c>
      <c r="AF58" s="517">
        <v>0</v>
      </c>
      <c r="AG58" s="517">
        <v>98318.3408330189</v>
      </c>
      <c r="AH58" s="517">
        <v>97794.1752830189</v>
      </c>
      <c r="AI58" s="517">
        <v>524.16555</v>
      </c>
      <c r="AJ58" s="517">
        <v>19431.55</v>
      </c>
      <c r="AK58" s="517">
        <v>19431.55</v>
      </c>
      <c r="AL58" s="517">
        <v>0</v>
      </c>
      <c r="AM58" s="517">
        <v>2028487.2594</v>
      </c>
      <c r="AN58" s="517">
        <v>2028487.2594</v>
      </c>
      <c r="AO58" s="517">
        <v>0</v>
      </c>
      <c r="AP58" s="517">
        <v>5715977.7499032</v>
      </c>
      <c r="AQ58" s="517">
        <v>5801493.8917569</v>
      </c>
      <c r="AR58" s="517">
        <v>-85516.1418537038</v>
      </c>
    </row>
    <row r="61" spans="1:44">
      <c r="AP61" s="519" t="s">
        <v>1398</v>
      </c>
    </row>
    <row r="62" spans="1:44">
      <c r="A62" t="s">
        <v>1399</v>
      </c>
      <c r="AP62" s="520">
        <v>46206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BW494"/>
  <sheetViews>
    <sheetView tabSelected="1" topLeftCell="A77" workbookViewId="0">
      <selection activeCell="K489" sqref="K2:K489"/>
    </sheetView>
  </sheetViews>
  <sheetFormatPr defaultColWidth="9" defaultRowHeight="13.5"/>
  <cols>
    <col min="1" max="1" width="4.875" style="27" customWidth="1"/>
    <col min="2" max="2" width="16.25" style="27" customWidth="1"/>
    <col min="3" max="4" width="12.5" style="28" customWidth="1"/>
    <col min="5" max="5" width="23.875" style="28" customWidth="1"/>
    <col min="6" max="6" width="12.5" style="29" customWidth="1"/>
    <col min="7" max="7" width="12.5" style="28" customWidth="1"/>
    <col min="8" max="8" width="16.25" style="28" customWidth="1"/>
    <col min="9" max="9" width="14.375" style="30" customWidth="1"/>
    <col min="10" max="12" width="16.25" style="31" customWidth="1"/>
    <col min="13" max="14" width="12.5" style="31" customWidth="1"/>
    <col min="15" max="15" width="25.875" style="32" customWidth="1"/>
    <col min="16" max="16" width="10.75" style="33" customWidth="1"/>
    <col min="17" max="17" width="19.75" style="27" customWidth="1"/>
    <col min="18" max="24" width="12.5" style="27" customWidth="1"/>
    <col min="25" max="27" width="14.25" style="27" customWidth="1"/>
    <col min="28" max="28" width="33.125" style="27" customWidth="1"/>
    <col min="29" max="36" width="14.25" style="27" customWidth="1"/>
    <col min="37" max="40" width="12.5" style="27" customWidth="1"/>
    <col min="41" max="44" width="12.5" style="34" customWidth="1"/>
    <col min="45" max="47" width="12.5" style="33" customWidth="1"/>
    <col min="48" max="48" width="13.25" style="33" customWidth="1"/>
    <col min="49" max="52" width="12.5" style="27" customWidth="1"/>
    <col min="53" max="64" width="12.5" style="31" customWidth="1"/>
    <col min="65" max="65" width="30.25" style="35" customWidth="1"/>
    <col min="66" max="71" width="27.875" style="35" customWidth="1"/>
    <col min="72" max="72" width="10.75" style="28" customWidth="1"/>
    <col min="73" max="73" width="41.5" style="29" customWidth="1"/>
    <col min="74" max="74" width="41.75" style="30" customWidth="1"/>
    <col min="75" max="75" width="14" style="28" customWidth="1"/>
  </cols>
  <sheetData>
    <row r="1" ht="18.75" customHeight="1" spans="1:75">
      <c r="A1" s="36" t="s">
        <v>0</v>
      </c>
      <c r="B1" s="37"/>
      <c r="C1" s="37"/>
      <c r="D1" s="37"/>
      <c r="E1" s="37"/>
      <c r="F1" s="37"/>
      <c r="G1" s="37"/>
      <c r="H1" s="37"/>
      <c r="I1" s="37"/>
      <c r="J1" s="37"/>
      <c r="K1" s="37"/>
      <c r="L1" s="37"/>
      <c r="M1" s="37"/>
      <c r="N1" s="37"/>
      <c r="O1" s="37"/>
      <c r="P1" s="37"/>
      <c r="Q1" s="37"/>
      <c r="R1" s="37"/>
      <c r="S1" s="37"/>
      <c r="T1" s="37"/>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41"/>
      <c r="BN1" s="41"/>
      <c r="BO1" s="41"/>
      <c r="BP1" s="41"/>
      <c r="BQ1" s="41"/>
      <c r="BR1" s="41"/>
      <c r="BS1" s="41"/>
      <c r="BT1" s="38"/>
      <c r="BU1" s="42"/>
      <c r="BV1" s="42"/>
    </row>
    <row r="2" s="1" customFormat="1" ht="81" customHeight="1" spans="1:75">
      <c r="A2" s="178" t="s">
        <v>1</v>
      </c>
      <c r="B2" s="178" t="s">
        <v>2</v>
      </c>
      <c r="C2" s="178" t="s">
        <v>3</v>
      </c>
      <c r="D2" s="178" t="s">
        <v>4</v>
      </c>
      <c r="E2" s="178" t="s">
        <v>5</v>
      </c>
      <c r="F2" s="179" t="s">
        <v>6</v>
      </c>
      <c r="G2" s="179" t="s">
        <v>7</v>
      </c>
      <c r="H2" s="179" t="s">
        <v>8</v>
      </c>
      <c r="I2" s="179" t="s">
        <v>9</v>
      </c>
      <c r="J2" s="179" t="s">
        <v>10</v>
      </c>
      <c r="K2" s="212" t="s">
        <v>1400</v>
      </c>
      <c r="L2" s="212" t="s">
        <v>1401</v>
      </c>
      <c r="M2" s="180" t="s">
        <v>1402</v>
      </c>
      <c r="N2" s="213" t="s">
        <v>11</v>
      </c>
      <c r="O2" s="182" t="s">
        <v>12</v>
      </c>
      <c r="P2" s="214" t="s">
        <v>13</v>
      </c>
      <c r="Q2" s="215" t="s">
        <v>1403</v>
      </c>
      <c r="R2" s="184" t="s">
        <v>1404</v>
      </c>
      <c r="S2" s="216" t="s">
        <v>1405</v>
      </c>
      <c r="T2" s="217" t="s">
        <v>1406</v>
      </c>
      <c r="U2" s="215" t="s">
        <v>1407</v>
      </c>
      <c r="V2" s="184" t="s">
        <v>1408</v>
      </c>
      <c r="W2" s="216" t="s">
        <v>1409</v>
      </c>
      <c r="X2" s="217" t="s">
        <v>1410</v>
      </c>
      <c r="Y2" s="215" t="s">
        <v>1411</v>
      </c>
      <c r="Z2" s="184" t="s">
        <v>1412</v>
      </c>
      <c r="AA2" s="216" t="s">
        <v>1413</v>
      </c>
      <c r="AB2" s="217" t="s">
        <v>1414</v>
      </c>
      <c r="AC2" s="215" t="s">
        <v>1415</v>
      </c>
      <c r="AD2" s="184" t="s">
        <v>1416</v>
      </c>
      <c r="AE2" s="216" t="s">
        <v>1417</v>
      </c>
      <c r="AF2" s="217" t="s">
        <v>1418</v>
      </c>
      <c r="AG2" s="215" t="s">
        <v>1419</v>
      </c>
      <c r="AH2" s="184" t="s">
        <v>1420</v>
      </c>
      <c r="AI2" s="216" t="s">
        <v>1421</v>
      </c>
      <c r="AJ2" s="217" t="s">
        <v>1422</v>
      </c>
      <c r="AK2" s="215" t="s">
        <v>1423</v>
      </c>
      <c r="AL2" s="184" t="s">
        <v>1424</v>
      </c>
      <c r="AM2" s="216" t="s">
        <v>1425</v>
      </c>
      <c r="AN2" s="217" t="s">
        <v>1426</v>
      </c>
      <c r="AO2" s="215" t="s">
        <v>1427</v>
      </c>
      <c r="AP2" s="184" t="s">
        <v>1428</v>
      </c>
      <c r="AQ2" s="216" t="s">
        <v>1429</v>
      </c>
      <c r="AR2" s="217" t="s">
        <v>1430</v>
      </c>
      <c r="AS2" s="215" t="s">
        <v>1431</v>
      </c>
      <c r="AT2" s="184" t="s">
        <v>1432</v>
      </c>
      <c r="AU2" s="216" t="s">
        <v>1433</v>
      </c>
      <c r="AV2" s="217" t="s">
        <v>1434</v>
      </c>
      <c r="AW2" s="215" t="s">
        <v>1435</v>
      </c>
      <c r="AX2" s="184" t="s">
        <v>1436</v>
      </c>
      <c r="AY2" s="216" t="s">
        <v>1437</v>
      </c>
      <c r="AZ2" s="217" t="s">
        <v>1438</v>
      </c>
      <c r="BA2" s="215" t="s">
        <v>1439</v>
      </c>
      <c r="BB2" s="184" t="s">
        <v>1440</v>
      </c>
      <c r="BC2" s="216" t="s">
        <v>1441</v>
      </c>
      <c r="BD2" s="217" t="s">
        <v>1442</v>
      </c>
      <c r="BE2" s="215" t="s">
        <v>1443</v>
      </c>
      <c r="BF2" s="184" t="s">
        <v>1444</v>
      </c>
      <c r="BG2" s="216" t="s">
        <v>1445</v>
      </c>
      <c r="BH2" s="217" t="s">
        <v>1446</v>
      </c>
      <c r="BI2" s="215" t="s">
        <v>1447</v>
      </c>
      <c r="BJ2" s="184" t="s">
        <v>1448</v>
      </c>
      <c r="BK2" s="216" t="s">
        <v>1449</v>
      </c>
      <c r="BL2" s="217" t="s">
        <v>1450</v>
      </c>
      <c r="BM2" s="215" t="s">
        <v>1451</v>
      </c>
      <c r="BN2" s="184" t="s">
        <v>1452</v>
      </c>
      <c r="BO2" s="216" t="s">
        <v>1453</v>
      </c>
      <c r="BP2" s="215" t="s">
        <v>1454</v>
      </c>
      <c r="BQ2" s="218" t="s">
        <v>1455</v>
      </c>
      <c r="BR2" s="218" t="s">
        <v>1456</v>
      </c>
      <c r="BS2" s="185" t="s">
        <v>28</v>
      </c>
      <c r="BT2" s="186" t="s">
        <v>29</v>
      </c>
      <c r="BU2" s="179" t="s">
        <v>30</v>
      </c>
      <c r="BV2" s="181" t="s">
        <v>31</v>
      </c>
    </row>
    <row r="3" s="209" customFormat="1" ht="42" customHeight="1" spans="1:75">
      <c r="A3" s="219">
        <v>4</v>
      </c>
      <c r="B3" s="220" t="s">
        <v>50</v>
      </c>
      <c r="C3" s="221" t="s">
        <v>34</v>
      </c>
      <c r="D3" s="221" t="s">
        <v>51</v>
      </c>
      <c r="E3" s="221" t="s">
        <v>52</v>
      </c>
      <c r="F3" s="219" t="s">
        <v>53</v>
      </c>
      <c r="G3" s="222" t="s">
        <v>374</v>
      </c>
      <c r="H3" s="222" t="s">
        <v>39</v>
      </c>
      <c r="I3" s="219" t="s">
        <v>39</v>
      </c>
      <c r="J3" s="222" t="s">
        <v>39</v>
      </c>
      <c r="K3" s="223" cm="1">
        <f t="array" ref="K3">_xlfn.XLOOKUP(D3&amp;E3&amp;H3&amp;I3&amp;J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621582.5</v>
      </c>
      <c r="L3" s="223"/>
      <c r="M3" s="224"/>
      <c r="N3" s="225"/>
      <c r="O3" s="226">
        <v>8931000</v>
      </c>
      <c r="P3" s="227">
        <v>0</v>
      </c>
      <c r="Q3" s="228">
        <f t="shared" ref="Q3:Q20" si="0">K3*P3</f>
        <v>0</v>
      </c>
      <c r="R3" s="227"/>
      <c r="S3" s="228">
        <f t="shared" ref="S3:S66" si="1">Q3-R3</f>
        <v>0</v>
      </c>
      <c r="T3" s="227">
        <v>0</v>
      </c>
      <c r="U3" s="228">
        <f t="shared" ref="U3:U30" si="2">K3*T3</f>
        <v>0</v>
      </c>
      <c r="V3" s="227"/>
      <c r="W3" s="228">
        <f t="shared" ref="W3:W66" si="3">U3-V3</f>
        <v>0</v>
      </c>
      <c r="X3" s="227">
        <v>0</v>
      </c>
      <c r="Y3" s="228">
        <f t="shared" ref="Y3:Y63" si="4">K3*X3</f>
        <v>0</v>
      </c>
      <c r="Z3" s="227"/>
      <c r="AA3" s="228">
        <f t="shared" ref="AA3:AA66" si="5">Y3-Z3</f>
        <v>0</v>
      </c>
      <c r="AB3" s="227">
        <v>0</v>
      </c>
      <c r="AC3" s="228">
        <f t="shared" ref="AC3:AC44" si="6">K3*AB3</f>
        <v>0</v>
      </c>
      <c r="AD3" s="227"/>
      <c r="AE3" s="228">
        <f t="shared" ref="AE3:AE66" si="7">AC3-AD3</f>
        <v>0</v>
      </c>
      <c r="AF3" s="227">
        <v>0</v>
      </c>
      <c r="AG3" s="228">
        <f t="shared" ref="AG3:AG44" si="8">K3*AF3</f>
        <v>0</v>
      </c>
      <c r="AH3" s="227"/>
      <c r="AI3" s="228">
        <f t="shared" ref="AI3:AI66" si="9">AG3-AH3</f>
        <v>0</v>
      </c>
      <c r="AJ3" s="227">
        <v>0</v>
      </c>
      <c r="AK3" s="228">
        <f t="shared" ref="AK3:AK66" si="10">K3*AJ3</f>
        <v>0</v>
      </c>
      <c r="AL3" s="227"/>
      <c r="AM3" s="228">
        <f t="shared" ref="AM3:AM66" si="11">AK3-AL3</f>
        <v>0</v>
      </c>
      <c r="AN3" s="227">
        <v>0</v>
      </c>
      <c r="AO3" s="228">
        <f t="shared" ref="AO3:AO66" si="12">K3*AN3</f>
        <v>0</v>
      </c>
      <c r="AP3" s="228"/>
      <c r="AQ3" s="228">
        <f t="shared" ref="AQ3:AQ66" si="13">AO3-AP3</f>
        <v>0</v>
      </c>
      <c r="AR3" s="228">
        <v>0</v>
      </c>
      <c r="AS3" s="228">
        <f t="shared" ref="AS3:AS30" si="14">K3*AR3</f>
        <v>0</v>
      </c>
      <c r="AT3" s="227"/>
      <c r="AU3" s="228">
        <f t="shared" ref="AU3:AU66" si="15">AS3-AT3</f>
        <v>0</v>
      </c>
      <c r="AV3" s="227">
        <v>0</v>
      </c>
      <c r="AW3" s="228">
        <f t="shared" ref="AW3:AW19" si="16">K3*AV3</f>
        <v>0</v>
      </c>
      <c r="AX3" s="227"/>
      <c r="AY3" s="228">
        <f t="shared" ref="AY3:AY66" si="17">AW3-AX3</f>
        <v>0</v>
      </c>
      <c r="AZ3" s="227">
        <v>0</v>
      </c>
      <c r="BA3" s="228">
        <f>K3*AZ3</f>
        <v>0</v>
      </c>
      <c r="BB3" s="228"/>
      <c r="BC3" s="228">
        <f t="shared" ref="BC3:BC66" si="18">BA3-BB3</f>
        <v>0</v>
      </c>
      <c r="BD3" s="228"/>
      <c r="BE3" s="228">
        <f t="shared" ref="BE3:BE8" si="19">K3*BD3</f>
        <v>0</v>
      </c>
      <c r="BF3" s="228"/>
      <c r="BG3" s="228">
        <f t="shared" ref="BG3:BG66" si="20">BE3-BF3</f>
        <v>0</v>
      </c>
      <c r="BH3" s="228"/>
      <c r="BI3" s="228">
        <f t="shared" ref="BI3:BI13" si="21">K3*BH3</f>
        <v>0</v>
      </c>
      <c r="BJ3" s="228"/>
      <c r="BK3" s="228">
        <f t="shared" ref="BK3:BK66" si="22">BI3-BJ3</f>
        <v>0</v>
      </c>
      <c r="BL3" s="228">
        <v>0</v>
      </c>
      <c r="BM3" s="220">
        <f>K3*BL3</f>
        <v>0</v>
      </c>
      <c r="BN3" s="220"/>
      <c r="BO3" s="220">
        <f t="shared" ref="BO3:BO66" si="23">BM3-BN3</f>
        <v>0</v>
      </c>
      <c r="BP3" s="220">
        <f t="shared" ref="BP3:BP66" si="24">N3+Q3+U3+Y3+AC3+AG3+AK3+AO3+AS3+AW3+BA3+BE3+BI3+BM3</f>
        <v>0</v>
      </c>
      <c r="BQ3" s="220">
        <f t="shared" ref="BQ3:BQ66" si="25">N3+R3+V3+Z3+AD3+AH3+AL3+AP3+AT3+AX3+BB3+BF3+BJ3+BN3</f>
        <v>0</v>
      </c>
      <c r="BR3" s="220">
        <f t="shared" ref="BR3:BR63" si="26">BP3-BQ3</f>
        <v>0</v>
      </c>
      <c r="BS3" s="229">
        <v>0.045</v>
      </c>
      <c r="BT3" s="229" t="s">
        <v>39</v>
      </c>
      <c r="BU3" s="230"/>
      <c r="BV3" s="230"/>
      <c r="BW3" s="231"/>
    </row>
    <row r="4" s="209" customFormat="1" ht="82.5" customHeight="1" spans="1:75">
      <c r="A4" s="219">
        <v>6</v>
      </c>
      <c r="B4" s="220" t="s">
        <v>59</v>
      </c>
      <c r="C4" s="221" t="s">
        <v>34</v>
      </c>
      <c r="D4" s="221" t="s">
        <v>55</v>
      </c>
      <c r="E4" s="221" t="s">
        <v>56</v>
      </c>
      <c r="F4" s="219" t="s">
        <v>47</v>
      </c>
      <c r="G4" s="222" t="s">
        <v>38</v>
      </c>
      <c r="H4" s="222" t="s">
        <v>60</v>
      </c>
      <c r="I4" s="232" t="s">
        <v>61</v>
      </c>
      <c r="J4" s="233" t="s">
        <v>62</v>
      </c>
      <c r="K4" s="223" cm="1">
        <f t="array" ref="K4">_xlfn.XLOOKUP(D4&amp;E4&amp;H4&amp;I4&amp;J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 s="223"/>
      <c r="M4" s="224"/>
      <c r="N4" s="234"/>
      <c r="O4" s="226">
        <v>700000</v>
      </c>
      <c r="P4" s="235">
        <v>0.07</v>
      </c>
      <c r="Q4" s="228">
        <f t="shared" si="0"/>
        <v>0</v>
      </c>
      <c r="R4" s="228"/>
      <c r="S4" s="228">
        <f t="shared" si="1"/>
        <v>0</v>
      </c>
      <c r="T4" s="235">
        <v>0.01</v>
      </c>
      <c r="U4" s="228">
        <f t="shared" si="2"/>
        <v>0</v>
      </c>
      <c r="V4" s="228"/>
      <c r="W4" s="228">
        <f t="shared" si="3"/>
        <v>0</v>
      </c>
      <c r="X4" s="235">
        <v>0</v>
      </c>
      <c r="Y4" s="228">
        <f t="shared" si="4"/>
        <v>0</v>
      </c>
      <c r="Z4" s="228"/>
      <c r="AA4" s="228">
        <f t="shared" si="5"/>
        <v>0</v>
      </c>
      <c r="AB4" s="235">
        <v>0.03</v>
      </c>
      <c r="AC4" s="228">
        <f t="shared" si="6"/>
        <v>0</v>
      </c>
      <c r="AD4" s="228"/>
      <c r="AE4" s="228">
        <f t="shared" si="7"/>
        <v>0</v>
      </c>
      <c r="AF4" s="235">
        <v>0.03</v>
      </c>
      <c r="AG4" s="228">
        <f t="shared" si="8"/>
        <v>0</v>
      </c>
      <c r="AH4" s="228"/>
      <c r="AI4" s="228">
        <f t="shared" si="9"/>
        <v>0</v>
      </c>
      <c r="AJ4" s="235">
        <v>0.01</v>
      </c>
      <c r="AK4" s="228">
        <f t="shared" si="10"/>
        <v>0</v>
      </c>
      <c r="AL4" s="228"/>
      <c r="AM4" s="228">
        <f t="shared" si="11"/>
        <v>0</v>
      </c>
      <c r="AN4" s="235">
        <v>0.02</v>
      </c>
      <c r="AO4" s="228">
        <f t="shared" si="12"/>
        <v>0</v>
      </c>
      <c r="AP4" s="228"/>
      <c r="AQ4" s="228">
        <f t="shared" si="13"/>
        <v>0</v>
      </c>
      <c r="AR4" s="235">
        <v>0.04</v>
      </c>
      <c r="AS4" s="228">
        <f t="shared" si="14"/>
        <v>0</v>
      </c>
      <c r="AT4" s="228"/>
      <c r="AU4" s="228">
        <f t="shared" si="15"/>
        <v>0</v>
      </c>
      <c r="AV4" s="235">
        <v>0.05</v>
      </c>
      <c r="AW4" s="228">
        <f t="shared" si="16"/>
        <v>0</v>
      </c>
      <c r="AX4" s="228"/>
      <c r="AY4" s="228">
        <f t="shared" si="17"/>
        <v>0</v>
      </c>
      <c r="AZ4" s="235" t="s">
        <v>1457</v>
      </c>
      <c r="BA4" s="228">
        <f t="shared" ref="BA4:BA12" si="27">BB4</f>
        <v>0</v>
      </c>
      <c r="BB4" s="228"/>
      <c r="BC4" s="228">
        <f t="shared" si="18"/>
        <v>0</v>
      </c>
      <c r="BD4" s="235">
        <v>0</v>
      </c>
      <c r="BE4" s="228">
        <f t="shared" si="19"/>
        <v>0</v>
      </c>
      <c r="BF4" s="228"/>
      <c r="BG4" s="228">
        <f t="shared" si="20"/>
        <v>0</v>
      </c>
      <c r="BH4" s="235">
        <v>0</v>
      </c>
      <c r="BI4" s="228">
        <f t="shared" si="21"/>
        <v>0</v>
      </c>
      <c r="BJ4" s="228"/>
      <c r="BK4" s="228">
        <f t="shared" si="22"/>
        <v>0</v>
      </c>
      <c r="BL4" s="235" t="s">
        <v>1457</v>
      </c>
      <c r="BM4" s="220">
        <f t="shared" ref="BM4:BM12" si="28">BN4</f>
        <v>0</v>
      </c>
      <c r="BN4" s="220"/>
      <c r="BO4" s="220">
        <f t="shared" si="23"/>
        <v>0</v>
      </c>
      <c r="BP4" s="220">
        <f t="shared" si="24"/>
        <v>0</v>
      </c>
      <c r="BQ4" s="220">
        <f t="shared" si="25"/>
        <v>0</v>
      </c>
      <c r="BR4" s="220">
        <f t="shared" si="26"/>
        <v>0</v>
      </c>
      <c r="BS4" s="236" t="s">
        <v>39</v>
      </c>
      <c r="BT4" s="236" t="s">
        <v>39</v>
      </c>
      <c r="BU4" s="230" t="s">
        <v>63</v>
      </c>
      <c r="BV4" s="230"/>
      <c r="BW4" s="231"/>
    </row>
    <row r="5" s="209" customFormat="1" ht="92.25" customHeight="1" spans="1:75">
      <c r="A5" s="219">
        <v>7</v>
      </c>
      <c r="B5" s="220" t="s">
        <v>65</v>
      </c>
      <c r="C5" s="221" t="s">
        <v>34</v>
      </c>
      <c r="D5" s="221" t="s">
        <v>55</v>
      </c>
      <c r="E5" s="221" t="s">
        <v>56</v>
      </c>
      <c r="F5" s="219" t="s">
        <v>47</v>
      </c>
      <c r="G5" s="222" t="s">
        <v>38</v>
      </c>
      <c r="H5" s="222" t="s">
        <v>66</v>
      </c>
      <c r="I5" s="232" t="s">
        <v>67</v>
      </c>
      <c r="J5" s="233" t="s">
        <v>68</v>
      </c>
      <c r="K5" s="223" cm="1">
        <f t="array" ref="K5">_xlfn.XLOOKUP(D5&amp;E5&amp;H5&amp;I5&amp;J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1807.5</v>
      </c>
      <c r="L5" s="223"/>
      <c r="M5" s="224"/>
      <c r="N5" s="234"/>
      <c r="O5" s="226">
        <v>500000</v>
      </c>
      <c r="P5" s="235">
        <v>0.07</v>
      </c>
      <c r="Q5" s="228">
        <f t="shared" si="0"/>
        <v>126.525</v>
      </c>
      <c r="R5" s="228"/>
      <c r="S5" s="228">
        <f t="shared" si="1"/>
        <v>126.525</v>
      </c>
      <c r="T5" s="235">
        <v>0.01</v>
      </c>
      <c r="U5" s="228">
        <f t="shared" si="2"/>
        <v>18.075</v>
      </c>
      <c r="V5" s="228"/>
      <c r="W5" s="228">
        <f t="shared" si="3"/>
        <v>18.075</v>
      </c>
      <c r="X5" s="235">
        <v>0</v>
      </c>
      <c r="Y5" s="228">
        <f t="shared" si="4"/>
        <v>0</v>
      </c>
      <c r="Z5" s="228"/>
      <c r="AA5" s="228">
        <f t="shared" si="5"/>
        <v>0</v>
      </c>
      <c r="AB5" s="235">
        <v>0.03</v>
      </c>
      <c r="AC5" s="228">
        <f t="shared" si="6"/>
        <v>54.225</v>
      </c>
      <c r="AD5" s="228"/>
      <c r="AE5" s="228">
        <f t="shared" si="7"/>
        <v>54.225</v>
      </c>
      <c r="AF5" s="235">
        <v>0.03</v>
      </c>
      <c r="AG5" s="228">
        <f t="shared" si="8"/>
        <v>54.225</v>
      </c>
      <c r="AH5" s="228"/>
      <c r="AI5" s="228">
        <f t="shared" si="9"/>
        <v>54.225</v>
      </c>
      <c r="AJ5" s="235">
        <v>0.01</v>
      </c>
      <c r="AK5" s="228">
        <f t="shared" si="10"/>
        <v>18.075</v>
      </c>
      <c r="AL5" s="228"/>
      <c r="AM5" s="228">
        <f t="shared" si="11"/>
        <v>18.075</v>
      </c>
      <c r="AN5" s="235">
        <v>0.02</v>
      </c>
      <c r="AO5" s="228">
        <f t="shared" si="12"/>
        <v>36.15</v>
      </c>
      <c r="AP5" s="228"/>
      <c r="AQ5" s="228">
        <f t="shared" si="13"/>
        <v>36.15</v>
      </c>
      <c r="AR5" s="235">
        <v>0.04</v>
      </c>
      <c r="AS5" s="228">
        <f t="shared" si="14"/>
        <v>72.3</v>
      </c>
      <c r="AT5" s="228"/>
      <c r="AU5" s="228">
        <f t="shared" si="15"/>
        <v>72.3</v>
      </c>
      <c r="AV5" s="235">
        <v>0.05</v>
      </c>
      <c r="AW5" s="228">
        <f t="shared" si="16"/>
        <v>90.375</v>
      </c>
      <c r="AX5" s="228"/>
      <c r="AY5" s="228">
        <f t="shared" si="17"/>
        <v>90.375</v>
      </c>
      <c r="AZ5" s="235" t="s">
        <v>1457</v>
      </c>
      <c r="BA5" s="228">
        <f t="shared" si="27"/>
        <v>0</v>
      </c>
      <c r="BB5" s="228"/>
      <c r="BC5" s="228">
        <f t="shared" si="18"/>
        <v>0</v>
      </c>
      <c r="BD5" s="235">
        <v>0</v>
      </c>
      <c r="BE5" s="228">
        <f t="shared" si="19"/>
        <v>0</v>
      </c>
      <c r="BF5" s="228"/>
      <c r="BG5" s="228">
        <f t="shared" si="20"/>
        <v>0</v>
      </c>
      <c r="BH5" s="235">
        <v>0</v>
      </c>
      <c r="BI5" s="228">
        <f t="shared" si="21"/>
        <v>0</v>
      </c>
      <c r="BJ5" s="228"/>
      <c r="BK5" s="228">
        <f t="shared" si="22"/>
        <v>0</v>
      </c>
      <c r="BL5" s="235" t="s">
        <v>1457</v>
      </c>
      <c r="BM5" s="220">
        <f t="shared" si="28"/>
        <v>0</v>
      </c>
      <c r="BN5" s="220"/>
      <c r="BO5" s="220">
        <f t="shared" si="23"/>
        <v>0</v>
      </c>
      <c r="BP5" s="220">
        <f t="shared" si="24"/>
        <v>469.95</v>
      </c>
      <c r="BQ5" s="220">
        <f t="shared" si="25"/>
        <v>0</v>
      </c>
      <c r="BR5" s="220">
        <f t="shared" si="26"/>
        <v>469.95</v>
      </c>
      <c r="BS5" s="236" t="s">
        <v>39</v>
      </c>
      <c r="BT5" s="236" t="s">
        <v>39</v>
      </c>
      <c r="BU5" s="230" t="s">
        <v>63</v>
      </c>
      <c r="BV5" s="230"/>
      <c r="BW5" s="231"/>
    </row>
    <row r="6" s="209" customFormat="1" ht="72" customHeight="1" spans="1:75">
      <c r="A6" s="219">
        <v>8</v>
      </c>
      <c r="B6" s="220" t="s">
        <v>69</v>
      </c>
      <c r="C6" s="221" t="s">
        <v>34</v>
      </c>
      <c r="D6" s="221" t="s">
        <v>55</v>
      </c>
      <c r="E6" s="221" t="s">
        <v>56</v>
      </c>
      <c r="F6" s="219" t="s">
        <v>47</v>
      </c>
      <c r="G6" s="222" t="s">
        <v>38</v>
      </c>
      <c r="H6" s="222" t="s">
        <v>70</v>
      </c>
      <c r="I6" s="232" t="s">
        <v>71</v>
      </c>
      <c r="J6" s="233" t="s">
        <v>72</v>
      </c>
      <c r="K6" s="223" cm="1">
        <f t="array" ref="K6">_xlfn.XLOOKUP(D6&amp;E6&amp;H6&amp;I6&amp;J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2179.5</v>
      </c>
      <c r="L6" s="223"/>
      <c r="M6" s="224"/>
      <c r="N6" s="234"/>
      <c r="O6" s="226">
        <v>700000</v>
      </c>
      <c r="P6" s="235">
        <v>0.07</v>
      </c>
      <c r="Q6" s="228">
        <f t="shared" si="0"/>
        <v>152.565</v>
      </c>
      <c r="R6" s="228"/>
      <c r="S6" s="228">
        <f t="shared" si="1"/>
        <v>152.565</v>
      </c>
      <c r="T6" s="235">
        <v>0.01</v>
      </c>
      <c r="U6" s="228">
        <f t="shared" si="2"/>
        <v>21.795</v>
      </c>
      <c r="V6" s="228"/>
      <c r="W6" s="228">
        <f t="shared" si="3"/>
        <v>21.795</v>
      </c>
      <c r="X6" s="235">
        <v>0</v>
      </c>
      <c r="Y6" s="228">
        <f t="shared" si="4"/>
        <v>0</v>
      </c>
      <c r="Z6" s="228"/>
      <c r="AA6" s="228">
        <f t="shared" si="5"/>
        <v>0</v>
      </c>
      <c r="AB6" s="235">
        <v>0.03</v>
      </c>
      <c r="AC6" s="228">
        <f t="shared" si="6"/>
        <v>65.385</v>
      </c>
      <c r="AD6" s="228"/>
      <c r="AE6" s="228">
        <f t="shared" si="7"/>
        <v>65.385</v>
      </c>
      <c r="AF6" s="235">
        <v>0.03</v>
      </c>
      <c r="AG6" s="228">
        <f t="shared" si="8"/>
        <v>65.385</v>
      </c>
      <c r="AH6" s="228"/>
      <c r="AI6" s="228">
        <f t="shared" si="9"/>
        <v>65.385</v>
      </c>
      <c r="AJ6" s="235">
        <v>0.01</v>
      </c>
      <c r="AK6" s="228">
        <f t="shared" si="10"/>
        <v>21.795</v>
      </c>
      <c r="AL6" s="228"/>
      <c r="AM6" s="228">
        <f t="shared" si="11"/>
        <v>21.795</v>
      </c>
      <c r="AN6" s="235">
        <v>0.02</v>
      </c>
      <c r="AO6" s="228">
        <f t="shared" si="12"/>
        <v>43.59</v>
      </c>
      <c r="AP6" s="228"/>
      <c r="AQ6" s="228">
        <f t="shared" si="13"/>
        <v>43.59</v>
      </c>
      <c r="AR6" s="235">
        <v>0.04</v>
      </c>
      <c r="AS6" s="228">
        <f t="shared" si="14"/>
        <v>87.18</v>
      </c>
      <c r="AT6" s="228"/>
      <c r="AU6" s="228">
        <f t="shared" si="15"/>
        <v>87.18</v>
      </c>
      <c r="AV6" s="235">
        <v>0.05</v>
      </c>
      <c r="AW6" s="228">
        <f t="shared" si="16"/>
        <v>108.975</v>
      </c>
      <c r="AX6" s="228"/>
      <c r="AY6" s="228">
        <f t="shared" si="17"/>
        <v>108.975</v>
      </c>
      <c r="AZ6" s="235" t="s">
        <v>1457</v>
      </c>
      <c r="BA6" s="228">
        <f t="shared" si="27"/>
        <v>0</v>
      </c>
      <c r="BB6" s="228"/>
      <c r="BC6" s="228">
        <f t="shared" si="18"/>
        <v>0</v>
      </c>
      <c r="BD6" s="235">
        <v>0</v>
      </c>
      <c r="BE6" s="228">
        <f t="shared" si="19"/>
        <v>0</v>
      </c>
      <c r="BF6" s="228"/>
      <c r="BG6" s="228">
        <f t="shared" si="20"/>
        <v>0</v>
      </c>
      <c r="BH6" s="235">
        <v>0</v>
      </c>
      <c r="BI6" s="228">
        <f t="shared" si="21"/>
        <v>0</v>
      </c>
      <c r="BJ6" s="228"/>
      <c r="BK6" s="228">
        <f t="shared" si="22"/>
        <v>0</v>
      </c>
      <c r="BL6" s="235" t="s">
        <v>1457</v>
      </c>
      <c r="BM6" s="220">
        <f t="shared" si="28"/>
        <v>0</v>
      </c>
      <c r="BN6" s="220"/>
      <c r="BO6" s="220">
        <f t="shared" si="23"/>
        <v>0</v>
      </c>
      <c r="BP6" s="220">
        <f t="shared" si="24"/>
        <v>566.67</v>
      </c>
      <c r="BQ6" s="220">
        <f t="shared" si="25"/>
        <v>0</v>
      </c>
      <c r="BR6" s="220">
        <f t="shared" si="26"/>
        <v>566.67</v>
      </c>
      <c r="BS6" s="236" t="s">
        <v>39</v>
      </c>
      <c r="BT6" s="236" t="s">
        <v>39</v>
      </c>
      <c r="BU6" s="230" t="s">
        <v>63</v>
      </c>
      <c r="BV6" s="230"/>
      <c r="BW6" s="231"/>
    </row>
    <row r="7" s="209" customFormat="1" ht="72" customHeight="1" spans="1:75">
      <c r="A7" s="219">
        <v>9</v>
      </c>
      <c r="B7" s="220" t="s">
        <v>73</v>
      </c>
      <c r="C7" s="221" t="s">
        <v>34</v>
      </c>
      <c r="D7" s="221" t="s">
        <v>55</v>
      </c>
      <c r="E7" s="221" t="s">
        <v>56</v>
      </c>
      <c r="F7" s="219" t="s">
        <v>47</v>
      </c>
      <c r="G7" s="222" t="s">
        <v>38</v>
      </c>
      <c r="H7" s="222" t="s">
        <v>74</v>
      </c>
      <c r="I7" s="232" t="s">
        <v>75</v>
      </c>
      <c r="J7" s="233" t="s">
        <v>76</v>
      </c>
      <c r="K7" s="223" cm="1">
        <f t="array" ref="K7">_xlfn.XLOOKUP(D7&amp;E7&amp;H7&amp;I7&amp;J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 s="223"/>
      <c r="M7" s="224"/>
      <c r="N7" s="234">
        <v>20389.69</v>
      </c>
      <c r="O7" s="226">
        <v>700000</v>
      </c>
      <c r="P7" s="235">
        <v>0.07</v>
      </c>
      <c r="Q7" s="228">
        <f t="shared" si="0"/>
        <v>0</v>
      </c>
      <c r="R7" s="228">
        <v>2461.48</v>
      </c>
      <c r="S7" s="228">
        <f t="shared" si="1"/>
        <v>-2461.48</v>
      </c>
      <c r="T7" s="235">
        <v>0.01</v>
      </c>
      <c r="U7" s="228">
        <f t="shared" si="2"/>
        <v>0</v>
      </c>
      <c r="V7" s="228">
        <v>351.64</v>
      </c>
      <c r="W7" s="228">
        <f t="shared" si="3"/>
        <v>-351.64</v>
      </c>
      <c r="X7" s="235">
        <v>0</v>
      </c>
      <c r="Y7" s="228">
        <f t="shared" si="4"/>
        <v>0</v>
      </c>
      <c r="Z7" s="228">
        <v>0</v>
      </c>
      <c r="AA7" s="228">
        <f t="shared" si="5"/>
        <v>0</v>
      </c>
      <c r="AB7" s="235">
        <v>0.03</v>
      </c>
      <c r="AC7" s="228">
        <f t="shared" si="6"/>
        <v>0</v>
      </c>
      <c r="AD7" s="228">
        <v>1054.92</v>
      </c>
      <c r="AE7" s="228">
        <f t="shared" si="7"/>
        <v>-1054.92</v>
      </c>
      <c r="AF7" s="235">
        <v>0.03</v>
      </c>
      <c r="AG7" s="228">
        <f t="shared" si="8"/>
        <v>0</v>
      </c>
      <c r="AH7" s="228">
        <v>1054.92</v>
      </c>
      <c r="AI7" s="228">
        <f t="shared" si="9"/>
        <v>-1054.92</v>
      </c>
      <c r="AJ7" s="235">
        <v>0.01</v>
      </c>
      <c r="AK7" s="228">
        <f t="shared" si="10"/>
        <v>0</v>
      </c>
      <c r="AL7" s="228">
        <v>351.64</v>
      </c>
      <c r="AM7" s="228">
        <f t="shared" si="11"/>
        <v>-351.64</v>
      </c>
      <c r="AN7" s="235">
        <v>0.02</v>
      </c>
      <c r="AO7" s="228">
        <f t="shared" si="12"/>
        <v>0</v>
      </c>
      <c r="AP7" s="228">
        <v>703.28</v>
      </c>
      <c r="AQ7" s="228">
        <f t="shared" si="13"/>
        <v>-703.28</v>
      </c>
      <c r="AR7" s="235">
        <v>0.04</v>
      </c>
      <c r="AS7" s="228">
        <f t="shared" si="14"/>
        <v>0</v>
      </c>
      <c r="AT7" s="228">
        <v>1406.56</v>
      </c>
      <c r="AU7" s="228">
        <f t="shared" si="15"/>
        <v>-1406.56</v>
      </c>
      <c r="AV7" s="235">
        <v>0.05</v>
      </c>
      <c r="AW7" s="228">
        <f t="shared" si="16"/>
        <v>0</v>
      </c>
      <c r="AX7" s="228">
        <v>1758.2</v>
      </c>
      <c r="AY7" s="228">
        <f t="shared" si="17"/>
        <v>-1758.2</v>
      </c>
      <c r="AZ7" s="235" t="s">
        <v>1457</v>
      </c>
      <c r="BA7" s="228">
        <f t="shared" si="27"/>
        <v>0</v>
      </c>
      <c r="BB7" s="228">
        <v>0</v>
      </c>
      <c r="BC7" s="228">
        <f t="shared" si="18"/>
        <v>0</v>
      </c>
      <c r="BD7" s="235">
        <v>0</v>
      </c>
      <c r="BE7" s="228">
        <f t="shared" si="19"/>
        <v>0</v>
      </c>
      <c r="BF7" s="228">
        <v>0</v>
      </c>
      <c r="BG7" s="228">
        <f t="shared" si="20"/>
        <v>0</v>
      </c>
      <c r="BH7" s="235">
        <v>0</v>
      </c>
      <c r="BI7" s="228">
        <f t="shared" si="21"/>
        <v>0</v>
      </c>
      <c r="BJ7" s="228">
        <v>0</v>
      </c>
      <c r="BK7" s="228">
        <f t="shared" si="22"/>
        <v>0</v>
      </c>
      <c r="BL7" s="235" t="s">
        <v>1457</v>
      </c>
      <c r="BM7" s="220">
        <f t="shared" si="28"/>
        <v>1554.2</v>
      </c>
      <c r="BN7" s="220">
        <v>1554.2</v>
      </c>
      <c r="BO7" s="220">
        <f t="shared" si="23"/>
        <v>0</v>
      </c>
      <c r="BP7" s="220">
        <f t="shared" si="24"/>
        <v>21943.89</v>
      </c>
      <c r="BQ7" s="220">
        <f t="shared" si="25"/>
        <v>31086.53</v>
      </c>
      <c r="BR7" s="220">
        <f t="shared" si="26"/>
        <v>-9142.64</v>
      </c>
      <c r="BS7" s="236" t="s">
        <v>39</v>
      </c>
      <c r="BT7" s="236" t="s">
        <v>39</v>
      </c>
      <c r="BU7" s="230" t="s">
        <v>63</v>
      </c>
      <c r="BV7" s="230"/>
      <c r="BW7" s="231"/>
    </row>
    <row r="8" s="209" customFormat="1" ht="12" customHeight="1" spans="1:75">
      <c r="A8" s="219">
        <v>11</v>
      </c>
      <c r="B8" s="220" t="s">
        <v>80</v>
      </c>
      <c r="C8" s="221" t="s">
        <v>34</v>
      </c>
      <c r="D8" s="221" t="s">
        <v>78</v>
      </c>
      <c r="E8" s="221" t="s">
        <v>79</v>
      </c>
      <c r="F8" s="219" t="s">
        <v>81</v>
      </c>
      <c r="G8" s="222" t="s">
        <v>38</v>
      </c>
      <c r="H8" s="222" t="s">
        <v>66</v>
      </c>
      <c r="I8" s="237" t="s">
        <v>82</v>
      </c>
      <c r="J8" s="222" t="s">
        <v>83</v>
      </c>
      <c r="K8" s="223" cm="1">
        <f t="array" ref="K8">_xlfn.XLOOKUP(D8&amp;E8&amp;H8&amp;I8&amp;J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8" s="223"/>
      <c r="M8" s="224"/>
      <c r="N8" s="238"/>
      <c r="O8" s="226">
        <v>570000</v>
      </c>
      <c r="P8" s="235">
        <v>0.1</v>
      </c>
      <c r="Q8" s="228">
        <f t="shared" si="0"/>
        <v>0</v>
      </c>
      <c r="R8" s="228"/>
      <c r="S8" s="228">
        <f t="shared" si="1"/>
        <v>0</v>
      </c>
      <c r="T8" s="235">
        <v>0.03</v>
      </c>
      <c r="U8" s="228">
        <f t="shared" si="2"/>
        <v>0</v>
      </c>
      <c r="V8" s="228"/>
      <c r="W8" s="228">
        <f t="shared" si="3"/>
        <v>0</v>
      </c>
      <c r="X8" s="235">
        <v>0</v>
      </c>
      <c r="Y8" s="228">
        <f t="shared" si="4"/>
        <v>0</v>
      </c>
      <c r="Z8" s="228"/>
      <c r="AA8" s="228">
        <f t="shared" si="5"/>
        <v>0</v>
      </c>
      <c r="AB8" s="235">
        <v>0.05</v>
      </c>
      <c r="AC8" s="228">
        <f t="shared" si="6"/>
        <v>0</v>
      </c>
      <c r="AD8" s="228"/>
      <c r="AE8" s="228">
        <f t="shared" si="7"/>
        <v>0</v>
      </c>
      <c r="AF8" s="235">
        <v>0.02</v>
      </c>
      <c r="AG8" s="228">
        <f t="shared" si="8"/>
        <v>0</v>
      </c>
      <c r="AH8" s="228"/>
      <c r="AI8" s="228">
        <f t="shared" si="9"/>
        <v>0</v>
      </c>
      <c r="AJ8" s="235">
        <v>0</v>
      </c>
      <c r="AK8" s="228">
        <f t="shared" si="10"/>
        <v>0</v>
      </c>
      <c r="AL8" s="228"/>
      <c r="AM8" s="228">
        <f t="shared" si="11"/>
        <v>0</v>
      </c>
      <c r="AN8" s="235">
        <v>0.03</v>
      </c>
      <c r="AO8" s="228">
        <f t="shared" si="12"/>
        <v>0</v>
      </c>
      <c r="AP8" s="228"/>
      <c r="AQ8" s="228">
        <f t="shared" si="13"/>
        <v>0</v>
      </c>
      <c r="AR8" s="235">
        <v>0</v>
      </c>
      <c r="AS8" s="228">
        <f t="shared" si="14"/>
        <v>0</v>
      </c>
      <c r="AT8" s="228"/>
      <c r="AU8" s="228">
        <f t="shared" si="15"/>
        <v>0</v>
      </c>
      <c r="AV8" s="235">
        <v>0.04</v>
      </c>
      <c r="AW8" s="228">
        <f t="shared" si="16"/>
        <v>0</v>
      </c>
      <c r="AX8" s="228"/>
      <c r="AY8" s="228">
        <f t="shared" si="17"/>
        <v>0</v>
      </c>
      <c r="AZ8" s="235" t="s">
        <v>1457</v>
      </c>
      <c r="BA8" s="228">
        <f t="shared" si="27"/>
        <v>0</v>
      </c>
      <c r="BB8" s="228"/>
      <c r="BC8" s="228">
        <f t="shared" si="18"/>
        <v>0</v>
      </c>
      <c r="BD8" s="228">
        <v>0</v>
      </c>
      <c r="BE8" s="228">
        <f t="shared" si="19"/>
        <v>0</v>
      </c>
      <c r="BF8" s="228"/>
      <c r="BG8" s="228">
        <f t="shared" si="20"/>
        <v>0</v>
      </c>
      <c r="BH8" s="228">
        <v>0</v>
      </c>
      <c r="BI8" s="228">
        <f t="shared" si="21"/>
        <v>0</v>
      </c>
      <c r="BJ8" s="228"/>
      <c r="BK8" s="228">
        <f t="shared" si="22"/>
        <v>0</v>
      </c>
      <c r="BL8" s="228" t="s">
        <v>1457</v>
      </c>
      <c r="BM8" s="220">
        <f t="shared" si="28"/>
        <v>0</v>
      </c>
      <c r="BN8" s="239"/>
      <c r="BO8" s="220">
        <f t="shared" si="23"/>
        <v>0</v>
      </c>
      <c r="BP8" s="220">
        <f t="shared" si="24"/>
        <v>0</v>
      </c>
      <c r="BQ8" s="220">
        <f t="shared" si="25"/>
        <v>0</v>
      </c>
      <c r="BR8" s="220">
        <f t="shared" si="26"/>
        <v>0</v>
      </c>
      <c r="BS8" s="236" t="s">
        <v>39</v>
      </c>
      <c r="BT8" s="236" t="s">
        <v>39</v>
      </c>
      <c r="BU8" s="230" t="s">
        <v>84</v>
      </c>
      <c r="BV8" s="230"/>
      <c r="BW8" s="231"/>
    </row>
    <row r="9" s="209" customFormat="1" ht="60" customHeight="1" spans="1:75">
      <c r="A9" s="219">
        <v>12</v>
      </c>
      <c r="B9" s="220" t="s">
        <v>85</v>
      </c>
      <c r="C9" s="221" t="s">
        <v>34</v>
      </c>
      <c r="D9" s="221" t="s">
        <v>78</v>
      </c>
      <c r="E9" s="221" t="s">
        <v>79</v>
      </c>
      <c r="F9" s="219" t="s">
        <v>81</v>
      </c>
      <c r="G9" s="222" t="s">
        <v>38</v>
      </c>
      <c r="H9" s="222" t="s">
        <v>86</v>
      </c>
      <c r="I9" s="237" t="s">
        <v>87</v>
      </c>
      <c r="J9" s="222" t="s">
        <v>88</v>
      </c>
      <c r="K9" s="223" cm="1">
        <f t="array" ref="K9">_xlfn.XLOOKUP(D9&amp;E9&amp;H9&amp;I9&amp;J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9" s="223"/>
      <c r="M9" s="224"/>
      <c r="N9" s="238"/>
      <c r="O9" s="226">
        <v>899800</v>
      </c>
      <c r="P9" s="235">
        <v>0</v>
      </c>
      <c r="Q9" s="228">
        <f t="shared" si="0"/>
        <v>0</v>
      </c>
      <c r="R9" s="228"/>
      <c r="S9" s="228">
        <f t="shared" si="1"/>
        <v>0</v>
      </c>
      <c r="T9" s="235">
        <v>0</v>
      </c>
      <c r="U9" s="228">
        <f t="shared" si="2"/>
        <v>0</v>
      </c>
      <c r="V9" s="228"/>
      <c r="W9" s="228">
        <f t="shared" si="3"/>
        <v>0</v>
      </c>
      <c r="X9" s="235">
        <v>0</v>
      </c>
      <c r="Y9" s="228">
        <f t="shared" si="4"/>
        <v>0</v>
      </c>
      <c r="Z9" s="228"/>
      <c r="AA9" s="228">
        <f t="shared" si="5"/>
        <v>0</v>
      </c>
      <c r="AB9" s="235">
        <v>0</v>
      </c>
      <c r="AC9" s="228">
        <f t="shared" si="6"/>
        <v>0</v>
      </c>
      <c r="AD9" s="228"/>
      <c r="AE9" s="228">
        <f t="shared" si="7"/>
        <v>0</v>
      </c>
      <c r="AF9" s="235">
        <v>0</v>
      </c>
      <c r="AG9" s="228">
        <f t="shared" si="8"/>
        <v>0</v>
      </c>
      <c r="AH9" s="228"/>
      <c r="AI9" s="228">
        <f t="shared" si="9"/>
        <v>0</v>
      </c>
      <c r="AJ9" s="235">
        <v>0</v>
      </c>
      <c r="AK9" s="228">
        <f t="shared" si="10"/>
        <v>0</v>
      </c>
      <c r="AL9" s="228"/>
      <c r="AM9" s="228">
        <f t="shared" si="11"/>
        <v>0</v>
      </c>
      <c r="AN9" s="235">
        <v>0</v>
      </c>
      <c r="AO9" s="228">
        <f t="shared" si="12"/>
        <v>0</v>
      </c>
      <c r="AP9" s="228"/>
      <c r="AQ9" s="228">
        <f t="shared" si="13"/>
        <v>0</v>
      </c>
      <c r="AR9" s="235">
        <v>0</v>
      </c>
      <c r="AS9" s="228">
        <f t="shared" si="14"/>
        <v>0</v>
      </c>
      <c r="AT9" s="228"/>
      <c r="AU9" s="228">
        <f t="shared" si="15"/>
        <v>0</v>
      </c>
      <c r="AV9" s="235">
        <v>0</v>
      </c>
      <c r="AW9" s="228">
        <f t="shared" si="16"/>
        <v>0</v>
      </c>
      <c r="AX9" s="228"/>
      <c r="AY9" s="228">
        <f t="shared" si="17"/>
        <v>0</v>
      </c>
      <c r="AZ9" s="240" t="s">
        <v>1457</v>
      </c>
      <c r="BA9" s="228">
        <f t="shared" si="27"/>
        <v>0</v>
      </c>
      <c r="BB9" s="228"/>
      <c r="BC9" s="228">
        <f t="shared" si="18"/>
        <v>0</v>
      </c>
      <c r="BD9" s="241" t="s">
        <v>1458</v>
      </c>
      <c r="BE9" s="228">
        <f>BF9</f>
        <v>0</v>
      </c>
      <c r="BF9" s="228">
        <v>0</v>
      </c>
      <c r="BG9" s="228">
        <f t="shared" si="20"/>
        <v>0</v>
      </c>
      <c r="BH9" s="228">
        <v>0</v>
      </c>
      <c r="BI9" s="228">
        <f t="shared" si="21"/>
        <v>0</v>
      </c>
      <c r="BJ9" s="228"/>
      <c r="BK9" s="228">
        <f t="shared" si="22"/>
        <v>0</v>
      </c>
      <c r="BL9" s="228" t="s">
        <v>1457</v>
      </c>
      <c r="BM9" s="220">
        <f t="shared" si="28"/>
        <v>0</v>
      </c>
      <c r="BN9" s="239"/>
      <c r="BO9" s="220">
        <f t="shared" si="23"/>
        <v>0</v>
      </c>
      <c r="BP9" s="220">
        <f t="shared" si="24"/>
        <v>0</v>
      </c>
      <c r="BQ9" s="220">
        <f t="shared" si="25"/>
        <v>0</v>
      </c>
      <c r="BR9" s="220">
        <f t="shared" si="26"/>
        <v>0</v>
      </c>
      <c r="BS9" s="236" t="s">
        <v>39</v>
      </c>
      <c r="BT9" s="236" t="s">
        <v>39</v>
      </c>
      <c r="BU9" s="230" t="s">
        <v>1459</v>
      </c>
      <c r="BV9" s="230"/>
      <c r="BW9" s="231"/>
    </row>
    <row r="10" s="209" customFormat="1" ht="12" customHeight="1" spans="1:75">
      <c r="A10" s="219">
        <v>13</v>
      </c>
      <c r="B10" s="220" t="s">
        <v>90</v>
      </c>
      <c r="C10" s="221" t="s">
        <v>34</v>
      </c>
      <c r="D10" s="221" t="s">
        <v>78</v>
      </c>
      <c r="E10" s="221" t="s">
        <v>79</v>
      </c>
      <c r="F10" s="219" t="s">
        <v>81</v>
      </c>
      <c r="G10" s="222" t="s">
        <v>38</v>
      </c>
      <c r="H10" s="222" t="s">
        <v>70</v>
      </c>
      <c r="I10" s="237" t="s">
        <v>91</v>
      </c>
      <c r="J10" s="222" t="s">
        <v>92</v>
      </c>
      <c r="K10" s="223" cm="1">
        <f t="array" ref="K10">_xlfn.XLOOKUP(D10&amp;E10&amp;H10&amp;I10&amp;J10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 s="223"/>
      <c r="M10" s="224"/>
      <c r="N10" s="238"/>
      <c r="O10" s="226">
        <v>449900</v>
      </c>
      <c r="P10" s="235">
        <v>0.1</v>
      </c>
      <c r="Q10" s="228">
        <f t="shared" si="0"/>
        <v>0</v>
      </c>
      <c r="R10" s="228"/>
      <c r="S10" s="228">
        <f t="shared" si="1"/>
        <v>0</v>
      </c>
      <c r="T10" s="235">
        <v>0.03</v>
      </c>
      <c r="U10" s="228">
        <f t="shared" si="2"/>
        <v>0</v>
      </c>
      <c r="V10" s="228"/>
      <c r="W10" s="228">
        <f t="shared" si="3"/>
        <v>0</v>
      </c>
      <c r="X10" s="235">
        <v>0</v>
      </c>
      <c r="Y10" s="228">
        <f t="shared" si="4"/>
        <v>0</v>
      </c>
      <c r="Z10" s="228"/>
      <c r="AA10" s="228">
        <f t="shared" si="5"/>
        <v>0</v>
      </c>
      <c r="AB10" s="235">
        <v>0.05</v>
      </c>
      <c r="AC10" s="228">
        <f t="shared" si="6"/>
        <v>0</v>
      </c>
      <c r="AD10" s="228"/>
      <c r="AE10" s="228">
        <f t="shared" si="7"/>
        <v>0</v>
      </c>
      <c r="AF10" s="235">
        <v>0.02</v>
      </c>
      <c r="AG10" s="228">
        <f t="shared" si="8"/>
        <v>0</v>
      </c>
      <c r="AH10" s="228"/>
      <c r="AI10" s="228">
        <f t="shared" si="9"/>
        <v>0</v>
      </c>
      <c r="AJ10" s="235">
        <v>0</v>
      </c>
      <c r="AK10" s="228">
        <f t="shared" si="10"/>
        <v>0</v>
      </c>
      <c r="AL10" s="228"/>
      <c r="AM10" s="228">
        <f t="shared" si="11"/>
        <v>0</v>
      </c>
      <c r="AN10" s="235">
        <v>0.03</v>
      </c>
      <c r="AO10" s="228">
        <f t="shared" si="12"/>
        <v>0</v>
      </c>
      <c r="AP10" s="228"/>
      <c r="AQ10" s="228">
        <f t="shared" si="13"/>
        <v>0</v>
      </c>
      <c r="AR10" s="235">
        <v>0</v>
      </c>
      <c r="AS10" s="228">
        <f t="shared" si="14"/>
        <v>0</v>
      </c>
      <c r="AT10" s="228"/>
      <c r="AU10" s="228">
        <f t="shared" si="15"/>
        <v>0</v>
      </c>
      <c r="AV10" s="235">
        <v>0.04</v>
      </c>
      <c r="AW10" s="228">
        <f t="shared" si="16"/>
        <v>0</v>
      </c>
      <c r="AX10" s="228"/>
      <c r="AY10" s="228">
        <f t="shared" si="17"/>
        <v>0</v>
      </c>
      <c r="AZ10" s="235" t="s">
        <v>1457</v>
      </c>
      <c r="BA10" s="228">
        <f t="shared" si="27"/>
        <v>0</v>
      </c>
      <c r="BB10" s="228"/>
      <c r="BC10" s="228">
        <f t="shared" si="18"/>
        <v>0</v>
      </c>
      <c r="BD10" s="228">
        <v>0</v>
      </c>
      <c r="BE10" s="228">
        <f>K10*BD10</f>
        <v>0</v>
      </c>
      <c r="BF10" s="228"/>
      <c r="BG10" s="228">
        <f t="shared" si="20"/>
        <v>0</v>
      </c>
      <c r="BH10" s="228">
        <v>0</v>
      </c>
      <c r="BI10" s="228">
        <f t="shared" si="21"/>
        <v>0</v>
      </c>
      <c r="BJ10" s="228"/>
      <c r="BK10" s="228">
        <f t="shared" si="22"/>
        <v>0</v>
      </c>
      <c r="BL10" s="228" t="s">
        <v>1457</v>
      </c>
      <c r="BM10" s="220">
        <f t="shared" si="28"/>
        <v>0</v>
      </c>
      <c r="BN10" s="239"/>
      <c r="BO10" s="220">
        <f t="shared" si="23"/>
        <v>0</v>
      </c>
      <c r="BP10" s="220">
        <f t="shared" si="24"/>
        <v>0</v>
      </c>
      <c r="BQ10" s="220">
        <f t="shared" si="25"/>
        <v>0</v>
      </c>
      <c r="BR10" s="220">
        <f t="shared" si="26"/>
        <v>0</v>
      </c>
      <c r="BS10" s="236" t="s">
        <v>39</v>
      </c>
      <c r="BT10" s="236" t="s">
        <v>39</v>
      </c>
      <c r="BU10" s="230" t="s">
        <v>84</v>
      </c>
      <c r="BV10" s="230"/>
      <c r="BW10" s="231"/>
    </row>
    <row r="11" s="209" customFormat="1" ht="12" customHeight="1" spans="1:75">
      <c r="A11" s="219">
        <v>14</v>
      </c>
      <c r="B11" s="220" t="s">
        <v>93</v>
      </c>
      <c r="C11" s="221" t="s">
        <v>34</v>
      </c>
      <c r="D11" s="221" t="s">
        <v>78</v>
      </c>
      <c r="E11" s="221" t="s">
        <v>79</v>
      </c>
      <c r="F11" s="219" t="s">
        <v>81</v>
      </c>
      <c r="G11" s="222" t="s">
        <v>38</v>
      </c>
      <c r="H11" s="222" t="s">
        <v>74</v>
      </c>
      <c r="I11" s="237" t="s">
        <v>94</v>
      </c>
      <c r="J11" s="222" t="s">
        <v>95</v>
      </c>
      <c r="K11" s="223" cm="1">
        <f t="array" ref="K11">_xlfn.XLOOKUP(D11&amp;E11&amp;H11&amp;I11&amp;J11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 s="223"/>
      <c r="M11" s="224"/>
      <c r="N11" s="238">
        <v>43140.84</v>
      </c>
      <c r="O11" s="226">
        <v>486500</v>
      </c>
      <c r="P11" s="235">
        <v>0.1</v>
      </c>
      <c r="Q11" s="228">
        <f t="shared" si="0"/>
        <v>0</v>
      </c>
      <c r="R11" s="228"/>
      <c r="S11" s="228">
        <f t="shared" si="1"/>
        <v>0</v>
      </c>
      <c r="T11" s="235">
        <v>0.03</v>
      </c>
      <c r="U11" s="228">
        <f t="shared" si="2"/>
        <v>0</v>
      </c>
      <c r="V11" s="228">
        <v>321.0786</v>
      </c>
      <c r="W11" s="228">
        <f t="shared" si="3"/>
        <v>-321.0786</v>
      </c>
      <c r="X11" s="235">
        <v>0</v>
      </c>
      <c r="Y11" s="228">
        <f t="shared" si="4"/>
        <v>0</v>
      </c>
      <c r="Z11" s="228">
        <v>0</v>
      </c>
      <c r="AA11" s="228">
        <f t="shared" si="5"/>
        <v>0</v>
      </c>
      <c r="AB11" s="235">
        <v>0.05</v>
      </c>
      <c r="AC11" s="228">
        <f t="shared" si="6"/>
        <v>0</v>
      </c>
      <c r="AD11" s="228">
        <v>535.131</v>
      </c>
      <c r="AE11" s="228">
        <f t="shared" si="7"/>
        <v>-535.131</v>
      </c>
      <c r="AF11" s="235">
        <v>0.02</v>
      </c>
      <c r="AG11" s="228">
        <f t="shared" si="8"/>
        <v>0</v>
      </c>
      <c r="AH11" s="228">
        <v>214.0524</v>
      </c>
      <c r="AI11" s="228">
        <f t="shared" si="9"/>
        <v>-214.0524</v>
      </c>
      <c r="AJ11" s="235">
        <v>0</v>
      </c>
      <c r="AK11" s="228">
        <f t="shared" si="10"/>
        <v>0</v>
      </c>
      <c r="AL11" s="228">
        <v>0</v>
      </c>
      <c r="AM11" s="228">
        <f t="shared" si="11"/>
        <v>0</v>
      </c>
      <c r="AN11" s="235">
        <v>0.03</v>
      </c>
      <c r="AO11" s="228">
        <f t="shared" si="12"/>
        <v>0</v>
      </c>
      <c r="AP11" s="228">
        <v>321.0786</v>
      </c>
      <c r="AQ11" s="228">
        <f t="shared" si="13"/>
        <v>-321.0786</v>
      </c>
      <c r="AR11" s="235">
        <v>0</v>
      </c>
      <c r="AS11" s="228">
        <f t="shared" si="14"/>
        <v>0</v>
      </c>
      <c r="AT11" s="228">
        <v>0</v>
      </c>
      <c r="AU11" s="228">
        <f t="shared" si="15"/>
        <v>0</v>
      </c>
      <c r="AV11" s="235">
        <v>0.04</v>
      </c>
      <c r="AW11" s="228">
        <f t="shared" si="16"/>
        <v>0</v>
      </c>
      <c r="AX11" s="228">
        <v>260.7768</v>
      </c>
      <c r="AY11" s="228">
        <f t="shared" si="17"/>
        <v>-260.7768</v>
      </c>
      <c r="AZ11" s="235" t="s">
        <v>1457</v>
      </c>
      <c r="BA11" s="228">
        <f t="shared" si="27"/>
        <v>230.96</v>
      </c>
      <c r="BB11" s="228">
        <v>230.96</v>
      </c>
      <c r="BC11" s="228">
        <f t="shared" si="18"/>
        <v>0</v>
      </c>
      <c r="BD11" s="228">
        <v>0</v>
      </c>
      <c r="BE11" s="228">
        <f>K11*BD11</f>
        <v>0</v>
      </c>
      <c r="BF11" s="228">
        <v>0</v>
      </c>
      <c r="BG11" s="228">
        <f t="shared" si="20"/>
        <v>0</v>
      </c>
      <c r="BH11" s="228">
        <v>0</v>
      </c>
      <c r="BI11" s="228">
        <f t="shared" si="21"/>
        <v>0</v>
      </c>
      <c r="BJ11" s="228">
        <v>0</v>
      </c>
      <c r="BK11" s="228">
        <f t="shared" si="22"/>
        <v>0</v>
      </c>
      <c r="BL11" s="228" t="s">
        <v>1457</v>
      </c>
      <c r="BM11" s="220">
        <f t="shared" si="28"/>
        <v>99898.24</v>
      </c>
      <c r="BN11" s="239">
        <v>99898.24</v>
      </c>
      <c r="BO11" s="220">
        <f t="shared" si="23"/>
        <v>0</v>
      </c>
      <c r="BP11" s="220">
        <f t="shared" si="24"/>
        <v>143270.04</v>
      </c>
      <c r="BQ11" s="220">
        <f t="shared" si="25"/>
        <v>144922.1574</v>
      </c>
      <c r="BR11" s="220">
        <f t="shared" si="26"/>
        <v>-1652.11739999999</v>
      </c>
      <c r="BS11" s="236" t="s">
        <v>39</v>
      </c>
      <c r="BT11" s="236" t="s">
        <v>39</v>
      </c>
      <c r="BU11" s="230" t="s">
        <v>84</v>
      </c>
      <c r="BV11" s="230"/>
      <c r="BW11" s="231"/>
    </row>
    <row r="12" s="209" customFormat="1" ht="12" customHeight="1" spans="1:75">
      <c r="A12" s="219">
        <v>15</v>
      </c>
      <c r="B12" s="220" t="s">
        <v>97</v>
      </c>
      <c r="C12" s="221" t="s">
        <v>34</v>
      </c>
      <c r="D12" s="221" t="s">
        <v>78</v>
      </c>
      <c r="E12" s="221" t="s">
        <v>79</v>
      </c>
      <c r="F12" s="219" t="s">
        <v>81</v>
      </c>
      <c r="G12" s="222" t="s">
        <v>38</v>
      </c>
      <c r="H12" s="222" t="s">
        <v>60</v>
      </c>
      <c r="I12" s="237" t="s">
        <v>98</v>
      </c>
      <c r="J12" s="222" t="s">
        <v>99</v>
      </c>
      <c r="K12" s="223" cm="1">
        <f t="array" ref="K12">_xlfn.XLOOKUP(D12&amp;E12&amp;H12&amp;I12&amp;J12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2" s="223"/>
      <c r="M12" s="224"/>
      <c r="N12" s="238"/>
      <c r="O12" s="226">
        <v>628600</v>
      </c>
      <c r="P12" s="235">
        <v>0.1</v>
      </c>
      <c r="Q12" s="228">
        <f t="shared" si="0"/>
        <v>0</v>
      </c>
      <c r="R12" s="228">
        <v>1070.262</v>
      </c>
      <c r="S12" s="228">
        <f t="shared" si="1"/>
        <v>-1070.262</v>
      </c>
      <c r="T12" s="235">
        <v>0.03</v>
      </c>
      <c r="U12" s="228">
        <f t="shared" si="2"/>
        <v>0</v>
      </c>
      <c r="V12" s="228"/>
      <c r="W12" s="228">
        <f t="shared" si="3"/>
        <v>0</v>
      </c>
      <c r="X12" s="235">
        <v>0</v>
      </c>
      <c r="Y12" s="228">
        <f t="shared" si="4"/>
        <v>0</v>
      </c>
      <c r="Z12" s="228"/>
      <c r="AA12" s="228">
        <f t="shared" si="5"/>
        <v>0</v>
      </c>
      <c r="AB12" s="235">
        <v>0.05</v>
      </c>
      <c r="AC12" s="228">
        <f t="shared" si="6"/>
        <v>0</v>
      </c>
      <c r="AD12" s="228"/>
      <c r="AE12" s="228">
        <f t="shared" si="7"/>
        <v>0</v>
      </c>
      <c r="AF12" s="235">
        <v>0.02</v>
      </c>
      <c r="AG12" s="228">
        <f t="shared" si="8"/>
        <v>0</v>
      </c>
      <c r="AH12" s="228"/>
      <c r="AI12" s="228">
        <f t="shared" si="9"/>
        <v>0</v>
      </c>
      <c r="AJ12" s="235">
        <v>0</v>
      </c>
      <c r="AK12" s="228">
        <f t="shared" si="10"/>
        <v>0</v>
      </c>
      <c r="AL12" s="228"/>
      <c r="AM12" s="228">
        <f t="shared" si="11"/>
        <v>0</v>
      </c>
      <c r="AN12" s="235">
        <v>0.03</v>
      </c>
      <c r="AO12" s="228">
        <f t="shared" si="12"/>
        <v>0</v>
      </c>
      <c r="AP12" s="228"/>
      <c r="AQ12" s="228">
        <f t="shared" si="13"/>
        <v>0</v>
      </c>
      <c r="AR12" s="235">
        <v>0</v>
      </c>
      <c r="AS12" s="228">
        <f t="shared" si="14"/>
        <v>0</v>
      </c>
      <c r="AT12" s="228"/>
      <c r="AU12" s="228">
        <f t="shared" si="15"/>
        <v>0</v>
      </c>
      <c r="AV12" s="235">
        <v>0</v>
      </c>
      <c r="AW12" s="228">
        <f t="shared" si="16"/>
        <v>0</v>
      </c>
      <c r="AX12" s="228"/>
      <c r="AY12" s="228">
        <f t="shared" si="17"/>
        <v>0</v>
      </c>
      <c r="AZ12" s="235" t="s">
        <v>1457</v>
      </c>
      <c r="BA12" s="228">
        <f t="shared" si="27"/>
        <v>0</v>
      </c>
      <c r="BB12" s="228"/>
      <c r="BC12" s="228">
        <f t="shared" si="18"/>
        <v>0</v>
      </c>
      <c r="BD12" s="228">
        <v>0</v>
      </c>
      <c r="BE12" s="228">
        <f>K12*BD12</f>
        <v>0</v>
      </c>
      <c r="BF12" s="228"/>
      <c r="BG12" s="228">
        <f t="shared" si="20"/>
        <v>0</v>
      </c>
      <c r="BH12" s="228">
        <v>0</v>
      </c>
      <c r="BI12" s="228">
        <f t="shared" si="21"/>
        <v>0</v>
      </c>
      <c r="BJ12" s="228"/>
      <c r="BK12" s="228">
        <f t="shared" si="22"/>
        <v>0</v>
      </c>
      <c r="BL12" s="228" t="s">
        <v>1457</v>
      </c>
      <c r="BM12" s="220">
        <f t="shared" si="28"/>
        <v>0</v>
      </c>
      <c r="BN12" s="239"/>
      <c r="BO12" s="220">
        <f t="shared" si="23"/>
        <v>0</v>
      </c>
      <c r="BP12" s="220">
        <f t="shared" si="24"/>
        <v>0</v>
      </c>
      <c r="BQ12" s="220">
        <f t="shared" si="25"/>
        <v>1070.262</v>
      </c>
      <c r="BR12" s="220">
        <f t="shared" si="26"/>
        <v>-1070.262</v>
      </c>
      <c r="BS12" s="236" t="s">
        <v>39</v>
      </c>
      <c r="BT12" s="236" t="s">
        <v>39</v>
      </c>
      <c r="BU12" s="230" t="s">
        <v>100</v>
      </c>
      <c r="BV12" s="230"/>
      <c r="BW12" s="231"/>
    </row>
    <row r="13" s="209" customFormat="1" ht="12" customHeight="1" spans="1:75">
      <c r="A13" s="219">
        <v>16</v>
      </c>
      <c r="B13" s="220" t="s">
        <v>105</v>
      </c>
      <c r="C13" s="221" t="s">
        <v>34</v>
      </c>
      <c r="D13" s="221" t="s">
        <v>101</v>
      </c>
      <c r="E13" s="242" t="s">
        <v>102</v>
      </c>
      <c r="F13" s="219" t="s">
        <v>47</v>
      </c>
      <c r="G13" s="243" t="s">
        <v>1460</v>
      </c>
      <c r="H13" s="233" t="s">
        <v>39</v>
      </c>
      <c r="I13" s="233" t="s">
        <v>39</v>
      </c>
      <c r="J13" s="233" t="s">
        <v>39</v>
      </c>
      <c r="K13" s="223" cm="1">
        <f t="array" ref="K13">_xlfn.XLOOKUP(D13&amp;E13&amp;H13&amp;I13&amp;J13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3" s="223"/>
      <c r="M13" s="235"/>
      <c r="N13" s="244"/>
      <c r="O13" s="226">
        <v>0</v>
      </c>
      <c r="P13" s="235">
        <v>0</v>
      </c>
      <c r="Q13" s="228">
        <f t="shared" si="0"/>
        <v>0</v>
      </c>
      <c r="R13" s="228"/>
      <c r="S13" s="228">
        <f t="shared" si="1"/>
        <v>0</v>
      </c>
      <c r="T13" s="235"/>
      <c r="U13" s="228">
        <f t="shared" si="2"/>
        <v>0</v>
      </c>
      <c r="V13" s="228"/>
      <c r="W13" s="228">
        <f t="shared" si="3"/>
        <v>0</v>
      </c>
      <c r="X13" s="235"/>
      <c r="Y13" s="228">
        <f t="shared" si="4"/>
        <v>0</v>
      </c>
      <c r="Z13" s="228"/>
      <c r="AA13" s="228">
        <f t="shared" si="5"/>
        <v>0</v>
      </c>
      <c r="AB13" s="235"/>
      <c r="AC13" s="228">
        <f t="shared" si="6"/>
        <v>0</v>
      </c>
      <c r="AD13" s="228"/>
      <c r="AE13" s="228">
        <f t="shared" si="7"/>
        <v>0</v>
      </c>
      <c r="AF13" s="235">
        <v>0</v>
      </c>
      <c r="AG13" s="228">
        <f t="shared" si="8"/>
        <v>0</v>
      </c>
      <c r="AH13" s="228"/>
      <c r="AI13" s="228">
        <f t="shared" si="9"/>
        <v>0</v>
      </c>
      <c r="AJ13" s="235">
        <v>0</v>
      </c>
      <c r="AK13" s="228">
        <f t="shared" si="10"/>
        <v>0</v>
      </c>
      <c r="AL13" s="228"/>
      <c r="AM13" s="228">
        <f t="shared" si="11"/>
        <v>0</v>
      </c>
      <c r="AN13" s="235">
        <v>0</v>
      </c>
      <c r="AO13" s="228">
        <f t="shared" si="12"/>
        <v>0</v>
      </c>
      <c r="AP13" s="228"/>
      <c r="AQ13" s="228">
        <f t="shared" si="13"/>
        <v>0</v>
      </c>
      <c r="AR13" s="235"/>
      <c r="AS13" s="228">
        <f t="shared" si="14"/>
        <v>0</v>
      </c>
      <c r="AT13" s="228"/>
      <c r="AU13" s="228">
        <f t="shared" si="15"/>
        <v>0</v>
      </c>
      <c r="AV13" s="235"/>
      <c r="AW13" s="228">
        <f t="shared" si="16"/>
        <v>0</v>
      </c>
      <c r="AX13" s="228"/>
      <c r="AY13" s="228">
        <f t="shared" si="17"/>
        <v>0</v>
      </c>
      <c r="AZ13" s="235"/>
      <c r="BA13" s="228">
        <f>K13*AZ13</f>
        <v>0</v>
      </c>
      <c r="BB13" s="228"/>
      <c r="BC13" s="228">
        <f t="shared" si="18"/>
        <v>0</v>
      </c>
      <c r="BD13" s="235"/>
      <c r="BE13" s="228">
        <f>K13*BD13</f>
        <v>0</v>
      </c>
      <c r="BF13" s="235"/>
      <c r="BG13" s="228">
        <f t="shared" si="20"/>
        <v>0</v>
      </c>
      <c r="BH13" s="235"/>
      <c r="BI13" s="228">
        <f t="shared" si="21"/>
        <v>0</v>
      </c>
      <c r="BJ13" s="235"/>
      <c r="BK13" s="228">
        <f t="shared" si="22"/>
        <v>0</v>
      </c>
      <c r="BL13" s="235"/>
      <c r="BM13" s="220">
        <f>K13*BL13</f>
        <v>0</v>
      </c>
      <c r="BN13" s="220"/>
      <c r="BO13" s="220">
        <f t="shared" si="23"/>
        <v>0</v>
      </c>
      <c r="BP13" s="220">
        <f t="shared" si="24"/>
        <v>0</v>
      </c>
      <c r="BQ13" s="220">
        <f t="shared" si="25"/>
        <v>0</v>
      </c>
      <c r="BR13" s="220">
        <f t="shared" si="26"/>
        <v>0</v>
      </c>
      <c r="BS13" s="245">
        <v>0.02</v>
      </c>
      <c r="BT13" s="236" t="s">
        <v>39</v>
      </c>
      <c r="BU13" s="230" t="s">
        <v>104</v>
      </c>
      <c r="BV13" s="230"/>
      <c r="BW13" s="231"/>
    </row>
    <row r="14" s="209" customFormat="1" ht="16.5" customHeight="1" spans="1:75">
      <c r="A14" s="219">
        <v>17</v>
      </c>
      <c r="B14" s="220" t="s">
        <v>110</v>
      </c>
      <c r="C14" s="221" t="s">
        <v>34</v>
      </c>
      <c r="D14" s="221" t="s">
        <v>101</v>
      </c>
      <c r="E14" s="242" t="s">
        <v>102</v>
      </c>
      <c r="F14" s="219" t="s">
        <v>47</v>
      </c>
      <c r="G14" s="243" t="s">
        <v>1460</v>
      </c>
      <c r="H14" s="233" t="s">
        <v>39</v>
      </c>
      <c r="I14" s="237" t="s">
        <v>106</v>
      </c>
      <c r="J14" s="233" t="s">
        <v>107</v>
      </c>
      <c r="K14" s="223" cm="1">
        <f t="array" ref="K14">_xlfn.XLOOKUP(D14&amp;E14&amp;H14&amp;I14&amp;J14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 s="223"/>
      <c r="M14" s="224"/>
      <c r="N14" s="246">
        <v>1698.59</v>
      </c>
      <c r="O14" s="226">
        <v>460000</v>
      </c>
      <c r="P14" s="247">
        <v>0.08</v>
      </c>
      <c r="Q14" s="228">
        <f t="shared" si="0"/>
        <v>0</v>
      </c>
      <c r="R14" s="248">
        <v>444.3624</v>
      </c>
      <c r="S14" s="228">
        <f t="shared" si="1"/>
        <v>-444.3624</v>
      </c>
      <c r="T14" s="235">
        <v>0</v>
      </c>
      <c r="U14" s="228">
        <f t="shared" si="2"/>
        <v>0</v>
      </c>
      <c r="V14" s="228"/>
      <c r="W14" s="228">
        <f t="shared" si="3"/>
        <v>0</v>
      </c>
      <c r="X14" s="235">
        <v>0</v>
      </c>
      <c r="Y14" s="228">
        <f t="shared" si="4"/>
        <v>0</v>
      </c>
      <c r="Z14" s="228"/>
      <c r="AA14" s="228">
        <f t="shared" si="5"/>
        <v>0</v>
      </c>
      <c r="AB14" s="247">
        <v>0.065</v>
      </c>
      <c r="AC14" s="228">
        <f t="shared" si="6"/>
        <v>0</v>
      </c>
      <c r="AD14" s="248">
        <v>361.04445</v>
      </c>
      <c r="AE14" s="249">
        <f t="shared" si="7"/>
        <v>-361.04445</v>
      </c>
      <c r="AF14" s="247">
        <v>0.02</v>
      </c>
      <c r="AG14" s="228">
        <f t="shared" si="8"/>
        <v>0</v>
      </c>
      <c r="AH14" s="248">
        <v>111.0906</v>
      </c>
      <c r="AI14" s="228">
        <f t="shared" si="9"/>
        <v>-111.0906</v>
      </c>
      <c r="AJ14" s="247">
        <v>0.035</v>
      </c>
      <c r="AK14" s="228">
        <f t="shared" si="10"/>
        <v>0</v>
      </c>
      <c r="AL14" s="248">
        <v>194.40855</v>
      </c>
      <c r="AM14" s="249">
        <f t="shared" si="11"/>
        <v>-194.40855</v>
      </c>
      <c r="AN14" s="235">
        <v>0</v>
      </c>
      <c r="AO14" s="228">
        <f t="shared" si="12"/>
        <v>0</v>
      </c>
      <c r="AP14" s="228"/>
      <c r="AQ14" s="228">
        <f t="shared" si="13"/>
        <v>0</v>
      </c>
      <c r="AR14" s="235">
        <v>0.03</v>
      </c>
      <c r="AS14" s="228">
        <f t="shared" si="14"/>
        <v>0</v>
      </c>
      <c r="AT14" s="248">
        <v>166.6359</v>
      </c>
      <c r="AU14" s="228">
        <f t="shared" si="15"/>
        <v>-166.6359</v>
      </c>
      <c r="AV14" s="235">
        <v>0.06</v>
      </c>
      <c r="AW14" s="228">
        <f t="shared" si="16"/>
        <v>0</v>
      </c>
      <c r="AX14" s="248">
        <v>333.2718</v>
      </c>
      <c r="AY14" s="228">
        <f t="shared" si="17"/>
        <v>-333.2718</v>
      </c>
      <c r="AZ14" s="227" t="s">
        <v>1457</v>
      </c>
      <c r="BA14" s="228">
        <f t="shared" ref="BA14:BA36" si="29">BB14</f>
        <v>0</v>
      </c>
      <c r="BB14" s="228"/>
      <c r="BC14" s="228">
        <f t="shared" si="18"/>
        <v>0</v>
      </c>
      <c r="BD14" s="235" t="s">
        <v>1457</v>
      </c>
      <c r="BE14" s="228">
        <f t="shared" ref="BE14:BE30" si="30">BF14</f>
        <v>0</v>
      </c>
      <c r="BF14" s="228"/>
      <c r="BG14" s="228">
        <f t="shared" si="20"/>
        <v>0</v>
      </c>
      <c r="BH14" s="235" t="s">
        <v>1457</v>
      </c>
      <c r="BI14" s="228">
        <f t="shared" ref="BI14:BI30" si="31">BJ14</f>
        <v>0</v>
      </c>
      <c r="BJ14" s="228"/>
      <c r="BK14" s="228">
        <f t="shared" si="22"/>
        <v>0</v>
      </c>
      <c r="BL14" s="235" t="s">
        <v>1457</v>
      </c>
      <c r="BM14" s="220">
        <f t="shared" ref="BM14:BM79" si="32">BN14</f>
        <v>0</v>
      </c>
      <c r="BN14" s="220"/>
      <c r="BO14" s="220">
        <f t="shared" si="23"/>
        <v>0</v>
      </c>
      <c r="BP14" s="220">
        <f t="shared" si="24"/>
        <v>1698.59</v>
      </c>
      <c r="BQ14" s="220">
        <f t="shared" si="25"/>
        <v>3309.4037</v>
      </c>
      <c r="BR14" s="220">
        <f t="shared" si="26"/>
        <v>-1610.8137</v>
      </c>
      <c r="BS14" s="247" t="s">
        <v>39</v>
      </c>
      <c r="BT14" s="235" t="s">
        <v>39</v>
      </c>
      <c r="BU14" s="250" t="s">
        <v>108</v>
      </c>
      <c r="BV14" s="230" t="s">
        <v>109</v>
      </c>
      <c r="BW14" s="231"/>
    </row>
    <row r="15" s="209" customFormat="1" ht="16.5" customHeight="1" spans="1:75">
      <c r="A15" s="219">
        <v>18</v>
      </c>
      <c r="B15" s="220" t="s">
        <v>113</v>
      </c>
      <c r="C15" s="221" t="s">
        <v>34</v>
      </c>
      <c r="D15" s="221" t="s">
        <v>101</v>
      </c>
      <c r="E15" s="242" t="s">
        <v>102</v>
      </c>
      <c r="F15" s="219" t="s">
        <v>47</v>
      </c>
      <c r="G15" s="243" t="s">
        <v>1460</v>
      </c>
      <c r="H15" s="233" t="s">
        <v>39</v>
      </c>
      <c r="I15" s="237" t="s">
        <v>111</v>
      </c>
      <c r="J15" s="233" t="s">
        <v>112</v>
      </c>
      <c r="K15" s="223" cm="1">
        <f t="array" ref="K15">_xlfn.XLOOKUP(D15&amp;E15&amp;H15&amp;I15&amp;J15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 s="223"/>
      <c r="M15" s="224"/>
      <c r="N15" s="246">
        <v>1698.59</v>
      </c>
      <c r="O15" s="226">
        <v>384000</v>
      </c>
      <c r="P15" s="247">
        <v>0.08</v>
      </c>
      <c r="Q15" s="228">
        <f t="shared" si="0"/>
        <v>0</v>
      </c>
      <c r="R15" s="248">
        <v>417.92</v>
      </c>
      <c r="S15" s="228">
        <f t="shared" si="1"/>
        <v>-417.92</v>
      </c>
      <c r="T15" s="235">
        <v>0</v>
      </c>
      <c r="U15" s="228">
        <f t="shared" si="2"/>
        <v>0</v>
      </c>
      <c r="V15" s="228"/>
      <c r="W15" s="228">
        <f t="shared" si="3"/>
        <v>0</v>
      </c>
      <c r="X15" s="235">
        <v>0</v>
      </c>
      <c r="Y15" s="228">
        <f t="shared" si="4"/>
        <v>0</v>
      </c>
      <c r="Z15" s="228"/>
      <c r="AA15" s="228">
        <f t="shared" si="5"/>
        <v>0</v>
      </c>
      <c r="AB15" s="247">
        <v>0.065</v>
      </c>
      <c r="AC15" s="228">
        <f t="shared" si="6"/>
        <v>0</v>
      </c>
      <c r="AD15" s="248">
        <v>339.56</v>
      </c>
      <c r="AE15" s="249">
        <f t="shared" si="7"/>
        <v>-339.56</v>
      </c>
      <c r="AF15" s="247">
        <v>0.02</v>
      </c>
      <c r="AG15" s="228">
        <f t="shared" si="8"/>
        <v>0</v>
      </c>
      <c r="AH15" s="248">
        <v>104.48</v>
      </c>
      <c r="AI15" s="228">
        <f t="shared" si="9"/>
        <v>-104.48</v>
      </c>
      <c r="AJ15" s="247">
        <v>0.035</v>
      </c>
      <c r="AK15" s="228">
        <f t="shared" si="10"/>
        <v>0</v>
      </c>
      <c r="AL15" s="248">
        <v>182.84</v>
      </c>
      <c r="AM15" s="249">
        <f t="shared" si="11"/>
        <v>-182.84</v>
      </c>
      <c r="AN15" s="235">
        <v>0</v>
      </c>
      <c r="AO15" s="228">
        <f t="shared" si="12"/>
        <v>0</v>
      </c>
      <c r="AP15" s="228"/>
      <c r="AQ15" s="228">
        <f t="shared" si="13"/>
        <v>0</v>
      </c>
      <c r="AR15" s="235">
        <v>0.03</v>
      </c>
      <c r="AS15" s="228">
        <f t="shared" si="14"/>
        <v>0</v>
      </c>
      <c r="AT15" s="248">
        <v>156.72</v>
      </c>
      <c r="AU15" s="228">
        <f t="shared" si="15"/>
        <v>-156.72</v>
      </c>
      <c r="AV15" s="235">
        <v>0.06</v>
      </c>
      <c r="AW15" s="228">
        <f t="shared" si="16"/>
        <v>0</v>
      </c>
      <c r="AX15" s="248">
        <v>313.44</v>
      </c>
      <c r="AY15" s="228">
        <f t="shared" si="17"/>
        <v>-313.44</v>
      </c>
      <c r="AZ15" s="227" t="s">
        <v>1457</v>
      </c>
      <c r="BA15" s="228">
        <f t="shared" si="29"/>
        <v>0</v>
      </c>
      <c r="BB15" s="228"/>
      <c r="BC15" s="228">
        <f t="shared" si="18"/>
        <v>0</v>
      </c>
      <c r="BD15" s="235" t="s">
        <v>1457</v>
      </c>
      <c r="BE15" s="228">
        <f t="shared" si="30"/>
        <v>0</v>
      </c>
      <c r="BF15" s="228"/>
      <c r="BG15" s="228">
        <f t="shared" si="20"/>
        <v>0</v>
      </c>
      <c r="BH15" s="235" t="s">
        <v>1457</v>
      </c>
      <c r="BI15" s="228">
        <f t="shared" si="31"/>
        <v>0</v>
      </c>
      <c r="BJ15" s="228"/>
      <c r="BK15" s="228">
        <f t="shared" si="22"/>
        <v>0</v>
      </c>
      <c r="BL15" s="235" t="s">
        <v>1457</v>
      </c>
      <c r="BM15" s="220">
        <f t="shared" si="32"/>
        <v>0</v>
      </c>
      <c r="BN15" s="220"/>
      <c r="BO15" s="220">
        <f t="shared" si="23"/>
        <v>0</v>
      </c>
      <c r="BP15" s="220">
        <f t="shared" si="24"/>
        <v>1698.59</v>
      </c>
      <c r="BQ15" s="220">
        <f t="shared" si="25"/>
        <v>3213.55</v>
      </c>
      <c r="BR15" s="220">
        <f t="shared" si="26"/>
        <v>-1514.96</v>
      </c>
      <c r="BS15" s="247" t="s">
        <v>39</v>
      </c>
      <c r="BT15" s="235" t="s">
        <v>39</v>
      </c>
      <c r="BU15" s="250" t="s">
        <v>108</v>
      </c>
      <c r="BV15" s="230" t="s">
        <v>109</v>
      </c>
      <c r="BW15" s="231"/>
    </row>
    <row r="16" s="209" customFormat="1" ht="16.5" customHeight="1" spans="1:75">
      <c r="A16" s="219">
        <v>19</v>
      </c>
      <c r="B16" s="220" t="s">
        <v>116</v>
      </c>
      <c r="C16" s="221" t="s">
        <v>34</v>
      </c>
      <c r="D16" s="221" t="s">
        <v>101</v>
      </c>
      <c r="E16" s="242" t="s">
        <v>102</v>
      </c>
      <c r="F16" s="219" t="s">
        <v>47</v>
      </c>
      <c r="G16" s="243" t="s">
        <v>1460</v>
      </c>
      <c r="H16" s="233" t="s">
        <v>39</v>
      </c>
      <c r="I16" s="237" t="s">
        <v>114</v>
      </c>
      <c r="J16" s="233" t="s">
        <v>115</v>
      </c>
      <c r="K16" s="223" cm="1">
        <f t="array" ref="K16">_xlfn.XLOOKUP(D16&amp;E16&amp;H16&amp;I16&amp;J16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6" s="223"/>
      <c r="M16" s="224"/>
      <c r="N16" s="246">
        <v>1698.59</v>
      </c>
      <c r="O16" s="226">
        <v>930000</v>
      </c>
      <c r="P16" s="247">
        <v>0.08</v>
      </c>
      <c r="Q16" s="228">
        <f t="shared" si="0"/>
        <v>0</v>
      </c>
      <c r="R16" s="248">
        <v>766.96</v>
      </c>
      <c r="S16" s="228">
        <f t="shared" si="1"/>
        <v>-766.96</v>
      </c>
      <c r="T16" s="235">
        <v>0</v>
      </c>
      <c r="U16" s="228">
        <f t="shared" si="2"/>
        <v>0</v>
      </c>
      <c r="V16" s="228"/>
      <c r="W16" s="228">
        <f t="shared" si="3"/>
        <v>0</v>
      </c>
      <c r="X16" s="235">
        <v>0</v>
      </c>
      <c r="Y16" s="228">
        <f t="shared" si="4"/>
        <v>0</v>
      </c>
      <c r="Z16" s="228"/>
      <c r="AA16" s="228">
        <f t="shared" si="5"/>
        <v>0</v>
      </c>
      <c r="AB16" s="247">
        <v>0.065</v>
      </c>
      <c r="AC16" s="228">
        <f t="shared" si="6"/>
        <v>0</v>
      </c>
      <c r="AD16" s="248">
        <v>623.155</v>
      </c>
      <c r="AE16" s="249">
        <f t="shared" si="7"/>
        <v>-623.155</v>
      </c>
      <c r="AF16" s="247">
        <v>0.02</v>
      </c>
      <c r="AG16" s="228">
        <f t="shared" si="8"/>
        <v>0</v>
      </c>
      <c r="AH16" s="248">
        <v>191.74</v>
      </c>
      <c r="AI16" s="228">
        <f t="shared" si="9"/>
        <v>-191.74</v>
      </c>
      <c r="AJ16" s="247">
        <v>0.035</v>
      </c>
      <c r="AK16" s="228">
        <f t="shared" si="10"/>
        <v>0</v>
      </c>
      <c r="AL16" s="248">
        <v>335.545</v>
      </c>
      <c r="AM16" s="249">
        <f t="shared" si="11"/>
        <v>-335.545</v>
      </c>
      <c r="AN16" s="235">
        <v>0</v>
      </c>
      <c r="AO16" s="228">
        <f t="shared" si="12"/>
        <v>0</v>
      </c>
      <c r="AP16" s="228"/>
      <c r="AQ16" s="228">
        <f t="shared" si="13"/>
        <v>0</v>
      </c>
      <c r="AR16" s="235">
        <v>0.03</v>
      </c>
      <c r="AS16" s="228">
        <f t="shared" si="14"/>
        <v>0</v>
      </c>
      <c r="AT16" s="248">
        <v>287.61</v>
      </c>
      <c r="AU16" s="228">
        <f t="shared" si="15"/>
        <v>-287.61</v>
      </c>
      <c r="AV16" s="235">
        <v>0.06</v>
      </c>
      <c r="AW16" s="228">
        <f t="shared" si="16"/>
        <v>0</v>
      </c>
      <c r="AX16" s="248">
        <v>575.22</v>
      </c>
      <c r="AY16" s="228">
        <f t="shared" si="17"/>
        <v>-575.22</v>
      </c>
      <c r="AZ16" s="227" t="s">
        <v>1457</v>
      </c>
      <c r="BA16" s="228">
        <f t="shared" si="29"/>
        <v>0</v>
      </c>
      <c r="BB16" s="228"/>
      <c r="BC16" s="228">
        <f t="shared" si="18"/>
        <v>0</v>
      </c>
      <c r="BD16" s="235" t="s">
        <v>1457</v>
      </c>
      <c r="BE16" s="228">
        <f t="shared" si="30"/>
        <v>0</v>
      </c>
      <c r="BF16" s="228"/>
      <c r="BG16" s="228">
        <f t="shared" si="20"/>
        <v>0</v>
      </c>
      <c r="BH16" s="235" t="s">
        <v>1457</v>
      </c>
      <c r="BI16" s="228">
        <f t="shared" si="31"/>
        <v>0</v>
      </c>
      <c r="BJ16" s="228"/>
      <c r="BK16" s="228">
        <f t="shared" si="22"/>
        <v>0</v>
      </c>
      <c r="BL16" s="235" t="s">
        <v>1457</v>
      </c>
      <c r="BM16" s="220">
        <f t="shared" si="32"/>
        <v>0</v>
      </c>
      <c r="BN16" s="220"/>
      <c r="BO16" s="220">
        <f t="shared" si="23"/>
        <v>0</v>
      </c>
      <c r="BP16" s="220">
        <f t="shared" si="24"/>
        <v>1698.59</v>
      </c>
      <c r="BQ16" s="220">
        <f t="shared" si="25"/>
        <v>4478.82</v>
      </c>
      <c r="BR16" s="220">
        <f t="shared" si="26"/>
        <v>-2780.23</v>
      </c>
      <c r="BS16" s="247" t="s">
        <v>39</v>
      </c>
      <c r="BT16" s="235" t="s">
        <v>39</v>
      </c>
      <c r="BU16" s="250" t="s">
        <v>108</v>
      </c>
      <c r="BV16" s="230" t="s">
        <v>109</v>
      </c>
      <c r="BW16" s="231"/>
    </row>
    <row r="17" s="209" customFormat="1" ht="16.5" customHeight="1" spans="1:75">
      <c r="A17" s="219">
        <v>20</v>
      </c>
      <c r="B17" s="220" t="s">
        <v>119</v>
      </c>
      <c r="C17" s="221" t="s">
        <v>34</v>
      </c>
      <c r="D17" s="221" t="s">
        <v>101</v>
      </c>
      <c r="E17" s="242" t="s">
        <v>102</v>
      </c>
      <c r="F17" s="219" t="s">
        <v>47</v>
      </c>
      <c r="G17" s="243" t="s">
        <v>1460</v>
      </c>
      <c r="H17" s="233" t="s">
        <v>39</v>
      </c>
      <c r="I17" s="237" t="s">
        <v>117</v>
      </c>
      <c r="J17" s="233" t="s">
        <v>118</v>
      </c>
      <c r="K17" s="223" cm="1">
        <f t="array" ref="K17">_xlfn.XLOOKUP(D17&amp;E17&amp;H17&amp;I17&amp;J17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7" s="223"/>
      <c r="M17" s="224"/>
      <c r="N17" s="246">
        <v>1698.59</v>
      </c>
      <c r="O17" s="226">
        <v>1280000</v>
      </c>
      <c r="P17" s="247">
        <v>0.06</v>
      </c>
      <c r="Q17" s="228">
        <f t="shared" si="0"/>
        <v>0</v>
      </c>
      <c r="R17" s="248">
        <v>3048.72</v>
      </c>
      <c r="S17" s="228">
        <f t="shared" si="1"/>
        <v>-3048.72</v>
      </c>
      <c r="T17" s="235">
        <v>0</v>
      </c>
      <c r="U17" s="228">
        <f t="shared" si="2"/>
        <v>0</v>
      </c>
      <c r="V17" s="228"/>
      <c r="W17" s="228">
        <f t="shared" si="3"/>
        <v>0</v>
      </c>
      <c r="X17" s="235">
        <v>0</v>
      </c>
      <c r="Y17" s="228">
        <f t="shared" si="4"/>
        <v>0</v>
      </c>
      <c r="Z17" s="228"/>
      <c r="AA17" s="228">
        <f t="shared" si="5"/>
        <v>0</v>
      </c>
      <c r="AB17" s="247">
        <v>0.055</v>
      </c>
      <c r="AC17" s="228">
        <f t="shared" si="6"/>
        <v>0</v>
      </c>
      <c r="AD17" s="248">
        <v>2794.66</v>
      </c>
      <c r="AE17" s="249">
        <f t="shared" si="7"/>
        <v>-2794.66</v>
      </c>
      <c r="AF17" s="247">
        <v>0.02</v>
      </c>
      <c r="AG17" s="228">
        <f t="shared" si="8"/>
        <v>0</v>
      </c>
      <c r="AH17" s="248">
        <v>1016.24</v>
      </c>
      <c r="AI17" s="228">
        <f t="shared" si="9"/>
        <v>-1016.24</v>
      </c>
      <c r="AJ17" s="247">
        <v>0.025</v>
      </c>
      <c r="AK17" s="228">
        <f t="shared" si="10"/>
        <v>0</v>
      </c>
      <c r="AL17" s="248">
        <v>1270.3</v>
      </c>
      <c r="AM17" s="249">
        <f t="shared" si="11"/>
        <v>-1270.3</v>
      </c>
      <c r="AN17" s="235">
        <v>0</v>
      </c>
      <c r="AO17" s="228">
        <f t="shared" si="12"/>
        <v>0</v>
      </c>
      <c r="AP17" s="228"/>
      <c r="AQ17" s="228">
        <f t="shared" si="13"/>
        <v>0</v>
      </c>
      <c r="AR17" s="235">
        <v>0.03</v>
      </c>
      <c r="AS17" s="228">
        <f t="shared" si="14"/>
        <v>0</v>
      </c>
      <c r="AT17" s="248">
        <v>1524.36</v>
      </c>
      <c r="AU17" s="228">
        <f t="shared" si="15"/>
        <v>-1524.36</v>
      </c>
      <c r="AV17" s="235">
        <v>0.06</v>
      </c>
      <c r="AW17" s="228">
        <f t="shared" si="16"/>
        <v>0</v>
      </c>
      <c r="AX17" s="248">
        <v>3048.72</v>
      </c>
      <c r="AY17" s="228">
        <f t="shared" si="17"/>
        <v>-3048.72</v>
      </c>
      <c r="AZ17" s="227" t="s">
        <v>1457</v>
      </c>
      <c r="BA17" s="228">
        <f t="shared" si="29"/>
        <v>0</v>
      </c>
      <c r="BB17" s="228"/>
      <c r="BC17" s="228">
        <f t="shared" si="18"/>
        <v>0</v>
      </c>
      <c r="BD17" s="235" t="s">
        <v>1457</v>
      </c>
      <c r="BE17" s="228">
        <f t="shared" si="30"/>
        <v>0</v>
      </c>
      <c r="BF17" s="228"/>
      <c r="BG17" s="228">
        <f t="shared" si="20"/>
        <v>0</v>
      </c>
      <c r="BH17" s="235" t="s">
        <v>1457</v>
      </c>
      <c r="BI17" s="228">
        <f t="shared" si="31"/>
        <v>0</v>
      </c>
      <c r="BJ17" s="228"/>
      <c r="BK17" s="228">
        <f t="shared" si="22"/>
        <v>0</v>
      </c>
      <c r="BL17" s="235" t="s">
        <v>1457</v>
      </c>
      <c r="BM17" s="220">
        <f t="shared" si="32"/>
        <v>0</v>
      </c>
      <c r="BN17" s="220"/>
      <c r="BO17" s="220">
        <f t="shared" si="23"/>
        <v>0</v>
      </c>
      <c r="BP17" s="220">
        <f t="shared" si="24"/>
        <v>1698.59</v>
      </c>
      <c r="BQ17" s="220">
        <f t="shared" si="25"/>
        <v>14401.59</v>
      </c>
      <c r="BR17" s="220">
        <f t="shared" si="26"/>
        <v>-12703</v>
      </c>
      <c r="BS17" s="247" t="s">
        <v>39</v>
      </c>
      <c r="BT17" s="235" t="s">
        <v>39</v>
      </c>
      <c r="BU17" s="250" t="s">
        <v>108</v>
      </c>
      <c r="BV17" s="230" t="s">
        <v>109</v>
      </c>
      <c r="BW17" s="231"/>
    </row>
    <row r="18" s="209" customFormat="1" ht="16.5" customHeight="1" spans="1:75">
      <c r="A18" s="219">
        <v>21</v>
      </c>
      <c r="B18" s="220" t="s">
        <v>122</v>
      </c>
      <c r="C18" s="221" t="s">
        <v>34</v>
      </c>
      <c r="D18" s="221" t="s">
        <v>101</v>
      </c>
      <c r="E18" s="242" t="s">
        <v>102</v>
      </c>
      <c r="F18" s="219" t="s">
        <v>47</v>
      </c>
      <c r="G18" s="243" t="s">
        <v>1460</v>
      </c>
      <c r="H18" s="233" t="s">
        <v>39</v>
      </c>
      <c r="I18" s="237" t="s">
        <v>120</v>
      </c>
      <c r="J18" s="233" t="s">
        <v>121</v>
      </c>
      <c r="K18" s="223" cm="1">
        <f t="array" ref="K18">_xlfn.XLOOKUP(D18&amp;E18&amp;H18&amp;I18&amp;J18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8" s="223"/>
      <c r="M18" s="224"/>
      <c r="N18" s="246">
        <v>1698.59</v>
      </c>
      <c r="O18" s="226">
        <v>264000</v>
      </c>
      <c r="P18" s="247">
        <v>0.08</v>
      </c>
      <c r="Q18" s="228">
        <f t="shared" si="0"/>
        <v>0</v>
      </c>
      <c r="R18" s="248">
        <v>92.68</v>
      </c>
      <c r="S18" s="228">
        <f t="shared" si="1"/>
        <v>-92.68</v>
      </c>
      <c r="T18" s="235">
        <v>0</v>
      </c>
      <c r="U18" s="228">
        <f t="shared" si="2"/>
        <v>0</v>
      </c>
      <c r="V18" s="228"/>
      <c r="W18" s="228">
        <f t="shared" si="3"/>
        <v>0</v>
      </c>
      <c r="X18" s="235">
        <v>0</v>
      </c>
      <c r="Y18" s="228">
        <f t="shared" si="4"/>
        <v>0</v>
      </c>
      <c r="Z18" s="228"/>
      <c r="AA18" s="228">
        <f t="shared" si="5"/>
        <v>0</v>
      </c>
      <c r="AB18" s="247">
        <v>0.065</v>
      </c>
      <c r="AC18" s="228">
        <f t="shared" si="6"/>
        <v>0</v>
      </c>
      <c r="AD18" s="248">
        <v>75.3025</v>
      </c>
      <c r="AE18" s="249">
        <f t="shared" si="7"/>
        <v>-75.3025</v>
      </c>
      <c r="AF18" s="247">
        <v>0.02</v>
      </c>
      <c r="AG18" s="228">
        <f t="shared" si="8"/>
        <v>0</v>
      </c>
      <c r="AH18" s="248">
        <v>23.17</v>
      </c>
      <c r="AI18" s="228">
        <f t="shared" si="9"/>
        <v>-23.17</v>
      </c>
      <c r="AJ18" s="247">
        <v>0.035</v>
      </c>
      <c r="AK18" s="228">
        <f t="shared" si="10"/>
        <v>0</v>
      </c>
      <c r="AL18" s="248">
        <v>40.5475</v>
      </c>
      <c r="AM18" s="249">
        <f t="shared" si="11"/>
        <v>-40.5475</v>
      </c>
      <c r="AN18" s="235">
        <v>0</v>
      </c>
      <c r="AO18" s="228">
        <f t="shared" si="12"/>
        <v>0</v>
      </c>
      <c r="AP18" s="228"/>
      <c r="AQ18" s="228">
        <f t="shared" si="13"/>
        <v>0</v>
      </c>
      <c r="AR18" s="235">
        <v>0.03</v>
      </c>
      <c r="AS18" s="228">
        <f t="shared" si="14"/>
        <v>0</v>
      </c>
      <c r="AT18" s="248">
        <v>34.755</v>
      </c>
      <c r="AU18" s="228">
        <f t="shared" si="15"/>
        <v>-34.755</v>
      </c>
      <c r="AV18" s="235">
        <v>0.06</v>
      </c>
      <c r="AW18" s="228">
        <f t="shared" si="16"/>
        <v>0</v>
      </c>
      <c r="AX18" s="248">
        <v>69.51</v>
      </c>
      <c r="AY18" s="228">
        <f t="shared" si="17"/>
        <v>-69.51</v>
      </c>
      <c r="AZ18" s="227" t="s">
        <v>1457</v>
      </c>
      <c r="BA18" s="228">
        <f t="shared" si="29"/>
        <v>0</v>
      </c>
      <c r="BB18" s="228"/>
      <c r="BC18" s="228">
        <f t="shared" si="18"/>
        <v>0</v>
      </c>
      <c r="BD18" s="235" t="s">
        <v>1457</v>
      </c>
      <c r="BE18" s="228">
        <f t="shared" si="30"/>
        <v>0</v>
      </c>
      <c r="BF18" s="228"/>
      <c r="BG18" s="228">
        <f t="shared" si="20"/>
        <v>0</v>
      </c>
      <c r="BH18" s="235" t="s">
        <v>1457</v>
      </c>
      <c r="BI18" s="228">
        <f t="shared" si="31"/>
        <v>0</v>
      </c>
      <c r="BJ18" s="228"/>
      <c r="BK18" s="228">
        <f t="shared" si="22"/>
        <v>0</v>
      </c>
      <c r="BL18" s="235" t="s">
        <v>1457</v>
      </c>
      <c r="BM18" s="220">
        <f t="shared" si="32"/>
        <v>0</v>
      </c>
      <c r="BN18" s="220"/>
      <c r="BO18" s="220">
        <f t="shared" si="23"/>
        <v>0</v>
      </c>
      <c r="BP18" s="220">
        <f t="shared" si="24"/>
        <v>1698.59</v>
      </c>
      <c r="BQ18" s="220">
        <f t="shared" si="25"/>
        <v>2034.555</v>
      </c>
      <c r="BR18" s="220">
        <f t="shared" si="26"/>
        <v>-335.965</v>
      </c>
      <c r="BS18" s="247" t="s">
        <v>39</v>
      </c>
      <c r="BT18" s="235" t="s">
        <v>39</v>
      </c>
      <c r="BU18" s="250" t="s">
        <v>108</v>
      </c>
      <c r="BV18" s="230" t="s">
        <v>109</v>
      </c>
      <c r="BW18" s="231"/>
    </row>
    <row r="19" s="209" customFormat="1" ht="16.5" customHeight="1" spans="1:75">
      <c r="A19" s="219">
        <v>22</v>
      </c>
      <c r="B19" s="220" t="s">
        <v>124</v>
      </c>
      <c r="C19" s="221" t="s">
        <v>34</v>
      </c>
      <c r="D19" s="221" t="s">
        <v>101</v>
      </c>
      <c r="E19" s="242" t="s">
        <v>102</v>
      </c>
      <c r="F19" s="219" t="s">
        <v>47</v>
      </c>
      <c r="G19" s="243" t="s">
        <v>1460</v>
      </c>
      <c r="H19" s="233" t="s">
        <v>39</v>
      </c>
      <c r="I19" s="237" t="s">
        <v>123</v>
      </c>
      <c r="J19" s="233" t="s">
        <v>121</v>
      </c>
      <c r="K19" s="223" cm="1">
        <f t="array" ref="K19">_xlfn.XLOOKUP(D19&amp;E19&amp;H19&amp;I19&amp;J19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 s="223"/>
      <c r="M19" s="224"/>
      <c r="N19" s="246">
        <v>0</v>
      </c>
      <c r="O19" s="226">
        <v>290000</v>
      </c>
      <c r="P19" s="247">
        <v>0.08</v>
      </c>
      <c r="Q19" s="228">
        <f t="shared" si="0"/>
        <v>0</v>
      </c>
      <c r="R19" s="248">
        <v>75.84</v>
      </c>
      <c r="S19" s="228">
        <f t="shared" si="1"/>
        <v>-75.84</v>
      </c>
      <c r="T19" s="235">
        <v>0</v>
      </c>
      <c r="U19" s="228">
        <f t="shared" si="2"/>
        <v>0</v>
      </c>
      <c r="V19" s="228"/>
      <c r="W19" s="228">
        <f t="shared" si="3"/>
        <v>0</v>
      </c>
      <c r="X19" s="235">
        <v>0</v>
      </c>
      <c r="Y19" s="228">
        <f t="shared" si="4"/>
        <v>0</v>
      </c>
      <c r="Z19" s="228"/>
      <c r="AA19" s="228">
        <f t="shared" si="5"/>
        <v>0</v>
      </c>
      <c r="AB19" s="247">
        <v>0.065</v>
      </c>
      <c r="AC19" s="228">
        <f t="shared" si="6"/>
        <v>0</v>
      </c>
      <c r="AD19" s="248">
        <v>61.62</v>
      </c>
      <c r="AE19" s="249">
        <f t="shared" si="7"/>
        <v>-61.62</v>
      </c>
      <c r="AF19" s="247">
        <v>0.02</v>
      </c>
      <c r="AG19" s="228">
        <f t="shared" si="8"/>
        <v>0</v>
      </c>
      <c r="AH19" s="248">
        <v>18.96</v>
      </c>
      <c r="AI19" s="228">
        <f t="shared" si="9"/>
        <v>-18.96</v>
      </c>
      <c r="AJ19" s="247">
        <v>0.035</v>
      </c>
      <c r="AK19" s="228">
        <f t="shared" si="10"/>
        <v>0</v>
      </c>
      <c r="AL19" s="248">
        <v>33.18</v>
      </c>
      <c r="AM19" s="249">
        <f t="shared" si="11"/>
        <v>-33.18</v>
      </c>
      <c r="AN19" s="235">
        <v>0</v>
      </c>
      <c r="AO19" s="228">
        <f t="shared" si="12"/>
        <v>0</v>
      </c>
      <c r="AP19" s="228"/>
      <c r="AQ19" s="228">
        <f t="shared" si="13"/>
        <v>0</v>
      </c>
      <c r="AR19" s="235">
        <v>0.03</v>
      </c>
      <c r="AS19" s="228">
        <f t="shared" si="14"/>
        <v>0</v>
      </c>
      <c r="AT19" s="248">
        <v>28.44</v>
      </c>
      <c r="AU19" s="228">
        <f t="shared" si="15"/>
        <v>-28.44</v>
      </c>
      <c r="AV19" s="235">
        <v>0.06</v>
      </c>
      <c r="AW19" s="228">
        <f t="shared" si="16"/>
        <v>0</v>
      </c>
      <c r="AX19" s="248">
        <v>56.88</v>
      </c>
      <c r="AY19" s="228">
        <f t="shared" si="17"/>
        <v>-56.88</v>
      </c>
      <c r="AZ19" s="227" t="s">
        <v>1457</v>
      </c>
      <c r="BA19" s="228">
        <f t="shared" si="29"/>
        <v>0</v>
      </c>
      <c r="BB19" s="228"/>
      <c r="BC19" s="228">
        <f t="shared" si="18"/>
        <v>0</v>
      </c>
      <c r="BD19" s="235" t="s">
        <v>1457</v>
      </c>
      <c r="BE19" s="228">
        <f t="shared" si="30"/>
        <v>0</v>
      </c>
      <c r="BF19" s="228"/>
      <c r="BG19" s="228">
        <f t="shared" si="20"/>
        <v>0</v>
      </c>
      <c r="BH19" s="235" t="s">
        <v>1457</v>
      </c>
      <c r="BI19" s="228">
        <f t="shared" si="31"/>
        <v>0</v>
      </c>
      <c r="BJ19" s="228"/>
      <c r="BK19" s="228">
        <f t="shared" si="22"/>
        <v>0</v>
      </c>
      <c r="BL19" s="235" t="s">
        <v>1457</v>
      </c>
      <c r="BM19" s="220">
        <f t="shared" si="32"/>
        <v>0</v>
      </c>
      <c r="BN19" s="220"/>
      <c r="BO19" s="220">
        <f t="shared" si="23"/>
        <v>0</v>
      </c>
      <c r="BP19" s="220">
        <f t="shared" si="24"/>
        <v>0</v>
      </c>
      <c r="BQ19" s="220">
        <f t="shared" si="25"/>
        <v>274.92</v>
      </c>
      <c r="BR19" s="220">
        <f t="shared" si="26"/>
        <v>-274.92</v>
      </c>
      <c r="BS19" s="247" t="s">
        <v>39</v>
      </c>
      <c r="BT19" s="235" t="s">
        <v>39</v>
      </c>
      <c r="BU19" s="250" t="s">
        <v>108</v>
      </c>
      <c r="BV19" s="230" t="s">
        <v>109</v>
      </c>
      <c r="BW19" s="231"/>
    </row>
    <row r="20" s="209" customFormat="1" ht="16.5" customHeight="1" spans="1:75">
      <c r="A20" s="219">
        <v>23</v>
      </c>
      <c r="B20" s="220" t="s">
        <v>126</v>
      </c>
      <c r="C20" s="221" t="s">
        <v>34</v>
      </c>
      <c r="D20" s="221" t="s">
        <v>101</v>
      </c>
      <c r="E20" s="242" t="s">
        <v>102</v>
      </c>
      <c r="F20" s="219" t="s">
        <v>47</v>
      </c>
      <c r="G20" s="243" t="s">
        <v>1460</v>
      </c>
      <c r="H20" s="233" t="s">
        <v>39</v>
      </c>
      <c r="I20" s="237" t="s">
        <v>125</v>
      </c>
      <c r="J20" s="233" t="s">
        <v>107</v>
      </c>
      <c r="K20" s="223" cm="1">
        <f t="array" ref="K20">_xlfn.XLOOKUP(D20&amp;E20&amp;H20&amp;I20&amp;J20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0" s="223"/>
      <c r="M20" s="224"/>
      <c r="N20" s="246">
        <v>1698.59</v>
      </c>
      <c r="O20" s="226">
        <v>222000</v>
      </c>
      <c r="P20" s="235">
        <v>0</v>
      </c>
      <c r="Q20" s="228">
        <f t="shared" si="0"/>
        <v>0</v>
      </c>
      <c r="R20" s="248">
        <v>0</v>
      </c>
      <c r="S20" s="228">
        <f t="shared" si="1"/>
        <v>0</v>
      </c>
      <c r="T20" s="235">
        <v>0</v>
      </c>
      <c r="U20" s="228">
        <f t="shared" si="2"/>
        <v>0</v>
      </c>
      <c r="V20" s="228"/>
      <c r="W20" s="228">
        <f t="shared" si="3"/>
        <v>0</v>
      </c>
      <c r="X20" s="235">
        <v>0</v>
      </c>
      <c r="Y20" s="228">
        <f t="shared" si="4"/>
        <v>0</v>
      </c>
      <c r="Z20" s="228"/>
      <c r="AA20" s="228">
        <f t="shared" si="5"/>
        <v>0</v>
      </c>
      <c r="AB20" s="235">
        <v>0</v>
      </c>
      <c r="AC20" s="228">
        <f t="shared" si="6"/>
        <v>0</v>
      </c>
      <c r="AD20" s="248">
        <v>0</v>
      </c>
      <c r="AE20" s="249">
        <f t="shared" si="7"/>
        <v>0</v>
      </c>
      <c r="AF20" s="235">
        <v>0</v>
      </c>
      <c r="AG20" s="228">
        <f t="shared" si="8"/>
        <v>0</v>
      </c>
      <c r="AH20" s="248">
        <v>0</v>
      </c>
      <c r="AI20" s="228">
        <f t="shared" si="9"/>
        <v>0</v>
      </c>
      <c r="AJ20" s="235">
        <v>0</v>
      </c>
      <c r="AK20" s="228">
        <f t="shared" si="10"/>
        <v>0</v>
      </c>
      <c r="AL20" s="248">
        <v>0</v>
      </c>
      <c r="AM20" s="249">
        <f t="shared" si="11"/>
        <v>0</v>
      </c>
      <c r="AN20" s="235">
        <v>0</v>
      </c>
      <c r="AO20" s="228">
        <f t="shared" si="12"/>
        <v>0</v>
      </c>
      <c r="AP20" s="228"/>
      <c r="AQ20" s="228">
        <f t="shared" si="13"/>
        <v>0</v>
      </c>
      <c r="AR20" s="235">
        <v>0</v>
      </c>
      <c r="AS20" s="228">
        <f t="shared" si="14"/>
        <v>0</v>
      </c>
      <c r="AT20" s="248">
        <v>0</v>
      </c>
      <c r="AU20" s="228">
        <f t="shared" si="15"/>
        <v>0</v>
      </c>
      <c r="AV20" s="240" t="s">
        <v>1457</v>
      </c>
      <c r="AW20" s="228">
        <v>522.28</v>
      </c>
      <c r="AX20" s="248">
        <v>522.28</v>
      </c>
      <c r="AY20" s="228">
        <f t="shared" si="17"/>
        <v>0</v>
      </c>
      <c r="AZ20" s="227" t="s">
        <v>1457</v>
      </c>
      <c r="BA20" s="228">
        <f t="shared" si="29"/>
        <v>0</v>
      </c>
      <c r="BB20" s="228"/>
      <c r="BC20" s="228">
        <f t="shared" si="18"/>
        <v>0</v>
      </c>
      <c r="BD20" s="235" t="s">
        <v>1457</v>
      </c>
      <c r="BE20" s="228">
        <f t="shared" si="30"/>
        <v>0</v>
      </c>
      <c r="BF20" s="228"/>
      <c r="BG20" s="228">
        <f t="shared" si="20"/>
        <v>0</v>
      </c>
      <c r="BH20" s="235" t="s">
        <v>1457</v>
      </c>
      <c r="BI20" s="228">
        <f t="shared" si="31"/>
        <v>0</v>
      </c>
      <c r="BJ20" s="228"/>
      <c r="BK20" s="228">
        <f t="shared" si="22"/>
        <v>0</v>
      </c>
      <c r="BL20" s="235" t="s">
        <v>1457</v>
      </c>
      <c r="BM20" s="220">
        <f t="shared" si="32"/>
        <v>0</v>
      </c>
      <c r="BN20" s="220"/>
      <c r="BO20" s="220">
        <f t="shared" si="23"/>
        <v>0</v>
      </c>
      <c r="BP20" s="220">
        <f t="shared" si="24"/>
        <v>2220.87</v>
      </c>
      <c r="BQ20" s="220">
        <f t="shared" si="25"/>
        <v>2220.87</v>
      </c>
      <c r="BR20" s="220">
        <f t="shared" si="26"/>
        <v>0</v>
      </c>
      <c r="BS20" s="247" t="s">
        <v>39</v>
      </c>
      <c r="BT20" s="235" t="s">
        <v>39</v>
      </c>
      <c r="BU20" s="250" t="s">
        <v>108</v>
      </c>
      <c r="BV20" s="230" t="s">
        <v>109</v>
      </c>
      <c r="BW20" s="231"/>
    </row>
    <row r="21" s="209" customFormat="1" ht="16.5" customHeight="1" spans="1:75">
      <c r="A21" s="219">
        <v>24</v>
      </c>
      <c r="B21" s="220" t="s">
        <v>129</v>
      </c>
      <c r="C21" s="221" t="s">
        <v>34</v>
      </c>
      <c r="D21" s="221" t="s">
        <v>101</v>
      </c>
      <c r="E21" s="242" t="s">
        <v>102</v>
      </c>
      <c r="F21" s="219" t="s">
        <v>47</v>
      </c>
      <c r="G21" s="243" t="s">
        <v>1460</v>
      </c>
      <c r="H21" s="233" t="s">
        <v>39</v>
      </c>
      <c r="I21" s="237" t="s">
        <v>127</v>
      </c>
      <c r="J21" s="233" t="s">
        <v>128</v>
      </c>
      <c r="K21" s="223" cm="1">
        <f t="array" ref="K21">_xlfn.XLOOKUP(D21&amp;E21&amp;H21&amp;I21&amp;J21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1" s="223"/>
      <c r="M21" s="224"/>
      <c r="N21" s="246">
        <v>1698.59</v>
      </c>
      <c r="O21" s="226">
        <v>234000</v>
      </c>
      <c r="P21" s="235" t="s">
        <v>1461</v>
      </c>
      <c r="Q21" s="228">
        <f>R21</f>
        <v>0</v>
      </c>
      <c r="R21" s="248">
        <v>0</v>
      </c>
      <c r="S21" s="228">
        <f t="shared" si="1"/>
        <v>0</v>
      </c>
      <c r="T21" s="235">
        <v>0</v>
      </c>
      <c r="U21" s="228">
        <f t="shared" si="2"/>
        <v>0</v>
      </c>
      <c r="V21" s="228"/>
      <c r="W21" s="228">
        <f t="shared" si="3"/>
        <v>0</v>
      </c>
      <c r="X21" s="235">
        <v>0</v>
      </c>
      <c r="Y21" s="228">
        <f t="shared" si="4"/>
        <v>0</v>
      </c>
      <c r="Z21" s="228"/>
      <c r="AA21" s="228">
        <f t="shared" si="5"/>
        <v>0</v>
      </c>
      <c r="AB21" s="235">
        <v>0</v>
      </c>
      <c r="AC21" s="228">
        <f t="shared" si="6"/>
        <v>0</v>
      </c>
      <c r="AD21" s="248">
        <v>0</v>
      </c>
      <c r="AE21" s="249">
        <f t="shared" si="7"/>
        <v>0</v>
      </c>
      <c r="AF21" s="235">
        <v>0</v>
      </c>
      <c r="AG21" s="228">
        <f t="shared" si="8"/>
        <v>0</v>
      </c>
      <c r="AH21" s="248">
        <v>0</v>
      </c>
      <c r="AI21" s="228">
        <f t="shared" si="9"/>
        <v>0</v>
      </c>
      <c r="AJ21" s="235">
        <v>0</v>
      </c>
      <c r="AK21" s="228">
        <f t="shared" si="10"/>
        <v>0</v>
      </c>
      <c r="AL21" s="248">
        <v>0</v>
      </c>
      <c r="AM21" s="249">
        <f t="shared" si="11"/>
        <v>0</v>
      </c>
      <c r="AN21" s="235">
        <v>0</v>
      </c>
      <c r="AO21" s="228">
        <f t="shared" si="12"/>
        <v>0</v>
      </c>
      <c r="AP21" s="228"/>
      <c r="AQ21" s="228">
        <f t="shared" si="13"/>
        <v>0</v>
      </c>
      <c r="AR21" s="251">
        <v>0.025</v>
      </c>
      <c r="AS21" s="228">
        <f t="shared" si="14"/>
        <v>0</v>
      </c>
      <c r="AT21" s="248">
        <v>342.4</v>
      </c>
      <c r="AU21" s="228">
        <f t="shared" si="15"/>
        <v>-342.4</v>
      </c>
      <c r="AV21" s="251">
        <v>0.055</v>
      </c>
      <c r="AW21" s="228">
        <f>K21*AV21</f>
        <v>0</v>
      </c>
      <c r="AX21" s="248">
        <v>753.28</v>
      </c>
      <c r="AY21" s="228">
        <f t="shared" si="17"/>
        <v>-753.28</v>
      </c>
      <c r="AZ21" s="227" t="s">
        <v>1457</v>
      </c>
      <c r="BA21" s="228">
        <f t="shared" si="29"/>
        <v>0</v>
      </c>
      <c r="BB21" s="228"/>
      <c r="BC21" s="228">
        <f t="shared" si="18"/>
        <v>0</v>
      </c>
      <c r="BD21" s="235" t="s">
        <v>1457</v>
      </c>
      <c r="BE21" s="228">
        <f t="shared" si="30"/>
        <v>0</v>
      </c>
      <c r="BF21" s="228"/>
      <c r="BG21" s="228">
        <f t="shared" si="20"/>
        <v>0</v>
      </c>
      <c r="BH21" s="235" t="s">
        <v>1457</v>
      </c>
      <c r="BI21" s="228">
        <f t="shared" si="31"/>
        <v>0</v>
      </c>
      <c r="BJ21" s="228"/>
      <c r="BK21" s="228">
        <f t="shared" si="22"/>
        <v>0</v>
      </c>
      <c r="BL21" s="235" t="s">
        <v>1457</v>
      </c>
      <c r="BM21" s="220">
        <f t="shared" si="32"/>
        <v>0</v>
      </c>
      <c r="BN21" s="220"/>
      <c r="BO21" s="220">
        <f t="shared" si="23"/>
        <v>0</v>
      </c>
      <c r="BP21" s="220">
        <f t="shared" si="24"/>
        <v>1698.59</v>
      </c>
      <c r="BQ21" s="220">
        <f t="shared" si="25"/>
        <v>2794.27</v>
      </c>
      <c r="BR21" s="220">
        <f t="shared" si="26"/>
        <v>-1095.68</v>
      </c>
      <c r="BS21" s="247" t="s">
        <v>39</v>
      </c>
      <c r="BT21" s="235" t="s">
        <v>39</v>
      </c>
      <c r="BU21" s="250" t="s">
        <v>108</v>
      </c>
      <c r="BV21" s="230" t="s">
        <v>109</v>
      </c>
      <c r="BW21" s="231"/>
    </row>
    <row r="22" s="209" customFormat="1" ht="16.5" customHeight="1" spans="1:75">
      <c r="A22" s="219">
        <v>25</v>
      </c>
      <c r="B22" s="220" t="s">
        <v>131</v>
      </c>
      <c r="C22" s="221" t="s">
        <v>34</v>
      </c>
      <c r="D22" s="221" t="s">
        <v>101</v>
      </c>
      <c r="E22" s="242" t="s">
        <v>102</v>
      </c>
      <c r="F22" s="219" t="s">
        <v>47</v>
      </c>
      <c r="G22" s="243" t="s">
        <v>1460</v>
      </c>
      <c r="H22" s="233" t="s">
        <v>39</v>
      </c>
      <c r="I22" s="237" t="s">
        <v>130</v>
      </c>
      <c r="J22" s="233" t="s">
        <v>107</v>
      </c>
      <c r="K22" s="223" cm="1">
        <f t="array" ref="K22">_xlfn.XLOOKUP(D22&amp;E22&amp;H22&amp;I22&amp;J22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2" s="223"/>
      <c r="M22" s="224"/>
      <c r="N22" s="246">
        <v>1698.59</v>
      </c>
      <c r="O22" s="226">
        <v>514000</v>
      </c>
      <c r="P22" s="247">
        <v>0.08</v>
      </c>
      <c r="Q22" s="228">
        <f t="shared" ref="Q22:Q44" si="33">K22*P22</f>
        <v>0</v>
      </c>
      <c r="R22" s="248">
        <v>1575.776</v>
      </c>
      <c r="S22" s="228">
        <f t="shared" si="1"/>
        <v>-1575.776</v>
      </c>
      <c r="T22" s="235">
        <v>0</v>
      </c>
      <c r="U22" s="228">
        <f t="shared" si="2"/>
        <v>0</v>
      </c>
      <c r="V22" s="228"/>
      <c r="W22" s="228">
        <f t="shared" si="3"/>
        <v>0</v>
      </c>
      <c r="X22" s="235">
        <v>0</v>
      </c>
      <c r="Y22" s="228">
        <f t="shared" si="4"/>
        <v>0</v>
      </c>
      <c r="Z22" s="228"/>
      <c r="AA22" s="228">
        <f t="shared" si="5"/>
        <v>0</v>
      </c>
      <c r="AB22" s="247">
        <v>0.065</v>
      </c>
      <c r="AC22" s="228">
        <f t="shared" si="6"/>
        <v>0</v>
      </c>
      <c r="AD22" s="248">
        <v>1280.318</v>
      </c>
      <c r="AE22" s="249">
        <f t="shared" si="7"/>
        <v>-1280.318</v>
      </c>
      <c r="AF22" s="247">
        <v>0.02</v>
      </c>
      <c r="AG22" s="228">
        <f t="shared" si="8"/>
        <v>0</v>
      </c>
      <c r="AH22" s="248">
        <v>393.944</v>
      </c>
      <c r="AI22" s="228">
        <f t="shared" si="9"/>
        <v>-393.944</v>
      </c>
      <c r="AJ22" s="247">
        <v>0.035</v>
      </c>
      <c r="AK22" s="228">
        <f t="shared" si="10"/>
        <v>0</v>
      </c>
      <c r="AL22" s="248">
        <v>689.402</v>
      </c>
      <c r="AM22" s="249">
        <f t="shared" si="11"/>
        <v>-689.402</v>
      </c>
      <c r="AN22" s="235">
        <v>0</v>
      </c>
      <c r="AO22" s="228">
        <f t="shared" si="12"/>
        <v>0</v>
      </c>
      <c r="AP22" s="228"/>
      <c r="AQ22" s="228">
        <f t="shared" si="13"/>
        <v>0</v>
      </c>
      <c r="AR22" s="247">
        <v>0.03</v>
      </c>
      <c r="AS22" s="228">
        <f t="shared" si="14"/>
        <v>0</v>
      </c>
      <c r="AT22" s="248">
        <v>590.916</v>
      </c>
      <c r="AU22" s="228">
        <f t="shared" si="15"/>
        <v>-590.916</v>
      </c>
      <c r="AV22" s="247">
        <v>0.06</v>
      </c>
      <c r="AW22" s="228">
        <f t="shared" ref="AW22:AW30" si="34">K22*AV22</f>
        <v>0</v>
      </c>
      <c r="AX22" s="248">
        <v>1181.832</v>
      </c>
      <c r="AY22" s="228">
        <f t="shared" si="17"/>
        <v>-1181.832</v>
      </c>
      <c r="AZ22" s="227" t="s">
        <v>1457</v>
      </c>
      <c r="BA22" s="228">
        <f t="shared" si="29"/>
        <v>0</v>
      </c>
      <c r="BB22" s="228"/>
      <c r="BC22" s="228">
        <f t="shared" si="18"/>
        <v>0</v>
      </c>
      <c r="BD22" s="235" t="s">
        <v>1457</v>
      </c>
      <c r="BE22" s="228">
        <f t="shared" si="30"/>
        <v>0</v>
      </c>
      <c r="BF22" s="228"/>
      <c r="BG22" s="228">
        <f t="shared" si="20"/>
        <v>0</v>
      </c>
      <c r="BH22" s="235" t="s">
        <v>1457</v>
      </c>
      <c r="BI22" s="228">
        <f t="shared" si="31"/>
        <v>0</v>
      </c>
      <c r="BJ22" s="228"/>
      <c r="BK22" s="228">
        <f t="shared" si="22"/>
        <v>0</v>
      </c>
      <c r="BL22" s="235" t="s">
        <v>1457</v>
      </c>
      <c r="BM22" s="220">
        <f t="shared" si="32"/>
        <v>0</v>
      </c>
      <c r="BN22" s="220"/>
      <c r="BO22" s="220">
        <f t="shared" si="23"/>
        <v>0</v>
      </c>
      <c r="BP22" s="220">
        <f t="shared" si="24"/>
        <v>1698.59</v>
      </c>
      <c r="BQ22" s="220">
        <f t="shared" si="25"/>
        <v>7410.778</v>
      </c>
      <c r="BR22" s="220">
        <f t="shared" si="26"/>
        <v>-5712.188</v>
      </c>
      <c r="BS22" s="247" t="s">
        <v>39</v>
      </c>
      <c r="BT22" s="235" t="s">
        <v>39</v>
      </c>
      <c r="BU22" s="250" t="s">
        <v>108</v>
      </c>
      <c r="BV22" s="230" t="s">
        <v>109</v>
      </c>
      <c r="BW22" s="231"/>
    </row>
    <row r="23" s="209" customFormat="1" ht="16.5" customHeight="1" spans="1:75">
      <c r="A23" s="219">
        <v>26</v>
      </c>
      <c r="B23" s="220" t="s">
        <v>134</v>
      </c>
      <c r="C23" s="221" t="s">
        <v>34</v>
      </c>
      <c r="D23" s="221" t="s">
        <v>101</v>
      </c>
      <c r="E23" s="242" t="s">
        <v>102</v>
      </c>
      <c r="F23" s="219" t="s">
        <v>47</v>
      </c>
      <c r="G23" s="243" t="s">
        <v>1460</v>
      </c>
      <c r="H23" s="233" t="s">
        <v>39</v>
      </c>
      <c r="I23" s="237" t="s">
        <v>132</v>
      </c>
      <c r="J23" s="233" t="s">
        <v>133</v>
      </c>
      <c r="K23" s="223" cm="1">
        <f t="array" ref="K23">_xlfn.XLOOKUP(D23&amp;E23&amp;H23&amp;I23&amp;J23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 s="223"/>
      <c r="M23" s="224"/>
      <c r="N23" s="246">
        <v>2956.4</v>
      </c>
      <c r="O23" s="226">
        <v>316000</v>
      </c>
      <c r="P23" s="247">
        <v>0.08</v>
      </c>
      <c r="Q23" s="228">
        <f t="shared" si="33"/>
        <v>0</v>
      </c>
      <c r="R23" s="248">
        <v>509.56</v>
      </c>
      <c r="S23" s="228">
        <f t="shared" si="1"/>
        <v>-509.56</v>
      </c>
      <c r="T23" s="235">
        <v>0</v>
      </c>
      <c r="U23" s="228">
        <f t="shared" si="2"/>
        <v>0</v>
      </c>
      <c r="V23" s="228"/>
      <c r="W23" s="228">
        <f t="shared" si="3"/>
        <v>0</v>
      </c>
      <c r="X23" s="235">
        <v>0</v>
      </c>
      <c r="Y23" s="228">
        <f t="shared" si="4"/>
        <v>0</v>
      </c>
      <c r="Z23" s="228"/>
      <c r="AA23" s="228">
        <f t="shared" si="5"/>
        <v>0</v>
      </c>
      <c r="AB23" s="247">
        <v>0.065</v>
      </c>
      <c r="AC23" s="228">
        <f t="shared" si="6"/>
        <v>0</v>
      </c>
      <c r="AD23" s="248">
        <v>414.0175</v>
      </c>
      <c r="AE23" s="249">
        <f t="shared" si="7"/>
        <v>-414.0175</v>
      </c>
      <c r="AF23" s="247">
        <v>0.02</v>
      </c>
      <c r="AG23" s="228">
        <f t="shared" si="8"/>
        <v>0</v>
      </c>
      <c r="AH23" s="248">
        <v>127.39</v>
      </c>
      <c r="AI23" s="228">
        <f t="shared" si="9"/>
        <v>-127.39</v>
      </c>
      <c r="AJ23" s="247">
        <v>0.035</v>
      </c>
      <c r="AK23" s="228">
        <f t="shared" si="10"/>
        <v>0</v>
      </c>
      <c r="AL23" s="248">
        <v>222.9325</v>
      </c>
      <c r="AM23" s="249">
        <f t="shared" si="11"/>
        <v>-222.9325</v>
      </c>
      <c r="AN23" s="235">
        <v>0</v>
      </c>
      <c r="AO23" s="228">
        <f t="shared" si="12"/>
        <v>0</v>
      </c>
      <c r="AP23" s="228"/>
      <c r="AQ23" s="228">
        <f t="shared" si="13"/>
        <v>0</v>
      </c>
      <c r="AR23" s="247">
        <v>0.03</v>
      </c>
      <c r="AS23" s="228">
        <f t="shared" si="14"/>
        <v>0</v>
      </c>
      <c r="AT23" s="248">
        <v>191.085</v>
      </c>
      <c r="AU23" s="228">
        <f t="shared" si="15"/>
        <v>-191.085</v>
      </c>
      <c r="AV23" s="247">
        <v>0.06</v>
      </c>
      <c r="AW23" s="228">
        <f t="shared" si="34"/>
        <v>0</v>
      </c>
      <c r="AX23" s="248">
        <v>382.17</v>
      </c>
      <c r="AY23" s="228">
        <f t="shared" si="17"/>
        <v>-382.17</v>
      </c>
      <c r="AZ23" s="227" t="s">
        <v>1457</v>
      </c>
      <c r="BA23" s="228">
        <f t="shared" si="29"/>
        <v>0</v>
      </c>
      <c r="BB23" s="228"/>
      <c r="BC23" s="228">
        <f t="shared" si="18"/>
        <v>0</v>
      </c>
      <c r="BD23" s="235" t="s">
        <v>1457</v>
      </c>
      <c r="BE23" s="228">
        <f t="shared" si="30"/>
        <v>0</v>
      </c>
      <c r="BF23" s="228"/>
      <c r="BG23" s="228">
        <f t="shared" si="20"/>
        <v>0</v>
      </c>
      <c r="BH23" s="235" t="s">
        <v>1457</v>
      </c>
      <c r="BI23" s="228">
        <f t="shared" si="31"/>
        <v>0</v>
      </c>
      <c r="BJ23" s="228"/>
      <c r="BK23" s="228">
        <f t="shared" si="22"/>
        <v>0</v>
      </c>
      <c r="BL23" s="235" t="s">
        <v>1457</v>
      </c>
      <c r="BM23" s="220">
        <f t="shared" si="32"/>
        <v>0</v>
      </c>
      <c r="BN23" s="220"/>
      <c r="BO23" s="220">
        <f t="shared" si="23"/>
        <v>0</v>
      </c>
      <c r="BP23" s="220">
        <f t="shared" si="24"/>
        <v>2956.4</v>
      </c>
      <c r="BQ23" s="220">
        <f t="shared" si="25"/>
        <v>4803.555</v>
      </c>
      <c r="BR23" s="220">
        <f t="shared" si="26"/>
        <v>-1847.155</v>
      </c>
      <c r="BS23" s="247" t="s">
        <v>39</v>
      </c>
      <c r="BT23" s="235" t="s">
        <v>39</v>
      </c>
      <c r="BU23" s="250" t="s">
        <v>108</v>
      </c>
      <c r="BV23" s="230" t="s">
        <v>109</v>
      </c>
      <c r="BW23" s="231"/>
    </row>
    <row r="24" s="209" customFormat="1" ht="16.5" customHeight="1" spans="1:75">
      <c r="A24" s="219">
        <v>27</v>
      </c>
      <c r="B24" s="220" t="s">
        <v>137</v>
      </c>
      <c r="C24" s="221" t="s">
        <v>34</v>
      </c>
      <c r="D24" s="221" t="s">
        <v>101</v>
      </c>
      <c r="E24" s="242" t="s">
        <v>102</v>
      </c>
      <c r="F24" s="219" t="s">
        <v>47</v>
      </c>
      <c r="G24" s="243" t="s">
        <v>1460</v>
      </c>
      <c r="H24" s="233" t="s">
        <v>39</v>
      </c>
      <c r="I24" s="237" t="s">
        <v>135</v>
      </c>
      <c r="J24" s="233" t="s">
        <v>136</v>
      </c>
      <c r="K24" s="223" cm="1">
        <f t="array" ref="K24">_xlfn.XLOOKUP(D24&amp;E24&amp;H24&amp;I24&amp;J24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 s="223"/>
      <c r="M24" s="224"/>
      <c r="N24" s="246">
        <v>1698.59</v>
      </c>
      <c r="O24" s="226">
        <v>310000</v>
      </c>
      <c r="P24" s="247">
        <v>0.08</v>
      </c>
      <c r="Q24" s="228">
        <f t="shared" si="33"/>
        <v>0</v>
      </c>
      <c r="R24" s="248">
        <v>445.12</v>
      </c>
      <c r="S24" s="228">
        <f t="shared" si="1"/>
        <v>-445.12</v>
      </c>
      <c r="T24" s="235">
        <v>0</v>
      </c>
      <c r="U24" s="228">
        <f t="shared" si="2"/>
        <v>0</v>
      </c>
      <c r="V24" s="228"/>
      <c r="W24" s="228">
        <f t="shared" si="3"/>
        <v>0</v>
      </c>
      <c r="X24" s="235">
        <v>0</v>
      </c>
      <c r="Y24" s="228">
        <f t="shared" si="4"/>
        <v>0</v>
      </c>
      <c r="Z24" s="228"/>
      <c r="AA24" s="228">
        <f t="shared" si="5"/>
        <v>0</v>
      </c>
      <c r="AB24" s="247">
        <v>0.065</v>
      </c>
      <c r="AC24" s="228">
        <f t="shared" si="6"/>
        <v>0</v>
      </c>
      <c r="AD24" s="248">
        <v>361.66</v>
      </c>
      <c r="AE24" s="249">
        <f t="shared" si="7"/>
        <v>-361.66</v>
      </c>
      <c r="AF24" s="247">
        <v>0.02</v>
      </c>
      <c r="AG24" s="228">
        <f t="shared" si="8"/>
        <v>0</v>
      </c>
      <c r="AH24" s="248">
        <v>111.28</v>
      </c>
      <c r="AI24" s="228">
        <f t="shared" si="9"/>
        <v>-111.28</v>
      </c>
      <c r="AJ24" s="247">
        <v>0.035</v>
      </c>
      <c r="AK24" s="228">
        <f t="shared" si="10"/>
        <v>0</v>
      </c>
      <c r="AL24" s="248">
        <v>194.74</v>
      </c>
      <c r="AM24" s="249">
        <f t="shared" si="11"/>
        <v>-194.74</v>
      </c>
      <c r="AN24" s="235">
        <v>0</v>
      </c>
      <c r="AO24" s="228">
        <f t="shared" si="12"/>
        <v>0</v>
      </c>
      <c r="AP24" s="228"/>
      <c r="AQ24" s="228">
        <f t="shared" si="13"/>
        <v>0</v>
      </c>
      <c r="AR24" s="247">
        <v>0.03</v>
      </c>
      <c r="AS24" s="228">
        <f t="shared" si="14"/>
        <v>0</v>
      </c>
      <c r="AT24" s="248">
        <v>166.92</v>
      </c>
      <c r="AU24" s="228">
        <f t="shared" si="15"/>
        <v>-166.92</v>
      </c>
      <c r="AV24" s="247">
        <v>0.06</v>
      </c>
      <c r="AW24" s="228">
        <f t="shared" si="34"/>
        <v>0</v>
      </c>
      <c r="AX24" s="248">
        <v>333.84</v>
      </c>
      <c r="AY24" s="228">
        <f t="shared" si="17"/>
        <v>-333.84</v>
      </c>
      <c r="AZ24" s="227" t="s">
        <v>1457</v>
      </c>
      <c r="BA24" s="228">
        <f t="shared" si="29"/>
        <v>0</v>
      </c>
      <c r="BB24" s="228"/>
      <c r="BC24" s="228">
        <f t="shared" si="18"/>
        <v>0</v>
      </c>
      <c r="BD24" s="235" t="s">
        <v>1457</v>
      </c>
      <c r="BE24" s="228">
        <f t="shared" si="30"/>
        <v>0</v>
      </c>
      <c r="BF24" s="228"/>
      <c r="BG24" s="228">
        <f t="shared" si="20"/>
        <v>0</v>
      </c>
      <c r="BH24" s="235" t="s">
        <v>1457</v>
      </c>
      <c r="BI24" s="228">
        <f t="shared" si="31"/>
        <v>0</v>
      </c>
      <c r="BJ24" s="228"/>
      <c r="BK24" s="228">
        <f t="shared" si="22"/>
        <v>0</v>
      </c>
      <c r="BL24" s="235" t="s">
        <v>1457</v>
      </c>
      <c r="BM24" s="220">
        <f t="shared" si="32"/>
        <v>0</v>
      </c>
      <c r="BN24" s="220"/>
      <c r="BO24" s="220">
        <f t="shared" si="23"/>
        <v>0</v>
      </c>
      <c r="BP24" s="220">
        <f t="shared" si="24"/>
        <v>1698.59</v>
      </c>
      <c r="BQ24" s="220">
        <f t="shared" si="25"/>
        <v>3312.15</v>
      </c>
      <c r="BR24" s="220">
        <f t="shared" si="26"/>
        <v>-1613.56</v>
      </c>
      <c r="BS24" s="247" t="s">
        <v>39</v>
      </c>
      <c r="BT24" s="235" t="s">
        <v>39</v>
      </c>
      <c r="BU24" s="250" t="s">
        <v>108</v>
      </c>
      <c r="BV24" s="230" t="s">
        <v>109</v>
      </c>
      <c r="BW24" s="231"/>
    </row>
    <row r="25" s="209" customFormat="1" ht="16.5" customHeight="1" spans="1:75">
      <c r="A25" s="219">
        <v>28</v>
      </c>
      <c r="B25" s="220" t="s">
        <v>140</v>
      </c>
      <c r="C25" s="221" t="s">
        <v>34</v>
      </c>
      <c r="D25" s="221" t="s">
        <v>101</v>
      </c>
      <c r="E25" s="242" t="s">
        <v>102</v>
      </c>
      <c r="F25" s="219" t="s">
        <v>47</v>
      </c>
      <c r="G25" s="243" t="s">
        <v>1460</v>
      </c>
      <c r="H25" s="233" t="s">
        <v>39</v>
      </c>
      <c r="I25" s="237" t="s">
        <v>138</v>
      </c>
      <c r="J25" s="233" t="s">
        <v>139</v>
      </c>
      <c r="K25" s="223" cm="1">
        <f t="array" ref="K25">_xlfn.XLOOKUP(D25&amp;E25&amp;H25&amp;I25&amp;J25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 s="223"/>
      <c r="M25" s="224"/>
      <c r="N25" s="246">
        <v>28</v>
      </c>
      <c r="O25" s="226">
        <v>530000</v>
      </c>
      <c r="P25" s="247">
        <v>0.08</v>
      </c>
      <c r="Q25" s="228">
        <f t="shared" si="33"/>
        <v>0</v>
      </c>
      <c r="R25" s="248">
        <v>769.72</v>
      </c>
      <c r="S25" s="228">
        <f t="shared" si="1"/>
        <v>-769.72</v>
      </c>
      <c r="T25" s="235">
        <v>0</v>
      </c>
      <c r="U25" s="228">
        <f t="shared" si="2"/>
        <v>0</v>
      </c>
      <c r="V25" s="228"/>
      <c r="W25" s="228">
        <f t="shared" si="3"/>
        <v>0</v>
      </c>
      <c r="X25" s="235">
        <v>0</v>
      </c>
      <c r="Y25" s="228">
        <f t="shared" si="4"/>
        <v>0</v>
      </c>
      <c r="Z25" s="228"/>
      <c r="AA25" s="228">
        <f t="shared" si="5"/>
        <v>0</v>
      </c>
      <c r="AB25" s="247">
        <v>0.065</v>
      </c>
      <c r="AC25" s="228">
        <f t="shared" si="6"/>
        <v>0</v>
      </c>
      <c r="AD25" s="248">
        <v>625.3975</v>
      </c>
      <c r="AE25" s="249">
        <f t="shared" si="7"/>
        <v>-625.3975</v>
      </c>
      <c r="AF25" s="247">
        <v>0.02</v>
      </c>
      <c r="AG25" s="228">
        <f t="shared" si="8"/>
        <v>0</v>
      </c>
      <c r="AH25" s="248">
        <v>192.43</v>
      </c>
      <c r="AI25" s="228">
        <f t="shared" si="9"/>
        <v>-192.43</v>
      </c>
      <c r="AJ25" s="247">
        <v>0.035</v>
      </c>
      <c r="AK25" s="228">
        <f t="shared" si="10"/>
        <v>0</v>
      </c>
      <c r="AL25" s="248">
        <v>336.7525</v>
      </c>
      <c r="AM25" s="249">
        <f t="shared" si="11"/>
        <v>-336.7525</v>
      </c>
      <c r="AN25" s="235">
        <v>0</v>
      </c>
      <c r="AO25" s="228">
        <f t="shared" si="12"/>
        <v>0</v>
      </c>
      <c r="AP25" s="228"/>
      <c r="AQ25" s="228">
        <f t="shared" si="13"/>
        <v>0</v>
      </c>
      <c r="AR25" s="247">
        <v>0.03</v>
      </c>
      <c r="AS25" s="228">
        <f t="shared" si="14"/>
        <v>0</v>
      </c>
      <c r="AT25" s="248">
        <v>288.645</v>
      </c>
      <c r="AU25" s="228">
        <f t="shared" si="15"/>
        <v>-288.645</v>
      </c>
      <c r="AV25" s="247">
        <v>0.06</v>
      </c>
      <c r="AW25" s="228">
        <f t="shared" si="34"/>
        <v>0</v>
      </c>
      <c r="AX25" s="248">
        <v>577.29</v>
      </c>
      <c r="AY25" s="228">
        <f t="shared" si="17"/>
        <v>-577.29</v>
      </c>
      <c r="AZ25" s="227" t="s">
        <v>1457</v>
      </c>
      <c r="BA25" s="228">
        <f t="shared" si="29"/>
        <v>0</v>
      </c>
      <c r="BB25" s="228"/>
      <c r="BC25" s="228">
        <f t="shared" si="18"/>
        <v>0</v>
      </c>
      <c r="BD25" s="235" t="s">
        <v>1457</v>
      </c>
      <c r="BE25" s="228">
        <f t="shared" si="30"/>
        <v>0</v>
      </c>
      <c r="BF25" s="228"/>
      <c r="BG25" s="228">
        <f t="shared" si="20"/>
        <v>0</v>
      </c>
      <c r="BH25" s="235" t="s">
        <v>1457</v>
      </c>
      <c r="BI25" s="228">
        <f t="shared" si="31"/>
        <v>0</v>
      </c>
      <c r="BJ25" s="228"/>
      <c r="BK25" s="228">
        <f t="shared" si="22"/>
        <v>0</v>
      </c>
      <c r="BL25" s="235" t="s">
        <v>1457</v>
      </c>
      <c r="BM25" s="220">
        <f t="shared" si="32"/>
        <v>0</v>
      </c>
      <c r="BN25" s="220"/>
      <c r="BO25" s="220">
        <f t="shared" si="23"/>
        <v>0</v>
      </c>
      <c r="BP25" s="220">
        <f t="shared" si="24"/>
        <v>28</v>
      </c>
      <c r="BQ25" s="220">
        <f t="shared" si="25"/>
        <v>2818.235</v>
      </c>
      <c r="BR25" s="220">
        <f t="shared" si="26"/>
        <v>-2790.235</v>
      </c>
      <c r="BS25" s="247" t="s">
        <v>39</v>
      </c>
      <c r="BT25" s="235" t="s">
        <v>39</v>
      </c>
      <c r="BU25" s="250" t="s">
        <v>108</v>
      </c>
      <c r="BV25" s="230" t="s">
        <v>109</v>
      </c>
      <c r="BW25" s="231"/>
    </row>
    <row r="26" s="209" customFormat="1" ht="16.5" customHeight="1" spans="1:75">
      <c r="A26" s="219">
        <v>29</v>
      </c>
      <c r="B26" s="220" t="s">
        <v>143</v>
      </c>
      <c r="C26" s="221" t="s">
        <v>34</v>
      </c>
      <c r="D26" s="221" t="s">
        <v>101</v>
      </c>
      <c r="E26" s="242" t="s">
        <v>102</v>
      </c>
      <c r="F26" s="219" t="s">
        <v>47</v>
      </c>
      <c r="G26" s="243" t="s">
        <v>1460</v>
      </c>
      <c r="H26" s="233" t="s">
        <v>39</v>
      </c>
      <c r="I26" s="237" t="s">
        <v>141</v>
      </c>
      <c r="J26" s="233" t="s">
        <v>142</v>
      </c>
      <c r="K26" s="223" cm="1">
        <f t="array" ref="K26">_xlfn.XLOOKUP(D26&amp;E26&amp;H26&amp;I26&amp;J26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 s="223"/>
      <c r="M26" s="224"/>
      <c r="N26" s="246">
        <v>3397.18</v>
      </c>
      <c r="O26" s="226">
        <v>526000</v>
      </c>
      <c r="P26" s="247">
        <v>0.08</v>
      </c>
      <c r="Q26" s="228">
        <f t="shared" si="33"/>
        <v>0</v>
      </c>
      <c r="R26" s="248">
        <v>1282.24</v>
      </c>
      <c r="S26" s="228">
        <f t="shared" si="1"/>
        <v>-1282.24</v>
      </c>
      <c r="T26" s="235">
        <v>0</v>
      </c>
      <c r="U26" s="228">
        <f t="shared" si="2"/>
        <v>0</v>
      </c>
      <c r="V26" s="228"/>
      <c r="W26" s="228">
        <f t="shared" si="3"/>
        <v>0</v>
      </c>
      <c r="X26" s="235">
        <v>0</v>
      </c>
      <c r="Y26" s="228">
        <f t="shared" si="4"/>
        <v>0</v>
      </c>
      <c r="Z26" s="228"/>
      <c r="AA26" s="228">
        <f t="shared" si="5"/>
        <v>0</v>
      </c>
      <c r="AB26" s="247">
        <v>0.065</v>
      </c>
      <c r="AC26" s="228">
        <f t="shared" si="6"/>
        <v>0</v>
      </c>
      <c r="AD26" s="248">
        <v>1041.82</v>
      </c>
      <c r="AE26" s="249">
        <f t="shared" si="7"/>
        <v>-1041.82</v>
      </c>
      <c r="AF26" s="247">
        <v>0.02</v>
      </c>
      <c r="AG26" s="228">
        <f t="shared" si="8"/>
        <v>0</v>
      </c>
      <c r="AH26" s="248">
        <v>320.56</v>
      </c>
      <c r="AI26" s="228">
        <f t="shared" si="9"/>
        <v>-320.56</v>
      </c>
      <c r="AJ26" s="247">
        <v>0.035</v>
      </c>
      <c r="AK26" s="228">
        <f t="shared" si="10"/>
        <v>0</v>
      </c>
      <c r="AL26" s="248">
        <v>560.98</v>
      </c>
      <c r="AM26" s="249">
        <f t="shared" si="11"/>
        <v>-560.98</v>
      </c>
      <c r="AN26" s="235">
        <v>0</v>
      </c>
      <c r="AO26" s="228">
        <f t="shared" si="12"/>
        <v>0</v>
      </c>
      <c r="AP26" s="228"/>
      <c r="AQ26" s="228">
        <f t="shared" si="13"/>
        <v>0</v>
      </c>
      <c r="AR26" s="247">
        <v>0.03</v>
      </c>
      <c r="AS26" s="228">
        <f t="shared" si="14"/>
        <v>0</v>
      </c>
      <c r="AT26" s="248">
        <v>480.84</v>
      </c>
      <c r="AU26" s="228">
        <f t="shared" si="15"/>
        <v>-480.84</v>
      </c>
      <c r="AV26" s="247">
        <v>0.06</v>
      </c>
      <c r="AW26" s="228">
        <f t="shared" si="34"/>
        <v>0</v>
      </c>
      <c r="AX26" s="248">
        <v>961.68</v>
      </c>
      <c r="AY26" s="228">
        <f t="shared" si="17"/>
        <v>-961.68</v>
      </c>
      <c r="AZ26" s="227" t="s">
        <v>1457</v>
      </c>
      <c r="BA26" s="228">
        <f t="shared" si="29"/>
        <v>0</v>
      </c>
      <c r="BB26" s="228"/>
      <c r="BC26" s="228">
        <f t="shared" si="18"/>
        <v>0</v>
      </c>
      <c r="BD26" s="235" t="s">
        <v>1457</v>
      </c>
      <c r="BE26" s="228">
        <f t="shared" si="30"/>
        <v>0</v>
      </c>
      <c r="BF26" s="228"/>
      <c r="BG26" s="228">
        <f t="shared" si="20"/>
        <v>0</v>
      </c>
      <c r="BH26" s="235" t="s">
        <v>1457</v>
      </c>
      <c r="BI26" s="228">
        <f t="shared" si="31"/>
        <v>0</v>
      </c>
      <c r="BJ26" s="228"/>
      <c r="BK26" s="228">
        <f t="shared" si="22"/>
        <v>0</v>
      </c>
      <c r="BL26" s="235" t="s">
        <v>1457</v>
      </c>
      <c r="BM26" s="220">
        <f t="shared" si="32"/>
        <v>0</v>
      </c>
      <c r="BN26" s="220"/>
      <c r="BO26" s="220">
        <f t="shared" si="23"/>
        <v>0</v>
      </c>
      <c r="BP26" s="220">
        <f t="shared" si="24"/>
        <v>3397.18</v>
      </c>
      <c r="BQ26" s="220">
        <f t="shared" si="25"/>
        <v>8045.3</v>
      </c>
      <c r="BR26" s="220">
        <f t="shared" si="26"/>
        <v>-4648.12</v>
      </c>
      <c r="BS26" s="247" t="s">
        <v>39</v>
      </c>
      <c r="BT26" s="235" t="s">
        <v>39</v>
      </c>
      <c r="BU26" s="250" t="s">
        <v>108</v>
      </c>
      <c r="BV26" s="230" t="s">
        <v>109</v>
      </c>
      <c r="BW26" s="231"/>
    </row>
    <row r="27" s="209" customFormat="1" ht="16.5" customHeight="1" spans="1:75">
      <c r="A27" s="219">
        <v>30</v>
      </c>
      <c r="B27" s="220" t="s">
        <v>146</v>
      </c>
      <c r="C27" s="221" t="s">
        <v>34</v>
      </c>
      <c r="D27" s="221" t="s">
        <v>101</v>
      </c>
      <c r="E27" s="242" t="s">
        <v>102</v>
      </c>
      <c r="F27" s="219" t="s">
        <v>47</v>
      </c>
      <c r="G27" s="243" t="s">
        <v>1460</v>
      </c>
      <c r="H27" s="233" t="s">
        <v>39</v>
      </c>
      <c r="I27" s="237" t="s">
        <v>144</v>
      </c>
      <c r="J27" s="233" t="s">
        <v>145</v>
      </c>
      <c r="K27" s="223" cm="1">
        <f t="array" ref="K27">_xlfn.XLOOKUP(D27&amp;E27&amp;H27&amp;I27&amp;J27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7" s="223"/>
      <c r="M27" s="224"/>
      <c r="N27" s="246">
        <v>1698.59</v>
      </c>
      <c r="O27" s="226">
        <v>530000</v>
      </c>
      <c r="P27" s="247">
        <v>0.08</v>
      </c>
      <c r="Q27" s="228">
        <f t="shared" si="33"/>
        <v>0</v>
      </c>
      <c r="R27" s="248">
        <v>1305.12</v>
      </c>
      <c r="S27" s="228">
        <f t="shared" si="1"/>
        <v>-1305.12</v>
      </c>
      <c r="T27" s="235">
        <v>0</v>
      </c>
      <c r="U27" s="228">
        <f t="shared" si="2"/>
        <v>0</v>
      </c>
      <c r="V27" s="228"/>
      <c r="W27" s="228">
        <f t="shared" si="3"/>
        <v>0</v>
      </c>
      <c r="X27" s="235">
        <v>0</v>
      </c>
      <c r="Y27" s="228">
        <f t="shared" si="4"/>
        <v>0</v>
      </c>
      <c r="Z27" s="228"/>
      <c r="AA27" s="228">
        <f t="shared" si="5"/>
        <v>0</v>
      </c>
      <c r="AB27" s="247">
        <v>0.065</v>
      </c>
      <c r="AC27" s="228">
        <f t="shared" si="6"/>
        <v>0</v>
      </c>
      <c r="AD27" s="248">
        <v>1060.41</v>
      </c>
      <c r="AE27" s="249">
        <f t="shared" si="7"/>
        <v>-1060.41</v>
      </c>
      <c r="AF27" s="247">
        <v>0.02</v>
      </c>
      <c r="AG27" s="228">
        <f t="shared" si="8"/>
        <v>0</v>
      </c>
      <c r="AH27" s="248">
        <v>326.28</v>
      </c>
      <c r="AI27" s="228">
        <f t="shared" si="9"/>
        <v>-326.28</v>
      </c>
      <c r="AJ27" s="247">
        <v>0.035</v>
      </c>
      <c r="AK27" s="228">
        <f t="shared" si="10"/>
        <v>0</v>
      </c>
      <c r="AL27" s="248">
        <v>570.99</v>
      </c>
      <c r="AM27" s="249">
        <f t="shared" si="11"/>
        <v>-570.99</v>
      </c>
      <c r="AN27" s="235">
        <v>0</v>
      </c>
      <c r="AO27" s="228">
        <f t="shared" si="12"/>
        <v>0</v>
      </c>
      <c r="AP27" s="228"/>
      <c r="AQ27" s="228">
        <f t="shared" si="13"/>
        <v>0</v>
      </c>
      <c r="AR27" s="247">
        <v>0.03</v>
      </c>
      <c r="AS27" s="228">
        <f t="shared" si="14"/>
        <v>0</v>
      </c>
      <c r="AT27" s="248">
        <v>489.42</v>
      </c>
      <c r="AU27" s="228">
        <f t="shared" si="15"/>
        <v>-489.42</v>
      </c>
      <c r="AV27" s="247">
        <v>0.06</v>
      </c>
      <c r="AW27" s="228">
        <f t="shared" si="34"/>
        <v>0</v>
      </c>
      <c r="AX27" s="248">
        <v>978.84</v>
      </c>
      <c r="AY27" s="228">
        <f t="shared" si="17"/>
        <v>-978.84</v>
      </c>
      <c r="AZ27" s="227" t="s">
        <v>1457</v>
      </c>
      <c r="BA27" s="228">
        <f t="shared" si="29"/>
        <v>0</v>
      </c>
      <c r="BB27" s="228"/>
      <c r="BC27" s="228">
        <f t="shared" si="18"/>
        <v>0</v>
      </c>
      <c r="BD27" s="235" t="s">
        <v>1457</v>
      </c>
      <c r="BE27" s="228">
        <f t="shared" si="30"/>
        <v>0</v>
      </c>
      <c r="BF27" s="228"/>
      <c r="BG27" s="228">
        <f t="shared" si="20"/>
        <v>0</v>
      </c>
      <c r="BH27" s="235" t="s">
        <v>1457</v>
      </c>
      <c r="BI27" s="228">
        <f t="shared" si="31"/>
        <v>0</v>
      </c>
      <c r="BJ27" s="228"/>
      <c r="BK27" s="228">
        <f t="shared" si="22"/>
        <v>0</v>
      </c>
      <c r="BL27" s="235" t="s">
        <v>1457</v>
      </c>
      <c r="BM27" s="220">
        <f t="shared" si="32"/>
        <v>0</v>
      </c>
      <c r="BN27" s="220"/>
      <c r="BO27" s="220">
        <f t="shared" si="23"/>
        <v>0</v>
      </c>
      <c r="BP27" s="220">
        <f t="shared" si="24"/>
        <v>1698.59</v>
      </c>
      <c r="BQ27" s="220">
        <f t="shared" si="25"/>
        <v>6429.65</v>
      </c>
      <c r="BR27" s="220">
        <f t="shared" si="26"/>
        <v>-4731.06</v>
      </c>
      <c r="BS27" s="247" t="s">
        <v>39</v>
      </c>
      <c r="BT27" s="235" t="s">
        <v>39</v>
      </c>
      <c r="BU27" s="250" t="s">
        <v>108</v>
      </c>
      <c r="BV27" s="230" t="s">
        <v>109</v>
      </c>
      <c r="BW27" s="231"/>
    </row>
    <row r="28" s="209" customFormat="1" ht="16.5" customHeight="1" spans="1:75">
      <c r="A28" s="219">
        <v>31</v>
      </c>
      <c r="B28" s="220" t="s">
        <v>149</v>
      </c>
      <c r="C28" s="221" t="s">
        <v>34</v>
      </c>
      <c r="D28" s="221" t="s">
        <v>101</v>
      </c>
      <c r="E28" s="242" t="s">
        <v>102</v>
      </c>
      <c r="F28" s="219" t="s">
        <v>47</v>
      </c>
      <c r="G28" s="243" t="s">
        <v>1460</v>
      </c>
      <c r="H28" s="233" t="s">
        <v>39</v>
      </c>
      <c r="I28" s="237" t="s">
        <v>147</v>
      </c>
      <c r="J28" s="233" t="s">
        <v>148</v>
      </c>
      <c r="K28" s="223" cm="1">
        <f t="array" ref="K28">_xlfn.XLOOKUP(D28&amp;E28&amp;H28&amp;I28&amp;J28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 s="223"/>
      <c r="M28" s="224"/>
      <c r="N28" s="246">
        <v>1698.59</v>
      </c>
      <c r="O28" s="226">
        <v>360000</v>
      </c>
      <c r="P28" s="247">
        <v>0.08</v>
      </c>
      <c r="Q28" s="228">
        <f t="shared" si="33"/>
        <v>0</v>
      </c>
      <c r="R28" s="248">
        <v>1520.88</v>
      </c>
      <c r="S28" s="228">
        <f t="shared" si="1"/>
        <v>-1520.88</v>
      </c>
      <c r="T28" s="235">
        <v>0</v>
      </c>
      <c r="U28" s="228">
        <f t="shared" si="2"/>
        <v>0</v>
      </c>
      <c r="V28" s="228"/>
      <c r="W28" s="228">
        <f t="shared" si="3"/>
        <v>0</v>
      </c>
      <c r="X28" s="235">
        <v>0</v>
      </c>
      <c r="Y28" s="228">
        <f t="shared" si="4"/>
        <v>0</v>
      </c>
      <c r="Z28" s="228"/>
      <c r="AA28" s="228">
        <f t="shared" si="5"/>
        <v>0</v>
      </c>
      <c r="AB28" s="247">
        <v>0.065</v>
      </c>
      <c r="AC28" s="228">
        <f t="shared" si="6"/>
        <v>0</v>
      </c>
      <c r="AD28" s="248">
        <v>1235.715</v>
      </c>
      <c r="AE28" s="249">
        <f t="shared" si="7"/>
        <v>-1235.715</v>
      </c>
      <c r="AF28" s="247">
        <v>0.02</v>
      </c>
      <c r="AG28" s="228">
        <f t="shared" si="8"/>
        <v>0</v>
      </c>
      <c r="AH28" s="248">
        <v>380.22</v>
      </c>
      <c r="AI28" s="228">
        <f t="shared" si="9"/>
        <v>-380.22</v>
      </c>
      <c r="AJ28" s="247">
        <v>0.035</v>
      </c>
      <c r="AK28" s="228">
        <f t="shared" si="10"/>
        <v>0</v>
      </c>
      <c r="AL28" s="248">
        <v>665.385</v>
      </c>
      <c r="AM28" s="249">
        <f t="shared" si="11"/>
        <v>-665.385</v>
      </c>
      <c r="AN28" s="235">
        <v>0</v>
      </c>
      <c r="AO28" s="228">
        <f t="shared" si="12"/>
        <v>0</v>
      </c>
      <c r="AP28" s="228"/>
      <c r="AQ28" s="228">
        <f t="shared" si="13"/>
        <v>0</v>
      </c>
      <c r="AR28" s="247">
        <v>0.03</v>
      </c>
      <c r="AS28" s="228">
        <f t="shared" si="14"/>
        <v>0</v>
      </c>
      <c r="AT28" s="248">
        <v>570.33</v>
      </c>
      <c r="AU28" s="228">
        <f t="shared" si="15"/>
        <v>-570.33</v>
      </c>
      <c r="AV28" s="247">
        <v>0.06</v>
      </c>
      <c r="AW28" s="228">
        <f t="shared" si="34"/>
        <v>0</v>
      </c>
      <c r="AX28" s="248">
        <v>1140.66</v>
      </c>
      <c r="AY28" s="228">
        <f t="shared" si="17"/>
        <v>-1140.66</v>
      </c>
      <c r="AZ28" s="227" t="s">
        <v>1457</v>
      </c>
      <c r="BA28" s="228">
        <f t="shared" si="29"/>
        <v>0</v>
      </c>
      <c r="BB28" s="228"/>
      <c r="BC28" s="228">
        <f t="shared" si="18"/>
        <v>0</v>
      </c>
      <c r="BD28" s="235" t="s">
        <v>1457</v>
      </c>
      <c r="BE28" s="228">
        <f t="shared" si="30"/>
        <v>0</v>
      </c>
      <c r="BF28" s="228"/>
      <c r="BG28" s="228">
        <f t="shared" si="20"/>
        <v>0</v>
      </c>
      <c r="BH28" s="235" t="s">
        <v>1457</v>
      </c>
      <c r="BI28" s="228">
        <f t="shared" si="31"/>
        <v>0</v>
      </c>
      <c r="BJ28" s="228"/>
      <c r="BK28" s="228">
        <f t="shared" si="22"/>
        <v>0</v>
      </c>
      <c r="BL28" s="235" t="s">
        <v>1457</v>
      </c>
      <c r="BM28" s="220">
        <f t="shared" si="32"/>
        <v>0</v>
      </c>
      <c r="BN28" s="220"/>
      <c r="BO28" s="220">
        <f t="shared" si="23"/>
        <v>0</v>
      </c>
      <c r="BP28" s="220">
        <f t="shared" si="24"/>
        <v>1698.59</v>
      </c>
      <c r="BQ28" s="220">
        <f t="shared" si="25"/>
        <v>7211.78</v>
      </c>
      <c r="BR28" s="220">
        <f t="shared" si="26"/>
        <v>-5513.19</v>
      </c>
      <c r="BS28" s="247" t="s">
        <v>39</v>
      </c>
      <c r="BT28" s="235" t="s">
        <v>39</v>
      </c>
      <c r="BU28" s="250" t="s">
        <v>108</v>
      </c>
      <c r="BV28" s="230" t="s">
        <v>109</v>
      </c>
      <c r="BW28" s="231"/>
    </row>
    <row r="29" s="209" customFormat="1" ht="16.5" customHeight="1" spans="1:75">
      <c r="A29" s="219">
        <v>32</v>
      </c>
      <c r="B29" s="220" t="s">
        <v>152</v>
      </c>
      <c r="C29" s="221" t="s">
        <v>34</v>
      </c>
      <c r="D29" s="221" t="s">
        <v>101</v>
      </c>
      <c r="E29" s="242" t="s">
        <v>102</v>
      </c>
      <c r="F29" s="219" t="s">
        <v>47</v>
      </c>
      <c r="G29" s="243" t="s">
        <v>1460</v>
      </c>
      <c r="H29" s="233" t="s">
        <v>39</v>
      </c>
      <c r="I29" s="237" t="s">
        <v>150</v>
      </c>
      <c r="J29" s="233" t="s">
        <v>151</v>
      </c>
      <c r="K29" s="223" cm="1">
        <f t="array" ref="K29">_xlfn.XLOOKUP(D29&amp;E29&amp;H29&amp;I29&amp;J29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 s="223"/>
      <c r="M29" s="224"/>
      <c r="N29" s="246">
        <v>0</v>
      </c>
      <c r="O29" s="226">
        <v>366000</v>
      </c>
      <c r="P29" s="247">
        <v>0.08</v>
      </c>
      <c r="Q29" s="228">
        <f t="shared" si="33"/>
        <v>0</v>
      </c>
      <c r="R29" s="248">
        <v>0</v>
      </c>
      <c r="S29" s="228">
        <f t="shared" si="1"/>
        <v>0</v>
      </c>
      <c r="T29" s="235">
        <v>0</v>
      </c>
      <c r="U29" s="228">
        <f t="shared" si="2"/>
        <v>0</v>
      </c>
      <c r="V29" s="228"/>
      <c r="W29" s="228">
        <f t="shared" si="3"/>
        <v>0</v>
      </c>
      <c r="X29" s="235">
        <v>0</v>
      </c>
      <c r="Y29" s="228">
        <f t="shared" si="4"/>
        <v>0</v>
      </c>
      <c r="Z29" s="228"/>
      <c r="AA29" s="228">
        <f t="shared" si="5"/>
        <v>0</v>
      </c>
      <c r="AB29" s="247">
        <v>0.065</v>
      </c>
      <c r="AC29" s="228">
        <f t="shared" si="6"/>
        <v>0</v>
      </c>
      <c r="AD29" s="248">
        <v>0</v>
      </c>
      <c r="AE29" s="249">
        <f t="shared" si="7"/>
        <v>0</v>
      </c>
      <c r="AF29" s="247">
        <v>0.02</v>
      </c>
      <c r="AG29" s="228">
        <f t="shared" si="8"/>
        <v>0</v>
      </c>
      <c r="AH29" s="248">
        <v>0</v>
      </c>
      <c r="AI29" s="228">
        <f t="shared" si="9"/>
        <v>0</v>
      </c>
      <c r="AJ29" s="247">
        <v>0.035</v>
      </c>
      <c r="AK29" s="228">
        <f t="shared" si="10"/>
        <v>0</v>
      </c>
      <c r="AL29" s="248">
        <v>0</v>
      </c>
      <c r="AM29" s="249">
        <f t="shared" si="11"/>
        <v>0</v>
      </c>
      <c r="AN29" s="235">
        <v>0</v>
      </c>
      <c r="AO29" s="228">
        <f t="shared" si="12"/>
        <v>0</v>
      </c>
      <c r="AP29" s="228"/>
      <c r="AQ29" s="228">
        <f t="shared" si="13"/>
        <v>0</v>
      </c>
      <c r="AR29" s="247">
        <v>0.03</v>
      </c>
      <c r="AS29" s="228">
        <f t="shared" si="14"/>
        <v>0</v>
      </c>
      <c r="AT29" s="248">
        <v>0</v>
      </c>
      <c r="AU29" s="228">
        <f t="shared" si="15"/>
        <v>0</v>
      </c>
      <c r="AV29" s="247">
        <v>0.06</v>
      </c>
      <c r="AW29" s="228">
        <f t="shared" si="34"/>
        <v>0</v>
      </c>
      <c r="AX29" s="248">
        <v>0</v>
      </c>
      <c r="AY29" s="228">
        <f t="shared" si="17"/>
        <v>0</v>
      </c>
      <c r="AZ29" s="227" t="s">
        <v>1457</v>
      </c>
      <c r="BA29" s="228">
        <f t="shared" si="29"/>
        <v>0</v>
      </c>
      <c r="BB29" s="228"/>
      <c r="BC29" s="228">
        <f t="shared" si="18"/>
        <v>0</v>
      </c>
      <c r="BD29" s="235" t="s">
        <v>1457</v>
      </c>
      <c r="BE29" s="228">
        <f t="shared" si="30"/>
        <v>0</v>
      </c>
      <c r="BF29" s="228"/>
      <c r="BG29" s="228">
        <f t="shared" si="20"/>
        <v>0</v>
      </c>
      <c r="BH29" s="235" t="s">
        <v>1457</v>
      </c>
      <c r="BI29" s="228">
        <f t="shared" si="31"/>
        <v>0</v>
      </c>
      <c r="BJ29" s="228"/>
      <c r="BK29" s="228">
        <f t="shared" si="22"/>
        <v>0</v>
      </c>
      <c r="BL29" s="235" t="s">
        <v>1457</v>
      </c>
      <c r="BM29" s="220">
        <f t="shared" si="32"/>
        <v>0</v>
      </c>
      <c r="BN29" s="220"/>
      <c r="BO29" s="220">
        <f t="shared" si="23"/>
        <v>0</v>
      </c>
      <c r="BP29" s="220">
        <f t="shared" si="24"/>
        <v>0</v>
      </c>
      <c r="BQ29" s="220">
        <f t="shared" si="25"/>
        <v>0</v>
      </c>
      <c r="BR29" s="220">
        <f t="shared" si="26"/>
        <v>0</v>
      </c>
      <c r="BS29" s="247" t="s">
        <v>39</v>
      </c>
      <c r="BT29" s="235" t="s">
        <v>39</v>
      </c>
      <c r="BU29" s="250" t="s">
        <v>108</v>
      </c>
      <c r="BV29" s="230" t="s">
        <v>109</v>
      </c>
      <c r="BW29" s="231"/>
    </row>
    <row r="30" s="209" customFormat="1" ht="16.5" customHeight="1" spans="1:75">
      <c r="A30" s="219">
        <v>33</v>
      </c>
      <c r="B30" s="220" t="s">
        <v>156</v>
      </c>
      <c r="C30" s="221" t="s">
        <v>34</v>
      </c>
      <c r="D30" s="221" t="s">
        <v>101</v>
      </c>
      <c r="E30" s="242" t="s">
        <v>102</v>
      </c>
      <c r="F30" s="219" t="s">
        <v>47</v>
      </c>
      <c r="G30" s="243" t="s">
        <v>1460</v>
      </c>
      <c r="H30" s="233" t="s">
        <v>39</v>
      </c>
      <c r="I30" s="237" t="s">
        <v>153</v>
      </c>
      <c r="J30" s="233" t="s">
        <v>154</v>
      </c>
      <c r="K30" s="223" cm="1">
        <f t="array" ref="K30">_xlfn.XLOOKUP(D30&amp;E30&amp;H30&amp;I30&amp;J30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 s="223"/>
      <c r="M30" s="224"/>
      <c r="N30" s="246">
        <v>0</v>
      </c>
      <c r="O30" s="226">
        <v>284000</v>
      </c>
      <c r="P30" s="247">
        <v>0.06</v>
      </c>
      <c r="Q30" s="228">
        <f t="shared" si="33"/>
        <v>0</v>
      </c>
      <c r="R30" s="252">
        <v>0</v>
      </c>
      <c r="S30" s="228">
        <f t="shared" si="1"/>
        <v>0</v>
      </c>
      <c r="T30" s="247">
        <v>0</v>
      </c>
      <c r="U30" s="228">
        <f t="shared" si="2"/>
        <v>0</v>
      </c>
      <c r="V30" s="228"/>
      <c r="W30" s="228">
        <f t="shared" si="3"/>
        <v>0</v>
      </c>
      <c r="X30" s="247">
        <v>0</v>
      </c>
      <c r="Y30" s="228">
        <f t="shared" si="4"/>
        <v>0</v>
      </c>
      <c r="Z30" s="228"/>
      <c r="AA30" s="228">
        <f t="shared" si="5"/>
        <v>0</v>
      </c>
      <c r="AB30" s="247">
        <v>0.065</v>
      </c>
      <c r="AC30" s="228">
        <f t="shared" si="6"/>
        <v>0</v>
      </c>
      <c r="AD30" s="252">
        <v>0</v>
      </c>
      <c r="AE30" s="228">
        <f t="shared" si="7"/>
        <v>0</v>
      </c>
      <c r="AF30" s="247">
        <v>0.02</v>
      </c>
      <c r="AG30" s="228">
        <f t="shared" si="8"/>
        <v>0</v>
      </c>
      <c r="AH30" s="252">
        <v>0</v>
      </c>
      <c r="AI30" s="228">
        <f t="shared" si="9"/>
        <v>0</v>
      </c>
      <c r="AJ30" s="247">
        <v>0.025</v>
      </c>
      <c r="AK30" s="228">
        <f t="shared" si="10"/>
        <v>0</v>
      </c>
      <c r="AL30" s="252">
        <v>0</v>
      </c>
      <c r="AM30" s="228">
        <f t="shared" si="11"/>
        <v>0</v>
      </c>
      <c r="AN30" s="247">
        <v>0</v>
      </c>
      <c r="AO30" s="228">
        <f t="shared" si="12"/>
        <v>0</v>
      </c>
      <c r="AP30" s="228"/>
      <c r="AQ30" s="228">
        <f t="shared" si="13"/>
        <v>0</v>
      </c>
      <c r="AR30" s="247">
        <v>0.03</v>
      </c>
      <c r="AS30" s="228">
        <f t="shared" si="14"/>
        <v>0</v>
      </c>
      <c r="AT30" s="252">
        <v>0</v>
      </c>
      <c r="AU30" s="228">
        <f t="shared" si="15"/>
        <v>0</v>
      </c>
      <c r="AV30" s="247">
        <v>0.06</v>
      </c>
      <c r="AW30" s="228">
        <f t="shared" si="34"/>
        <v>0</v>
      </c>
      <c r="AX30" s="252">
        <v>0</v>
      </c>
      <c r="AY30" s="228">
        <f t="shared" si="17"/>
        <v>0</v>
      </c>
      <c r="AZ30" s="227" t="s">
        <v>1457</v>
      </c>
      <c r="BA30" s="228">
        <f t="shared" si="29"/>
        <v>0</v>
      </c>
      <c r="BB30" s="228"/>
      <c r="BC30" s="228">
        <f t="shared" si="18"/>
        <v>0</v>
      </c>
      <c r="BD30" s="235" t="s">
        <v>1457</v>
      </c>
      <c r="BE30" s="228">
        <f t="shared" si="30"/>
        <v>0</v>
      </c>
      <c r="BF30" s="228"/>
      <c r="BG30" s="228">
        <f t="shared" si="20"/>
        <v>0</v>
      </c>
      <c r="BH30" s="235" t="s">
        <v>1457</v>
      </c>
      <c r="BI30" s="228">
        <f t="shared" si="31"/>
        <v>0</v>
      </c>
      <c r="BJ30" s="228"/>
      <c r="BK30" s="228">
        <f t="shared" si="22"/>
        <v>0</v>
      </c>
      <c r="BL30" s="235" t="s">
        <v>1457</v>
      </c>
      <c r="BM30" s="220">
        <v>36324</v>
      </c>
      <c r="BN30" s="243">
        <v>36324</v>
      </c>
      <c r="BO30" s="220">
        <f t="shared" si="23"/>
        <v>0</v>
      </c>
      <c r="BP30" s="220">
        <f t="shared" si="24"/>
        <v>36324</v>
      </c>
      <c r="BQ30" s="220">
        <f t="shared" si="25"/>
        <v>36324</v>
      </c>
      <c r="BR30" s="220">
        <f t="shared" si="26"/>
        <v>0</v>
      </c>
      <c r="BS30" s="247" t="s">
        <v>39</v>
      </c>
      <c r="BT30" s="235" t="s">
        <v>39</v>
      </c>
      <c r="BU30" s="250" t="s">
        <v>108</v>
      </c>
      <c r="BV30" s="230" t="s">
        <v>155</v>
      </c>
      <c r="BW30" s="231"/>
    </row>
    <row r="31" s="209" customFormat="1" ht="24" customHeight="1" spans="1:75">
      <c r="A31" s="219">
        <v>43</v>
      </c>
      <c r="B31" s="220" t="s">
        <v>191</v>
      </c>
      <c r="C31" s="221" t="s">
        <v>175</v>
      </c>
      <c r="D31" s="221" t="s">
        <v>183</v>
      </c>
      <c r="E31" s="221" t="s">
        <v>184</v>
      </c>
      <c r="F31" s="219" t="s">
        <v>81</v>
      </c>
      <c r="G31" s="222" t="s">
        <v>1462</v>
      </c>
      <c r="H31" s="233" t="s">
        <v>39</v>
      </c>
      <c r="I31" s="237" t="s">
        <v>186</v>
      </c>
      <c r="J31" s="222" t="s">
        <v>187</v>
      </c>
      <c r="K31" s="223" cm="1">
        <f t="array" ref="K31">_xlfn.XLOOKUP(D31&amp;E31&amp;H31&amp;I31&amp;J31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 s="223"/>
      <c r="M31" s="224"/>
      <c r="N31" s="253">
        <v>30267.08</v>
      </c>
      <c r="O31" s="226">
        <v>850000</v>
      </c>
      <c r="P31" s="247">
        <v>0.12</v>
      </c>
      <c r="Q31" s="228">
        <f t="shared" si="33"/>
        <v>0</v>
      </c>
      <c r="R31" s="228">
        <v>15576.85</v>
      </c>
      <c r="S31" s="228">
        <f t="shared" si="1"/>
        <v>-15576.85</v>
      </c>
      <c r="T31" s="228" t="s">
        <v>1463</v>
      </c>
      <c r="U31" s="228">
        <f t="shared" ref="U31:U36" si="35">V31</f>
        <v>0</v>
      </c>
      <c r="V31" s="228"/>
      <c r="W31" s="228">
        <f t="shared" si="3"/>
        <v>0</v>
      </c>
      <c r="X31" s="235">
        <v>0.02</v>
      </c>
      <c r="Y31" s="228">
        <f t="shared" si="4"/>
        <v>0</v>
      </c>
      <c r="Z31" s="228">
        <v>2596</v>
      </c>
      <c r="AA31" s="228">
        <f t="shared" si="5"/>
        <v>-2596</v>
      </c>
      <c r="AB31" s="228">
        <v>0</v>
      </c>
      <c r="AC31" s="228">
        <f t="shared" si="6"/>
        <v>0</v>
      </c>
      <c r="AD31" s="228"/>
      <c r="AE31" s="228">
        <f t="shared" si="7"/>
        <v>0</v>
      </c>
      <c r="AF31" s="228">
        <v>0</v>
      </c>
      <c r="AG31" s="228">
        <f t="shared" si="8"/>
        <v>0</v>
      </c>
      <c r="AH31" s="228"/>
      <c r="AI31" s="228">
        <f t="shared" si="9"/>
        <v>0</v>
      </c>
      <c r="AJ31" s="228">
        <v>0</v>
      </c>
      <c r="AK31" s="228">
        <f t="shared" si="10"/>
        <v>0</v>
      </c>
      <c r="AL31" s="228"/>
      <c r="AM31" s="228">
        <f t="shared" si="11"/>
        <v>0</v>
      </c>
      <c r="AN31" s="228">
        <v>0</v>
      </c>
      <c r="AO31" s="228">
        <f t="shared" si="12"/>
        <v>0</v>
      </c>
      <c r="AP31" s="228"/>
      <c r="AQ31" s="228">
        <f t="shared" si="13"/>
        <v>0</v>
      </c>
      <c r="AR31" s="228" t="s">
        <v>1463</v>
      </c>
      <c r="AS31" s="228">
        <f t="shared" ref="AS31:AS36" si="36">AT31</f>
        <v>2831.85</v>
      </c>
      <c r="AT31" s="228">
        <v>2831.85</v>
      </c>
      <c r="AU31" s="228">
        <f t="shared" si="15"/>
        <v>0</v>
      </c>
      <c r="AV31" s="228" t="s">
        <v>1463</v>
      </c>
      <c r="AW31" s="228">
        <f t="shared" ref="AW31:AW36" si="37">AX31</f>
        <v>3142</v>
      </c>
      <c r="AX31" s="228">
        <v>3142</v>
      </c>
      <c r="AY31" s="228">
        <f t="shared" si="17"/>
        <v>0</v>
      </c>
      <c r="AZ31" s="228" t="s">
        <v>1457</v>
      </c>
      <c r="BA31" s="228">
        <f t="shared" si="29"/>
        <v>1954.49</v>
      </c>
      <c r="BB31" s="228">
        <v>1954.49</v>
      </c>
      <c r="BC31" s="228">
        <f t="shared" si="18"/>
        <v>0</v>
      </c>
      <c r="BD31" s="247">
        <v>0.035</v>
      </c>
      <c r="BE31" s="228">
        <f t="shared" ref="BE31:BE41" si="38">K31*BD31</f>
        <v>0</v>
      </c>
      <c r="BF31" s="228">
        <v>4543.25</v>
      </c>
      <c r="BG31" s="228">
        <f t="shared" si="20"/>
        <v>-4543.25</v>
      </c>
      <c r="BH31" s="228">
        <v>0</v>
      </c>
      <c r="BI31" s="228">
        <f t="shared" ref="BI31:BI94" si="39">K31*BH31</f>
        <v>0</v>
      </c>
      <c r="BJ31" s="228"/>
      <c r="BK31" s="228">
        <f t="shared" si="22"/>
        <v>0</v>
      </c>
      <c r="BL31" s="228" t="s">
        <v>1457</v>
      </c>
      <c r="BM31" s="220">
        <f t="shared" si="32"/>
        <v>20099.98</v>
      </c>
      <c r="BN31" s="220">
        <v>20099.98</v>
      </c>
      <c r="BO31" s="220">
        <f t="shared" si="23"/>
        <v>0</v>
      </c>
      <c r="BP31" s="220">
        <f t="shared" si="24"/>
        <v>58295.4</v>
      </c>
      <c r="BQ31" s="220">
        <f t="shared" si="25"/>
        <v>81011.5</v>
      </c>
      <c r="BR31" s="220">
        <f t="shared" si="26"/>
        <v>-22716.1</v>
      </c>
      <c r="BS31" s="254" t="s">
        <v>39</v>
      </c>
      <c r="BT31" s="229" t="s">
        <v>39</v>
      </c>
      <c r="BU31" s="230" t="s">
        <v>188</v>
      </c>
      <c r="BV31" s="230" t="s">
        <v>189</v>
      </c>
      <c r="BW31" s="231"/>
    </row>
    <row r="32" s="209" customFormat="1" ht="24" customHeight="1" spans="1:75">
      <c r="A32" s="219">
        <v>44</v>
      </c>
      <c r="B32" s="220" t="s">
        <v>194</v>
      </c>
      <c r="C32" s="221" t="s">
        <v>175</v>
      </c>
      <c r="D32" s="221" t="s">
        <v>183</v>
      </c>
      <c r="E32" s="221" t="s">
        <v>184</v>
      </c>
      <c r="F32" s="219" t="s">
        <v>81</v>
      </c>
      <c r="G32" s="222" t="s">
        <v>1462</v>
      </c>
      <c r="H32" s="233" t="s">
        <v>39</v>
      </c>
      <c r="I32" s="237" t="s">
        <v>192</v>
      </c>
      <c r="J32" s="222" t="s">
        <v>193</v>
      </c>
      <c r="K32" s="223" cm="1">
        <f t="array" ref="K32">_xlfn.XLOOKUP(D32&amp;E32&amp;H32&amp;I32&amp;J32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32020.6</v>
      </c>
      <c r="L32" s="223"/>
      <c r="M32" s="224"/>
      <c r="N32" s="253"/>
      <c r="O32" s="226">
        <v>1500000</v>
      </c>
      <c r="P32" s="247">
        <v>0.12</v>
      </c>
      <c r="Q32" s="228">
        <f t="shared" si="33"/>
        <v>3842.472</v>
      </c>
      <c r="R32" s="228"/>
      <c r="S32" s="228">
        <f t="shared" si="1"/>
        <v>3842.472</v>
      </c>
      <c r="T32" s="228" t="s">
        <v>1463</v>
      </c>
      <c r="U32" s="228">
        <f t="shared" si="35"/>
        <v>0</v>
      </c>
      <c r="V32" s="228"/>
      <c r="W32" s="228">
        <f t="shared" si="3"/>
        <v>0</v>
      </c>
      <c r="X32" s="235">
        <v>0.02</v>
      </c>
      <c r="Y32" s="228">
        <f t="shared" si="4"/>
        <v>640.412</v>
      </c>
      <c r="Z32" s="228"/>
      <c r="AA32" s="228">
        <f t="shared" si="5"/>
        <v>640.412</v>
      </c>
      <c r="AB32" s="228">
        <v>0</v>
      </c>
      <c r="AC32" s="228">
        <f t="shared" si="6"/>
        <v>0</v>
      </c>
      <c r="AD32" s="228"/>
      <c r="AE32" s="228">
        <f t="shared" si="7"/>
        <v>0</v>
      </c>
      <c r="AF32" s="228">
        <v>0</v>
      </c>
      <c r="AG32" s="228">
        <f t="shared" si="8"/>
        <v>0</v>
      </c>
      <c r="AH32" s="228"/>
      <c r="AI32" s="228">
        <f t="shared" si="9"/>
        <v>0</v>
      </c>
      <c r="AJ32" s="228">
        <v>0</v>
      </c>
      <c r="AK32" s="228">
        <f t="shared" si="10"/>
        <v>0</v>
      </c>
      <c r="AL32" s="228"/>
      <c r="AM32" s="228">
        <f t="shared" si="11"/>
        <v>0</v>
      </c>
      <c r="AN32" s="228">
        <v>0</v>
      </c>
      <c r="AO32" s="228">
        <f t="shared" si="12"/>
        <v>0</v>
      </c>
      <c r="AP32" s="228"/>
      <c r="AQ32" s="228">
        <f t="shared" si="13"/>
        <v>0</v>
      </c>
      <c r="AR32" s="228" t="s">
        <v>1463</v>
      </c>
      <c r="AS32" s="228">
        <f t="shared" si="36"/>
        <v>0</v>
      </c>
      <c r="AT32" s="228"/>
      <c r="AU32" s="228">
        <f t="shared" si="15"/>
        <v>0</v>
      </c>
      <c r="AV32" s="228" t="s">
        <v>1463</v>
      </c>
      <c r="AW32" s="228">
        <f t="shared" si="37"/>
        <v>0</v>
      </c>
      <c r="AX32" s="228"/>
      <c r="AY32" s="228">
        <f t="shared" si="17"/>
        <v>0</v>
      </c>
      <c r="AZ32" s="228" t="s">
        <v>1457</v>
      </c>
      <c r="BA32" s="228">
        <f t="shared" si="29"/>
        <v>0</v>
      </c>
      <c r="BB32" s="228"/>
      <c r="BC32" s="228">
        <f t="shared" si="18"/>
        <v>0</v>
      </c>
      <c r="BD32" s="247">
        <v>0.035</v>
      </c>
      <c r="BE32" s="228">
        <f t="shared" si="38"/>
        <v>1120.721</v>
      </c>
      <c r="BF32" s="228"/>
      <c r="BG32" s="228">
        <f t="shared" si="20"/>
        <v>1120.721</v>
      </c>
      <c r="BH32" s="228">
        <v>0</v>
      </c>
      <c r="BI32" s="228">
        <f t="shared" si="39"/>
        <v>0</v>
      </c>
      <c r="BJ32" s="228"/>
      <c r="BK32" s="228">
        <f t="shared" si="22"/>
        <v>0</v>
      </c>
      <c r="BL32" s="228" t="s">
        <v>1457</v>
      </c>
      <c r="BM32" s="220">
        <f t="shared" si="32"/>
        <v>0</v>
      </c>
      <c r="BN32" s="220"/>
      <c r="BO32" s="220">
        <f t="shared" si="23"/>
        <v>0</v>
      </c>
      <c r="BP32" s="220">
        <f t="shared" si="24"/>
        <v>5603.605</v>
      </c>
      <c r="BQ32" s="220">
        <f t="shared" si="25"/>
        <v>0</v>
      </c>
      <c r="BR32" s="220">
        <f t="shared" si="26"/>
        <v>5603.605</v>
      </c>
      <c r="BS32" s="254" t="s">
        <v>39</v>
      </c>
      <c r="BT32" s="229" t="s">
        <v>39</v>
      </c>
      <c r="BU32" s="230" t="s">
        <v>188</v>
      </c>
      <c r="BV32" s="230" t="s">
        <v>189</v>
      </c>
      <c r="BW32" s="231"/>
    </row>
    <row r="33" s="209" customFormat="1" ht="24" customHeight="1" spans="1:75">
      <c r="A33" s="219">
        <v>45</v>
      </c>
      <c r="B33" s="220" t="s">
        <v>197</v>
      </c>
      <c r="C33" s="221" t="s">
        <v>175</v>
      </c>
      <c r="D33" s="221" t="s">
        <v>183</v>
      </c>
      <c r="E33" s="221" t="s">
        <v>184</v>
      </c>
      <c r="F33" s="219" t="s">
        <v>81</v>
      </c>
      <c r="G33" s="222" t="s">
        <v>1462</v>
      </c>
      <c r="H33" s="233" t="s">
        <v>39</v>
      </c>
      <c r="I33" s="237" t="s">
        <v>195</v>
      </c>
      <c r="J33" s="222" t="s">
        <v>196</v>
      </c>
      <c r="K33" s="223" cm="1">
        <f t="array" ref="K33">_xlfn.XLOOKUP(D33&amp;E33&amp;H33&amp;I33&amp;J33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2181</v>
      </c>
      <c r="L33" s="223"/>
      <c r="M33" s="224"/>
      <c r="N33" s="253"/>
      <c r="O33" s="226">
        <v>340000</v>
      </c>
      <c r="P33" s="247">
        <v>0.12</v>
      </c>
      <c r="Q33" s="228">
        <f t="shared" si="33"/>
        <v>261.72</v>
      </c>
      <c r="R33" s="228"/>
      <c r="S33" s="228">
        <f t="shared" si="1"/>
        <v>261.72</v>
      </c>
      <c r="T33" s="228" t="s">
        <v>1463</v>
      </c>
      <c r="U33" s="228">
        <f t="shared" si="35"/>
        <v>0</v>
      </c>
      <c r="V33" s="228"/>
      <c r="W33" s="228">
        <f t="shared" si="3"/>
        <v>0</v>
      </c>
      <c r="X33" s="235">
        <v>0.02</v>
      </c>
      <c r="Y33" s="228">
        <f t="shared" si="4"/>
        <v>43.62</v>
      </c>
      <c r="Z33" s="228"/>
      <c r="AA33" s="228">
        <f t="shared" si="5"/>
        <v>43.62</v>
      </c>
      <c r="AB33" s="228">
        <v>0</v>
      </c>
      <c r="AC33" s="228">
        <f t="shared" si="6"/>
        <v>0</v>
      </c>
      <c r="AD33" s="228"/>
      <c r="AE33" s="228">
        <f t="shared" si="7"/>
        <v>0</v>
      </c>
      <c r="AF33" s="228">
        <v>0</v>
      </c>
      <c r="AG33" s="228">
        <f t="shared" si="8"/>
        <v>0</v>
      </c>
      <c r="AH33" s="228"/>
      <c r="AI33" s="228">
        <f t="shared" si="9"/>
        <v>0</v>
      </c>
      <c r="AJ33" s="228">
        <v>0</v>
      </c>
      <c r="AK33" s="228">
        <f t="shared" si="10"/>
        <v>0</v>
      </c>
      <c r="AL33" s="228"/>
      <c r="AM33" s="228">
        <f t="shared" si="11"/>
        <v>0</v>
      </c>
      <c r="AN33" s="228">
        <v>0</v>
      </c>
      <c r="AO33" s="228">
        <f t="shared" si="12"/>
        <v>0</v>
      </c>
      <c r="AP33" s="228"/>
      <c r="AQ33" s="228">
        <f t="shared" si="13"/>
        <v>0</v>
      </c>
      <c r="AR33" s="228" t="s">
        <v>1463</v>
      </c>
      <c r="AS33" s="228">
        <f t="shared" si="36"/>
        <v>0</v>
      </c>
      <c r="AT33" s="228"/>
      <c r="AU33" s="228">
        <f t="shared" si="15"/>
        <v>0</v>
      </c>
      <c r="AV33" s="228" t="s">
        <v>1463</v>
      </c>
      <c r="AW33" s="228">
        <f t="shared" si="37"/>
        <v>0</v>
      </c>
      <c r="AX33" s="228"/>
      <c r="AY33" s="228">
        <f t="shared" si="17"/>
        <v>0</v>
      </c>
      <c r="AZ33" s="228" t="s">
        <v>1457</v>
      </c>
      <c r="BA33" s="228">
        <f t="shared" si="29"/>
        <v>0</v>
      </c>
      <c r="BB33" s="228"/>
      <c r="BC33" s="228">
        <f t="shared" si="18"/>
        <v>0</v>
      </c>
      <c r="BD33" s="247">
        <v>0.035</v>
      </c>
      <c r="BE33" s="228">
        <f t="shared" si="38"/>
        <v>76.335</v>
      </c>
      <c r="BF33" s="228"/>
      <c r="BG33" s="228">
        <f t="shared" si="20"/>
        <v>76.335</v>
      </c>
      <c r="BH33" s="228">
        <v>0</v>
      </c>
      <c r="BI33" s="228">
        <f t="shared" si="39"/>
        <v>0</v>
      </c>
      <c r="BJ33" s="228"/>
      <c r="BK33" s="228">
        <f t="shared" si="22"/>
        <v>0</v>
      </c>
      <c r="BL33" s="228" t="s">
        <v>1457</v>
      </c>
      <c r="BM33" s="220">
        <f t="shared" si="32"/>
        <v>0</v>
      </c>
      <c r="BN33" s="220"/>
      <c r="BO33" s="220">
        <f t="shared" si="23"/>
        <v>0</v>
      </c>
      <c r="BP33" s="220">
        <f t="shared" si="24"/>
        <v>381.675</v>
      </c>
      <c r="BQ33" s="220">
        <f t="shared" si="25"/>
        <v>0</v>
      </c>
      <c r="BR33" s="220">
        <f t="shared" si="26"/>
        <v>381.675</v>
      </c>
      <c r="BS33" s="254" t="s">
        <v>39</v>
      </c>
      <c r="BT33" s="229" t="s">
        <v>39</v>
      </c>
      <c r="BU33" s="230" t="s">
        <v>188</v>
      </c>
      <c r="BV33" s="230" t="s">
        <v>189</v>
      </c>
      <c r="BW33" s="231"/>
    </row>
    <row r="34" s="209" customFormat="1" ht="24" customHeight="1" spans="1:75">
      <c r="A34" s="219">
        <v>46</v>
      </c>
      <c r="B34" s="220" t="s">
        <v>200</v>
      </c>
      <c r="C34" s="221" t="s">
        <v>175</v>
      </c>
      <c r="D34" s="221" t="s">
        <v>183</v>
      </c>
      <c r="E34" s="221" t="s">
        <v>184</v>
      </c>
      <c r="F34" s="219" t="s">
        <v>81</v>
      </c>
      <c r="G34" s="222" t="s">
        <v>1462</v>
      </c>
      <c r="H34" s="233" t="s">
        <v>39</v>
      </c>
      <c r="I34" s="237" t="s">
        <v>198</v>
      </c>
      <c r="J34" s="222" t="s">
        <v>199</v>
      </c>
      <c r="K34" s="223" cm="1">
        <f t="array" ref="K34">_xlfn.XLOOKUP(D34&amp;E34&amp;H34&amp;I34&amp;J34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4" s="223"/>
      <c r="M34" s="224"/>
      <c r="N34" s="253"/>
      <c r="O34" s="226">
        <v>365000</v>
      </c>
      <c r="P34" s="247">
        <v>0.12</v>
      </c>
      <c r="Q34" s="228">
        <f t="shared" si="33"/>
        <v>0</v>
      </c>
      <c r="R34" s="228"/>
      <c r="S34" s="228">
        <f t="shared" si="1"/>
        <v>0</v>
      </c>
      <c r="T34" s="228" t="s">
        <v>1463</v>
      </c>
      <c r="U34" s="228">
        <f t="shared" si="35"/>
        <v>0</v>
      </c>
      <c r="V34" s="228"/>
      <c r="W34" s="228">
        <f t="shared" si="3"/>
        <v>0</v>
      </c>
      <c r="X34" s="235">
        <v>0.02</v>
      </c>
      <c r="Y34" s="228">
        <f t="shared" si="4"/>
        <v>0</v>
      </c>
      <c r="Z34" s="228"/>
      <c r="AA34" s="228">
        <f t="shared" si="5"/>
        <v>0</v>
      </c>
      <c r="AB34" s="228">
        <v>0</v>
      </c>
      <c r="AC34" s="228">
        <f t="shared" si="6"/>
        <v>0</v>
      </c>
      <c r="AD34" s="228"/>
      <c r="AE34" s="228">
        <f t="shared" si="7"/>
        <v>0</v>
      </c>
      <c r="AF34" s="228">
        <v>0</v>
      </c>
      <c r="AG34" s="228">
        <f t="shared" si="8"/>
        <v>0</v>
      </c>
      <c r="AH34" s="228"/>
      <c r="AI34" s="228">
        <f t="shared" si="9"/>
        <v>0</v>
      </c>
      <c r="AJ34" s="228">
        <v>0</v>
      </c>
      <c r="AK34" s="228">
        <f t="shared" si="10"/>
        <v>0</v>
      </c>
      <c r="AL34" s="228"/>
      <c r="AM34" s="228">
        <f t="shared" si="11"/>
        <v>0</v>
      </c>
      <c r="AN34" s="228">
        <v>0</v>
      </c>
      <c r="AO34" s="228">
        <f t="shared" si="12"/>
        <v>0</v>
      </c>
      <c r="AP34" s="228"/>
      <c r="AQ34" s="228">
        <f t="shared" si="13"/>
        <v>0</v>
      </c>
      <c r="AR34" s="228" t="s">
        <v>1463</v>
      </c>
      <c r="AS34" s="228">
        <f t="shared" si="36"/>
        <v>0</v>
      </c>
      <c r="AT34" s="228"/>
      <c r="AU34" s="228">
        <f t="shared" si="15"/>
        <v>0</v>
      </c>
      <c r="AV34" s="228" t="s">
        <v>1463</v>
      </c>
      <c r="AW34" s="228">
        <f t="shared" si="37"/>
        <v>0</v>
      </c>
      <c r="AX34" s="228"/>
      <c r="AY34" s="228">
        <f t="shared" si="17"/>
        <v>0</v>
      </c>
      <c r="AZ34" s="228" t="s">
        <v>1457</v>
      </c>
      <c r="BA34" s="228">
        <f t="shared" si="29"/>
        <v>0</v>
      </c>
      <c r="BB34" s="228"/>
      <c r="BC34" s="228">
        <f t="shared" si="18"/>
        <v>0</v>
      </c>
      <c r="BD34" s="247">
        <v>0.035</v>
      </c>
      <c r="BE34" s="228">
        <f t="shared" si="38"/>
        <v>0</v>
      </c>
      <c r="BF34" s="228"/>
      <c r="BG34" s="228">
        <f t="shared" si="20"/>
        <v>0</v>
      </c>
      <c r="BH34" s="228">
        <v>0</v>
      </c>
      <c r="BI34" s="228">
        <f t="shared" si="39"/>
        <v>0</v>
      </c>
      <c r="BJ34" s="228"/>
      <c r="BK34" s="228">
        <f t="shared" si="22"/>
        <v>0</v>
      </c>
      <c r="BL34" s="228" t="s">
        <v>1457</v>
      </c>
      <c r="BM34" s="220">
        <f t="shared" si="32"/>
        <v>0</v>
      </c>
      <c r="BN34" s="220"/>
      <c r="BO34" s="220">
        <f t="shared" si="23"/>
        <v>0</v>
      </c>
      <c r="BP34" s="220">
        <f t="shared" si="24"/>
        <v>0</v>
      </c>
      <c r="BQ34" s="220">
        <f t="shared" si="25"/>
        <v>0</v>
      </c>
      <c r="BR34" s="220">
        <f t="shared" si="26"/>
        <v>0</v>
      </c>
      <c r="BS34" s="254" t="s">
        <v>39</v>
      </c>
      <c r="BT34" s="229" t="s">
        <v>39</v>
      </c>
      <c r="BU34" s="230" t="s">
        <v>188</v>
      </c>
      <c r="BV34" s="230" t="s">
        <v>189</v>
      </c>
      <c r="BW34" s="231"/>
    </row>
    <row r="35" s="209" customFormat="1" ht="24" customHeight="1" spans="1:75">
      <c r="A35" s="219">
        <v>47</v>
      </c>
      <c r="B35" s="220" t="s">
        <v>202</v>
      </c>
      <c r="C35" s="221" t="s">
        <v>175</v>
      </c>
      <c r="D35" s="221" t="s">
        <v>183</v>
      </c>
      <c r="E35" s="221" t="s">
        <v>184</v>
      </c>
      <c r="F35" s="219" t="s">
        <v>81</v>
      </c>
      <c r="G35" s="222" t="s">
        <v>1462</v>
      </c>
      <c r="H35" s="233" t="s">
        <v>39</v>
      </c>
      <c r="I35" s="237" t="s">
        <v>201</v>
      </c>
      <c r="J35" s="222" t="s">
        <v>196</v>
      </c>
      <c r="K35" s="223" cm="1">
        <f t="array" ref="K35">_xlfn.XLOOKUP(D35&amp;E35&amp;H35&amp;I35&amp;J35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5" s="223"/>
      <c r="M35" s="224"/>
      <c r="N35" s="253"/>
      <c r="O35" s="226">
        <v>370000</v>
      </c>
      <c r="P35" s="247">
        <v>0.12</v>
      </c>
      <c r="Q35" s="228">
        <f t="shared" si="33"/>
        <v>0</v>
      </c>
      <c r="R35" s="228"/>
      <c r="S35" s="228">
        <f t="shared" si="1"/>
        <v>0</v>
      </c>
      <c r="T35" s="228" t="s">
        <v>1463</v>
      </c>
      <c r="U35" s="228">
        <f t="shared" si="35"/>
        <v>0</v>
      </c>
      <c r="V35" s="228"/>
      <c r="W35" s="228">
        <f t="shared" si="3"/>
        <v>0</v>
      </c>
      <c r="X35" s="235">
        <v>0.02</v>
      </c>
      <c r="Y35" s="228">
        <f t="shared" si="4"/>
        <v>0</v>
      </c>
      <c r="Z35" s="228"/>
      <c r="AA35" s="228">
        <f t="shared" si="5"/>
        <v>0</v>
      </c>
      <c r="AB35" s="228">
        <v>0</v>
      </c>
      <c r="AC35" s="228">
        <f t="shared" si="6"/>
        <v>0</v>
      </c>
      <c r="AD35" s="228"/>
      <c r="AE35" s="228">
        <f t="shared" si="7"/>
        <v>0</v>
      </c>
      <c r="AF35" s="228">
        <v>0</v>
      </c>
      <c r="AG35" s="228">
        <f t="shared" si="8"/>
        <v>0</v>
      </c>
      <c r="AH35" s="228"/>
      <c r="AI35" s="228">
        <f t="shared" si="9"/>
        <v>0</v>
      </c>
      <c r="AJ35" s="228">
        <v>0</v>
      </c>
      <c r="AK35" s="228">
        <f t="shared" si="10"/>
        <v>0</v>
      </c>
      <c r="AL35" s="228"/>
      <c r="AM35" s="228">
        <f t="shared" si="11"/>
        <v>0</v>
      </c>
      <c r="AN35" s="228">
        <v>0</v>
      </c>
      <c r="AO35" s="228">
        <f t="shared" si="12"/>
        <v>0</v>
      </c>
      <c r="AP35" s="228"/>
      <c r="AQ35" s="228">
        <f t="shared" si="13"/>
        <v>0</v>
      </c>
      <c r="AR35" s="228" t="s">
        <v>1463</v>
      </c>
      <c r="AS35" s="228">
        <f t="shared" si="36"/>
        <v>0</v>
      </c>
      <c r="AT35" s="228"/>
      <c r="AU35" s="228">
        <f t="shared" si="15"/>
        <v>0</v>
      </c>
      <c r="AV35" s="228" t="s">
        <v>1463</v>
      </c>
      <c r="AW35" s="228">
        <f t="shared" si="37"/>
        <v>0</v>
      </c>
      <c r="AX35" s="228"/>
      <c r="AY35" s="228">
        <f t="shared" si="17"/>
        <v>0</v>
      </c>
      <c r="AZ35" s="228" t="s">
        <v>1457</v>
      </c>
      <c r="BA35" s="228">
        <f t="shared" si="29"/>
        <v>0</v>
      </c>
      <c r="BB35" s="228"/>
      <c r="BC35" s="228">
        <f t="shared" si="18"/>
        <v>0</v>
      </c>
      <c r="BD35" s="247">
        <v>0.035</v>
      </c>
      <c r="BE35" s="228">
        <f t="shared" si="38"/>
        <v>0</v>
      </c>
      <c r="BF35" s="228"/>
      <c r="BG35" s="228">
        <f t="shared" si="20"/>
        <v>0</v>
      </c>
      <c r="BH35" s="228">
        <v>0</v>
      </c>
      <c r="BI35" s="228">
        <f t="shared" si="39"/>
        <v>0</v>
      </c>
      <c r="BJ35" s="228"/>
      <c r="BK35" s="228">
        <f t="shared" si="22"/>
        <v>0</v>
      </c>
      <c r="BL35" s="228" t="s">
        <v>1457</v>
      </c>
      <c r="BM35" s="220">
        <f t="shared" si="32"/>
        <v>0</v>
      </c>
      <c r="BN35" s="220"/>
      <c r="BO35" s="220">
        <f t="shared" si="23"/>
        <v>0</v>
      </c>
      <c r="BP35" s="220">
        <f t="shared" si="24"/>
        <v>0</v>
      </c>
      <c r="BQ35" s="220">
        <f t="shared" si="25"/>
        <v>0</v>
      </c>
      <c r="BR35" s="220">
        <f t="shared" si="26"/>
        <v>0</v>
      </c>
      <c r="BS35" s="254" t="s">
        <v>39</v>
      </c>
      <c r="BT35" s="229" t="s">
        <v>39</v>
      </c>
      <c r="BU35" s="230" t="s">
        <v>188</v>
      </c>
      <c r="BV35" s="230" t="s">
        <v>189</v>
      </c>
      <c r="BW35" s="231"/>
    </row>
    <row r="36" s="209" customFormat="1" ht="24" customHeight="1" spans="1:75">
      <c r="A36" s="219">
        <v>48</v>
      </c>
      <c r="B36" s="220" t="s">
        <v>205</v>
      </c>
      <c r="C36" s="221" t="s">
        <v>175</v>
      </c>
      <c r="D36" s="221" t="s">
        <v>183</v>
      </c>
      <c r="E36" s="221" t="s">
        <v>184</v>
      </c>
      <c r="F36" s="219" t="s">
        <v>81</v>
      </c>
      <c r="G36" s="222" t="s">
        <v>1462</v>
      </c>
      <c r="H36" s="233" t="s">
        <v>39</v>
      </c>
      <c r="I36" s="237" t="s">
        <v>203</v>
      </c>
      <c r="J36" s="222" t="s">
        <v>204</v>
      </c>
      <c r="K36" s="223" cm="1">
        <f t="array" ref="K36">_xlfn.XLOOKUP(D36&amp;E36&amp;H36&amp;I36&amp;J36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7077.97</v>
      </c>
      <c r="L36" s="223"/>
      <c r="M36" s="224"/>
      <c r="N36" s="253"/>
      <c r="O36" s="226">
        <v>440000</v>
      </c>
      <c r="P36" s="247">
        <v>0.12</v>
      </c>
      <c r="Q36" s="228">
        <f t="shared" si="33"/>
        <v>849.3564</v>
      </c>
      <c r="R36" s="228"/>
      <c r="S36" s="228">
        <f t="shared" si="1"/>
        <v>849.3564</v>
      </c>
      <c r="T36" s="228" t="s">
        <v>1463</v>
      </c>
      <c r="U36" s="228">
        <f t="shared" si="35"/>
        <v>0</v>
      </c>
      <c r="V36" s="228"/>
      <c r="W36" s="228">
        <f t="shared" si="3"/>
        <v>0</v>
      </c>
      <c r="X36" s="235">
        <v>0.02</v>
      </c>
      <c r="Y36" s="228">
        <f t="shared" si="4"/>
        <v>141.5594</v>
      </c>
      <c r="Z36" s="228"/>
      <c r="AA36" s="228">
        <f t="shared" si="5"/>
        <v>141.5594</v>
      </c>
      <c r="AB36" s="228">
        <v>0</v>
      </c>
      <c r="AC36" s="228">
        <f t="shared" si="6"/>
        <v>0</v>
      </c>
      <c r="AD36" s="228"/>
      <c r="AE36" s="228">
        <f t="shared" si="7"/>
        <v>0</v>
      </c>
      <c r="AF36" s="228">
        <v>0</v>
      </c>
      <c r="AG36" s="228">
        <f t="shared" si="8"/>
        <v>0</v>
      </c>
      <c r="AH36" s="228"/>
      <c r="AI36" s="228">
        <f t="shared" si="9"/>
        <v>0</v>
      </c>
      <c r="AJ36" s="228">
        <v>0</v>
      </c>
      <c r="AK36" s="228">
        <f t="shared" si="10"/>
        <v>0</v>
      </c>
      <c r="AL36" s="228"/>
      <c r="AM36" s="228">
        <f t="shared" si="11"/>
        <v>0</v>
      </c>
      <c r="AN36" s="228">
        <v>0</v>
      </c>
      <c r="AO36" s="228">
        <f t="shared" si="12"/>
        <v>0</v>
      </c>
      <c r="AP36" s="228"/>
      <c r="AQ36" s="228">
        <f t="shared" si="13"/>
        <v>0</v>
      </c>
      <c r="AR36" s="228" t="s">
        <v>1463</v>
      </c>
      <c r="AS36" s="228">
        <f t="shared" si="36"/>
        <v>0</v>
      </c>
      <c r="AT36" s="228"/>
      <c r="AU36" s="228">
        <f t="shared" si="15"/>
        <v>0</v>
      </c>
      <c r="AV36" s="228" t="s">
        <v>1463</v>
      </c>
      <c r="AW36" s="228">
        <f t="shared" si="37"/>
        <v>0</v>
      </c>
      <c r="AX36" s="228"/>
      <c r="AY36" s="228">
        <f t="shared" si="17"/>
        <v>0</v>
      </c>
      <c r="AZ36" s="228" t="s">
        <v>1457</v>
      </c>
      <c r="BA36" s="228">
        <f t="shared" si="29"/>
        <v>0</v>
      </c>
      <c r="BB36" s="228"/>
      <c r="BC36" s="228">
        <f t="shared" si="18"/>
        <v>0</v>
      </c>
      <c r="BD36" s="247">
        <v>0.035</v>
      </c>
      <c r="BE36" s="228">
        <f t="shared" si="38"/>
        <v>247.72895</v>
      </c>
      <c r="BF36" s="228"/>
      <c r="BG36" s="228">
        <f t="shared" si="20"/>
        <v>247.72895</v>
      </c>
      <c r="BH36" s="228">
        <v>0</v>
      </c>
      <c r="BI36" s="228">
        <f t="shared" si="39"/>
        <v>0</v>
      </c>
      <c r="BJ36" s="228"/>
      <c r="BK36" s="228">
        <f t="shared" si="22"/>
        <v>0</v>
      </c>
      <c r="BL36" s="228" t="s">
        <v>1457</v>
      </c>
      <c r="BM36" s="220">
        <f t="shared" si="32"/>
        <v>0</v>
      </c>
      <c r="BN36" s="220"/>
      <c r="BO36" s="220">
        <f t="shared" si="23"/>
        <v>0</v>
      </c>
      <c r="BP36" s="220">
        <f t="shared" si="24"/>
        <v>1238.64475</v>
      </c>
      <c r="BQ36" s="220">
        <f t="shared" si="25"/>
        <v>0</v>
      </c>
      <c r="BR36" s="220">
        <f t="shared" si="26"/>
        <v>1238.64475</v>
      </c>
      <c r="BS36" s="254" t="s">
        <v>39</v>
      </c>
      <c r="BT36" s="229" t="s">
        <v>39</v>
      </c>
      <c r="BU36" s="230" t="s">
        <v>188</v>
      </c>
      <c r="BV36" s="230" t="s">
        <v>189</v>
      </c>
      <c r="BW36" s="231"/>
    </row>
    <row r="37" s="209" customFormat="1" ht="24" customHeight="1" spans="1:75">
      <c r="A37" s="219">
        <v>50</v>
      </c>
      <c r="B37" s="220" t="s">
        <v>213</v>
      </c>
      <c r="C37" s="221" t="s">
        <v>175</v>
      </c>
      <c r="D37" s="221" t="s">
        <v>206</v>
      </c>
      <c r="E37" s="221" t="s">
        <v>207</v>
      </c>
      <c r="F37" s="219" t="s">
        <v>81</v>
      </c>
      <c r="G37" s="222" t="s">
        <v>1462</v>
      </c>
      <c r="H37" s="233" t="s">
        <v>39</v>
      </c>
      <c r="I37" s="237" t="s">
        <v>209</v>
      </c>
      <c r="J37" s="233" t="s">
        <v>210</v>
      </c>
      <c r="K37" s="223" cm="1">
        <f t="array" ref="K37">_xlfn.XLOOKUP(D37&amp;E37&amp;H37&amp;I37&amp;J37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 s="223"/>
      <c r="M37" s="224"/>
      <c r="N37" s="253">
        <v>13454.15</v>
      </c>
      <c r="O37" s="226">
        <v>345000</v>
      </c>
      <c r="P37" s="247">
        <v>0.14</v>
      </c>
      <c r="Q37" s="228">
        <f t="shared" si="33"/>
        <v>0</v>
      </c>
      <c r="R37" s="228">
        <v>941.5</v>
      </c>
      <c r="S37" s="228">
        <f t="shared" si="1"/>
        <v>-941.5</v>
      </c>
      <c r="T37" s="228">
        <v>0</v>
      </c>
      <c r="U37" s="228">
        <f t="shared" ref="U37:U44" si="40">K37*T37</f>
        <v>0</v>
      </c>
      <c r="V37" s="228"/>
      <c r="W37" s="228">
        <f t="shared" si="3"/>
        <v>0</v>
      </c>
      <c r="X37" s="235">
        <v>0.02</v>
      </c>
      <c r="Y37" s="228">
        <f t="shared" si="4"/>
        <v>0</v>
      </c>
      <c r="Z37" s="228">
        <v>134.5</v>
      </c>
      <c r="AA37" s="228">
        <f t="shared" si="5"/>
        <v>-134.5</v>
      </c>
      <c r="AB37" s="228">
        <v>0</v>
      </c>
      <c r="AC37" s="228">
        <f t="shared" si="6"/>
        <v>0</v>
      </c>
      <c r="AD37" s="228"/>
      <c r="AE37" s="228">
        <f t="shared" si="7"/>
        <v>0</v>
      </c>
      <c r="AF37" s="228">
        <v>0</v>
      </c>
      <c r="AG37" s="228">
        <f t="shared" si="8"/>
        <v>0</v>
      </c>
      <c r="AH37" s="228"/>
      <c r="AI37" s="228">
        <f t="shared" si="9"/>
        <v>0</v>
      </c>
      <c r="AJ37" s="228">
        <v>0</v>
      </c>
      <c r="AK37" s="228">
        <f t="shared" si="10"/>
        <v>0</v>
      </c>
      <c r="AL37" s="228"/>
      <c r="AM37" s="228">
        <f t="shared" si="11"/>
        <v>0</v>
      </c>
      <c r="AN37" s="228">
        <v>0</v>
      </c>
      <c r="AO37" s="228">
        <f t="shared" si="12"/>
        <v>0</v>
      </c>
      <c r="AP37" s="228"/>
      <c r="AQ37" s="228">
        <f t="shared" si="13"/>
        <v>0</v>
      </c>
      <c r="AR37" s="235">
        <v>0.05</v>
      </c>
      <c r="AS37" s="228">
        <f t="shared" ref="AS37:AS63" si="41">K37*AR37</f>
        <v>0</v>
      </c>
      <c r="AT37" s="228">
        <v>385.75</v>
      </c>
      <c r="AU37" s="228">
        <f t="shared" si="15"/>
        <v>-385.75</v>
      </c>
      <c r="AV37" s="235">
        <v>0.06</v>
      </c>
      <c r="AW37" s="228">
        <f t="shared" ref="AW37:AW44" si="42">K37*AV37</f>
        <v>0</v>
      </c>
      <c r="AX37" s="228">
        <v>486</v>
      </c>
      <c r="AY37" s="228">
        <f t="shared" si="17"/>
        <v>-486</v>
      </c>
      <c r="AZ37" s="235">
        <v>0.01</v>
      </c>
      <c r="BA37" s="228">
        <f t="shared" ref="BA37:BA42" si="43">K37*AZ37</f>
        <v>0</v>
      </c>
      <c r="BB37" s="228">
        <v>75.5</v>
      </c>
      <c r="BC37" s="228">
        <f t="shared" si="18"/>
        <v>-75.5</v>
      </c>
      <c r="BD37" s="228">
        <v>0</v>
      </c>
      <c r="BE37" s="228">
        <f t="shared" si="38"/>
        <v>0</v>
      </c>
      <c r="BF37" s="228"/>
      <c r="BG37" s="228">
        <f t="shared" si="20"/>
        <v>0</v>
      </c>
      <c r="BH37" s="228">
        <v>0</v>
      </c>
      <c r="BI37" s="228">
        <f t="shared" si="39"/>
        <v>0</v>
      </c>
      <c r="BJ37" s="228"/>
      <c r="BK37" s="228">
        <f t="shared" si="22"/>
        <v>0</v>
      </c>
      <c r="BL37" s="228" t="s">
        <v>1457</v>
      </c>
      <c r="BM37" s="220">
        <f t="shared" si="32"/>
        <v>0</v>
      </c>
      <c r="BN37" s="220">
        <v>0</v>
      </c>
      <c r="BO37" s="220">
        <f t="shared" si="23"/>
        <v>0</v>
      </c>
      <c r="BP37" s="220">
        <f t="shared" si="24"/>
        <v>13454.15</v>
      </c>
      <c r="BQ37" s="220">
        <f t="shared" si="25"/>
        <v>15477.4</v>
      </c>
      <c r="BR37" s="220">
        <f t="shared" si="26"/>
        <v>-2023.25</v>
      </c>
      <c r="BS37" s="254" t="s">
        <v>39</v>
      </c>
      <c r="BT37" s="229" t="s">
        <v>39</v>
      </c>
      <c r="BU37" s="230" t="s">
        <v>211</v>
      </c>
      <c r="BV37" s="230" t="s">
        <v>212</v>
      </c>
      <c r="BW37" s="231"/>
    </row>
    <row r="38" s="209" customFormat="1" ht="24" customHeight="1" spans="1:75">
      <c r="A38" s="219">
        <v>51</v>
      </c>
      <c r="B38" s="220" t="s">
        <v>216</v>
      </c>
      <c r="C38" s="221" t="s">
        <v>175</v>
      </c>
      <c r="D38" s="221" t="s">
        <v>206</v>
      </c>
      <c r="E38" s="221" t="s">
        <v>207</v>
      </c>
      <c r="F38" s="219" t="s">
        <v>81</v>
      </c>
      <c r="G38" s="222" t="s">
        <v>1462</v>
      </c>
      <c r="H38" s="233" t="s">
        <v>39</v>
      </c>
      <c r="I38" s="237" t="s">
        <v>214</v>
      </c>
      <c r="J38" s="233" t="s">
        <v>215</v>
      </c>
      <c r="K38" s="223" cm="1">
        <f t="array" ref="K38">_xlfn.XLOOKUP(D38&amp;E38&amp;H38&amp;I38&amp;J38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 s="223"/>
      <c r="M38" s="224"/>
      <c r="N38" s="253"/>
      <c r="O38" s="226">
        <v>475000</v>
      </c>
      <c r="P38" s="247">
        <v>0.14</v>
      </c>
      <c r="Q38" s="228">
        <f t="shared" si="33"/>
        <v>0</v>
      </c>
      <c r="R38" s="228"/>
      <c r="S38" s="228">
        <f t="shared" si="1"/>
        <v>0</v>
      </c>
      <c r="T38" s="228">
        <v>0</v>
      </c>
      <c r="U38" s="228">
        <f t="shared" si="40"/>
        <v>0</v>
      </c>
      <c r="V38" s="228"/>
      <c r="W38" s="228">
        <f t="shared" si="3"/>
        <v>0</v>
      </c>
      <c r="X38" s="235">
        <v>0.02</v>
      </c>
      <c r="Y38" s="228">
        <f t="shared" si="4"/>
        <v>0</v>
      </c>
      <c r="Z38" s="228"/>
      <c r="AA38" s="228">
        <f t="shared" si="5"/>
        <v>0</v>
      </c>
      <c r="AB38" s="228">
        <v>0</v>
      </c>
      <c r="AC38" s="228">
        <f t="shared" si="6"/>
        <v>0</v>
      </c>
      <c r="AD38" s="228"/>
      <c r="AE38" s="228">
        <f t="shared" si="7"/>
        <v>0</v>
      </c>
      <c r="AF38" s="228">
        <v>0</v>
      </c>
      <c r="AG38" s="228">
        <f t="shared" si="8"/>
        <v>0</v>
      </c>
      <c r="AH38" s="228"/>
      <c r="AI38" s="228">
        <f t="shared" si="9"/>
        <v>0</v>
      </c>
      <c r="AJ38" s="228">
        <v>0</v>
      </c>
      <c r="AK38" s="228">
        <f t="shared" si="10"/>
        <v>0</v>
      </c>
      <c r="AL38" s="228"/>
      <c r="AM38" s="228">
        <f t="shared" si="11"/>
        <v>0</v>
      </c>
      <c r="AN38" s="228">
        <v>0</v>
      </c>
      <c r="AO38" s="228">
        <f t="shared" si="12"/>
        <v>0</v>
      </c>
      <c r="AP38" s="228"/>
      <c r="AQ38" s="228">
        <f t="shared" si="13"/>
        <v>0</v>
      </c>
      <c r="AR38" s="235">
        <v>0.05</v>
      </c>
      <c r="AS38" s="228">
        <f t="shared" si="41"/>
        <v>0</v>
      </c>
      <c r="AT38" s="228"/>
      <c r="AU38" s="228">
        <f t="shared" si="15"/>
        <v>0</v>
      </c>
      <c r="AV38" s="235">
        <v>0.06</v>
      </c>
      <c r="AW38" s="228">
        <f t="shared" si="42"/>
        <v>0</v>
      </c>
      <c r="AX38" s="228"/>
      <c r="AY38" s="228">
        <f t="shared" si="17"/>
        <v>0</v>
      </c>
      <c r="AZ38" s="235">
        <v>0.01</v>
      </c>
      <c r="BA38" s="228">
        <f t="shared" si="43"/>
        <v>0</v>
      </c>
      <c r="BB38" s="228"/>
      <c r="BC38" s="228">
        <f t="shared" si="18"/>
        <v>0</v>
      </c>
      <c r="BD38" s="228">
        <v>0</v>
      </c>
      <c r="BE38" s="228">
        <f t="shared" si="38"/>
        <v>0</v>
      </c>
      <c r="BF38" s="228"/>
      <c r="BG38" s="228">
        <f t="shared" si="20"/>
        <v>0</v>
      </c>
      <c r="BH38" s="228">
        <v>0</v>
      </c>
      <c r="BI38" s="228">
        <f t="shared" si="39"/>
        <v>0</v>
      </c>
      <c r="BJ38" s="228"/>
      <c r="BK38" s="228">
        <f t="shared" si="22"/>
        <v>0</v>
      </c>
      <c r="BL38" s="228" t="s">
        <v>1457</v>
      </c>
      <c r="BM38" s="220">
        <f t="shared" si="32"/>
        <v>0</v>
      </c>
      <c r="BN38" s="220"/>
      <c r="BO38" s="220">
        <f t="shared" si="23"/>
        <v>0</v>
      </c>
      <c r="BP38" s="220">
        <f t="shared" si="24"/>
        <v>0</v>
      </c>
      <c r="BQ38" s="220">
        <f t="shared" si="25"/>
        <v>0</v>
      </c>
      <c r="BR38" s="220">
        <f t="shared" si="26"/>
        <v>0</v>
      </c>
      <c r="BS38" s="254" t="s">
        <v>39</v>
      </c>
      <c r="BT38" s="229" t="s">
        <v>39</v>
      </c>
      <c r="BU38" s="230" t="s">
        <v>211</v>
      </c>
      <c r="BV38" s="230" t="s">
        <v>212</v>
      </c>
      <c r="BW38" s="231"/>
    </row>
    <row r="39" s="209" customFormat="1" ht="24" customHeight="1" spans="1:75">
      <c r="A39" s="219">
        <v>52</v>
      </c>
      <c r="B39" s="220" t="s">
        <v>219</v>
      </c>
      <c r="C39" s="221" t="s">
        <v>175</v>
      </c>
      <c r="D39" s="221" t="s">
        <v>206</v>
      </c>
      <c r="E39" s="221" t="s">
        <v>207</v>
      </c>
      <c r="F39" s="219" t="s">
        <v>81</v>
      </c>
      <c r="G39" s="222" t="s">
        <v>1462</v>
      </c>
      <c r="H39" s="233" t="s">
        <v>39</v>
      </c>
      <c r="I39" s="237" t="s">
        <v>217</v>
      </c>
      <c r="J39" s="233" t="s">
        <v>218</v>
      </c>
      <c r="K39" s="223" cm="1">
        <f t="array" ref="K39">_xlfn.XLOOKUP(D39&amp;E39&amp;H39&amp;I39&amp;J39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 s="223"/>
      <c r="M39" s="224"/>
      <c r="N39" s="253"/>
      <c r="O39" s="226">
        <v>875000</v>
      </c>
      <c r="P39" s="247">
        <v>0.14</v>
      </c>
      <c r="Q39" s="228">
        <f t="shared" si="33"/>
        <v>0</v>
      </c>
      <c r="R39" s="228"/>
      <c r="S39" s="228">
        <f t="shared" si="1"/>
        <v>0</v>
      </c>
      <c r="T39" s="228">
        <v>0</v>
      </c>
      <c r="U39" s="228">
        <f t="shared" si="40"/>
        <v>0</v>
      </c>
      <c r="V39" s="228"/>
      <c r="W39" s="228">
        <f t="shared" si="3"/>
        <v>0</v>
      </c>
      <c r="X39" s="235">
        <v>0.02</v>
      </c>
      <c r="Y39" s="228">
        <f t="shared" si="4"/>
        <v>0</v>
      </c>
      <c r="Z39" s="228"/>
      <c r="AA39" s="228">
        <f t="shared" si="5"/>
        <v>0</v>
      </c>
      <c r="AB39" s="228">
        <v>0</v>
      </c>
      <c r="AC39" s="228">
        <f t="shared" si="6"/>
        <v>0</v>
      </c>
      <c r="AD39" s="228"/>
      <c r="AE39" s="228">
        <f t="shared" si="7"/>
        <v>0</v>
      </c>
      <c r="AF39" s="228">
        <v>0</v>
      </c>
      <c r="AG39" s="228">
        <f t="shared" si="8"/>
        <v>0</v>
      </c>
      <c r="AH39" s="228"/>
      <c r="AI39" s="228">
        <f t="shared" si="9"/>
        <v>0</v>
      </c>
      <c r="AJ39" s="228">
        <v>0</v>
      </c>
      <c r="AK39" s="228">
        <f t="shared" si="10"/>
        <v>0</v>
      </c>
      <c r="AL39" s="228"/>
      <c r="AM39" s="228">
        <f t="shared" si="11"/>
        <v>0</v>
      </c>
      <c r="AN39" s="228">
        <v>0</v>
      </c>
      <c r="AO39" s="228">
        <f t="shared" si="12"/>
        <v>0</v>
      </c>
      <c r="AP39" s="228"/>
      <c r="AQ39" s="228">
        <f t="shared" si="13"/>
        <v>0</v>
      </c>
      <c r="AR39" s="235">
        <v>0.05</v>
      </c>
      <c r="AS39" s="228">
        <f t="shared" si="41"/>
        <v>0</v>
      </c>
      <c r="AT39" s="228"/>
      <c r="AU39" s="228">
        <f t="shared" si="15"/>
        <v>0</v>
      </c>
      <c r="AV39" s="235">
        <v>0.06</v>
      </c>
      <c r="AW39" s="228">
        <f t="shared" si="42"/>
        <v>0</v>
      </c>
      <c r="AX39" s="228"/>
      <c r="AY39" s="228">
        <f t="shared" si="17"/>
        <v>0</v>
      </c>
      <c r="AZ39" s="235">
        <v>0.01</v>
      </c>
      <c r="BA39" s="228">
        <f t="shared" si="43"/>
        <v>0</v>
      </c>
      <c r="BB39" s="228"/>
      <c r="BC39" s="228">
        <f t="shared" si="18"/>
        <v>0</v>
      </c>
      <c r="BD39" s="228">
        <v>0</v>
      </c>
      <c r="BE39" s="228">
        <f t="shared" si="38"/>
        <v>0</v>
      </c>
      <c r="BF39" s="228"/>
      <c r="BG39" s="228">
        <f t="shared" si="20"/>
        <v>0</v>
      </c>
      <c r="BH39" s="228">
        <v>0</v>
      </c>
      <c r="BI39" s="228">
        <f t="shared" si="39"/>
        <v>0</v>
      </c>
      <c r="BJ39" s="228"/>
      <c r="BK39" s="228">
        <f t="shared" si="22"/>
        <v>0</v>
      </c>
      <c r="BL39" s="228" t="s">
        <v>1457</v>
      </c>
      <c r="BM39" s="220">
        <f t="shared" si="32"/>
        <v>0</v>
      </c>
      <c r="BN39" s="220"/>
      <c r="BO39" s="220">
        <f t="shared" si="23"/>
        <v>0</v>
      </c>
      <c r="BP39" s="220">
        <f t="shared" si="24"/>
        <v>0</v>
      </c>
      <c r="BQ39" s="220">
        <f t="shared" si="25"/>
        <v>0</v>
      </c>
      <c r="BR39" s="220">
        <f t="shared" si="26"/>
        <v>0</v>
      </c>
      <c r="BS39" s="254" t="s">
        <v>39</v>
      </c>
      <c r="BT39" s="229" t="s">
        <v>39</v>
      </c>
      <c r="BU39" s="230" t="s">
        <v>211</v>
      </c>
      <c r="BV39" s="230" t="s">
        <v>212</v>
      </c>
      <c r="BW39" s="231"/>
    </row>
    <row r="40" s="209" customFormat="1" ht="24" customHeight="1" spans="1:75">
      <c r="A40" s="219">
        <v>53</v>
      </c>
      <c r="B40" s="220" t="s">
        <v>222</v>
      </c>
      <c r="C40" s="221" t="s">
        <v>175</v>
      </c>
      <c r="D40" s="221" t="s">
        <v>206</v>
      </c>
      <c r="E40" s="221" t="s">
        <v>207</v>
      </c>
      <c r="F40" s="219" t="s">
        <v>81</v>
      </c>
      <c r="G40" s="222" t="s">
        <v>1462</v>
      </c>
      <c r="H40" s="233" t="s">
        <v>39</v>
      </c>
      <c r="I40" s="237" t="s">
        <v>220</v>
      </c>
      <c r="J40" s="233" t="s">
        <v>221</v>
      </c>
      <c r="K40" s="223" cm="1">
        <f t="array" ref="K40">_xlfn.XLOOKUP(D40&amp;E40&amp;H40&amp;I40&amp;J40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 s="223"/>
      <c r="M40" s="224"/>
      <c r="N40" s="253"/>
      <c r="O40" s="226">
        <v>485000</v>
      </c>
      <c r="P40" s="247">
        <v>0.14</v>
      </c>
      <c r="Q40" s="228">
        <f t="shared" si="33"/>
        <v>0</v>
      </c>
      <c r="R40" s="228"/>
      <c r="S40" s="228">
        <f t="shared" si="1"/>
        <v>0</v>
      </c>
      <c r="T40" s="228">
        <v>0</v>
      </c>
      <c r="U40" s="228">
        <f t="shared" si="40"/>
        <v>0</v>
      </c>
      <c r="V40" s="228"/>
      <c r="W40" s="228">
        <f t="shared" si="3"/>
        <v>0</v>
      </c>
      <c r="X40" s="235">
        <v>0.02</v>
      </c>
      <c r="Y40" s="228">
        <f t="shared" si="4"/>
        <v>0</v>
      </c>
      <c r="Z40" s="228"/>
      <c r="AA40" s="228">
        <f t="shared" si="5"/>
        <v>0</v>
      </c>
      <c r="AB40" s="228">
        <v>0</v>
      </c>
      <c r="AC40" s="228">
        <f t="shared" si="6"/>
        <v>0</v>
      </c>
      <c r="AD40" s="228"/>
      <c r="AE40" s="228">
        <f t="shared" si="7"/>
        <v>0</v>
      </c>
      <c r="AF40" s="228">
        <v>0</v>
      </c>
      <c r="AG40" s="228">
        <f t="shared" si="8"/>
        <v>0</v>
      </c>
      <c r="AH40" s="228"/>
      <c r="AI40" s="228">
        <f t="shared" si="9"/>
        <v>0</v>
      </c>
      <c r="AJ40" s="228">
        <v>0</v>
      </c>
      <c r="AK40" s="228">
        <f t="shared" si="10"/>
        <v>0</v>
      </c>
      <c r="AL40" s="228"/>
      <c r="AM40" s="228">
        <f t="shared" si="11"/>
        <v>0</v>
      </c>
      <c r="AN40" s="228">
        <v>0</v>
      </c>
      <c r="AO40" s="228">
        <f t="shared" si="12"/>
        <v>0</v>
      </c>
      <c r="AP40" s="228"/>
      <c r="AQ40" s="228">
        <f t="shared" si="13"/>
        <v>0</v>
      </c>
      <c r="AR40" s="235">
        <v>0.05</v>
      </c>
      <c r="AS40" s="228">
        <f t="shared" si="41"/>
        <v>0</v>
      </c>
      <c r="AT40" s="228"/>
      <c r="AU40" s="228">
        <f t="shared" si="15"/>
        <v>0</v>
      </c>
      <c r="AV40" s="235">
        <v>0.06</v>
      </c>
      <c r="AW40" s="228">
        <f t="shared" si="42"/>
        <v>0</v>
      </c>
      <c r="AX40" s="228"/>
      <c r="AY40" s="228">
        <f t="shared" si="17"/>
        <v>0</v>
      </c>
      <c r="AZ40" s="235">
        <v>0.01</v>
      </c>
      <c r="BA40" s="228">
        <f t="shared" si="43"/>
        <v>0</v>
      </c>
      <c r="BB40" s="228"/>
      <c r="BC40" s="228">
        <f t="shared" si="18"/>
        <v>0</v>
      </c>
      <c r="BD40" s="228">
        <v>0</v>
      </c>
      <c r="BE40" s="228">
        <f t="shared" si="38"/>
        <v>0</v>
      </c>
      <c r="BF40" s="228"/>
      <c r="BG40" s="228">
        <f t="shared" si="20"/>
        <v>0</v>
      </c>
      <c r="BH40" s="228">
        <v>0</v>
      </c>
      <c r="BI40" s="228">
        <f t="shared" si="39"/>
        <v>0</v>
      </c>
      <c r="BJ40" s="228"/>
      <c r="BK40" s="228">
        <f t="shared" si="22"/>
        <v>0</v>
      </c>
      <c r="BL40" s="228" t="s">
        <v>1457</v>
      </c>
      <c r="BM40" s="220">
        <f t="shared" si="32"/>
        <v>0</v>
      </c>
      <c r="BN40" s="220"/>
      <c r="BO40" s="220">
        <f t="shared" si="23"/>
        <v>0</v>
      </c>
      <c r="BP40" s="220">
        <f t="shared" si="24"/>
        <v>0</v>
      </c>
      <c r="BQ40" s="220">
        <f t="shared" si="25"/>
        <v>0</v>
      </c>
      <c r="BR40" s="220">
        <f t="shared" si="26"/>
        <v>0</v>
      </c>
      <c r="BS40" s="254" t="s">
        <v>39</v>
      </c>
      <c r="BT40" s="229" t="s">
        <v>39</v>
      </c>
      <c r="BU40" s="230" t="s">
        <v>211</v>
      </c>
      <c r="BV40" s="230" t="s">
        <v>212</v>
      </c>
      <c r="BW40" s="231"/>
    </row>
    <row r="41" s="209" customFormat="1" ht="24" customHeight="1" spans="1:75">
      <c r="A41" s="219">
        <v>54</v>
      </c>
      <c r="B41" s="220" t="s">
        <v>225</v>
      </c>
      <c r="C41" s="221" t="s">
        <v>175</v>
      </c>
      <c r="D41" s="221" t="s">
        <v>206</v>
      </c>
      <c r="E41" s="221" t="s">
        <v>207</v>
      </c>
      <c r="F41" s="219" t="s">
        <v>81</v>
      </c>
      <c r="G41" s="222" t="s">
        <v>1462</v>
      </c>
      <c r="H41" s="233" t="s">
        <v>39</v>
      </c>
      <c r="I41" s="237" t="s">
        <v>223</v>
      </c>
      <c r="J41" s="233" t="s">
        <v>224</v>
      </c>
      <c r="K41" s="223" cm="1">
        <f t="array" ref="K41">_xlfn.XLOOKUP(D41&amp;E41&amp;H41&amp;I41&amp;J41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 s="223"/>
      <c r="M41" s="224"/>
      <c r="N41" s="253"/>
      <c r="O41" s="226">
        <v>600000</v>
      </c>
      <c r="P41" s="247">
        <v>0.14</v>
      </c>
      <c r="Q41" s="228">
        <f t="shared" si="33"/>
        <v>0</v>
      </c>
      <c r="R41" s="228"/>
      <c r="S41" s="228">
        <f t="shared" si="1"/>
        <v>0</v>
      </c>
      <c r="T41" s="228">
        <v>0</v>
      </c>
      <c r="U41" s="228">
        <f t="shared" si="40"/>
        <v>0</v>
      </c>
      <c r="V41" s="228"/>
      <c r="W41" s="228">
        <f t="shared" si="3"/>
        <v>0</v>
      </c>
      <c r="X41" s="235">
        <v>0.02</v>
      </c>
      <c r="Y41" s="228">
        <f t="shared" si="4"/>
        <v>0</v>
      </c>
      <c r="Z41" s="228"/>
      <c r="AA41" s="228">
        <f t="shared" si="5"/>
        <v>0</v>
      </c>
      <c r="AB41" s="228">
        <v>0</v>
      </c>
      <c r="AC41" s="228">
        <f t="shared" si="6"/>
        <v>0</v>
      </c>
      <c r="AD41" s="228"/>
      <c r="AE41" s="228">
        <f t="shared" si="7"/>
        <v>0</v>
      </c>
      <c r="AF41" s="228">
        <v>0</v>
      </c>
      <c r="AG41" s="228">
        <f t="shared" si="8"/>
        <v>0</v>
      </c>
      <c r="AH41" s="228"/>
      <c r="AI41" s="228">
        <f t="shared" si="9"/>
        <v>0</v>
      </c>
      <c r="AJ41" s="228">
        <v>0</v>
      </c>
      <c r="AK41" s="228">
        <f t="shared" si="10"/>
        <v>0</v>
      </c>
      <c r="AL41" s="228"/>
      <c r="AM41" s="228">
        <f t="shared" si="11"/>
        <v>0</v>
      </c>
      <c r="AN41" s="228">
        <v>0</v>
      </c>
      <c r="AO41" s="228">
        <f t="shared" si="12"/>
        <v>0</v>
      </c>
      <c r="AP41" s="228"/>
      <c r="AQ41" s="228">
        <f t="shared" si="13"/>
        <v>0</v>
      </c>
      <c r="AR41" s="235">
        <v>0.05</v>
      </c>
      <c r="AS41" s="228">
        <f t="shared" si="41"/>
        <v>0</v>
      </c>
      <c r="AT41" s="228"/>
      <c r="AU41" s="228">
        <f t="shared" si="15"/>
        <v>0</v>
      </c>
      <c r="AV41" s="235">
        <v>0.06</v>
      </c>
      <c r="AW41" s="228">
        <f t="shared" si="42"/>
        <v>0</v>
      </c>
      <c r="AX41" s="228"/>
      <c r="AY41" s="228">
        <f t="shared" si="17"/>
        <v>0</v>
      </c>
      <c r="AZ41" s="235">
        <v>0.01</v>
      </c>
      <c r="BA41" s="228">
        <f t="shared" si="43"/>
        <v>0</v>
      </c>
      <c r="BB41" s="228"/>
      <c r="BC41" s="228">
        <f t="shared" si="18"/>
        <v>0</v>
      </c>
      <c r="BD41" s="228">
        <v>0</v>
      </c>
      <c r="BE41" s="228">
        <f t="shared" si="38"/>
        <v>0</v>
      </c>
      <c r="BF41" s="228"/>
      <c r="BG41" s="228">
        <f t="shared" si="20"/>
        <v>0</v>
      </c>
      <c r="BH41" s="228">
        <v>0</v>
      </c>
      <c r="BI41" s="228">
        <f t="shared" si="39"/>
        <v>0</v>
      </c>
      <c r="BJ41" s="228"/>
      <c r="BK41" s="228">
        <f t="shared" si="22"/>
        <v>0</v>
      </c>
      <c r="BL41" s="228" t="s">
        <v>1457</v>
      </c>
      <c r="BM41" s="220">
        <f t="shared" si="32"/>
        <v>0</v>
      </c>
      <c r="BN41" s="220"/>
      <c r="BO41" s="220">
        <f t="shared" si="23"/>
        <v>0</v>
      </c>
      <c r="BP41" s="220">
        <f t="shared" si="24"/>
        <v>0</v>
      </c>
      <c r="BQ41" s="220">
        <f t="shared" si="25"/>
        <v>0</v>
      </c>
      <c r="BR41" s="220">
        <f t="shared" si="26"/>
        <v>0</v>
      </c>
      <c r="BS41" s="254" t="s">
        <v>39</v>
      </c>
      <c r="BT41" s="229" t="s">
        <v>39</v>
      </c>
      <c r="BU41" s="230" t="s">
        <v>211</v>
      </c>
      <c r="BV41" s="230" t="s">
        <v>212</v>
      </c>
      <c r="BW41" s="231"/>
    </row>
    <row r="42" s="209" customFormat="1" ht="48" customHeight="1" spans="1:75">
      <c r="A42" s="219">
        <v>55</v>
      </c>
      <c r="B42" s="220" t="s">
        <v>229</v>
      </c>
      <c r="C42" s="221" t="s">
        <v>175</v>
      </c>
      <c r="D42" s="221" t="s">
        <v>206</v>
      </c>
      <c r="E42" s="221" t="s">
        <v>207</v>
      </c>
      <c r="F42" s="219" t="s">
        <v>81</v>
      </c>
      <c r="G42" s="222" t="s">
        <v>1462</v>
      </c>
      <c r="H42" s="233" t="s">
        <v>39</v>
      </c>
      <c r="I42" s="237" t="s">
        <v>226</v>
      </c>
      <c r="J42" s="233" t="s">
        <v>227</v>
      </c>
      <c r="K42" s="223" cm="1">
        <f t="array" ref="K42">_xlfn.XLOOKUP(D42&amp;E42&amp;H42&amp;I42&amp;J42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 s="223"/>
      <c r="M42" s="224"/>
      <c r="N42" s="253"/>
      <c r="O42" s="226">
        <v>615000</v>
      </c>
      <c r="P42" s="228">
        <v>0</v>
      </c>
      <c r="Q42" s="228">
        <f t="shared" si="33"/>
        <v>0</v>
      </c>
      <c r="R42" s="228"/>
      <c r="S42" s="228">
        <f t="shared" si="1"/>
        <v>0</v>
      </c>
      <c r="T42" s="228">
        <v>0</v>
      </c>
      <c r="U42" s="228">
        <f t="shared" si="40"/>
        <v>0</v>
      </c>
      <c r="V42" s="228"/>
      <c r="W42" s="228">
        <f t="shared" si="3"/>
        <v>0</v>
      </c>
      <c r="X42" s="228">
        <v>0</v>
      </c>
      <c r="Y42" s="228">
        <f t="shared" si="4"/>
        <v>0</v>
      </c>
      <c r="Z42" s="228"/>
      <c r="AA42" s="228">
        <f t="shared" si="5"/>
        <v>0</v>
      </c>
      <c r="AB42" s="228">
        <v>0</v>
      </c>
      <c r="AC42" s="228">
        <f t="shared" si="6"/>
        <v>0</v>
      </c>
      <c r="AD42" s="228"/>
      <c r="AE42" s="228">
        <f t="shared" si="7"/>
        <v>0</v>
      </c>
      <c r="AF42" s="228">
        <v>0</v>
      </c>
      <c r="AG42" s="228">
        <f t="shared" si="8"/>
        <v>0</v>
      </c>
      <c r="AH42" s="228"/>
      <c r="AI42" s="228">
        <f t="shared" si="9"/>
        <v>0</v>
      </c>
      <c r="AJ42" s="228">
        <v>0</v>
      </c>
      <c r="AK42" s="228">
        <f t="shared" si="10"/>
        <v>0</v>
      </c>
      <c r="AL42" s="228"/>
      <c r="AM42" s="228">
        <f t="shared" si="11"/>
        <v>0</v>
      </c>
      <c r="AN42" s="228">
        <v>0</v>
      </c>
      <c r="AO42" s="228">
        <f t="shared" si="12"/>
        <v>0</v>
      </c>
      <c r="AP42" s="228"/>
      <c r="AQ42" s="228">
        <f t="shared" si="13"/>
        <v>0</v>
      </c>
      <c r="AR42" s="235">
        <v>0.03</v>
      </c>
      <c r="AS42" s="228">
        <f t="shared" si="41"/>
        <v>0</v>
      </c>
      <c r="AT42" s="228"/>
      <c r="AU42" s="228">
        <f t="shared" si="15"/>
        <v>0</v>
      </c>
      <c r="AV42" s="235">
        <v>0.05</v>
      </c>
      <c r="AW42" s="228">
        <f t="shared" si="42"/>
        <v>0</v>
      </c>
      <c r="AX42" s="228"/>
      <c r="AY42" s="228">
        <f t="shared" si="17"/>
        <v>0</v>
      </c>
      <c r="AZ42" s="247">
        <v>0.005</v>
      </c>
      <c r="BA42" s="228">
        <f t="shared" si="43"/>
        <v>0</v>
      </c>
      <c r="BB42" s="228"/>
      <c r="BC42" s="228">
        <f t="shared" si="18"/>
        <v>0</v>
      </c>
      <c r="BD42" s="228">
        <v>15000</v>
      </c>
      <c r="BE42" s="228">
        <f>15000</f>
        <v>15000</v>
      </c>
      <c r="BF42" s="228">
        <v>15000</v>
      </c>
      <c r="BG42" s="228">
        <f t="shared" si="20"/>
        <v>0</v>
      </c>
      <c r="BH42" s="228">
        <v>0</v>
      </c>
      <c r="BI42" s="228">
        <f t="shared" si="39"/>
        <v>0</v>
      </c>
      <c r="BJ42" s="228"/>
      <c r="BK42" s="228">
        <f t="shared" si="22"/>
        <v>0</v>
      </c>
      <c r="BL42" s="228" t="s">
        <v>1457</v>
      </c>
      <c r="BM42" s="220">
        <f t="shared" si="32"/>
        <v>0</v>
      </c>
      <c r="BN42" s="220"/>
      <c r="BO42" s="220">
        <f t="shared" si="23"/>
        <v>0</v>
      </c>
      <c r="BP42" s="220">
        <f t="shared" si="24"/>
        <v>15000</v>
      </c>
      <c r="BQ42" s="220">
        <f t="shared" si="25"/>
        <v>15000</v>
      </c>
      <c r="BR42" s="220">
        <f t="shared" si="26"/>
        <v>0</v>
      </c>
      <c r="BS42" s="254" t="s">
        <v>39</v>
      </c>
      <c r="BT42" s="229" t="s">
        <v>39</v>
      </c>
      <c r="BU42" s="230" t="s">
        <v>1464</v>
      </c>
      <c r="BV42" s="230" t="s">
        <v>212</v>
      </c>
      <c r="BW42" s="231"/>
    </row>
    <row r="43" s="209" customFormat="1" ht="24" customHeight="1" spans="1:75">
      <c r="A43" s="219">
        <v>57</v>
      </c>
      <c r="B43" s="220" t="s">
        <v>235</v>
      </c>
      <c r="C43" s="221" t="s">
        <v>175</v>
      </c>
      <c r="D43" s="221" t="s">
        <v>230</v>
      </c>
      <c r="E43" s="221" t="s">
        <v>231</v>
      </c>
      <c r="F43" s="219" t="s">
        <v>81</v>
      </c>
      <c r="G43" s="222" t="s">
        <v>1462</v>
      </c>
      <c r="H43" s="222" t="s">
        <v>60</v>
      </c>
      <c r="I43" s="232" t="s">
        <v>233</v>
      </c>
      <c r="J43" s="255" t="s">
        <v>210</v>
      </c>
      <c r="K43" s="223" cm="1">
        <f t="array" ref="K43">_xlfn.XLOOKUP(D43&amp;E43&amp;H43&amp;I43&amp;J43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66066.8</v>
      </c>
      <c r="L43" s="223"/>
      <c r="M43" s="224"/>
      <c r="N43" s="253">
        <v>29285.63</v>
      </c>
      <c r="O43" s="226">
        <v>450000</v>
      </c>
      <c r="P43" s="247">
        <v>0.03</v>
      </c>
      <c r="Q43" s="228">
        <f t="shared" si="33"/>
        <v>1982.004</v>
      </c>
      <c r="R43" s="228">
        <v>2578.01</v>
      </c>
      <c r="S43" s="228">
        <f t="shared" si="1"/>
        <v>-596.006</v>
      </c>
      <c r="T43" s="228">
        <v>0</v>
      </c>
      <c r="U43" s="228">
        <f t="shared" si="40"/>
        <v>0</v>
      </c>
      <c r="V43" s="228"/>
      <c r="W43" s="228">
        <f t="shared" si="3"/>
        <v>0</v>
      </c>
      <c r="X43" s="235">
        <v>0.02</v>
      </c>
      <c r="Y43" s="228">
        <f t="shared" si="4"/>
        <v>1321.336</v>
      </c>
      <c r="Z43" s="228">
        <v>1718.67</v>
      </c>
      <c r="AA43" s="228">
        <f t="shared" si="5"/>
        <v>-397.334</v>
      </c>
      <c r="AB43" s="228">
        <v>0</v>
      </c>
      <c r="AC43" s="228">
        <f t="shared" si="6"/>
        <v>0</v>
      </c>
      <c r="AD43" s="228"/>
      <c r="AE43" s="228">
        <f t="shared" si="7"/>
        <v>0</v>
      </c>
      <c r="AF43" s="228">
        <v>0</v>
      </c>
      <c r="AG43" s="228">
        <f t="shared" si="8"/>
        <v>0</v>
      </c>
      <c r="AH43" s="228"/>
      <c r="AI43" s="228">
        <f t="shared" si="9"/>
        <v>0</v>
      </c>
      <c r="AJ43" s="228">
        <v>0</v>
      </c>
      <c r="AK43" s="228">
        <f t="shared" si="10"/>
        <v>0</v>
      </c>
      <c r="AL43" s="228"/>
      <c r="AM43" s="228">
        <f t="shared" si="11"/>
        <v>0</v>
      </c>
      <c r="AN43" s="228">
        <v>0</v>
      </c>
      <c r="AO43" s="228">
        <f t="shared" si="12"/>
        <v>0</v>
      </c>
      <c r="AP43" s="228"/>
      <c r="AQ43" s="228">
        <f t="shared" si="13"/>
        <v>0</v>
      </c>
      <c r="AR43" s="235">
        <v>0.02</v>
      </c>
      <c r="AS43" s="228">
        <f t="shared" si="41"/>
        <v>1321.336</v>
      </c>
      <c r="AT43" s="228">
        <v>1718.67</v>
      </c>
      <c r="AU43" s="228">
        <f t="shared" si="15"/>
        <v>-397.334</v>
      </c>
      <c r="AV43" s="228">
        <v>0</v>
      </c>
      <c r="AW43" s="228">
        <f t="shared" si="42"/>
        <v>0</v>
      </c>
      <c r="AX43" s="228"/>
      <c r="AY43" s="228">
        <f t="shared" si="17"/>
        <v>0</v>
      </c>
      <c r="AZ43" s="228" t="s">
        <v>1457</v>
      </c>
      <c r="BA43" s="228">
        <f t="shared" ref="BA43:BA81" si="44">BB43</f>
        <v>0</v>
      </c>
      <c r="BB43" s="228"/>
      <c r="BC43" s="228">
        <f t="shared" si="18"/>
        <v>0</v>
      </c>
      <c r="BD43" s="235">
        <v>0.01</v>
      </c>
      <c r="BE43" s="228">
        <f>K43*BD43</f>
        <v>660.668</v>
      </c>
      <c r="BF43" s="228">
        <v>859.34</v>
      </c>
      <c r="BG43" s="228">
        <f t="shared" si="20"/>
        <v>-198.672</v>
      </c>
      <c r="BH43" s="228">
        <v>0</v>
      </c>
      <c r="BI43" s="228">
        <f t="shared" si="39"/>
        <v>0</v>
      </c>
      <c r="BJ43" s="228"/>
      <c r="BK43" s="228">
        <f t="shared" si="22"/>
        <v>0</v>
      </c>
      <c r="BL43" s="228" t="s">
        <v>1457</v>
      </c>
      <c r="BM43" s="220">
        <f t="shared" si="32"/>
        <v>40922.01</v>
      </c>
      <c r="BN43" s="256">
        <v>40922.01</v>
      </c>
      <c r="BO43" s="220">
        <f t="shared" si="23"/>
        <v>0</v>
      </c>
      <c r="BP43" s="220">
        <f t="shared" si="24"/>
        <v>75492.984</v>
      </c>
      <c r="BQ43" s="220">
        <f t="shared" si="25"/>
        <v>77082.33</v>
      </c>
      <c r="BR43" s="220">
        <f t="shared" si="26"/>
        <v>-1589.34600000001</v>
      </c>
      <c r="BS43" s="254" t="s">
        <v>39</v>
      </c>
      <c r="BT43" s="229" t="s">
        <v>39</v>
      </c>
      <c r="BU43" s="230" t="s">
        <v>234</v>
      </c>
      <c r="BV43" s="230" t="s">
        <v>189</v>
      </c>
      <c r="BW43" s="231"/>
    </row>
    <row r="44" s="209" customFormat="1" ht="24" customHeight="1" spans="1:75">
      <c r="A44" s="219">
        <v>58</v>
      </c>
      <c r="B44" s="220" t="s">
        <v>239</v>
      </c>
      <c r="C44" s="221" t="s">
        <v>175</v>
      </c>
      <c r="D44" s="221" t="s">
        <v>230</v>
      </c>
      <c r="E44" s="221" t="s">
        <v>231</v>
      </c>
      <c r="F44" s="219" t="s">
        <v>81</v>
      </c>
      <c r="G44" s="222" t="s">
        <v>1462</v>
      </c>
      <c r="H44" s="222" t="s">
        <v>66</v>
      </c>
      <c r="I44" s="232" t="s">
        <v>236</v>
      </c>
      <c r="J44" s="255" t="s">
        <v>196</v>
      </c>
      <c r="K44" s="223" cm="1">
        <f t="array" ref="K44">_xlfn.XLOOKUP(D44&amp;E44&amp;H44&amp;I44&amp;J44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4" s="223"/>
      <c r="M44" s="224"/>
      <c r="N44" s="253"/>
      <c r="O44" s="226">
        <v>145000</v>
      </c>
      <c r="P44" s="247">
        <v>0.03</v>
      </c>
      <c r="Q44" s="228">
        <f t="shared" si="33"/>
        <v>0</v>
      </c>
      <c r="R44" s="228"/>
      <c r="S44" s="228">
        <f t="shared" si="1"/>
        <v>0</v>
      </c>
      <c r="T44" s="228">
        <v>0</v>
      </c>
      <c r="U44" s="228">
        <f t="shared" si="40"/>
        <v>0</v>
      </c>
      <c r="V44" s="228"/>
      <c r="W44" s="228">
        <f t="shared" si="3"/>
        <v>0</v>
      </c>
      <c r="X44" s="235">
        <v>0.02</v>
      </c>
      <c r="Y44" s="228">
        <f t="shared" si="4"/>
        <v>0</v>
      </c>
      <c r="Z44" s="228"/>
      <c r="AA44" s="228">
        <f t="shared" si="5"/>
        <v>0</v>
      </c>
      <c r="AB44" s="228">
        <v>0</v>
      </c>
      <c r="AC44" s="228">
        <f t="shared" si="6"/>
        <v>0</v>
      </c>
      <c r="AD44" s="228"/>
      <c r="AE44" s="228">
        <f t="shared" si="7"/>
        <v>0</v>
      </c>
      <c r="AF44" s="228">
        <v>0</v>
      </c>
      <c r="AG44" s="228">
        <f t="shared" si="8"/>
        <v>0</v>
      </c>
      <c r="AH44" s="228"/>
      <c r="AI44" s="228">
        <f t="shared" si="9"/>
        <v>0</v>
      </c>
      <c r="AJ44" s="228">
        <v>0</v>
      </c>
      <c r="AK44" s="228">
        <f t="shared" si="10"/>
        <v>0</v>
      </c>
      <c r="AL44" s="228"/>
      <c r="AM44" s="228">
        <f t="shared" si="11"/>
        <v>0</v>
      </c>
      <c r="AN44" s="228">
        <v>0</v>
      </c>
      <c r="AO44" s="228">
        <f t="shared" si="12"/>
        <v>0</v>
      </c>
      <c r="AP44" s="228"/>
      <c r="AQ44" s="228">
        <f t="shared" si="13"/>
        <v>0</v>
      </c>
      <c r="AR44" s="235">
        <v>0.02</v>
      </c>
      <c r="AS44" s="228">
        <f t="shared" si="41"/>
        <v>0</v>
      </c>
      <c r="AT44" s="228"/>
      <c r="AU44" s="228">
        <f t="shared" si="15"/>
        <v>0</v>
      </c>
      <c r="AV44" s="228">
        <v>0</v>
      </c>
      <c r="AW44" s="228">
        <f t="shared" si="42"/>
        <v>0</v>
      </c>
      <c r="AX44" s="228"/>
      <c r="AY44" s="228">
        <f t="shared" si="17"/>
        <v>0</v>
      </c>
      <c r="AZ44" s="228" t="s">
        <v>1457</v>
      </c>
      <c r="BA44" s="228">
        <f t="shared" si="44"/>
        <v>0</v>
      </c>
      <c r="BB44" s="228"/>
      <c r="BC44" s="228">
        <f t="shared" si="18"/>
        <v>0</v>
      </c>
      <c r="BD44" s="235">
        <v>0.01</v>
      </c>
      <c r="BE44" s="228">
        <f>K44*BD44</f>
        <v>0</v>
      </c>
      <c r="BF44" s="228"/>
      <c r="BG44" s="228">
        <f t="shared" si="20"/>
        <v>0</v>
      </c>
      <c r="BH44" s="228">
        <v>0</v>
      </c>
      <c r="BI44" s="228">
        <f t="shared" si="39"/>
        <v>0</v>
      </c>
      <c r="BJ44" s="228"/>
      <c r="BK44" s="228">
        <f t="shared" si="22"/>
        <v>0</v>
      </c>
      <c r="BL44" s="228" t="s">
        <v>1457</v>
      </c>
      <c r="BM44" s="220">
        <f t="shared" si="32"/>
        <v>0</v>
      </c>
      <c r="BN44" s="256"/>
      <c r="BO44" s="220">
        <f t="shared" si="23"/>
        <v>0</v>
      </c>
      <c r="BP44" s="220">
        <f t="shared" si="24"/>
        <v>0</v>
      </c>
      <c r="BQ44" s="220">
        <f t="shared" si="25"/>
        <v>0</v>
      </c>
      <c r="BR44" s="220">
        <f t="shared" si="26"/>
        <v>0</v>
      </c>
      <c r="BS44" s="254" t="s">
        <v>39</v>
      </c>
      <c r="BT44" s="229" t="s">
        <v>39</v>
      </c>
      <c r="BU44" s="230" t="s">
        <v>234</v>
      </c>
      <c r="BV44" s="230" t="s">
        <v>189</v>
      </c>
      <c r="BW44" s="231"/>
    </row>
    <row r="45" s="209" customFormat="1" ht="36" customHeight="1" spans="1:75">
      <c r="A45" s="219">
        <v>60</v>
      </c>
      <c r="B45" s="220" t="s">
        <v>248</v>
      </c>
      <c r="C45" s="221" t="s">
        <v>175</v>
      </c>
      <c r="D45" s="221" t="s">
        <v>237</v>
      </c>
      <c r="E45" s="221" t="s">
        <v>238</v>
      </c>
      <c r="F45" s="219" t="s">
        <v>81</v>
      </c>
      <c r="G45" s="222" t="s">
        <v>1462</v>
      </c>
      <c r="H45" s="233" t="s">
        <v>39</v>
      </c>
      <c r="I45" s="232" t="s">
        <v>240</v>
      </c>
      <c r="J45" s="233" t="s">
        <v>1465</v>
      </c>
      <c r="K45" s="223" cm="1">
        <f t="array" ref="K45">_xlfn.XLOOKUP(D45&amp;E45&amp;H45&amp;I45&amp;J45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5" s="223"/>
      <c r="M45" s="224"/>
      <c r="N45" s="257">
        <v>23548.67</v>
      </c>
      <c r="O45" s="226">
        <v>6000000</v>
      </c>
      <c r="P45" s="247">
        <v>0.035</v>
      </c>
      <c r="Q45" s="228">
        <f>(K45+K46+K48+K49+K50+K51+K52+K53)*P45-R46</f>
        <v>0</v>
      </c>
      <c r="R45" s="258">
        <v>0</v>
      </c>
      <c r="S45" s="228">
        <f t="shared" si="1"/>
        <v>0</v>
      </c>
      <c r="T45" s="228" t="s">
        <v>1457</v>
      </c>
      <c r="U45" s="228">
        <f>V45</f>
        <v>0</v>
      </c>
      <c r="V45" s="259">
        <v>0</v>
      </c>
      <c r="W45" s="228">
        <f t="shared" si="3"/>
        <v>0</v>
      </c>
      <c r="X45" s="235">
        <v>0</v>
      </c>
      <c r="Y45" s="228">
        <f t="shared" si="4"/>
        <v>0</v>
      </c>
      <c r="Z45" s="228"/>
      <c r="AA45" s="228">
        <f t="shared" si="5"/>
        <v>0</v>
      </c>
      <c r="AB45" s="228" t="s">
        <v>1466</v>
      </c>
      <c r="AC45" s="228">
        <f>AD45</f>
        <v>0</v>
      </c>
      <c r="AD45" s="260">
        <v>0</v>
      </c>
      <c r="AE45" s="228">
        <f t="shared" si="7"/>
        <v>0</v>
      </c>
      <c r="AF45" s="228" t="s">
        <v>1467</v>
      </c>
      <c r="AG45" s="228">
        <f>AH45</f>
        <v>0</v>
      </c>
      <c r="AH45" s="228"/>
      <c r="AI45" s="228">
        <f t="shared" si="9"/>
        <v>0</v>
      </c>
      <c r="AJ45" s="235">
        <v>0</v>
      </c>
      <c r="AK45" s="228">
        <f t="shared" si="10"/>
        <v>0</v>
      </c>
      <c r="AL45" s="228"/>
      <c r="AM45" s="228">
        <f t="shared" si="11"/>
        <v>0</v>
      </c>
      <c r="AN45" s="235">
        <v>0</v>
      </c>
      <c r="AO45" s="228">
        <f t="shared" si="12"/>
        <v>0</v>
      </c>
      <c r="AP45" s="228"/>
      <c r="AQ45" s="228">
        <f t="shared" si="13"/>
        <v>0</v>
      </c>
      <c r="AR45" s="228">
        <v>0</v>
      </c>
      <c r="AS45" s="228">
        <f t="shared" si="41"/>
        <v>0</v>
      </c>
      <c r="AT45" s="228"/>
      <c r="AU45" s="228">
        <f t="shared" si="15"/>
        <v>0</v>
      </c>
      <c r="AV45" s="228" t="s">
        <v>1457</v>
      </c>
      <c r="AW45" s="228">
        <f>AX45</f>
        <v>0</v>
      </c>
      <c r="AX45" s="259">
        <v>0</v>
      </c>
      <c r="AY45" s="228">
        <f t="shared" si="17"/>
        <v>0</v>
      </c>
      <c r="AZ45" s="228" t="s">
        <v>1457</v>
      </c>
      <c r="BA45" s="228">
        <f t="shared" si="44"/>
        <v>0</v>
      </c>
      <c r="BB45" s="259"/>
      <c r="BC45" s="228">
        <f t="shared" si="18"/>
        <v>0</v>
      </c>
      <c r="BD45" s="228" t="s">
        <v>1468</v>
      </c>
      <c r="BE45" s="228">
        <f>BF45</f>
        <v>0</v>
      </c>
      <c r="BF45" s="228"/>
      <c r="BG45" s="228">
        <f t="shared" si="20"/>
        <v>0</v>
      </c>
      <c r="BH45" s="228">
        <v>0</v>
      </c>
      <c r="BI45" s="228">
        <f t="shared" si="39"/>
        <v>0</v>
      </c>
      <c r="BJ45" s="228"/>
      <c r="BK45" s="228">
        <f t="shared" si="22"/>
        <v>0</v>
      </c>
      <c r="BL45" s="228" t="s">
        <v>1457</v>
      </c>
      <c r="BM45" s="220">
        <f t="shared" si="32"/>
        <v>0</v>
      </c>
      <c r="BN45" s="259">
        <v>0</v>
      </c>
      <c r="BO45" s="220">
        <f t="shared" si="23"/>
        <v>0</v>
      </c>
      <c r="BP45" s="220">
        <f t="shared" si="24"/>
        <v>23548.67</v>
      </c>
      <c r="BQ45" s="220">
        <f t="shared" si="25"/>
        <v>23548.67</v>
      </c>
      <c r="BR45" s="220">
        <f t="shared" si="26"/>
        <v>0</v>
      </c>
      <c r="BS45" s="229" t="s">
        <v>39</v>
      </c>
      <c r="BT45" s="229" t="s">
        <v>39</v>
      </c>
      <c r="BU45" s="230" t="s">
        <v>243</v>
      </c>
      <c r="BV45" s="230" t="s">
        <v>244</v>
      </c>
      <c r="BW45" s="231"/>
    </row>
    <row r="46" s="209" customFormat="1" ht="24" customHeight="1" spans="1:75">
      <c r="A46" s="219">
        <v>61</v>
      </c>
      <c r="B46" s="220" t="s">
        <v>255</v>
      </c>
      <c r="C46" s="221" t="s">
        <v>175</v>
      </c>
      <c r="D46" s="221" t="s">
        <v>237</v>
      </c>
      <c r="E46" s="221" t="s">
        <v>238</v>
      </c>
      <c r="F46" s="239" t="s">
        <v>81</v>
      </c>
      <c r="G46" s="222" t="s">
        <v>1462</v>
      </c>
      <c r="H46" s="222" t="s">
        <v>66</v>
      </c>
      <c r="I46" s="261" t="s">
        <v>319</v>
      </c>
      <c r="J46" s="261" t="s">
        <v>1469</v>
      </c>
      <c r="K46" s="223" cm="1">
        <f t="array" ref="K46">_xlfn.XLOOKUP(D46&amp;E46&amp;H46&amp;I46&amp;J46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6" s="223"/>
      <c r="M46" s="224"/>
      <c r="N46" s="262"/>
      <c r="O46" s="226"/>
      <c r="P46" s="247">
        <v>0.26</v>
      </c>
      <c r="Q46" s="228">
        <f t="shared" ref="Q46:Q109" si="45">K46*P46</f>
        <v>0</v>
      </c>
      <c r="R46" s="263"/>
      <c r="S46" s="228">
        <f t="shared" si="1"/>
        <v>0</v>
      </c>
      <c r="T46" s="235">
        <v>0</v>
      </c>
      <c r="U46" s="228">
        <f t="shared" ref="U46:U109" si="46">K46*T46</f>
        <v>0</v>
      </c>
      <c r="V46" s="228"/>
      <c r="W46" s="228">
        <f t="shared" si="3"/>
        <v>0</v>
      </c>
      <c r="X46" s="235">
        <v>0</v>
      </c>
      <c r="Y46" s="228">
        <f t="shared" si="4"/>
        <v>0</v>
      </c>
      <c r="Z46" s="228"/>
      <c r="AA46" s="228">
        <f t="shared" si="5"/>
        <v>0</v>
      </c>
      <c r="AB46" s="235">
        <v>0</v>
      </c>
      <c r="AC46" s="228">
        <f t="shared" ref="AC46:AC104" si="47">K46*AB46</f>
        <v>0</v>
      </c>
      <c r="AD46" s="228"/>
      <c r="AE46" s="228">
        <f t="shared" si="7"/>
        <v>0</v>
      </c>
      <c r="AF46" s="235">
        <v>0</v>
      </c>
      <c r="AG46" s="228">
        <f t="shared" ref="AG46:AG109" si="48">K46*AF46</f>
        <v>0</v>
      </c>
      <c r="AH46" s="228"/>
      <c r="AI46" s="228">
        <f t="shared" si="9"/>
        <v>0</v>
      </c>
      <c r="AJ46" s="235">
        <v>0</v>
      </c>
      <c r="AK46" s="228">
        <f t="shared" si="10"/>
        <v>0</v>
      </c>
      <c r="AL46" s="228"/>
      <c r="AM46" s="228">
        <f t="shared" si="11"/>
        <v>0</v>
      </c>
      <c r="AN46" s="235">
        <v>0</v>
      </c>
      <c r="AO46" s="228">
        <f t="shared" si="12"/>
        <v>0</v>
      </c>
      <c r="AP46" s="228"/>
      <c r="AQ46" s="228">
        <f t="shared" si="13"/>
        <v>0</v>
      </c>
      <c r="AR46" s="228">
        <v>0</v>
      </c>
      <c r="AS46" s="228">
        <f t="shared" si="41"/>
        <v>0</v>
      </c>
      <c r="AT46" s="228"/>
      <c r="AU46" s="228">
        <f t="shared" si="15"/>
        <v>0</v>
      </c>
      <c r="AV46" s="235">
        <v>0</v>
      </c>
      <c r="AW46" s="228">
        <f t="shared" ref="AW46:AW52" si="49">K46*AV46</f>
        <v>0</v>
      </c>
      <c r="AX46" s="264"/>
      <c r="AY46" s="228">
        <f t="shared" si="17"/>
        <v>0</v>
      </c>
      <c r="AZ46" s="228" t="s">
        <v>1457</v>
      </c>
      <c r="BA46" s="228">
        <f t="shared" si="44"/>
        <v>0</v>
      </c>
      <c r="BB46" s="264"/>
      <c r="BC46" s="228">
        <f t="shared" si="18"/>
        <v>0</v>
      </c>
      <c r="BD46" s="228" t="s">
        <v>1470</v>
      </c>
      <c r="BE46" s="228">
        <f>BF46</f>
        <v>0</v>
      </c>
      <c r="BF46" s="228"/>
      <c r="BG46" s="228">
        <f t="shared" si="20"/>
        <v>0</v>
      </c>
      <c r="BH46" s="228">
        <v>0</v>
      </c>
      <c r="BI46" s="228">
        <f t="shared" si="39"/>
        <v>0</v>
      </c>
      <c r="BJ46" s="228"/>
      <c r="BK46" s="228">
        <f t="shared" si="22"/>
        <v>0</v>
      </c>
      <c r="BL46" s="228" t="s">
        <v>1457</v>
      </c>
      <c r="BM46" s="220">
        <f t="shared" si="32"/>
        <v>0</v>
      </c>
      <c r="BN46" s="264">
        <v>0</v>
      </c>
      <c r="BO46" s="220">
        <f t="shared" si="23"/>
        <v>0</v>
      </c>
      <c r="BP46" s="220">
        <f t="shared" si="24"/>
        <v>0</v>
      </c>
      <c r="BQ46" s="220">
        <f t="shared" si="25"/>
        <v>0</v>
      </c>
      <c r="BR46" s="220">
        <f t="shared" si="26"/>
        <v>0</v>
      </c>
      <c r="BS46" s="247"/>
      <c r="BT46" s="235"/>
      <c r="BU46" s="230"/>
      <c r="BV46" s="230"/>
      <c r="BW46" s="231"/>
    </row>
    <row r="47" s="209" customFormat="1" ht="37.5" customHeight="1" spans="1:75">
      <c r="A47" s="219">
        <v>62</v>
      </c>
      <c r="B47" s="220" t="s">
        <v>258</v>
      </c>
      <c r="C47" s="221" t="s">
        <v>175</v>
      </c>
      <c r="D47" s="221" t="s">
        <v>237</v>
      </c>
      <c r="E47" s="221" t="s">
        <v>238</v>
      </c>
      <c r="F47" s="239" t="s">
        <v>81</v>
      </c>
      <c r="G47" s="222" t="s">
        <v>1462</v>
      </c>
      <c r="H47" s="222" t="s">
        <v>70</v>
      </c>
      <c r="I47" s="261" t="s">
        <v>1471</v>
      </c>
      <c r="J47" s="261" t="s">
        <v>1472</v>
      </c>
      <c r="K47" s="223" cm="1">
        <f t="array" ref="K47">_xlfn.XLOOKUP(D47&amp;E47&amp;H47&amp;I47&amp;J47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7" s="223"/>
      <c r="M47" s="224"/>
      <c r="N47" s="253"/>
      <c r="O47" s="226"/>
      <c r="P47" s="247">
        <v>0.28</v>
      </c>
      <c r="Q47" s="228">
        <f t="shared" si="45"/>
        <v>0</v>
      </c>
      <c r="R47" s="228"/>
      <c r="S47" s="228">
        <f t="shared" si="1"/>
        <v>0</v>
      </c>
      <c r="T47" s="235">
        <v>0</v>
      </c>
      <c r="U47" s="228">
        <f t="shared" si="46"/>
        <v>0</v>
      </c>
      <c r="V47" s="228"/>
      <c r="W47" s="228">
        <f t="shared" si="3"/>
        <v>0</v>
      </c>
      <c r="X47" s="235">
        <v>0</v>
      </c>
      <c r="Y47" s="228">
        <f t="shared" si="4"/>
        <v>0</v>
      </c>
      <c r="Z47" s="228"/>
      <c r="AA47" s="228">
        <f t="shared" si="5"/>
        <v>0</v>
      </c>
      <c r="AB47" s="235">
        <v>0</v>
      </c>
      <c r="AC47" s="228">
        <f t="shared" si="47"/>
        <v>0</v>
      </c>
      <c r="AD47" s="228"/>
      <c r="AE47" s="228">
        <f t="shared" si="7"/>
        <v>0</v>
      </c>
      <c r="AF47" s="235">
        <v>0</v>
      </c>
      <c r="AG47" s="228">
        <f t="shared" si="48"/>
        <v>0</v>
      </c>
      <c r="AH47" s="228"/>
      <c r="AI47" s="228">
        <f t="shared" si="9"/>
        <v>0</v>
      </c>
      <c r="AJ47" s="235">
        <v>0</v>
      </c>
      <c r="AK47" s="228">
        <f t="shared" si="10"/>
        <v>0</v>
      </c>
      <c r="AL47" s="228"/>
      <c r="AM47" s="228">
        <f t="shared" si="11"/>
        <v>0</v>
      </c>
      <c r="AN47" s="235">
        <v>0</v>
      </c>
      <c r="AO47" s="228">
        <f t="shared" si="12"/>
        <v>0</v>
      </c>
      <c r="AP47" s="228"/>
      <c r="AQ47" s="228">
        <f t="shared" si="13"/>
        <v>0</v>
      </c>
      <c r="AR47" s="235">
        <v>0</v>
      </c>
      <c r="AS47" s="228">
        <f t="shared" si="41"/>
        <v>0</v>
      </c>
      <c r="AT47" s="228"/>
      <c r="AU47" s="228">
        <f t="shared" si="15"/>
        <v>0</v>
      </c>
      <c r="AV47" s="235">
        <v>0</v>
      </c>
      <c r="AW47" s="228">
        <f t="shared" si="49"/>
        <v>0</v>
      </c>
      <c r="AX47" s="228"/>
      <c r="AY47" s="228">
        <f t="shared" si="17"/>
        <v>0</v>
      </c>
      <c r="AZ47" s="228" t="s">
        <v>1457</v>
      </c>
      <c r="BA47" s="228">
        <f t="shared" si="44"/>
        <v>0</v>
      </c>
      <c r="BB47" s="228"/>
      <c r="BC47" s="228">
        <f t="shared" si="18"/>
        <v>0</v>
      </c>
      <c r="BD47" s="228">
        <v>0</v>
      </c>
      <c r="BE47" s="228">
        <f t="shared" ref="BE47:BE52" si="50">K47*BD47</f>
        <v>0</v>
      </c>
      <c r="BF47" s="228"/>
      <c r="BG47" s="228">
        <f t="shared" si="20"/>
        <v>0</v>
      </c>
      <c r="BH47" s="228">
        <v>0</v>
      </c>
      <c r="BI47" s="228">
        <f t="shared" si="39"/>
        <v>0</v>
      </c>
      <c r="BJ47" s="228"/>
      <c r="BK47" s="228">
        <f t="shared" si="22"/>
        <v>0</v>
      </c>
      <c r="BL47" s="228" t="s">
        <v>1457</v>
      </c>
      <c r="BM47" s="220">
        <f t="shared" si="32"/>
        <v>0</v>
      </c>
      <c r="BN47" s="220"/>
      <c r="BO47" s="220">
        <f t="shared" si="23"/>
        <v>0</v>
      </c>
      <c r="BP47" s="220">
        <f t="shared" si="24"/>
        <v>0</v>
      </c>
      <c r="BQ47" s="220">
        <f t="shared" si="25"/>
        <v>0</v>
      </c>
      <c r="BR47" s="220">
        <f t="shared" si="26"/>
        <v>0</v>
      </c>
      <c r="BS47" s="247"/>
      <c r="BT47" s="235"/>
      <c r="BU47" s="230"/>
      <c r="BV47" s="230"/>
      <c r="BW47" s="231"/>
    </row>
    <row r="48" s="209" customFormat="1" ht="56.25" customHeight="1" spans="1:75">
      <c r="A48" s="219">
        <v>63</v>
      </c>
      <c r="B48" s="220" t="s">
        <v>261</v>
      </c>
      <c r="C48" s="221" t="s">
        <v>175</v>
      </c>
      <c r="D48" s="221" t="s">
        <v>237</v>
      </c>
      <c r="E48" s="221" t="s">
        <v>238</v>
      </c>
      <c r="F48" s="239" t="s">
        <v>81</v>
      </c>
      <c r="G48" s="222" t="s">
        <v>1462</v>
      </c>
      <c r="H48" s="222" t="s">
        <v>74</v>
      </c>
      <c r="I48" s="261" t="s">
        <v>1473</v>
      </c>
      <c r="J48" s="261" t="s">
        <v>1474</v>
      </c>
      <c r="K48" s="223" cm="1">
        <f t="array" ref="K48">_xlfn.XLOOKUP(D48&amp;E48&amp;H48&amp;I48&amp;J48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8" s="223"/>
      <c r="M48" s="224"/>
      <c r="N48" s="253"/>
      <c r="O48" s="226"/>
      <c r="P48" s="247">
        <v>0.27</v>
      </c>
      <c r="Q48" s="228">
        <f t="shared" si="45"/>
        <v>0</v>
      </c>
      <c r="R48" s="228"/>
      <c r="S48" s="228">
        <f t="shared" si="1"/>
        <v>0</v>
      </c>
      <c r="T48" s="235">
        <v>0</v>
      </c>
      <c r="U48" s="228">
        <f t="shared" si="46"/>
        <v>0</v>
      </c>
      <c r="V48" s="228"/>
      <c r="W48" s="228">
        <f t="shared" si="3"/>
        <v>0</v>
      </c>
      <c r="X48" s="235">
        <v>0</v>
      </c>
      <c r="Y48" s="228">
        <f t="shared" si="4"/>
        <v>0</v>
      </c>
      <c r="Z48" s="228"/>
      <c r="AA48" s="228">
        <f t="shared" si="5"/>
        <v>0</v>
      </c>
      <c r="AB48" s="235">
        <v>0</v>
      </c>
      <c r="AC48" s="228">
        <f t="shared" si="47"/>
        <v>0</v>
      </c>
      <c r="AD48" s="228"/>
      <c r="AE48" s="228">
        <f t="shared" si="7"/>
        <v>0</v>
      </c>
      <c r="AF48" s="235">
        <v>0</v>
      </c>
      <c r="AG48" s="228">
        <f t="shared" si="48"/>
        <v>0</v>
      </c>
      <c r="AH48" s="228"/>
      <c r="AI48" s="228">
        <f t="shared" si="9"/>
        <v>0</v>
      </c>
      <c r="AJ48" s="235">
        <v>0</v>
      </c>
      <c r="AK48" s="228">
        <f t="shared" si="10"/>
        <v>0</v>
      </c>
      <c r="AL48" s="228"/>
      <c r="AM48" s="228">
        <f t="shared" si="11"/>
        <v>0</v>
      </c>
      <c r="AN48" s="235">
        <v>0</v>
      </c>
      <c r="AO48" s="228">
        <f t="shared" si="12"/>
        <v>0</v>
      </c>
      <c r="AP48" s="228"/>
      <c r="AQ48" s="228">
        <f t="shared" si="13"/>
        <v>0</v>
      </c>
      <c r="AR48" s="235">
        <v>0</v>
      </c>
      <c r="AS48" s="228">
        <f t="shared" si="41"/>
        <v>0</v>
      </c>
      <c r="AT48" s="228"/>
      <c r="AU48" s="228">
        <f t="shared" si="15"/>
        <v>0</v>
      </c>
      <c r="AV48" s="235">
        <v>0</v>
      </c>
      <c r="AW48" s="228">
        <f t="shared" si="49"/>
        <v>0</v>
      </c>
      <c r="AX48" s="228"/>
      <c r="AY48" s="228">
        <f t="shared" si="17"/>
        <v>0</v>
      </c>
      <c r="AZ48" s="228" t="s">
        <v>1457</v>
      </c>
      <c r="BA48" s="228">
        <f t="shared" si="44"/>
        <v>0</v>
      </c>
      <c r="BB48" s="228"/>
      <c r="BC48" s="228">
        <f t="shared" si="18"/>
        <v>0</v>
      </c>
      <c r="BD48" s="228">
        <v>0</v>
      </c>
      <c r="BE48" s="228">
        <f t="shared" si="50"/>
        <v>0</v>
      </c>
      <c r="BF48" s="228"/>
      <c r="BG48" s="228">
        <f t="shared" si="20"/>
        <v>0</v>
      </c>
      <c r="BH48" s="228">
        <v>0</v>
      </c>
      <c r="BI48" s="228">
        <f t="shared" si="39"/>
        <v>0</v>
      </c>
      <c r="BJ48" s="228"/>
      <c r="BK48" s="228">
        <f t="shared" si="22"/>
        <v>0</v>
      </c>
      <c r="BL48" s="228" t="s">
        <v>1457</v>
      </c>
      <c r="BM48" s="220">
        <f t="shared" si="32"/>
        <v>0</v>
      </c>
      <c r="BN48" s="220"/>
      <c r="BO48" s="220">
        <f t="shared" si="23"/>
        <v>0</v>
      </c>
      <c r="BP48" s="220">
        <f t="shared" si="24"/>
        <v>0</v>
      </c>
      <c r="BQ48" s="220">
        <f t="shared" si="25"/>
        <v>0</v>
      </c>
      <c r="BR48" s="220">
        <f t="shared" si="26"/>
        <v>0</v>
      </c>
      <c r="BS48" s="247"/>
      <c r="BT48" s="235"/>
      <c r="BU48" s="230"/>
      <c r="BV48" s="230"/>
      <c r="BW48" s="231"/>
    </row>
    <row r="49" s="209" customFormat="1" ht="37.5" customHeight="1" spans="1:75">
      <c r="A49" s="219">
        <v>64</v>
      </c>
      <c r="B49" s="220" t="s">
        <v>264</v>
      </c>
      <c r="C49" s="221" t="s">
        <v>175</v>
      </c>
      <c r="D49" s="221" t="s">
        <v>237</v>
      </c>
      <c r="E49" s="221" t="s">
        <v>238</v>
      </c>
      <c r="F49" s="239" t="s">
        <v>81</v>
      </c>
      <c r="G49" s="222" t="s">
        <v>1462</v>
      </c>
      <c r="H49" s="222" t="s">
        <v>86</v>
      </c>
      <c r="I49" s="261" t="s">
        <v>1475</v>
      </c>
      <c r="J49" s="261" t="s">
        <v>1476</v>
      </c>
      <c r="K49" s="223" cm="1">
        <f t="array" ref="K49">_xlfn.XLOOKUP(D49&amp;E49&amp;H49&amp;I49&amp;J49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9" s="223"/>
      <c r="M49" s="224"/>
      <c r="N49" s="253"/>
      <c r="O49" s="226"/>
      <c r="P49" s="247">
        <v>0.28</v>
      </c>
      <c r="Q49" s="228">
        <f t="shared" si="45"/>
        <v>0</v>
      </c>
      <c r="R49" s="228"/>
      <c r="S49" s="228">
        <f t="shared" si="1"/>
        <v>0</v>
      </c>
      <c r="T49" s="235">
        <v>0</v>
      </c>
      <c r="U49" s="228">
        <f t="shared" si="46"/>
        <v>0</v>
      </c>
      <c r="V49" s="228"/>
      <c r="W49" s="228">
        <f t="shared" si="3"/>
        <v>0</v>
      </c>
      <c r="X49" s="235">
        <v>0</v>
      </c>
      <c r="Y49" s="228">
        <f t="shared" si="4"/>
        <v>0</v>
      </c>
      <c r="Z49" s="228"/>
      <c r="AA49" s="228">
        <f t="shared" si="5"/>
        <v>0</v>
      </c>
      <c r="AB49" s="235">
        <v>0</v>
      </c>
      <c r="AC49" s="228">
        <f t="shared" si="47"/>
        <v>0</v>
      </c>
      <c r="AD49" s="228"/>
      <c r="AE49" s="228">
        <f t="shared" si="7"/>
        <v>0</v>
      </c>
      <c r="AF49" s="235">
        <v>0</v>
      </c>
      <c r="AG49" s="228">
        <f t="shared" si="48"/>
        <v>0</v>
      </c>
      <c r="AH49" s="228"/>
      <c r="AI49" s="228">
        <f t="shared" si="9"/>
        <v>0</v>
      </c>
      <c r="AJ49" s="235">
        <v>0</v>
      </c>
      <c r="AK49" s="228">
        <f t="shared" si="10"/>
        <v>0</v>
      </c>
      <c r="AL49" s="228"/>
      <c r="AM49" s="228">
        <f t="shared" si="11"/>
        <v>0</v>
      </c>
      <c r="AN49" s="235">
        <v>0</v>
      </c>
      <c r="AO49" s="228">
        <f t="shared" si="12"/>
        <v>0</v>
      </c>
      <c r="AP49" s="228"/>
      <c r="AQ49" s="228">
        <f t="shared" si="13"/>
        <v>0</v>
      </c>
      <c r="AR49" s="235">
        <v>0</v>
      </c>
      <c r="AS49" s="228">
        <f t="shared" si="41"/>
        <v>0</v>
      </c>
      <c r="AT49" s="228"/>
      <c r="AU49" s="228">
        <f t="shared" si="15"/>
        <v>0</v>
      </c>
      <c r="AV49" s="235">
        <v>0</v>
      </c>
      <c r="AW49" s="228">
        <f t="shared" si="49"/>
        <v>0</v>
      </c>
      <c r="AX49" s="228"/>
      <c r="AY49" s="228">
        <f t="shared" si="17"/>
        <v>0</v>
      </c>
      <c r="AZ49" s="228" t="s">
        <v>1457</v>
      </c>
      <c r="BA49" s="228">
        <f t="shared" si="44"/>
        <v>0</v>
      </c>
      <c r="BB49" s="228"/>
      <c r="BC49" s="228">
        <f t="shared" si="18"/>
        <v>0</v>
      </c>
      <c r="BD49" s="228">
        <v>0</v>
      </c>
      <c r="BE49" s="228">
        <f t="shared" si="50"/>
        <v>0</v>
      </c>
      <c r="BF49" s="228"/>
      <c r="BG49" s="228">
        <f t="shared" si="20"/>
        <v>0</v>
      </c>
      <c r="BH49" s="228">
        <v>0</v>
      </c>
      <c r="BI49" s="228">
        <f t="shared" si="39"/>
        <v>0</v>
      </c>
      <c r="BJ49" s="228"/>
      <c r="BK49" s="228">
        <f t="shared" si="22"/>
        <v>0</v>
      </c>
      <c r="BL49" s="228" t="s">
        <v>1457</v>
      </c>
      <c r="BM49" s="220">
        <f t="shared" si="32"/>
        <v>0</v>
      </c>
      <c r="BN49" s="220"/>
      <c r="BO49" s="220">
        <f t="shared" si="23"/>
        <v>0</v>
      </c>
      <c r="BP49" s="220">
        <f t="shared" si="24"/>
        <v>0</v>
      </c>
      <c r="BQ49" s="220">
        <f t="shared" si="25"/>
        <v>0</v>
      </c>
      <c r="BR49" s="220">
        <f t="shared" si="26"/>
        <v>0</v>
      </c>
      <c r="BS49" s="247"/>
      <c r="BT49" s="235"/>
      <c r="BU49" s="230"/>
      <c r="BV49" s="230"/>
      <c r="BW49" s="231"/>
    </row>
    <row r="50" s="209" customFormat="1" ht="56.25" customHeight="1" spans="1:75">
      <c r="A50" s="219">
        <v>65</v>
      </c>
      <c r="B50" s="220" t="s">
        <v>268</v>
      </c>
      <c r="C50" s="221" t="s">
        <v>175</v>
      </c>
      <c r="D50" s="221" t="s">
        <v>237</v>
      </c>
      <c r="E50" s="221" t="s">
        <v>238</v>
      </c>
      <c r="F50" s="239" t="s">
        <v>81</v>
      </c>
      <c r="G50" s="222" t="s">
        <v>1462</v>
      </c>
      <c r="H50" s="222" t="s">
        <v>272</v>
      </c>
      <c r="I50" s="261" t="s">
        <v>1477</v>
      </c>
      <c r="J50" s="261" t="s">
        <v>1478</v>
      </c>
      <c r="K50" s="223" cm="1">
        <f t="array" ref="K50">_xlfn.XLOOKUP(D50&amp;E50&amp;H50&amp;I50&amp;J50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0" s="223"/>
      <c r="M50" s="224"/>
      <c r="N50" s="253"/>
      <c r="O50" s="226"/>
      <c r="P50" s="247">
        <v>0.28</v>
      </c>
      <c r="Q50" s="228">
        <f t="shared" si="45"/>
        <v>0</v>
      </c>
      <c r="R50" s="228"/>
      <c r="S50" s="228">
        <f t="shared" si="1"/>
        <v>0</v>
      </c>
      <c r="T50" s="235">
        <v>0</v>
      </c>
      <c r="U50" s="228">
        <f t="shared" si="46"/>
        <v>0</v>
      </c>
      <c r="V50" s="228"/>
      <c r="W50" s="228">
        <f t="shared" si="3"/>
        <v>0</v>
      </c>
      <c r="X50" s="235">
        <v>0</v>
      </c>
      <c r="Y50" s="228">
        <f t="shared" si="4"/>
        <v>0</v>
      </c>
      <c r="Z50" s="228"/>
      <c r="AA50" s="228">
        <f t="shared" si="5"/>
        <v>0</v>
      </c>
      <c r="AB50" s="235">
        <v>0</v>
      </c>
      <c r="AC50" s="228">
        <f t="shared" si="47"/>
        <v>0</v>
      </c>
      <c r="AD50" s="228"/>
      <c r="AE50" s="228">
        <f t="shared" si="7"/>
        <v>0</v>
      </c>
      <c r="AF50" s="235">
        <v>0</v>
      </c>
      <c r="AG50" s="228">
        <f t="shared" si="48"/>
        <v>0</v>
      </c>
      <c r="AH50" s="228"/>
      <c r="AI50" s="228">
        <f t="shared" si="9"/>
        <v>0</v>
      </c>
      <c r="AJ50" s="235">
        <v>0</v>
      </c>
      <c r="AK50" s="228">
        <f t="shared" si="10"/>
        <v>0</v>
      </c>
      <c r="AL50" s="228"/>
      <c r="AM50" s="228">
        <f t="shared" si="11"/>
        <v>0</v>
      </c>
      <c r="AN50" s="235">
        <v>0</v>
      </c>
      <c r="AO50" s="228">
        <f t="shared" si="12"/>
        <v>0</v>
      </c>
      <c r="AP50" s="228"/>
      <c r="AQ50" s="228">
        <f t="shared" si="13"/>
        <v>0</v>
      </c>
      <c r="AR50" s="235">
        <v>0</v>
      </c>
      <c r="AS50" s="228">
        <f t="shared" si="41"/>
        <v>0</v>
      </c>
      <c r="AT50" s="228"/>
      <c r="AU50" s="228">
        <f t="shared" si="15"/>
        <v>0</v>
      </c>
      <c r="AV50" s="235">
        <v>0</v>
      </c>
      <c r="AW50" s="228">
        <f t="shared" si="49"/>
        <v>0</v>
      </c>
      <c r="AX50" s="228"/>
      <c r="AY50" s="228">
        <f t="shared" si="17"/>
        <v>0</v>
      </c>
      <c r="AZ50" s="228" t="s">
        <v>1457</v>
      </c>
      <c r="BA50" s="228">
        <f t="shared" si="44"/>
        <v>0</v>
      </c>
      <c r="BB50" s="228"/>
      <c r="BC50" s="228">
        <f t="shared" si="18"/>
        <v>0</v>
      </c>
      <c r="BD50" s="228">
        <v>0</v>
      </c>
      <c r="BE50" s="228">
        <f t="shared" si="50"/>
        <v>0</v>
      </c>
      <c r="BF50" s="228"/>
      <c r="BG50" s="228">
        <f t="shared" si="20"/>
        <v>0</v>
      </c>
      <c r="BH50" s="228">
        <v>0</v>
      </c>
      <c r="BI50" s="228">
        <f t="shared" si="39"/>
        <v>0</v>
      </c>
      <c r="BJ50" s="228"/>
      <c r="BK50" s="228">
        <f t="shared" si="22"/>
        <v>0</v>
      </c>
      <c r="BL50" s="228" t="s">
        <v>1457</v>
      </c>
      <c r="BM50" s="220">
        <f t="shared" si="32"/>
        <v>0</v>
      </c>
      <c r="BN50" s="220"/>
      <c r="BO50" s="220">
        <f t="shared" si="23"/>
        <v>0</v>
      </c>
      <c r="BP50" s="220">
        <f t="shared" si="24"/>
        <v>0</v>
      </c>
      <c r="BQ50" s="220">
        <f t="shared" si="25"/>
        <v>0</v>
      </c>
      <c r="BR50" s="220">
        <f t="shared" si="26"/>
        <v>0</v>
      </c>
      <c r="BS50" s="247"/>
      <c r="BT50" s="235"/>
      <c r="BU50" s="230"/>
      <c r="BV50" s="230"/>
      <c r="BW50" s="231"/>
    </row>
    <row r="51" s="209" customFormat="1" ht="37.5" customHeight="1" spans="1:75">
      <c r="A51" s="219">
        <v>66</v>
      </c>
      <c r="B51" s="220" t="s">
        <v>271</v>
      </c>
      <c r="C51" s="221" t="s">
        <v>175</v>
      </c>
      <c r="D51" s="221" t="s">
        <v>237</v>
      </c>
      <c r="E51" s="221" t="s">
        <v>238</v>
      </c>
      <c r="F51" s="239" t="s">
        <v>81</v>
      </c>
      <c r="G51" s="222" t="s">
        <v>1462</v>
      </c>
      <c r="H51" s="222" t="s">
        <v>276</v>
      </c>
      <c r="I51" s="261" t="s">
        <v>1479</v>
      </c>
      <c r="J51" s="261" t="s">
        <v>1480</v>
      </c>
      <c r="K51" s="223" cm="1">
        <f t="array" ref="K51">_xlfn.XLOOKUP(D51&amp;E51&amp;H51&amp;I51&amp;J51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1" s="223"/>
      <c r="M51" s="224"/>
      <c r="N51" s="253"/>
      <c r="O51" s="226"/>
      <c r="P51" s="247">
        <v>0.28</v>
      </c>
      <c r="Q51" s="228">
        <f t="shared" si="45"/>
        <v>0</v>
      </c>
      <c r="R51" s="228"/>
      <c r="S51" s="228">
        <f t="shared" si="1"/>
        <v>0</v>
      </c>
      <c r="T51" s="235">
        <v>0</v>
      </c>
      <c r="U51" s="228">
        <f t="shared" si="46"/>
        <v>0</v>
      </c>
      <c r="V51" s="228"/>
      <c r="W51" s="228">
        <f t="shared" si="3"/>
        <v>0</v>
      </c>
      <c r="X51" s="235">
        <v>0</v>
      </c>
      <c r="Y51" s="228">
        <f t="shared" si="4"/>
        <v>0</v>
      </c>
      <c r="Z51" s="228"/>
      <c r="AA51" s="228">
        <f t="shared" si="5"/>
        <v>0</v>
      </c>
      <c r="AB51" s="235">
        <v>0</v>
      </c>
      <c r="AC51" s="228">
        <f t="shared" si="47"/>
        <v>0</v>
      </c>
      <c r="AD51" s="228"/>
      <c r="AE51" s="228">
        <f t="shared" si="7"/>
        <v>0</v>
      </c>
      <c r="AF51" s="235">
        <v>0</v>
      </c>
      <c r="AG51" s="228">
        <f t="shared" si="48"/>
        <v>0</v>
      </c>
      <c r="AH51" s="228"/>
      <c r="AI51" s="228">
        <f t="shared" si="9"/>
        <v>0</v>
      </c>
      <c r="AJ51" s="235">
        <v>0</v>
      </c>
      <c r="AK51" s="228">
        <f t="shared" si="10"/>
        <v>0</v>
      </c>
      <c r="AL51" s="228"/>
      <c r="AM51" s="228">
        <f t="shared" si="11"/>
        <v>0</v>
      </c>
      <c r="AN51" s="235">
        <v>0</v>
      </c>
      <c r="AO51" s="228">
        <f t="shared" si="12"/>
        <v>0</v>
      </c>
      <c r="AP51" s="228"/>
      <c r="AQ51" s="228">
        <f t="shared" si="13"/>
        <v>0</v>
      </c>
      <c r="AR51" s="235">
        <v>0</v>
      </c>
      <c r="AS51" s="228">
        <f t="shared" si="41"/>
        <v>0</v>
      </c>
      <c r="AT51" s="228"/>
      <c r="AU51" s="228">
        <f t="shared" si="15"/>
        <v>0</v>
      </c>
      <c r="AV51" s="235">
        <v>0</v>
      </c>
      <c r="AW51" s="228">
        <f t="shared" si="49"/>
        <v>0</v>
      </c>
      <c r="AX51" s="228"/>
      <c r="AY51" s="228">
        <f t="shared" si="17"/>
        <v>0</v>
      </c>
      <c r="AZ51" s="228" t="s">
        <v>1457</v>
      </c>
      <c r="BA51" s="228">
        <f t="shared" si="44"/>
        <v>0</v>
      </c>
      <c r="BB51" s="228"/>
      <c r="BC51" s="228">
        <f t="shared" si="18"/>
        <v>0</v>
      </c>
      <c r="BD51" s="228">
        <v>0</v>
      </c>
      <c r="BE51" s="228">
        <f t="shared" si="50"/>
        <v>0</v>
      </c>
      <c r="BF51" s="228"/>
      <c r="BG51" s="228">
        <f t="shared" si="20"/>
        <v>0</v>
      </c>
      <c r="BH51" s="228">
        <v>0</v>
      </c>
      <c r="BI51" s="228">
        <f t="shared" si="39"/>
        <v>0</v>
      </c>
      <c r="BJ51" s="228"/>
      <c r="BK51" s="228">
        <f t="shared" si="22"/>
        <v>0</v>
      </c>
      <c r="BL51" s="228" t="s">
        <v>1457</v>
      </c>
      <c r="BM51" s="220">
        <f t="shared" si="32"/>
        <v>0</v>
      </c>
      <c r="BN51" s="220"/>
      <c r="BO51" s="220">
        <f t="shared" si="23"/>
        <v>0</v>
      </c>
      <c r="BP51" s="220">
        <f t="shared" si="24"/>
        <v>0</v>
      </c>
      <c r="BQ51" s="220">
        <f t="shared" si="25"/>
        <v>0</v>
      </c>
      <c r="BR51" s="220">
        <f t="shared" si="26"/>
        <v>0</v>
      </c>
      <c r="BS51" s="247"/>
      <c r="BT51" s="235"/>
      <c r="BU51" s="230"/>
      <c r="BV51" s="230"/>
      <c r="BW51" s="231"/>
    </row>
    <row r="52" s="209" customFormat="1" ht="37.5" customHeight="1" spans="1:75">
      <c r="A52" s="219">
        <v>67</v>
      </c>
      <c r="B52" s="220" t="s">
        <v>275</v>
      </c>
      <c r="C52" s="221" t="s">
        <v>175</v>
      </c>
      <c r="D52" s="221" t="s">
        <v>237</v>
      </c>
      <c r="E52" s="221" t="s">
        <v>238</v>
      </c>
      <c r="F52" s="239" t="s">
        <v>81</v>
      </c>
      <c r="G52" s="222" t="s">
        <v>1462</v>
      </c>
      <c r="H52" s="222" t="s">
        <v>280</v>
      </c>
      <c r="I52" s="261" t="s">
        <v>1481</v>
      </c>
      <c r="J52" s="261" t="s">
        <v>1482</v>
      </c>
      <c r="K52" s="223" cm="1">
        <f t="array" ref="K52">_xlfn.XLOOKUP(D52&amp;E52&amp;H52&amp;I52&amp;J52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2" s="223"/>
      <c r="M52" s="224"/>
      <c r="N52" s="253"/>
      <c r="O52" s="226"/>
      <c r="P52" s="247">
        <v>0.13</v>
      </c>
      <c r="Q52" s="228">
        <f t="shared" si="45"/>
        <v>0</v>
      </c>
      <c r="R52" s="228"/>
      <c r="S52" s="228">
        <f t="shared" si="1"/>
        <v>0</v>
      </c>
      <c r="T52" s="235">
        <v>0</v>
      </c>
      <c r="U52" s="228">
        <f t="shared" si="46"/>
        <v>0</v>
      </c>
      <c r="V52" s="228"/>
      <c r="W52" s="228">
        <f t="shared" si="3"/>
        <v>0</v>
      </c>
      <c r="X52" s="235">
        <v>0</v>
      </c>
      <c r="Y52" s="228">
        <f t="shared" si="4"/>
        <v>0</v>
      </c>
      <c r="Z52" s="228"/>
      <c r="AA52" s="228">
        <f t="shared" si="5"/>
        <v>0</v>
      </c>
      <c r="AB52" s="235">
        <v>0</v>
      </c>
      <c r="AC52" s="228">
        <f t="shared" si="47"/>
        <v>0</v>
      </c>
      <c r="AD52" s="228"/>
      <c r="AE52" s="228">
        <f t="shared" si="7"/>
        <v>0</v>
      </c>
      <c r="AF52" s="235">
        <v>0</v>
      </c>
      <c r="AG52" s="228">
        <f t="shared" si="48"/>
        <v>0</v>
      </c>
      <c r="AH52" s="228"/>
      <c r="AI52" s="228">
        <f t="shared" si="9"/>
        <v>0</v>
      </c>
      <c r="AJ52" s="235">
        <v>0</v>
      </c>
      <c r="AK52" s="228">
        <f t="shared" si="10"/>
        <v>0</v>
      </c>
      <c r="AL52" s="228"/>
      <c r="AM52" s="228">
        <f t="shared" si="11"/>
        <v>0</v>
      </c>
      <c r="AN52" s="235">
        <v>0</v>
      </c>
      <c r="AO52" s="228">
        <f t="shared" si="12"/>
        <v>0</v>
      </c>
      <c r="AP52" s="228"/>
      <c r="AQ52" s="228">
        <f t="shared" si="13"/>
        <v>0</v>
      </c>
      <c r="AR52" s="235">
        <v>0</v>
      </c>
      <c r="AS52" s="228">
        <f t="shared" si="41"/>
        <v>0</v>
      </c>
      <c r="AT52" s="228"/>
      <c r="AU52" s="228">
        <f t="shared" si="15"/>
        <v>0</v>
      </c>
      <c r="AV52" s="235">
        <v>0</v>
      </c>
      <c r="AW52" s="228">
        <f t="shared" si="49"/>
        <v>0</v>
      </c>
      <c r="AX52" s="228"/>
      <c r="AY52" s="228">
        <f t="shared" si="17"/>
        <v>0</v>
      </c>
      <c r="AZ52" s="228" t="s">
        <v>1457</v>
      </c>
      <c r="BA52" s="228">
        <f t="shared" si="44"/>
        <v>0</v>
      </c>
      <c r="BB52" s="228"/>
      <c r="BC52" s="228">
        <f t="shared" si="18"/>
        <v>0</v>
      </c>
      <c r="BD52" s="228">
        <v>0</v>
      </c>
      <c r="BE52" s="228">
        <f t="shared" si="50"/>
        <v>0</v>
      </c>
      <c r="BF52" s="228"/>
      <c r="BG52" s="228">
        <f t="shared" si="20"/>
        <v>0</v>
      </c>
      <c r="BH52" s="228">
        <v>0</v>
      </c>
      <c r="BI52" s="228">
        <f t="shared" si="39"/>
        <v>0</v>
      </c>
      <c r="BJ52" s="228"/>
      <c r="BK52" s="228">
        <f t="shared" si="22"/>
        <v>0</v>
      </c>
      <c r="BL52" s="228" t="s">
        <v>1457</v>
      </c>
      <c r="BM52" s="220">
        <f t="shared" si="32"/>
        <v>0</v>
      </c>
      <c r="BN52" s="220"/>
      <c r="BO52" s="220">
        <f t="shared" si="23"/>
        <v>0</v>
      </c>
      <c r="BP52" s="220">
        <f t="shared" si="24"/>
        <v>0</v>
      </c>
      <c r="BQ52" s="220">
        <f t="shared" si="25"/>
        <v>0</v>
      </c>
      <c r="BR52" s="220">
        <f t="shared" si="26"/>
        <v>0</v>
      </c>
      <c r="BS52" s="247"/>
      <c r="BT52" s="235"/>
      <c r="BU52" s="230"/>
      <c r="BV52" s="230"/>
      <c r="BW52" s="231"/>
    </row>
    <row r="53" s="209" customFormat="1" ht="112.5" customHeight="1" spans="1:75">
      <c r="A53" s="219">
        <v>68</v>
      </c>
      <c r="B53" s="220" t="s">
        <v>279</v>
      </c>
      <c r="C53" s="221" t="s">
        <v>175</v>
      </c>
      <c r="D53" s="221" t="s">
        <v>237</v>
      </c>
      <c r="E53" s="221" t="s">
        <v>238</v>
      </c>
      <c r="F53" s="239" t="s">
        <v>81</v>
      </c>
      <c r="G53" s="222" t="s">
        <v>1462</v>
      </c>
      <c r="H53" s="222" t="s">
        <v>322</v>
      </c>
      <c r="I53" s="261" t="s">
        <v>1483</v>
      </c>
      <c r="J53" s="261" t="s">
        <v>1484</v>
      </c>
      <c r="K53" s="223" cm="1">
        <f t="array" ref="K53">_xlfn.XLOOKUP(D53&amp;E53&amp;H53&amp;I53&amp;J53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3" s="223"/>
      <c r="M53" s="224"/>
      <c r="N53" s="253"/>
      <c r="O53" s="226"/>
      <c r="P53" s="247">
        <v>0.06</v>
      </c>
      <c r="Q53" s="228">
        <f t="shared" si="45"/>
        <v>0</v>
      </c>
      <c r="R53" s="228"/>
      <c r="S53" s="228">
        <f t="shared" si="1"/>
        <v>0</v>
      </c>
      <c r="T53" s="235">
        <v>0</v>
      </c>
      <c r="U53" s="228">
        <f t="shared" si="46"/>
        <v>0</v>
      </c>
      <c r="V53" s="228"/>
      <c r="W53" s="228">
        <f t="shared" si="3"/>
        <v>0</v>
      </c>
      <c r="X53" s="235">
        <v>0</v>
      </c>
      <c r="Y53" s="228">
        <f t="shared" si="4"/>
        <v>0</v>
      </c>
      <c r="Z53" s="228"/>
      <c r="AA53" s="228">
        <f t="shared" si="5"/>
        <v>0</v>
      </c>
      <c r="AB53" s="235">
        <v>0</v>
      </c>
      <c r="AC53" s="228">
        <f t="shared" si="47"/>
        <v>0</v>
      </c>
      <c r="AD53" s="228"/>
      <c r="AE53" s="228">
        <f t="shared" si="7"/>
        <v>0</v>
      </c>
      <c r="AF53" s="235">
        <v>0</v>
      </c>
      <c r="AG53" s="228">
        <f t="shared" si="48"/>
        <v>0</v>
      </c>
      <c r="AH53" s="265"/>
      <c r="AI53" s="228">
        <f t="shared" si="9"/>
        <v>0</v>
      </c>
      <c r="AJ53" s="235">
        <v>0</v>
      </c>
      <c r="AK53" s="228">
        <f t="shared" si="10"/>
        <v>0</v>
      </c>
      <c r="AL53" s="228"/>
      <c r="AM53" s="228">
        <f t="shared" si="11"/>
        <v>0</v>
      </c>
      <c r="AN53" s="235">
        <v>0</v>
      </c>
      <c r="AO53" s="228">
        <f t="shared" si="12"/>
        <v>0</v>
      </c>
      <c r="AP53" s="228"/>
      <c r="AQ53" s="228">
        <f t="shared" si="13"/>
        <v>0</v>
      </c>
      <c r="AR53" s="235">
        <v>0</v>
      </c>
      <c r="AS53" s="228">
        <f t="shared" si="41"/>
        <v>0</v>
      </c>
      <c r="AT53" s="228"/>
      <c r="AU53" s="228">
        <f t="shared" si="15"/>
        <v>0</v>
      </c>
      <c r="AV53" s="235">
        <v>0</v>
      </c>
      <c r="AW53" s="228">
        <f>AX53</f>
        <v>10351.87</v>
      </c>
      <c r="AX53" s="228">
        <v>10351.87</v>
      </c>
      <c r="AY53" s="228">
        <f t="shared" si="17"/>
        <v>0</v>
      </c>
      <c r="AZ53" s="228" t="s">
        <v>1457</v>
      </c>
      <c r="BA53" s="228">
        <f t="shared" si="44"/>
        <v>0</v>
      </c>
      <c r="BB53" s="228"/>
      <c r="BC53" s="228">
        <f t="shared" si="18"/>
        <v>0</v>
      </c>
      <c r="BD53" s="228" t="s">
        <v>1485</v>
      </c>
      <c r="BE53" s="228">
        <f>BF53</f>
        <v>0</v>
      </c>
      <c r="BF53" s="228"/>
      <c r="BG53" s="228">
        <f t="shared" si="20"/>
        <v>0</v>
      </c>
      <c r="BH53" s="228">
        <v>0</v>
      </c>
      <c r="BI53" s="228">
        <f t="shared" si="39"/>
        <v>0</v>
      </c>
      <c r="BJ53" s="228"/>
      <c r="BK53" s="228">
        <f t="shared" si="22"/>
        <v>0</v>
      </c>
      <c r="BL53" s="228" t="s">
        <v>1457</v>
      </c>
      <c r="BM53" s="220">
        <f t="shared" si="32"/>
        <v>0</v>
      </c>
      <c r="BN53" s="220"/>
      <c r="BO53" s="220">
        <f t="shared" si="23"/>
        <v>0</v>
      </c>
      <c r="BP53" s="220">
        <f t="shared" si="24"/>
        <v>10351.87</v>
      </c>
      <c r="BQ53" s="220">
        <f t="shared" si="25"/>
        <v>10351.87</v>
      </c>
      <c r="BR53" s="220">
        <f t="shared" si="26"/>
        <v>0</v>
      </c>
      <c r="BS53" s="247"/>
      <c r="BT53" s="235"/>
      <c r="BU53" s="230"/>
      <c r="BV53" s="230"/>
      <c r="BW53" s="231"/>
    </row>
    <row r="54" s="209" customFormat="1" ht="36" customHeight="1" spans="1:75">
      <c r="A54" s="219">
        <v>70</v>
      </c>
      <c r="B54" s="220" t="s">
        <v>289</v>
      </c>
      <c r="C54" s="221" t="s">
        <v>175</v>
      </c>
      <c r="D54" s="221" t="s">
        <v>246</v>
      </c>
      <c r="E54" s="242" t="s">
        <v>247</v>
      </c>
      <c r="F54" s="219" t="s">
        <v>81</v>
      </c>
      <c r="G54" s="243" t="s">
        <v>1460</v>
      </c>
      <c r="H54" s="222" t="s">
        <v>60</v>
      </c>
      <c r="I54" s="232" t="s">
        <v>249</v>
      </c>
      <c r="J54" s="233" t="s">
        <v>250</v>
      </c>
      <c r="K54" s="223" cm="1">
        <f t="array" ref="K54">_xlfn.XLOOKUP(D54&amp;E54&amp;H54&amp;I54&amp;J54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4" s="223"/>
      <c r="M54" s="224"/>
      <c r="N54" s="266">
        <v>0</v>
      </c>
      <c r="O54" s="226">
        <v>800000</v>
      </c>
      <c r="P54" s="247">
        <v>0.2</v>
      </c>
      <c r="Q54" s="228">
        <f t="shared" si="45"/>
        <v>0</v>
      </c>
      <c r="R54" s="267"/>
      <c r="S54" s="228">
        <f t="shared" si="1"/>
        <v>0</v>
      </c>
      <c r="T54" s="235">
        <v>0</v>
      </c>
      <c r="U54" s="228">
        <f t="shared" si="46"/>
        <v>0</v>
      </c>
      <c r="V54" s="228"/>
      <c r="W54" s="228">
        <f t="shared" si="3"/>
        <v>0</v>
      </c>
      <c r="X54" s="235">
        <v>0</v>
      </c>
      <c r="Y54" s="228">
        <f t="shared" si="4"/>
        <v>0</v>
      </c>
      <c r="Z54" s="228"/>
      <c r="AA54" s="228">
        <f t="shared" si="5"/>
        <v>0</v>
      </c>
      <c r="AB54" s="247">
        <v>0</v>
      </c>
      <c r="AC54" s="228">
        <f t="shared" si="47"/>
        <v>0</v>
      </c>
      <c r="AD54" s="228"/>
      <c r="AE54" s="228">
        <f t="shared" si="7"/>
        <v>0</v>
      </c>
      <c r="AF54" s="247">
        <v>0</v>
      </c>
      <c r="AG54" s="228">
        <f t="shared" si="48"/>
        <v>0</v>
      </c>
      <c r="AH54" s="228"/>
      <c r="AI54" s="228">
        <f t="shared" si="9"/>
        <v>0</v>
      </c>
      <c r="AJ54" s="247">
        <v>0</v>
      </c>
      <c r="AK54" s="228">
        <f t="shared" si="10"/>
        <v>0</v>
      </c>
      <c r="AL54" s="228"/>
      <c r="AM54" s="228">
        <f t="shared" si="11"/>
        <v>0</v>
      </c>
      <c r="AN54" s="235">
        <v>0</v>
      </c>
      <c r="AO54" s="228">
        <f t="shared" si="12"/>
        <v>0</v>
      </c>
      <c r="AP54" s="228"/>
      <c r="AQ54" s="228">
        <f t="shared" si="13"/>
        <v>0</v>
      </c>
      <c r="AR54" s="247">
        <v>0.03</v>
      </c>
      <c r="AS54" s="228">
        <f t="shared" si="41"/>
        <v>0</v>
      </c>
      <c r="AT54" s="267"/>
      <c r="AU54" s="228">
        <f t="shared" si="15"/>
        <v>0</v>
      </c>
      <c r="AV54" s="247">
        <v>0.04</v>
      </c>
      <c r="AW54" s="228">
        <f t="shared" ref="AW54:AW62" si="51">K54*AV54</f>
        <v>0</v>
      </c>
      <c r="AX54" s="267"/>
      <c r="AY54" s="228">
        <f t="shared" si="17"/>
        <v>0</v>
      </c>
      <c r="AZ54" s="227" t="s">
        <v>1486</v>
      </c>
      <c r="BA54" s="228">
        <f t="shared" si="44"/>
        <v>0</v>
      </c>
      <c r="BB54" s="228"/>
      <c r="BC54" s="228">
        <f t="shared" si="18"/>
        <v>0</v>
      </c>
      <c r="BD54" s="235">
        <v>0</v>
      </c>
      <c r="BE54" s="228">
        <f t="shared" ref="BE54:BE111" si="52">K54*BD54</f>
        <v>0</v>
      </c>
      <c r="BF54" s="235"/>
      <c r="BG54" s="228">
        <f t="shared" si="20"/>
        <v>0</v>
      </c>
      <c r="BH54" s="235">
        <v>0</v>
      </c>
      <c r="BI54" s="228">
        <f t="shared" si="39"/>
        <v>0</v>
      </c>
      <c r="BJ54" s="235"/>
      <c r="BK54" s="228">
        <f t="shared" si="22"/>
        <v>0</v>
      </c>
      <c r="BL54" s="235" t="s">
        <v>1486</v>
      </c>
      <c r="BM54" s="220">
        <f t="shared" si="32"/>
        <v>0</v>
      </c>
      <c r="BN54" s="220"/>
      <c r="BO54" s="220">
        <f t="shared" si="23"/>
        <v>0</v>
      </c>
      <c r="BP54" s="220">
        <f t="shared" si="24"/>
        <v>0</v>
      </c>
      <c r="BQ54" s="220">
        <f t="shared" si="25"/>
        <v>0</v>
      </c>
      <c r="BR54" s="220">
        <f t="shared" si="26"/>
        <v>0</v>
      </c>
      <c r="BS54" s="247" t="s">
        <v>39</v>
      </c>
      <c r="BT54" s="235" t="s">
        <v>39</v>
      </c>
      <c r="BU54" s="250" t="s">
        <v>252</v>
      </c>
      <c r="BV54" s="230" t="s">
        <v>253</v>
      </c>
      <c r="BW54" s="231"/>
    </row>
    <row r="55" s="209" customFormat="1" ht="36" customHeight="1" spans="1:75">
      <c r="A55" s="219">
        <v>71</v>
      </c>
      <c r="B55" s="220" t="s">
        <v>292</v>
      </c>
      <c r="C55" s="221" t="s">
        <v>175</v>
      </c>
      <c r="D55" s="221" t="s">
        <v>246</v>
      </c>
      <c r="E55" s="242" t="s">
        <v>247</v>
      </c>
      <c r="F55" s="219" t="s">
        <v>81</v>
      </c>
      <c r="G55" s="243" t="s">
        <v>1460</v>
      </c>
      <c r="H55" s="222" t="s">
        <v>66</v>
      </c>
      <c r="I55" s="232" t="s">
        <v>256</v>
      </c>
      <c r="J55" s="233" t="s">
        <v>257</v>
      </c>
      <c r="K55" s="223" cm="1">
        <f t="array" ref="K55">_xlfn.XLOOKUP(D55&amp;E55&amp;H55&amp;I55&amp;J55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5" s="223"/>
      <c r="M55" s="224"/>
      <c r="N55" s="266">
        <v>228</v>
      </c>
      <c r="O55" s="226">
        <v>880000</v>
      </c>
      <c r="P55" s="247">
        <v>0.18</v>
      </c>
      <c r="Q55" s="228">
        <f t="shared" si="45"/>
        <v>0</v>
      </c>
      <c r="R55" s="267"/>
      <c r="S55" s="228">
        <f t="shared" si="1"/>
        <v>0</v>
      </c>
      <c r="T55" s="235">
        <v>0</v>
      </c>
      <c r="U55" s="228">
        <f t="shared" si="46"/>
        <v>0</v>
      </c>
      <c r="V55" s="228"/>
      <c r="W55" s="228">
        <f t="shared" si="3"/>
        <v>0</v>
      </c>
      <c r="X55" s="235">
        <v>0</v>
      </c>
      <c r="Y55" s="228">
        <f t="shared" si="4"/>
        <v>0</v>
      </c>
      <c r="Z55" s="228"/>
      <c r="AA55" s="228">
        <f t="shared" si="5"/>
        <v>0</v>
      </c>
      <c r="AB55" s="247">
        <v>0</v>
      </c>
      <c r="AC55" s="228">
        <f t="shared" si="47"/>
        <v>0</v>
      </c>
      <c r="AD55" s="228"/>
      <c r="AE55" s="228">
        <f t="shared" si="7"/>
        <v>0</v>
      </c>
      <c r="AF55" s="247">
        <v>0</v>
      </c>
      <c r="AG55" s="228">
        <f t="shared" si="48"/>
        <v>0</v>
      </c>
      <c r="AH55" s="228"/>
      <c r="AI55" s="228">
        <f t="shared" si="9"/>
        <v>0</v>
      </c>
      <c r="AJ55" s="247">
        <v>0</v>
      </c>
      <c r="AK55" s="228">
        <f t="shared" si="10"/>
        <v>0</v>
      </c>
      <c r="AL55" s="228"/>
      <c r="AM55" s="228">
        <f t="shared" si="11"/>
        <v>0</v>
      </c>
      <c r="AN55" s="235">
        <v>0</v>
      </c>
      <c r="AO55" s="228">
        <f t="shared" si="12"/>
        <v>0</v>
      </c>
      <c r="AP55" s="228"/>
      <c r="AQ55" s="228">
        <f t="shared" si="13"/>
        <v>0</v>
      </c>
      <c r="AR55" s="247">
        <v>0.02</v>
      </c>
      <c r="AS55" s="228">
        <f t="shared" si="41"/>
        <v>0</v>
      </c>
      <c r="AT55" s="267"/>
      <c r="AU55" s="228">
        <f t="shared" si="15"/>
        <v>0</v>
      </c>
      <c r="AV55" s="247">
        <v>0.03</v>
      </c>
      <c r="AW55" s="228">
        <f t="shared" si="51"/>
        <v>0</v>
      </c>
      <c r="AX55" s="267"/>
      <c r="AY55" s="228">
        <f t="shared" si="17"/>
        <v>0</v>
      </c>
      <c r="AZ55" s="227" t="s">
        <v>1486</v>
      </c>
      <c r="BA55" s="228">
        <f t="shared" si="44"/>
        <v>0</v>
      </c>
      <c r="BB55" s="228"/>
      <c r="BC55" s="228">
        <f t="shared" si="18"/>
        <v>0</v>
      </c>
      <c r="BD55" s="235">
        <v>0</v>
      </c>
      <c r="BE55" s="228">
        <f t="shared" si="52"/>
        <v>0</v>
      </c>
      <c r="BF55" s="235"/>
      <c r="BG55" s="228">
        <f t="shared" si="20"/>
        <v>0</v>
      </c>
      <c r="BH55" s="235">
        <v>0</v>
      </c>
      <c r="BI55" s="228">
        <f t="shared" si="39"/>
        <v>0</v>
      </c>
      <c r="BJ55" s="235"/>
      <c r="BK55" s="228">
        <f t="shared" si="22"/>
        <v>0</v>
      </c>
      <c r="BL55" s="235" t="s">
        <v>1486</v>
      </c>
      <c r="BM55" s="220">
        <f t="shared" si="32"/>
        <v>0</v>
      </c>
      <c r="BN55" s="220"/>
      <c r="BO55" s="220">
        <f t="shared" si="23"/>
        <v>0</v>
      </c>
      <c r="BP55" s="220">
        <f t="shared" si="24"/>
        <v>228</v>
      </c>
      <c r="BQ55" s="220">
        <f t="shared" si="25"/>
        <v>228</v>
      </c>
      <c r="BR55" s="220">
        <f t="shared" si="26"/>
        <v>0</v>
      </c>
      <c r="BS55" s="247" t="s">
        <v>39</v>
      </c>
      <c r="BT55" s="235" t="s">
        <v>39</v>
      </c>
      <c r="BU55" s="250" t="s">
        <v>252</v>
      </c>
      <c r="BV55" s="230" t="s">
        <v>253</v>
      </c>
      <c r="BW55" s="231"/>
    </row>
    <row r="56" s="209" customFormat="1" ht="36" customHeight="1" spans="1:75">
      <c r="A56" s="219">
        <v>72</v>
      </c>
      <c r="B56" s="220" t="s">
        <v>296</v>
      </c>
      <c r="C56" s="221" t="s">
        <v>175</v>
      </c>
      <c r="D56" s="221" t="s">
        <v>246</v>
      </c>
      <c r="E56" s="242" t="s">
        <v>247</v>
      </c>
      <c r="F56" s="219" t="s">
        <v>81</v>
      </c>
      <c r="G56" s="243" t="s">
        <v>1460</v>
      </c>
      <c r="H56" s="222" t="s">
        <v>70</v>
      </c>
      <c r="I56" s="232" t="s">
        <v>259</v>
      </c>
      <c r="J56" s="233" t="s">
        <v>260</v>
      </c>
      <c r="K56" s="223" cm="1">
        <f t="array" ref="K56">_xlfn.XLOOKUP(D56&amp;E56&amp;H56&amp;I56&amp;J56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6" s="223"/>
      <c r="M56" s="224"/>
      <c r="N56" s="266">
        <v>0</v>
      </c>
      <c r="O56" s="226">
        <v>800000</v>
      </c>
      <c r="P56" s="247">
        <v>0.18</v>
      </c>
      <c r="Q56" s="228">
        <f t="shared" si="45"/>
        <v>0</v>
      </c>
      <c r="R56" s="267"/>
      <c r="S56" s="228">
        <f t="shared" si="1"/>
        <v>0</v>
      </c>
      <c r="T56" s="235">
        <v>0</v>
      </c>
      <c r="U56" s="228">
        <f t="shared" si="46"/>
        <v>0</v>
      </c>
      <c r="V56" s="228"/>
      <c r="W56" s="228">
        <f t="shared" si="3"/>
        <v>0</v>
      </c>
      <c r="X56" s="235">
        <v>0</v>
      </c>
      <c r="Y56" s="228">
        <f t="shared" si="4"/>
        <v>0</v>
      </c>
      <c r="Z56" s="228"/>
      <c r="AA56" s="228">
        <f t="shared" si="5"/>
        <v>0</v>
      </c>
      <c r="AB56" s="247">
        <v>0</v>
      </c>
      <c r="AC56" s="228">
        <f t="shared" si="47"/>
        <v>0</v>
      </c>
      <c r="AD56" s="228"/>
      <c r="AE56" s="228">
        <f t="shared" si="7"/>
        <v>0</v>
      </c>
      <c r="AF56" s="247">
        <v>0</v>
      </c>
      <c r="AG56" s="228">
        <f t="shared" si="48"/>
        <v>0</v>
      </c>
      <c r="AH56" s="228"/>
      <c r="AI56" s="228">
        <f t="shared" si="9"/>
        <v>0</v>
      </c>
      <c r="AJ56" s="247">
        <v>0</v>
      </c>
      <c r="AK56" s="228">
        <f t="shared" si="10"/>
        <v>0</v>
      </c>
      <c r="AL56" s="228"/>
      <c r="AM56" s="228">
        <f t="shared" si="11"/>
        <v>0</v>
      </c>
      <c r="AN56" s="235">
        <v>0</v>
      </c>
      <c r="AO56" s="228">
        <f t="shared" si="12"/>
        <v>0</v>
      </c>
      <c r="AP56" s="228"/>
      <c r="AQ56" s="228">
        <f t="shared" si="13"/>
        <v>0</v>
      </c>
      <c r="AR56" s="247">
        <v>0.03</v>
      </c>
      <c r="AS56" s="228">
        <f t="shared" si="41"/>
        <v>0</v>
      </c>
      <c r="AT56" s="267"/>
      <c r="AU56" s="228">
        <f t="shared" si="15"/>
        <v>0</v>
      </c>
      <c r="AV56" s="247">
        <v>0.03</v>
      </c>
      <c r="AW56" s="228">
        <f t="shared" si="51"/>
        <v>0</v>
      </c>
      <c r="AX56" s="267"/>
      <c r="AY56" s="228">
        <f t="shared" si="17"/>
        <v>0</v>
      </c>
      <c r="AZ56" s="227" t="s">
        <v>1486</v>
      </c>
      <c r="BA56" s="228">
        <f t="shared" si="44"/>
        <v>0</v>
      </c>
      <c r="BB56" s="228"/>
      <c r="BC56" s="228">
        <f t="shared" si="18"/>
        <v>0</v>
      </c>
      <c r="BD56" s="235">
        <v>0</v>
      </c>
      <c r="BE56" s="228">
        <f t="shared" si="52"/>
        <v>0</v>
      </c>
      <c r="BF56" s="235"/>
      <c r="BG56" s="228">
        <f t="shared" si="20"/>
        <v>0</v>
      </c>
      <c r="BH56" s="235">
        <v>0</v>
      </c>
      <c r="BI56" s="228">
        <f t="shared" si="39"/>
        <v>0</v>
      </c>
      <c r="BJ56" s="235"/>
      <c r="BK56" s="228">
        <f t="shared" si="22"/>
        <v>0</v>
      </c>
      <c r="BL56" s="235" t="s">
        <v>1486</v>
      </c>
      <c r="BM56" s="220">
        <f t="shared" si="32"/>
        <v>0</v>
      </c>
      <c r="BN56" s="220"/>
      <c r="BO56" s="220">
        <f t="shared" si="23"/>
        <v>0</v>
      </c>
      <c r="BP56" s="220">
        <f t="shared" si="24"/>
        <v>0</v>
      </c>
      <c r="BQ56" s="220">
        <f t="shared" si="25"/>
        <v>0</v>
      </c>
      <c r="BR56" s="220">
        <f t="shared" si="26"/>
        <v>0</v>
      </c>
      <c r="BS56" s="247" t="s">
        <v>39</v>
      </c>
      <c r="BT56" s="235" t="s">
        <v>39</v>
      </c>
      <c r="BU56" s="250" t="s">
        <v>252</v>
      </c>
      <c r="BV56" s="230" t="s">
        <v>253</v>
      </c>
      <c r="BW56" s="231"/>
    </row>
    <row r="57" s="209" customFormat="1" ht="36" customHeight="1" spans="1:75">
      <c r="A57" s="219">
        <v>73</v>
      </c>
      <c r="B57" s="220" t="s">
        <v>300</v>
      </c>
      <c r="C57" s="221" t="s">
        <v>175</v>
      </c>
      <c r="D57" s="221" t="s">
        <v>246</v>
      </c>
      <c r="E57" s="242" t="s">
        <v>247</v>
      </c>
      <c r="F57" s="219" t="s">
        <v>81</v>
      </c>
      <c r="G57" s="243" t="s">
        <v>1460</v>
      </c>
      <c r="H57" s="222" t="s">
        <v>74</v>
      </c>
      <c r="I57" s="232" t="s">
        <v>262</v>
      </c>
      <c r="J57" s="233" t="s">
        <v>263</v>
      </c>
      <c r="K57" s="223" cm="1">
        <f t="array" ref="K57">_xlfn.XLOOKUP(D57&amp;E57&amp;H57&amp;I57&amp;J57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7" s="223"/>
      <c r="M57" s="224"/>
      <c r="N57" s="266">
        <v>1741.59</v>
      </c>
      <c r="O57" s="226">
        <v>800000</v>
      </c>
      <c r="P57" s="247">
        <v>0.2</v>
      </c>
      <c r="Q57" s="228">
        <f t="shared" si="45"/>
        <v>0</v>
      </c>
      <c r="R57" s="267"/>
      <c r="S57" s="228">
        <f t="shared" si="1"/>
        <v>0</v>
      </c>
      <c r="T57" s="235">
        <v>0</v>
      </c>
      <c r="U57" s="228">
        <f t="shared" si="46"/>
        <v>0</v>
      </c>
      <c r="V57" s="228"/>
      <c r="W57" s="228">
        <f t="shared" si="3"/>
        <v>0</v>
      </c>
      <c r="X57" s="235">
        <v>0</v>
      </c>
      <c r="Y57" s="228">
        <f t="shared" si="4"/>
        <v>0</v>
      </c>
      <c r="Z57" s="228"/>
      <c r="AA57" s="228">
        <f t="shared" si="5"/>
        <v>0</v>
      </c>
      <c r="AB57" s="247">
        <v>0</v>
      </c>
      <c r="AC57" s="228">
        <f t="shared" si="47"/>
        <v>0</v>
      </c>
      <c r="AD57" s="228"/>
      <c r="AE57" s="228">
        <f t="shared" si="7"/>
        <v>0</v>
      </c>
      <c r="AF57" s="247">
        <v>0</v>
      </c>
      <c r="AG57" s="228">
        <f t="shared" si="48"/>
        <v>0</v>
      </c>
      <c r="AH57" s="228"/>
      <c r="AI57" s="228">
        <f t="shared" si="9"/>
        <v>0</v>
      </c>
      <c r="AJ57" s="247">
        <v>0</v>
      </c>
      <c r="AK57" s="228">
        <f t="shared" si="10"/>
        <v>0</v>
      </c>
      <c r="AL57" s="228"/>
      <c r="AM57" s="228">
        <f t="shared" si="11"/>
        <v>0</v>
      </c>
      <c r="AN57" s="235">
        <v>0</v>
      </c>
      <c r="AO57" s="228">
        <f t="shared" si="12"/>
        <v>0</v>
      </c>
      <c r="AP57" s="228"/>
      <c r="AQ57" s="228">
        <f t="shared" si="13"/>
        <v>0</v>
      </c>
      <c r="AR57" s="247">
        <v>0.03</v>
      </c>
      <c r="AS57" s="228">
        <f t="shared" si="41"/>
        <v>0</v>
      </c>
      <c r="AT57" s="267"/>
      <c r="AU57" s="228">
        <f t="shared" si="15"/>
        <v>0</v>
      </c>
      <c r="AV57" s="247">
        <v>0.04</v>
      </c>
      <c r="AW57" s="228">
        <f t="shared" si="51"/>
        <v>0</v>
      </c>
      <c r="AX57" s="267"/>
      <c r="AY57" s="228">
        <f t="shared" si="17"/>
        <v>0</v>
      </c>
      <c r="AZ57" s="227" t="s">
        <v>1486</v>
      </c>
      <c r="BA57" s="228">
        <f t="shared" si="44"/>
        <v>0</v>
      </c>
      <c r="BB57" s="228"/>
      <c r="BC57" s="228">
        <f t="shared" si="18"/>
        <v>0</v>
      </c>
      <c r="BD57" s="235">
        <v>0</v>
      </c>
      <c r="BE57" s="228">
        <f t="shared" si="52"/>
        <v>0</v>
      </c>
      <c r="BF57" s="235"/>
      <c r="BG57" s="228">
        <f t="shared" si="20"/>
        <v>0</v>
      </c>
      <c r="BH57" s="235">
        <v>0</v>
      </c>
      <c r="BI57" s="228">
        <f t="shared" si="39"/>
        <v>0</v>
      </c>
      <c r="BJ57" s="235"/>
      <c r="BK57" s="228">
        <f t="shared" si="22"/>
        <v>0</v>
      </c>
      <c r="BL57" s="235" t="s">
        <v>1486</v>
      </c>
      <c r="BM57" s="220">
        <f t="shared" si="32"/>
        <v>0</v>
      </c>
      <c r="BN57" s="220"/>
      <c r="BO57" s="220">
        <f t="shared" si="23"/>
        <v>0</v>
      </c>
      <c r="BP57" s="220">
        <f t="shared" si="24"/>
        <v>1741.59</v>
      </c>
      <c r="BQ57" s="220">
        <f t="shared" si="25"/>
        <v>1741.59</v>
      </c>
      <c r="BR57" s="220">
        <f t="shared" si="26"/>
        <v>0</v>
      </c>
      <c r="BS57" s="247" t="s">
        <v>39</v>
      </c>
      <c r="BT57" s="235" t="s">
        <v>39</v>
      </c>
      <c r="BU57" s="250" t="s">
        <v>252</v>
      </c>
      <c r="BV57" s="230" t="s">
        <v>253</v>
      </c>
      <c r="BW57" s="231"/>
    </row>
    <row r="58" s="209" customFormat="1" ht="36" customHeight="1" spans="1:75">
      <c r="A58" s="219">
        <v>74</v>
      </c>
      <c r="B58" s="220" t="s">
        <v>303</v>
      </c>
      <c r="C58" s="221" t="s">
        <v>175</v>
      </c>
      <c r="D58" s="221" t="s">
        <v>246</v>
      </c>
      <c r="E58" s="242" t="s">
        <v>247</v>
      </c>
      <c r="F58" s="219" t="s">
        <v>81</v>
      </c>
      <c r="G58" s="243" t="s">
        <v>1460</v>
      </c>
      <c r="H58" s="222" t="s">
        <v>265</v>
      </c>
      <c r="I58" s="232" t="s">
        <v>266</v>
      </c>
      <c r="J58" s="233" t="s">
        <v>267</v>
      </c>
      <c r="K58" s="223" cm="1">
        <f t="array" ref="K58">_xlfn.XLOOKUP(D58&amp;E58&amp;H58&amp;I58&amp;J58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8" s="223"/>
      <c r="M58" s="224"/>
      <c r="N58" s="266">
        <v>56</v>
      </c>
      <c r="O58" s="226">
        <v>800000</v>
      </c>
      <c r="P58" s="247">
        <v>0.2</v>
      </c>
      <c r="Q58" s="228">
        <f t="shared" si="45"/>
        <v>0</v>
      </c>
      <c r="R58" s="267"/>
      <c r="S58" s="228">
        <f t="shared" si="1"/>
        <v>0</v>
      </c>
      <c r="T58" s="235">
        <v>0</v>
      </c>
      <c r="U58" s="228">
        <f t="shared" si="46"/>
        <v>0</v>
      </c>
      <c r="V58" s="228"/>
      <c r="W58" s="228">
        <f t="shared" si="3"/>
        <v>0</v>
      </c>
      <c r="X58" s="235">
        <v>0</v>
      </c>
      <c r="Y58" s="228">
        <f t="shared" si="4"/>
        <v>0</v>
      </c>
      <c r="Z58" s="228"/>
      <c r="AA58" s="228">
        <f t="shared" si="5"/>
        <v>0</v>
      </c>
      <c r="AB58" s="247">
        <v>0</v>
      </c>
      <c r="AC58" s="228">
        <f t="shared" si="47"/>
        <v>0</v>
      </c>
      <c r="AD58" s="228"/>
      <c r="AE58" s="228">
        <f t="shared" si="7"/>
        <v>0</v>
      </c>
      <c r="AF58" s="247">
        <v>0</v>
      </c>
      <c r="AG58" s="228">
        <f t="shared" si="48"/>
        <v>0</v>
      </c>
      <c r="AH58" s="228"/>
      <c r="AI58" s="228">
        <f t="shared" si="9"/>
        <v>0</v>
      </c>
      <c r="AJ58" s="247">
        <v>0</v>
      </c>
      <c r="AK58" s="228">
        <f t="shared" si="10"/>
        <v>0</v>
      </c>
      <c r="AL58" s="228"/>
      <c r="AM58" s="228">
        <f t="shared" si="11"/>
        <v>0</v>
      </c>
      <c r="AN58" s="235">
        <v>0</v>
      </c>
      <c r="AO58" s="228">
        <f t="shared" si="12"/>
        <v>0</v>
      </c>
      <c r="AP58" s="228"/>
      <c r="AQ58" s="228">
        <f t="shared" si="13"/>
        <v>0</v>
      </c>
      <c r="AR58" s="247">
        <v>0.03</v>
      </c>
      <c r="AS58" s="228">
        <f t="shared" si="41"/>
        <v>0</v>
      </c>
      <c r="AT58" s="267"/>
      <c r="AU58" s="228">
        <f t="shared" si="15"/>
        <v>0</v>
      </c>
      <c r="AV58" s="247">
        <v>0.04</v>
      </c>
      <c r="AW58" s="228">
        <f t="shared" si="51"/>
        <v>0</v>
      </c>
      <c r="AX58" s="267"/>
      <c r="AY58" s="228">
        <f t="shared" si="17"/>
        <v>0</v>
      </c>
      <c r="AZ58" s="227" t="s">
        <v>1486</v>
      </c>
      <c r="BA58" s="228">
        <f t="shared" si="44"/>
        <v>0</v>
      </c>
      <c r="BB58" s="228"/>
      <c r="BC58" s="228">
        <f t="shared" si="18"/>
        <v>0</v>
      </c>
      <c r="BD58" s="235">
        <v>0</v>
      </c>
      <c r="BE58" s="228">
        <f t="shared" si="52"/>
        <v>0</v>
      </c>
      <c r="BF58" s="235"/>
      <c r="BG58" s="228">
        <f t="shared" si="20"/>
        <v>0</v>
      </c>
      <c r="BH58" s="235">
        <v>0</v>
      </c>
      <c r="BI58" s="228">
        <f t="shared" si="39"/>
        <v>0</v>
      </c>
      <c r="BJ58" s="235"/>
      <c r="BK58" s="228">
        <f t="shared" si="22"/>
        <v>0</v>
      </c>
      <c r="BL58" s="235" t="s">
        <v>1486</v>
      </c>
      <c r="BM58" s="220">
        <f t="shared" si="32"/>
        <v>0</v>
      </c>
      <c r="BN58" s="220"/>
      <c r="BO58" s="220">
        <f t="shared" si="23"/>
        <v>0</v>
      </c>
      <c r="BP58" s="220">
        <f t="shared" si="24"/>
        <v>56</v>
      </c>
      <c r="BQ58" s="220">
        <f t="shared" si="25"/>
        <v>56</v>
      </c>
      <c r="BR58" s="220">
        <f t="shared" si="26"/>
        <v>0</v>
      </c>
      <c r="BS58" s="247" t="s">
        <v>39</v>
      </c>
      <c r="BT58" s="235" t="s">
        <v>39</v>
      </c>
      <c r="BU58" s="250" t="s">
        <v>252</v>
      </c>
      <c r="BV58" s="230" t="s">
        <v>253</v>
      </c>
      <c r="BW58" s="231"/>
    </row>
    <row r="59" s="209" customFormat="1" ht="36" customHeight="1" spans="1:75">
      <c r="A59" s="219">
        <v>75</v>
      </c>
      <c r="B59" s="220" t="s">
        <v>305</v>
      </c>
      <c r="C59" s="221" t="s">
        <v>175</v>
      </c>
      <c r="D59" s="221" t="s">
        <v>246</v>
      </c>
      <c r="E59" s="242" t="s">
        <v>247</v>
      </c>
      <c r="F59" s="219" t="s">
        <v>81</v>
      </c>
      <c r="G59" s="243" t="s">
        <v>1460</v>
      </c>
      <c r="H59" s="222" t="s">
        <v>86</v>
      </c>
      <c r="I59" s="232" t="s">
        <v>269</v>
      </c>
      <c r="J59" s="233" t="s">
        <v>270</v>
      </c>
      <c r="K59" s="223" cm="1">
        <f t="array" ref="K59">_xlfn.XLOOKUP(D59&amp;E59&amp;H59&amp;I59&amp;J59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9" s="223"/>
      <c r="M59" s="224"/>
      <c r="N59" s="266">
        <v>0</v>
      </c>
      <c r="O59" s="226">
        <v>800000</v>
      </c>
      <c r="P59" s="247">
        <v>0.2</v>
      </c>
      <c r="Q59" s="228">
        <f t="shared" si="45"/>
        <v>0</v>
      </c>
      <c r="R59" s="267"/>
      <c r="S59" s="228">
        <f t="shared" si="1"/>
        <v>0</v>
      </c>
      <c r="T59" s="235">
        <v>0</v>
      </c>
      <c r="U59" s="228">
        <f t="shared" si="46"/>
        <v>0</v>
      </c>
      <c r="V59" s="228"/>
      <c r="W59" s="228">
        <f t="shared" si="3"/>
        <v>0</v>
      </c>
      <c r="X59" s="235">
        <v>0</v>
      </c>
      <c r="Y59" s="228">
        <f t="shared" si="4"/>
        <v>0</v>
      </c>
      <c r="Z59" s="228"/>
      <c r="AA59" s="228">
        <f t="shared" si="5"/>
        <v>0</v>
      </c>
      <c r="AB59" s="247">
        <v>0</v>
      </c>
      <c r="AC59" s="228">
        <f t="shared" si="47"/>
        <v>0</v>
      </c>
      <c r="AD59" s="228"/>
      <c r="AE59" s="228">
        <f t="shared" si="7"/>
        <v>0</v>
      </c>
      <c r="AF59" s="247">
        <v>0</v>
      </c>
      <c r="AG59" s="228">
        <f t="shared" si="48"/>
        <v>0</v>
      </c>
      <c r="AH59" s="228"/>
      <c r="AI59" s="228">
        <f t="shared" si="9"/>
        <v>0</v>
      </c>
      <c r="AJ59" s="247">
        <v>0</v>
      </c>
      <c r="AK59" s="228">
        <f t="shared" si="10"/>
        <v>0</v>
      </c>
      <c r="AL59" s="228"/>
      <c r="AM59" s="228">
        <f t="shared" si="11"/>
        <v>0</v>
      </c>
      <c r="AN59" s="235">
        <v>0</v>
      </c>
      <c r="AO59" s="228">
        <f t="shared" si="12"/>
        <v>0</v>
      </c>
      <c r="AP59" s="228"/>
      <c r="AQ59" s="228">
        <f t="shared" si="13"/>
        <v>0</v>
      </c>
      <c r="AR59" s="247">
        <v>0.03</v>
      </c>
      <c r="AS59" s="228">
        <f t="shared" si="41"/>
        <v>0</v>
      </c>
      <c r="AT59" s="267"/>
      <c r="AU59" s="228">
        <f t="shared" si="15"/>
        <v>0</v>
      </c>
      <c r="AV59" s="247">
        <v>0.04</v>
      </c>
      <c r="AW59" s="228">
        <f t="shared" si="51"/>
        <v>0</v>
      </c>
      <c r="AX59" s="267"/>
      <c r="AY59" s="228">
        <f t="shared" si="17"/>
        <v>0</v>
      </c>
      <c r="AZ59" s="227" t="s">
        <v>1486</v>
      </c>
      <c r="BA59" s="228">
        <f t="shared" si="44"/>
        <v>0</v>
      </c>
      <c r="BB59" s="228"/>
      <c r="BC59" s="228">
        <f t="shared" si="18"/>
        <v>0</v>
      </c>
      <c r="BD59" s="235">
        <v>0</v>
      </c>
      <c r="BE59" s="228">
        <f t="shared" si="52"/>
        <v>0</v>
      </c>
      <c r="BF59" s="235"/>
      <c r="BG59" s="228">
        <f t="shared" si="20"/>
        <v>0</v>
      </c>
      <c r="BH59" s="235">
        <v>0</v>
      </c>
      <c r="BI59" s="228">
        <f t="shared" si="39"/>
        <v>0</v>
      </c>
      <c r="BJ59" s="235"/>
      <c r="BK59" s="228">
        <f t="shared" si="22"/>
        <v>0</v>
      </c>
      <c r="BL59" s="235" t="s">
        <v>1486</v>
      </c>
      <c r="BM59" s="220">
        <f t="shared" si="32"/>
        <v>0</v>
      </c>
      <c r="BN59" s="220"/>
      <c r="BO59" s="220">
        <f t="shared" si="23"/>
        <v>0</v>
      </c>
      <c r="BP59" s="220">
        <f t="shared" si="24"/>
        <v>0</v>
      </c>
      <c r="BQ59" s="220">
        <f t="shared" si="25"/>
        <v>0</v>
      </c>
      <c r="BR59" s="220">
        <f t="shared" si="26"/>
        <v>0</v>
      </c>
      <c r="BS59" s="247" t="s">
        <v>39</v>
      </c>
      <c r="BT59" s="235" t="s">
        <v>39</v>
      </c>
      <c r="BU59" s="250" t="s">
        <v>252</v>
      </c>
      <c r="BV59" s="230" t="s">
        <v>253</v>
      </c>
      <c r="BW59" s="231"/>
    </row>
    <row r="60" s="209" customFormat="1" ht="36" customHeight="1" spans="1:75">
      <c r="A60" s="219">
        <v>76</v>
      </c>
      <c r="B60" s="220" t="s">
        <v>308</v>
      </c>
      <c r="C60" s="221" t="s">
        <v>175</v>
      </c>
      <c r="D60" s="221" t="s">
        <v>246</v>
      </c>
      <c r="E60" s="242" t="s">
        <v>247</v>
      </c>
      <c r="F60" s="219" t="s">
        <v>81</v>
      </c>
      <c r="G60" s="243" t="s">
        <v>1460</v>
      </c>
      <c r="H60" s="222" t="s">
        <v>272</v>
      </c>
      <c r="I60" s="232" t="s">
        <v>273</v>
      </c>
      <c r="J60" s="233" t="s">
        <v>274</v>
      </c>
      <c r="K60" s="223" cm="1">
        <f t="array" ref="K60">_xlfn.XLOOKUP(D60&amp;E60&amp;H60&amp;I60&amp;J60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60" s="223"/>
      <c r="M60" s="224"/>
      <c r="N60" s="266">
        <v>1741.59</v>
      </c>
      <c r="O60" s="226">
        <v>800000</v>
      </c>
      <c r="P60" s="247">
        <v>0.18</v>
      </c>
      <c r="Q60" s="228">
        <f t="shared" si="45"/>
        <v>0</v>
      </c>
      <c r="R60" s="267"/>
      <c r="S60" s="228">
        <f t="shared" si="1"/>
        <v>0</v>
      </c>
      <c r="T60" s="235">
        <v>0</v>
      </c>
      <c r="U60" s="228">
        <f t="shared" si="46"/>
        <v>0</v>
      </c>
      <c r="V60" s="228"/>
      <c r="W60" s="228">
        <f t="shared" si="3"/>
        <v>0</v>
      </c>
      <c r="X60" s="235">
        <v>0</v>
      </c>
      <c r="Y60" s="228">
        <f t="shared" si="4"/>
        <v>0</v>
      </c>
      <c r="Z60" s="228"/>
      <c r="AA60" s="228">
        <f t="shared" si="5"/>
        <v>0</v>
      </c>
      <c r="AB60" s="247">
        <v>0</v>
      </c>
      <c r="AC60" s="228">
        <f t="shared" si="47"/>
        <v>0</v>
      </c>
      <c r="AD60" s="228"/>
      <c r="AE60" s="228">
        <f t="shared" si="7"/>
        <v>0</v>
      </c>
      <c r="AF60" s="247">
        <v>0</v>
      </c>
      <c r="AG60" s="228">
        <f t="shared" si="48"/>
        <v>0</v>
      </c>
      <c r="AH60" s="228"/>
      <c r="AI60" s="228">
        <f t="shared" si="9"/>
        <v>0</v>
      </c>
      <c r="AJ60" s="247">
        <v>0</v>
      </c>
      <c r="AK60" s="228">
        <f t="shared" si="10"/>
        <v>0</v>
      </c>
      <c r="AL60" s="228"/>
      <c r="AM60" s="228">
        <f t="shared" si="11"/>
        <v>0</v>
      </c>
      <c r="AN60" s="235">
        <v>0</v>
      </c>
      <c r="AO60" s="228">
        <f t="shared" si="12"/>
        <v>0</v>
      </c>
      <c r="AP60" s="228"/>
      <c r="AQ60" s="228">
        <f t="shared" si="13"/>
        <v>0</v>
      </c>
      <c r="AR60" s="247">
        <v>0.03</v>
      </c>
      <c r="AS60" s="228">
        <f t="shared" si="41"/>
        <v>0</v>
      </c>
      <c r="AT60" s="267"/>
      <c r="AU60" s="228">
        <f t="shared" si="15"/>
        <v>0</v>
      </c>
      <c r="AV60" s="247">
        <v>0.03</v>
      </c>
      <c r="AW60" s="228">
        <f t="shared" si="51"/>
        <v>0</v>
      </c>
      <c r="AX60" s="267"/>
      <c r="AY60" s="228">
        <f t="shared" si="17"/>
        <v>0</v>
      </c>
      <c r="AZ60" s="227" t="s">
        <v>1486</v>
      </c>
      <c r="BA60" s="228">
        <f t="shared" si="44"/>
        <v>0</v>
      </c>
      <c r="BB60" s="228"/>
      <c r="BC60" s="228">
        <f t="shared" si="18"/>
        <v>0</v>
      </c>
      <c r="BD60" s="235">
        <v>0</v>
      </c>
      <c r="BE60" s="228">
        <f t="shared" si="52"/>
        <v>0</v>
      </c>
      <c r="BF60" s="235"/>
      <c r="BG60" s="228">
        <f t="shared" si="20"/>
        <v>0</v>
      </c>
      <c r="BH60" s="235">
        <v>0</v>
      </c>
      <c r="BI60" s="228">
        <f t="shared" si="39"/>
        <v>0</v>
      </c>
      <c r="BJ60" s="235"/>
      <c r="BK60" s="228">
        <f t="shared" si="22"/>
        <v>0</v>
      </c>
      <c r="BL60" s="235" t="s">
        <v>1486</v>
      </c>
      <c r="BM60" s="220">
        <f t="shared" si="32"/>
        <v>0</v>
      </c>
      <c r="BN60" s="220"/>
      <c r="BO60" s="220">
        <f t="shared" si="23"/>
        <v>0</v>
      </c>
      <c r="BP60" s="220">
        <f t="shared" si="24"/>
        <v>1741.59</v>
      </c>
      <c r="BQ60" s="220">
        <f t="shared" si="25"/>
        <v>1741.59</v>
      </c>
      <c r="BR60" s="220">
        <f t="shared" si="26"/>
        <v>0</v>
      </c>
      <c r="BS60" s="247" t="s">
        <v>39</v>
      </c>
      <c r="BT60" s="235" t="s">
        <v>39</v>
      </c>
      <c r="BU60" s="250" t="s">
        <v>252</v>
      </c>
      <c r="BV60" s="230" t="s">
        <v>253</v>
      </c>
      <c r="BW60" s="231"/>
    </row>
    <row r="61" s="209" customFormat="1" ht="36" customHeight="1" spans="1:75">
      <c r="A61" s="219">
        <v>77</v>
      </c>
      <c r="B61" s="220" t="s">
        <v>311</v>
      </c>
      <c r="C61" s="221" t="s">
        <v>175</v>
      </c>
      <c r="D61" s="221" t="s">
        <v>246</v>
      </c>
      <c r="E61" s="242" t="s">
        <v>247</v>
      </c>
      <c r="F61" s="219" t="s">
        <v>81</v>
      </c>
      <c r="G61" s="243" t="s">
        <v>1460</v>
      </c>
      <c r="H61" s="222" t="s">
        <v>276</v>
      </c>
      <c r="I61" s="232" t="s">
        <v>277</v>
      </c>
      <c r="J61" s="233" t="s">
        <v>278</v>
      </c>
      <c r="K61" s="223" cm="1">
        <f t="array" ref="K61">_xlfn.XLOOKUP(D61&amp;E61&amp;H61&amp;I61&amp;J61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61" s="223"/>
      <c r="M61" s="224"/>
      <c r="N61" s="266">
        <v>1726.59</v>
      </c>
      <c r="O61" s="226">
        <v>800000</v>
      </c>
      <c r="P61" s="247">
        <v>0.2</v>
      </c>
      <c r="Q61" s="228">
        <f t="shared" si="45"/>
        <v>0</v>
      </c>
      <c r="R61" s="267"/>
      <c r="S61" s="228">
        <f t="shared" si="1"/>
        <v>0</v>
      </c>
      <c r="T61" s="235">
        <v>0</v>
      </c>
      <c r="U61" s="228">
        <f t="shared" si="46"/>
        <v>0</v>
      </c>
      <c r="V61" s="228"/>
      <c r="W61" s="228">
        <f t="shared" si="3"/>
        <v>0</v>
      </c>
      <c r="X61" s="235">
        <v>0</v>
      </c>
      <c r="Y61" s="228">
        <f t="shared" si="4"/>
        <v>0</v>
      </c>
      <c r="Z61" s="228"/>
      <c r="AA61" s="228">
        <f t="shared" si="5"/>
        <v>0</v>
      </c>
      <c r="AB61" s="247">
        <v>0</v>
      </c>
      <c r="AC61" s="228">
        <f t="shared" si="47"/>
        <v>0</v>
      </c>
      <c r="AD61" s="228"/>
      <c r="AE61" s="228">
        <f t="shared" si="7"/>
        <v>0</v>
      </c>
      <c r="AF61" s="247">
        <v>0</v>
      </c>
      <c r="AG61" s="228">
        <f t="shared" si="48"/>
        <v>0</v>
      </c>
      <c r="AH61" s="228"/>
      <c r="AI61" s="228">
        <f t="shared" si="9"/>
        <v>0</v>
      </c>
      <c r="AJ61" s="247">
        <v>0</v>
      </c>
      <c r="AK61" s="228">
        <f t="shared" si="10"/>
        <v>0</v>
      </c>
      <c r="AL61" s="228"/>
      <c r="AM61" s="228">
        <f t="shared" si="11"/>
        <v>0</v>
      </c>
      <c r="AN61" s="235">
        <v>0</v>
      </c>
      <c r="AO61" s="228">
        <f t="shared" si="12"/>
        <v>0</v>
      </c>
      <c r="AP61" s="228"/>
      <c r="AQ61" s="228">
        <f t="shared" si="13"/>
        <v>0</v>
      </c>
      <c r="AR61" s="247">
        <v>0.03</v>
      </c>
      <c r="AS61" s="228">
        <f t="shared" si="41"/>
        <v>0</v>
      </c>
      <c r="AT61" s="267"/>
      <c r="AU61" s="228">
        <f t="shared" si="15"/>
        <v>0</v>
      </c>
      <c r="AV61" s="247">
        <v>0.04</v>
      </c>
      <c r="AW61" s="228">
        <f t="shared" si="51"/>
        <v>0</v>
      </c>
      <c r="AX61" s="267"/>
      <c r="AY61" s="228">
        <f t="shared" si="17"/>
        <v>0</v>
      </c>
      <c r="AZ61" s="227" t="s">
        <v>1486</v>
      </c>
      <c r="BA61" s="228">
        <f t="shared" si="44"/>
        <v>0</v>
      </c>
      <c r="BB61" s="228"/>
      <c r="BC61" s="228">
        <f t="shared" si="18"/>
        <v>0</v>
      </c>
      <c r="BD61" s="235">
        <v>0</v>
      </c>
      <c r="BE61" s="228">
        <f t="shared" si="52"/>
        <v>0</v>
      </c>
      <c r="BF61" s="235"/>
      <c r="BG61" s="228">
        <f t="shared" si="20"/>
        <v>0</v>
      </c>
      <c r="BH61" s="235">
        <v>0</v>
      </c>
      <c r="BI61" s="228">
        <f t="shared" si="39"/>
        <v>0</v>
      </c>
      <c r="BJ61" s="235"/>
      <c r="BK61" s="228">
        <f t="shared" si="22"/>
        <v>0</v>
      </c>
      <c r="BL61" s="235" t="s">
        <v>1486</v>
      </c>
      <c r="BM61" s="220">
        <f t="shared" si="32"/>
        <v>0</v>
      </c>
      <c r="BN61" s="220"/>
      <c r="BO61" s="220">
        <f t="shared" si="23"/>
        <v>0</v>
      </c>
      <c r="BP61" s="220">
        <f t="shared" si="24"/>
        <v>1726.59</v>
      </c>
      <c r="BQ61" s="220">
        <f t="shared" si="25"/>
        <v>1726.59</v>
      </c>
      <c r="BR61" s="220">
        <f t="shared" si="26"/>
        <v>0</v>
      </c>
      <c r="BS61" s="247" t="s">
        <v>39</v>
      </c>
      <c r="BT61" s="235" t="s">
        <v>39</v>
      </c>
      <c r="BU61" s="250" t="s">
        <v>252</v>
      </c>
      <c r="BV61" s="230" t="s">
        <v>253</v>
      </c>
      <c r="BW61" s="231"/>
    </row>
    <row r="62" s="209" customFormat="1" ht="36" customHeight="1" spans="1:75">
      <c r="A62" s="219">
        <v>78</v>
      </c>
      <c r="B62" s="220" t="s">
        <v>315</v>
      </c>
      <c r="C62" s="221" t="s">
        <v>175</v>
      </c>
      <c r="D62" s="221" t="s">
        <v>246</v>
      </c>
      <c r="E62" s="242" t="s">
        <v>247</v>
      </c>
      <c r="F62" s="219" t="s">
        <v>81</v>
      </c>
      <c r="G62" s="243" t="s">
        <v>1460</v>
      </c>
      <c r="H62" s="222" t="s">
        <v>280</v>
      </c>
      <c r="I62" s="232" t="s">
        <v>281</v>
      </c>
      <c r="J62" s="233" t="s">
        <v>282</v>
      </c>
      <c r="K62" s="223" cm="1">
        <f t="array" ref="K62">_xlfn.XLOOKUP(D62&amp;E62&amp;H62&amp;I62&amp;J62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62" s="223"/>
      <c r="M62" s="224"/>
      <c r="N62" s="266">
        <v>1769.59</v>
      </c>
      <c r="O62" s="226">
        <v>960000</v>
      </c>
      <c r="P62" s="247">
        <v>0.2</v>
      </c>
      <c r="Q62" s="228">
        <f t="shared" si="45"/>
        <v>0</v>
      </c>
      <c r="R62" s="267"/>
      <c r="S62" s="228">
        <f t="shared" si="1"/>
        <v>0</v>
      </c>
      <c r="T62" s="235">
        <v>0</v>
      </c>
      <c r="U62" s="228">
        <f t="shared" si="46"/>
        <v>0</v>
      </c>
      <c r="V62" s="228"/>
      <c r="W62" s="228">
        <f t="shared" si="3"/>
        <v>0</v>
      </c>
      <c r="X62" s="235">
        <v>0</v>
      </c>
      <c r="Y62" s="228">
        <f t="shared" si="4"/>
        <v>0</v>
      </c>
      <c r="Z62" s="228"/>
      <c r="AA62" s="228">
        <f t="shared" si="5"/>
        <v>0</v>
      </c>
      <c r="AB62" s="247">
        <v>0</v>
      </c>
      <c r="AC62" s="228">
        <f t="shared" si="47"/>
        <v>0</v>
      </c>
      <c r="AD62" s="228"/>
      <c r="AE62" s="228">
        <f t="shared" si="7"/>
        <v>0</v>
      </c>
      <c r="AF62" s="247">
        <v>0</v>
      </c>
      <c r="AG62" s="228">
        <f t="shared" si="48"/>
        <v>0</v>
      </c>
      <c r="AH62" s="228"/>
      <c r="AI62" s="228">
        <f t="shared" si="9"/>
        <v>0</v>
      </c>
      <c r="AJ62" s="247">
        <v>0</v>
      </c>
      <c r="AK62" s="228">
        <f t="shared" si="10"/>
        <v>0</v>
      </c>
      <c r="AL62" s="228"/>
      <c r="AM62" s="228">
        <f t="shared" si="11"/>
        <v>0</v>
      </c>
      <c r="AN62" s="235">
        <v>0</v>
      </c>
      <c r="AO62" s="228">
        <f t="shared" si="12"/>
        <v>0</v>
      </c>
      <c r="AP62" s="228"/>
      <c r="AQ62" s="228">
        <f t="shared" si="13"/>
        <v>0</v>
      </c>
      <c r="AR62" s="247">
        <v>0.03</v>
      </c>
      <c r="AS62" s="228">
        <f t="shared" si="41"/>
        <v>0</v>
      </c>
      <c r="AT62" s="267"/>
      <c r="AU62" s="228">
        <f t="shared" si="15"/>
        <v>0</v>
      </c>
      <c r="AV62" s="247">
        <v>0.04</v>
      </c>
      <c r="AW62" s="228">
        <f t="shared" si="51"/>
        <v>0</v>
      </c>
      <c r="AX62" s="267"/>
      <c r="AY62" s="228">
        <f t="shared" si="17"/>
        <v>0</v>
      </c>
      <c r="AZ62" s="227" t="s">
        <v>1486</v>
      </c>
      <c r="BA62" s="228">
        <f t="shared" si="44"/>
        <v>0</v>
      </c>
      <c r="BB62" s="228"/>
      <c r="BC62" s="228">
        <f t="shared" si="18"/>
        <v>0</v>
      </c>
      <c r="BD62" s="235">
        <v>0</v>
      </c>
      <c r="BE62" s="228">
        <f t="shared" si="52"/>
        <v>0</v>
      </c>
      <c r="BF62" s="235"/>
      <c r="BG62" s="228">
        <f t="shared" si="20"/>
        <v>0</v>
      </c>
      <c r="BH62" s="235">
        <v>0</v>
      </c>
      <c r="BI62" s="228">
        <f t="shared" si="39"/>
        <v>0</v>
      </c>
      <c r="BJ62" s="235"/>
      <c r="BK62" s="228">
        <f t="shared" si="22"/>
        <v>0</v>
      </c>
      <c r="BL62" s="235" t="s">
        <v>1486</v>
      </c>
      <c r="BM62" s="220">
        <f t="shared" si="32"/>
        <v>0</v>
      </c>
      <c r="BN62" s="220"/>
      <c r="BO62" s="220">
        <f t="shared" si="23"/>
        <v>0</v>
      </c>
      <c r="BP62" s="220">
        <f t="shared" si="24"/>
        <v>1769.59</v>
      </c>
      <c r="BQ62" s="220">
        <f t="shared" si="25"/>
        <v>1769.59</v>
      </c>
      <c r="BR62" s="220">
        <f t="shared" si="26"/>
        <v>0</v>
      </c>
      <c r="BS62" s="247" t="s">
        <v>39</v>
      </c>
      <c r="BT62" s="235" t="s">
        <v>39</v>
      </c>
      <c r="BU62" s="250" t="s">
        <v>252</v>
      </c>
      <c r="BV62" s="230" t="s">
        <v>253</v>
      </c>
      <c r="BW62" s="231"/>
    </row>
    <row r="63" s="209" customFormat="1" ht="48" customHeight="1" spans="1:75">
      <c r="A63" s="219">
        <v>79</v>
      </c>
      <c r="B63" s="220" t="s">
        <v>318</v>
      </c>
      <c r="C63" s="221" t="s">
        <v>175</v>
      </c>
      <c r="D63" s="221" t="s">
        <v>246</v>
      </c>
      <c r="E63" s="242" t="s">
        <v>247</v>
      </c>
      <c r="F63" s="219" t="s">
        <v>81</v>
      </c>
      <c r="G63" s="243" t="s">
        <v>1460</v>
      </c>
      <c r="H63" s="222" t="s">
        <v>284</v>
      </c>
      <c r="I63" s="232" t="s">
        <v>285</v>
      </c>
      <c r="J63" s="233" t="s">
        <v>286</v>
      </c>
      <c r="K63" s="223" cm="1">
        <f t="array" ref="K63">_xlfn.XLOOKUP(D63&amp;E63&amp;H63&amp;I63&amp;J63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63" s="223"/>
      <c r="M63" s="224"/>
      <c r="N63" s="266">
        <v>43</v>
      </c>
      <c r="O63" s="226">
        <v>480000</v>
      </c>
      <c r="P63" s="247">
        <v>0.18</v>
      </c>
      <c r="Q63" s="228">
        <f t="shared" si="45"/>
        <v>0</v>
      </c>
      <c r="R63" s="267"/>
      <c r="S63" s="228">
        <f t="shared" si="1"/>
        <v>0</v>
      </c>
      <c r="T63" s="235">
        <v>0</v>
      </c>
      <c r="U63" s="228">
        <f t="shared" si="46"/>
        <v>0</v>
      </c>
      <c r="V63" s="228"/>
      <c r="W63" s="228">
        <f t="shared" si="3"/>
        <v>0</v>
      </c>
      <c r="X63" s="235">
        <v>0</v>
      </c>
      <c r="Y63" s="228">
        <f t="shared" si="4"/>
        <v>0</v>
      </c>
      <c r="Z63" s="228"/>
      <c r="AA63" s="228">
        <f t="shared" si="5"/>
        <v>0</v>
      </c>
      <c r="AB63" s="247">
        <v>0</v>
      </c>
      <c r="AC63" s="228">
        <f t="shared" si="47"/>
        <v>0</v>
      </c>
      <c r="AD63" s="228"/>
      <c r="AE63" s="228">
        <f t="shared" si="7"/>
        <v>0</v>
      </c>
      <c r="AF63" s="247">
        <v>0</v>
      </c>
      <c r="AG63" s="228">
        <f t="shared" si="48"/>
        <v>0</v>
      </c>
      <c r="AH63" s="228"/>
      <c r="AI63" s="228">
        <f t="shared" si="9"/>
        <v>0</v>
      </c>
      <c r="AJ63" s="247">
        <v>0</v>
      </c>
      <c r="AK63" s="228">
        <f t="shared" si="10"/>
        <v>0</v>
      </c>
      <c r="AL63" s="228"/>
      <c r="AM63" s="228">
        <f t="shared" si="11"/>
        <v>0</v>
      </c>
      <c r="AN63" s="235">
        <v>0</v>
      </c>
      <c r="AO63" s="228">
        <f t="shared" si="12"/>
        <v>0</v>
      </c>
      <c r="AP63" s="228"/>
      <c r="AQ63" s="228">
        <f t="shared" si="13"/>
        <v>0</v>
      </c>
      <c r="AR63" s="247">
        <v>0</v>
      </c>
      <c r="AS63" s="228">
        <f t="shared" si="41"/>
        <v>0</v>
      </c>
      <c r="AT63" s="228"/>
      <c r="AU63" s="228">
        <f t="shared" si="15"/>
        <v>0</v>
      </c>
      <c r="AV63" s="240" t="s">
        <v>1457</v>
      </c>
      <c r="AW63" s="267"/>
      <c r="AX63" s="267"/>
      <c r="AY63" s="228">
        <f t="shared" si="17"/>
        <v>0</v>
      </c>
      <c r="AZ63" s="227" t="s">
        <v>1486</v>
      </c>
      <c r="BA63" s="228">
        <f t="shared" si="44"/>
        <v>0</v>
      </c>
      <c r="BB63" s="228"/>
      <c r="BC63" s="228">
        <f t="shared" si="18"/>
        <v>0</v>
      </c>
      <c r="BD63" s="235">
        <v>0</v>
      </c>
      <c r="BE63" s="228">
        <f t="shared" si="52"/>
        <v>0</v>
      </c>
      <c r="BF63" s="235"/>
      <c r="BG63" s="228">
        <f t="shared" si="20"/>
        <v>0</v>
      </c>
      <c r="BH63" s="235">
        <v>0</v>
      </c>
      <c r="BI63" s="228">
        <f t="shared" si="39"/>
        <v>0</v>
      </c>
      <c r="BJ63" s="235"/>
      <c r="BK63" s="228">
        <f t="shared" si="22"/>
        <v>0</v>
      </c>
      <c r="BL63" s="235" t="s">
        <v>1486</v>
      </c>
      <c r="BM63" s="220"/>
      <c r="BN63" s="220"/>
      <c r="BO63" s="220">
        <f t="shared" si="23"/>
        <v>0</v>
      </c>
      <c r="BP63" s="220">
        <f t="shared" si="24"/>
        <v>43</v>
      </c>
      <c r="BQ63" s="220">
        <f t="shared" si="25"/>
        <v>43</v>
      </c>
      <c r="BR63" s="220">
        <f t="shared" si="26"/>
        <v>0</v>
      </c>
      <c r="BS63" s="247" t="s">
        <v>39</v>
      </c>
      <c r="BT63" s="235" t="s">
        <v>39</v>
      </c>
      <c r="BU63" s="250" t="s">
        <v>287</v>
      </c>
      <c r="BV63" s="230" t="s">
        <v>288</v>
      </c>
      <c r="BW63" s="231"/>
    </row>
    <row r="64" s="209" customFormat="1" ht="60" customHeight="1" spans="1:75">
      <c r="A64" s="219">
        <v>82</v>
      </c>
      <c r="B64" s="220" t="s">
        <v>328</v>
      </c>
      <c r="C64" s="221" t="s">
        <v>175</v>
      </c>
      <c r="D64" s="221" t="s">
        <v>290</v>
      </c>
      <c r="E64" s="242" t="s">
        <v>291</v>
      </c>
      <c r="F64" s="219" t="s">
        <v>81</v>
      </c>
      <c r="G64" s="243" t="s">
        <v>1460</v>
      </c>
      <c r="H64" s="222" t="s">
        <v>66</v>
      </c>
      <c r="I64" s="232" t="s">
        <v>297</v>
      </c>
      <c r="J64" s="233" t="s">
        <v>298</v>
      </c>
      <c r="K64" s="223" cm="1">
        <f t="array" ref="K64">_xlfn.XLOOKUP(D64&amp;E64&amp;H64&amp;I64&amp;J64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7010.6</v>
      </c>
      <c r="L64" s="223"/>
      <c r="M64" s="224"/>
      <c r="N64" s="268">
        <v>2216.63</v>
      </c>
      <c r="O64" s="226">
        <v>590000</v>
      </c>
      <c r="P64" s="247">
        <v>0.12</v>
      </c>
      <c r="Q64" s="228">
        <f t="shared" si="45"/>
        <v>841.272</v>
      </c>
      <c r="R64" s="268">
        <v>2056.9572</v>
      </c>
      <c r="S64" s="228">
        <f t="shared" si="1"/>
        <v>-1215.6852</v>
      </c>
      <c r="T64" s="247">
        <v>0.01</v>
      </c>
      <c r="U64" s="228">
        <f t="shared" si="46"/>
        <v>70.106</v>
      </c>
      <c r="V64" s="269">
        <v>171.4131</v>
      </c>
      <c r="W64" s="228">
        <f t="shared" si="3"/>
        <v>-101.3071</v>
      </c>
      <c r="X64" s="247" t="s">
        <v>1457</v>
      </c>
      <c r="Y64" s="228">
        <f t="shared" ref="Y64:Y69" si="53">Z64</f>
        <v>0</v>
      </c>
      <c r="Z64" s="228"/>
      <c r="AA64" s="228">
        <f t="shared" si="5"/>
        <v>0</v>
      </c>
      <c r="AB64" s="247">
        <v>0.01</v>
      </c>
      <c r="AC64" s="228">
        <f t="shared" si="47"/>
        <v>70.106</v>
      </c>
      <c r="AD64" s="269">
        <v>171.4131</v>
      </c>
      <c r="AE64" s="269">
        <f t="shared" si="7"/>
        <v>-101.3071</v>
      </c>
      <c r="AF64" s="247">
        <v>0.01</v>
      </c>
      <c r="AG64" s="228">
        <f t="shared" si="48"/>
        <v>70.106</v>
      </c>
      <c r="AH64" s="269">
        <v>171.4131</v>
      </c>
      <c r="AI64" s="228">
        <f t="shared" si="9"/>
        <v>-101.3071</v>
      </c>
      <c r="AJ64" s="247">
        <v>0.01</v>
      </c>
      <c r="AK64" s="228">
        <f t="shared" si="10"/>
        <v>70.106</v>
      </c>
      <c r="AL64" s="269">
        <v>171.4131</v>
      </c>
      <c r="AM64" s="228">
        <f t="shared" si="11"/>
        <v>-101.3071</v>
      </c>
      <c r="AN64" s="247">
        <v>0.02</v>
      </c>
      <c r="AO64" s="228">
        <f t="shared" si="12"/>
        <v>140.212</v>
      </c>
      <c r="AP64" s="270">
        <v>342.8262</v>
      </c>
      <c r="AQ64" s="228">
        <f t="shared" si="13"/>
        <v>-202.6142</v>
      </c>
      <c r="AR64" s="247" t="s">
        <v>1457</v>
      </c>
      <c r="AS64" s="228">
        <f>AT64</f>
        <v>1806.38</v>
      </c>
      <c r="AT64" s="271">
        <v>1806.38</v>
      </c>
      <c r="AU64" s="228">
        <f t="shared" si="15"/>
        <v>0</v>
      </c>
      <c r="AV64" s="240" t="s">
        <v>1457</v>
      </c>
      <c r="AW64" s="228">
        <f>AX64</f>
        <v>1028.44467968266</v>
      </c>
      <c r="AX64" s="272">
        <v>1028.44467968266</v>
      </c>
      <c r="AY64" s="228">
        <f t="shared" si="17"/>
        <v>0</v>
      </c>
      <c r="AZ64" s="235" t="s">
        <v>1457</v>
      </c>
      <c r="BA64" s="228">
        <f t="shared" si="44"/>
        <v>0</v>
      </c>
      <c r="BB64" s="228"/>
      <c r="BC64" s="228">
        <f t="shared" si="18"/>
        <v>0</v>
      </c>
      <c r="BD64" s="235">
        <v>0</v>
      </c>
      <c r="BE64" s="228">
        <f t="shared" si="52"/>
        <v>0</v>
      </c>
      <c r="BF64" s="228"/>
      <c r="BG64" s="228">
        <f t="shared" si="20"/>
        <v>0</v>
      </c>
      <c r="BH64" s="235">
        <v>0</v>
      </c>
      <c r="BI64" s="228">
        <f t="shared" si="39"/>
        <v>0</v>
      </c>
      <c r="BJ64" s="228"/>
      <c r="BK64" s="228">
        <f t="shared" si="22"/>
        <v>0</v>
      </c>
      <c r="BL64" s="235" t="s">
        <v>1457</v>
      </c>
      <c r="BM64" s="220">
        <f t="shared" si="32"/>
        <v>0</v>
      </c>
      <c r="BN64" s="220"/>
      <c r="BO64" s="220">
        <f t="shared" si="23"/>
        <v>0</v>
      </c>
      <c r="BP64" s="220">
        <f t="shared" si="24"/>
        <v>6313.36267968266</v>
      </c>
      <c r="BQ64" s="220">
        <f t="shared" si="25"/>
        <v>8136.89047968266</v>
      </c>
      <c r="BR64" s="220">
        <v>0</v>
      </c>
      <c r="BS64" s="247" t="s">
        <v>39</v>
      </c>
      <c r="BT64" s="235" t="s">
        <v>39</v>
      </c>
      <c r="BU64" s="250" t="s">
        <v>294</v>
      </c>
      <c r="BV64" s="230" t="s">
        <v>299</v>
      </c>
      <c r="BW64" s="231"/>
    </row>
    <row r="65" s="209" customFormat="1" ht="60" customHeight="1" spans="1:75">
      <c r="A65" s="219">
        <v>83</v>
      </c>
      <c r="B65" s="220" t="s">
        <v>332</v>
      </c>
      <c r="C65" s="221" t="s">
        <v>175</v>
      </c>
      <c r="D65" s="221" t="s">
        <v>290</v>
      </c>
      <c r="E65" s="242" t="s">
        <v>291</v>
      </c>
      <c r="F65" s="219" t="s">
        <v>81</v>
      </c>
      <c r="G65" s="243" t="s">
        <v>1460</v>
      </c>
      <c r="H65" s="222" t="s">
        <v>70</v>
      </c>
      <c r="I65" s="232" t="s">
        <v>301</v>
      </c>
      <c r="J65" s="233" t="s">
        <v>302</v>
      </c>
      <c r="K65" s="223" cm="1">
        <f t="array" ref="K65">_xlfn.XLOOKUP(D65&amp;E65&amp;H65&amp;I65&amp;J65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11700.09</v>
      </c>
      <c r="L65" s="223"/>
      <c r="M65" s="224"/>
      <c r="N65" s="273">
        <v>2216.63</v>
      </c>
      <c r="O65" s="226">
        <v>400000</v>
      </c>
      <c r="P65" s="247">
        <v>0.12</v>
      </c>
      <c r="Q65" s="228">
        <f t="shared" si="45"/>
        <v>1404.0108</v>
      </c>
      <c r="R65" s="268">
        <v>3355.8228</v>
      </c>
      <c r="S65" s="228">
        <f t="shared" si="1"/>
        <v>-1951.812</v>
      </c>
      <c r="T65" s="247">
        <v>0.01</v>
      </c>
      <c r="U65" s="228">
        <f t="shared" si="46"/>
        <v>117.0009</v>
      </c>
      <c r="V65" s="269">
        <v>279.6519</v>
      </c>
      <c r="W65" s="228">
        <f t="shared" si="3"/>
        <v>-162.651</v>
      </c>
      <c r="X65" s="247" t="s">
        <v>1457</v>
      </c>
      <c r="Y65" s="228">
        <f t="shared" si="53"/>
        <v>0</v>
      </c>
      <c r="Z65" s="228"/>
      <c r="AA65" s="228">
        <f t="shared" si="5"/>
        <v>0</v>
      </c>
      <c r="AB65" s="247">
        <v>0.01</v>
      </c>
      <c r="AC65" s="228">
        <f t="shared" si="47"/>
        <v>117.0009</v>
      </c>
      <c r="AD65" s="269">
        <v>279.6519</v>
      </c>
      <c r="AE65" s="269">
        <f t="shared" si="7"/>
        <v>-162.651</v>
      </c>
      <c r="AF65" s="247">
        <v>0.01</v>
      </c>
      <c r="AG65" s="228">
        <f t="shared" si="48"/>
        <v>117.0009</v>
      </c>
      <c r="AH65" s="269">
        <v>279.6519</v>
      </c>
      <c r="AI65" s="228">
        <f t="shared" si="9"/>
        <v>-162.651</v>
      </c>
      <c r="AJ65" s="247">
        <v>0.01</v>
      </c>
      <c r="AK65" s="228">
        <f t="shared" si="10"/>
        <v>117.0009</v>
      </c>
      <c r="AL65" s="269">
        <v>279.6519</v>
      </c>
      <c r="AM65" s="228">
        <f t="shared" si="11"/>
        <v>-162.651</v>
      </c>
      <c r="AN65" s="247">
        <v>0.02</v>
      </c>
      <c r="AO65" s="228">
        <f t="shared" si="12"/>
        <v>234.0018</v>
      </c>
      <c r="AP65" s="270">
        <v>559.3038</v>
      </c>
      <c r="AQ65" s="228">
        <f t="shared" si="13"/>
        <v>-325.302</v>
      </c>
      <c r="AR65" s="247">
        <v>0.03</v>
      </c>
      <c r="AS65" s="228">
        <f>K65*AR65</f>
        <v>351.0027</v>
      </c>
      <c r="AT65" s="271">
        <v>838.9557</v>
      </c>
      <c r="AU65" s="228">
        <f t="shared" si="15"/>
        <v>-487.953</v>
      </c>
      <c r="AV65" s="247">
        <v>0.03</v>
      </c>
      <c r="AW65" s="228">
        <f>K65*AV65</f>
        <v>351.0027</v>
      </c>
      <c r="AX65" s="272">
        <v>838.9557</v>
      </c>
      <c r="AY65" s="228">
        <f t="shared" si="17"/>
        <v>-487.953</v>
      </c>
      <c r="AZ65" s="235" t="s">
        <v>1457</v>
      </c>
      <c r="BA65" s="228">
        <f t="shared" si="44"/>
        <v>0</v>
      </c>
      <c r="BB65" s="228"/>
      <c r="BC65" s="228">
        <f t="shared" si="18"/>
        <v>0</v>
      </c>
      <c r="BD65" s="235">
        <v>0</v>
      </c>
      <c r="BE65" s="228">
        <f t="shared" si="52"/>
        <v>0</v>
      </c>
      <c r="BF65" s="228"/>
      <c r="BG65" s="228">
        <f t="shared" si="20"/>
        <v>0</v>
      </c>
      <c r="BH65" s="235">
        <v>0</v>
      </c>
      <c r="BI65" s="228">
        <f t="shared" si="39"/>
        <v>0</v>
      </c>
      <c r="BJ65" s="228"/>
      <c r="BK65" s="228">
        <f t="shared" si="22"/>
        <v>0</v>
      </c>
      <c r="BL65" s="235" t="s">
        <v>1457</v>
      </c>
      <c r="BM65" s="220">
        <f t="shared" si="32"/>
        <v>0</v>
      </c>
      <c r="BN65" s="220"/>
      <c r="BO65" s="220">
        <f t="shared" si="23"/>
        <v>0</v>
      </c>
      <c r="BP65" s="220">
        <f t="shared" si="24"/>
        <v>5024.6516</v>
      </c>
      <c r="BQ65" s="220">
        <f t="shared" si="25"/>
        <v>8928.2756</v>
      </c>
      <c r="BR65" s="220">
        <v>0</v>
      </c>
      <c r="BS65" s="247" t="s">
        <v>39</v>
      </c>
      <c r="BT65" s="235" t="s">
        <v>39</v>
      </c>
      <c r="BU65" s="250" t="s">
        <v>294</v>
      </c>
      <c r="BV65" s="230" t="s">
        <v>299</v>
      </c>
      <c r="BW65" s="231"/>
    </row>
    <row r="66" s="209" customFormat="1" ht="60" customHeight="1" spans="1:75">
      <c r="A66" s="219">
        <v>84</v>
      </c>
      <c r="B66" s="220" t="s">
        <v>338</v>
      </c>
      <c r="C66" s="221" t="s">
        <v>175</v>
      </c>
      <c r="D66" s="221" t="s">
        <v>290</v>
      </c>
      <c r="E66" s="242" t="s">
        <v>291</v>
      </c>
      <c r="F66" s="219" t="s">
        <v>81</v>
      </c>
      <c r="G66" s="243" t="s">
        <v>1460</v>
      </c>
      <c r="H66" s="222" t="s">
        <v>265</v>
      </c>
      <c r="I66" s="232" t="s">
        <v>98</v>
      </c>
      <c r="J66" s="233" t="s">
        <v>304</v>
      </c>
      <c r="K66" s="223" cm="1">
        <f t="array" ref="K66">_xlfn.XLOOKUP(D66&amp;E66&amp;H66&amp;I66&amp;J66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66" s="223"/>
      <c r="M66" s="224"/>
      <c r="N66" s="268"/>
      <c r="O66" s="226">
        <v>240000</v>
      </c>
      <c r="P66" s="247">
        <v>0.05</v>
      </c>
      <c r="Q66" s="228">
        <f t="shared" si="45"/>
        <v>0</v>
      </c>
      <c r="R66" s="268"/>
      <c r="S66" s="228">
        <f t="shared" si="1"/>
        <v>0</v>
      </c>
      <c r="T66" s="247">
        <v>0.01</v>
      </c>
      <c r="U66" s="228">
        <f t="shared" si="46"/>
        <v>0</v>
      </c>
      <c r="V66" s="269"/>
      <c r="W66" s="228">
        <f t="shared" si="3"/>
        <v>0</v>
      </c>
      <c r="X66" s="247" t="s">
        <v>1457</v>
      </c>
      <c r="Y66" s="228">
        <f t="shared" si="53"/>
        <v>0</v>
      </c>
      <c r="Z66" s="228"/>
      <c r="AA66" s="228">
        <f t="shared" si="5"/>
        <v>0</v>
      </c>
      <c r="AB66" s="247">
        <v>0.01</v>
      </c>
      <c r="AC66" s="228">
        <f t="shared" si="47"/>
        <v>0</v>
      </c>
      <c r="AD66" s="269"/>
      <c r="AE66" s="269">
        <f t="shared" si="7"/>
        <v>0</v>
      </c>
      <c r="AF66" s="247">
        <v>0.01</v>
      </c>
      <c r="AG66" s="228">
        <f t="shared" si="48"/>
        <v>0</v>
      </c>
      <c r="AH66" s="269"/>
      <c r="AI66" s="228">
        <f t="shared" si="9"/>
        <v>0</v>
      </c>
      <c r="AJ66" s="247">
        <v>0.01</v>
      </c>
      <c r="AK66" s="228">
        <f t="shared" si="10"/>
        <v>0</v>
      </c>
      <c r="AL66" s="269"/>
      <c r="AM66" s="228">
        <f t="shared" si="11"/>
        <v>0</v>
      </c>
      <c r="AN66" s="247">
        <v>0.01</v>
      </c>
      <c r="AO66" s="228">
        <f t="shared" si="12"/>
        <v>0</v>
      </c>
      <c r="AP66" s="270"/>
      <c r="AQ66" s="228">
        <f t="shared" si="13"/>
        <v>0</v>
      </c>
      <c r="AR66" s="247" t="s">
        <v>1457</v>
      </c>
      <c r="AS66" s="228">
        <f>AT66</f>
        <v>0</v>
      </c>
      <c r="AT66" s="271"/>
      <c r="AU66" s="228">
        <f t="shared" si="15"/>
        <v>0</v>
      </c>
      <c r="AV66" s="240" t="s">
        <v>1457</v>
      </c>
      <c r="AW66" s="228">
        <f>AX66</f>
        <v>0</v>
      </c>
      <c r="AX66" s="272"/>
      <c r="AY66" s="228">
        <f t="shared" si="17"/>
        <v>0</v>
      </c>
      <c r="AZ66" s="235" t="s">
        <v>1457</v>
      </c>
      <c r="BA66" s="228">
        <f t="shared" si="44"/>
        <v>0</v>
      </c>
      <c r="BB66" s="228"/>
      <c r="BC66" s="228">
        <f t="shared" si="18"/>
        <v>0</v>
      </c>
      <c r="BD66" s="235">
        <v>0</v>
      </c>
      <c r="BE66" s="228">
        <f t="shared" si="52"/>
        <v>0</v>
      </c>
      <c r="BF66" s="228"/>
      <c r="BG66" s="228">
        <f t="shared" si="20"/>
        <v>0</v>
      </c>
      <c r="BH66" s="235">
        <v>0</v>
      </c>
      <c r="BI66" s="228">
        <f t="shared" si="39"/>
        <v>0</v>
      </c>
      <c r="BJ66" s="228"/>
      <c r="BK66" s="228">
        <f t="shared" si="22"/>
        <v>0</v>
      </c>
      <c r="BL66" s="235" t="s">
        <v>1457</v>
      </c>
      <c r="BM66" s="220">
        <f t="shared" si="32"/>
        <v>0</v>
      </c>
      <c r="BN66" s="220"/>
      <c r="BO66" s="220">
        <f t="shared" si="23"/>
        <v>0</v>
      </c>
      <c r="BP66" s="220">
        <f t="shared" si="24"/>
        <v>0</v>
      </c>
      <c r="BQ66" s="220">
        <f t="shared" si="25"/>
        <v>0</v>
      </c>
      <c r="BR66" s="220">
        <v>0</v>
      </c>
      <c r="BS66" s="247" t="s">
        <v>39</v>
      </c>
      <c r="BT66" s="235" t="s">
        <v>39</v>
      </c>
      <c r="BU66" s="250" t="s">
        <v>294</v>
      </c>
      <c r="BV66" s="230" t="s">
        <v>299</v>
      </c>
      <c r="BW66" s="231"/>
    </row>
    <row r="67" s="209" customFormat="1" ht="60" customHeight="1" spans="1:75">
      <c r="A67" s="219">
        <v>86</v>
      </c>
      <c r="B67" s="220" t="s">
        <v>345</v>
      </c>
      <c r="C67" s="221" t="s">
        <v>175</v>
      </c>
      <c r="D67" s="221" t="s">
        <v>290</v>
      </c>
      <c r="E67" s="242" t="s">
        <v>291</v>
      </c>
      <c r="F67" s="219" t="s">
        <v>81</v>
      </c>
      <c r="G67" s="243" t="s">
        <v>1460</v>
      </c>
      <c r="H67" s="222" t="s">
        <v>272</v>
      </c>
      <c r="I67" s="232" t="s">
        <v>309</v>
      </c>
      <c r="J67" s="233" t="s">
        <v>310</v>
      </c>
      <c r="K67" s="223" cm="1">
        <f t="array" ref="K67">_xlfn.XLOOKUP(D67&amp;E67&amp;H67&amp;I67&amp;J67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3129.47</v>
      </c>
      <c r="L67" s="223"/>
      <c r="M67" s="224"/>
      <c r="N67" s="268">
        <v>2690.27</v>
      </c>
      <c r="O67" s="226">
        <v>365000</v>
      </c>
      <c r="P67" s="247">
        <v>0.12</v>
      </c>
      <c r="Q67" s="228">
        <f t="shared" si="45"/>
        <v>375.5364</v>
      </c>
      <c r="R67" s="268">
        <v>1416.3156</v>
      </c>
      <c r="S67" s="228">
        <f t="shared" ref="S67:S121" si="54">Q67-R67</f>
        <v>-1040.7792</v>
      </c>
      <c r="T67" s="247">
        <v>0.01</v>
      </c>
      <c r="U67" s="228">
        <f t="shared" si="46"/>
        <v>31.2947</v>
      </c>
      <c r="V67" s="269">
        <v>118.0263</v>
      </c>
      <c r="W67" s="228">
        <f t="shared" ref="W67:W130" si="55">U67-V67</f>
        <v>-86.7316</v>
      </c>
      <c r="X67" s="247" t="s">
        <v>1457</v>
      </c>
      <c r="Y67" s="228">
        <f t="shared" si="53"/>
        <v>0</v>
      </c>
      <c r="Z67" s="228"/>
      <c r="AA67" s="228">
        <f t="shared" ref="AA67:AA130" si="56">Y67-Z67</f>
        <v>0</v>
      </c>
      <c r="AB67" s="247">
        <v>0.01</v>
      </c>
      <c r="AC67" s="228">
        <f t="shared" si="47"/>
        <v>31.2947</v>
      </c>
      <c r="AD67" s="269">
        <v>118.0263</v>
      </c>
      <c r="AE67" s="269">
        <f>AC67-AD67</f>
        <v>-86.7316</v>
      </c>
      <c r="AF67" s="247">
        <v>0.01</v>
      </c>
      <c r="AG67" s="228">
        <f t="shared" si="48"/>
        <v>31.2947</v>
      </c>
      <c r="AH67" s="269">
        <v>118.0263</v>
      </c>
      <c r="AI67" s="228">
        <f t="shared" ref="AI67:AI130" si="57">AG67-AH67</f>
        <v>-86.7316</v>
      </c>
      <c r="AJ67" s="247">
        <v>0.01</v>
      </c>
      <c r="AK67" s="228">
        <f>K67*AJ67</f>
        <v>31.2947</v>
      </c>
      <c r="AL67" s="269">
        <v>118.0263</v>
      </c>
      <c r="AM67" s="228">
        <f t="shared" ref="AM67:AM130" si="58">AK67-AL67</f>
        <v>-86.7316</v>
      </c>
      <c r="AN67" s="247">
        <v>0.02</v>
      </c>
      <c r="AO67" s="228">
        <f>K67*AN67</f>
        <v>62.5894</v>
      </c>
      <c r="AP67" s="270">
        <v>236.0526</v>
      </c>
      <c r="AQ67" s="228">
        <f t="shared" ref="AQ67:AQ130" si="59">AO67-AP67</f>
        <v>-173.4632</v>
      </c>
      <c r="AR67" s="247" t="s">
        <v>1457</v>
      </c>
      <c r="AS67" s="228">
        <f>AT67</f>
        <v>1806.38</v>
      </c>
      <c r="AT67" s="271">
        <v>1806.38</v>
      </c>
      <c r="AU67" s="228">
        <f t="shared" ref="AU67:AU130" si="60">AS67-AT67</f>
        <v>0</v>
      </c>
      <c r="AV67" s="240" t="s">
        <v>1457</v>
      </c>
      <c r="AW67" s="228">
        <f>AX67</f>
        <v>708.134444203094</v>
      </c>
      <c r="AX67" s="272">
        <v>708.134444203094</v>
      </c>
      <c r="AY67" s="228">
        <f t="shared" ref="AY67:AY130" si="61">AW67-AX67</f>
        <v>0</v>
      </c>
      <c r="AZ67" s="235" t="s">
        <v>1457</v>
      </c>
      <c r="BA67" s="228">
        <f t="shared" si="44"/>
        <v>0</v>
      </c>
      <c r="BB67" s="228"/>
      <c r="BC67" s="228">
        <f t="shared" ref="BC67:BC130" si="62">BA67-BB67</f>
        <v>0</v>
      </c>
      <c r="BD67" s="235">
        <v>0</v>
      </c>
      <c r="BE67" s="228">
        <f t="shared" si="52"/>
        <v>0</v>
      </c>
      <c r="BF67" s="228"/>
      <c r="BG67" s="228">
        <f t="shared" ref="BG67:BG130" si="63">BE67-BF67</f>
        <v>0</v>
      </c>
      <c r="BH67" s="235">
        <v>0</v>
      </c>
      <c r="BI67" s="228">
        <f t="shared" si="39"/>
        <v>0</v>
      </c>
      <c r="BJ67" s="228"/>
      <c r="BK67" s="228">
        <f t="shared" ref="BK67:BK130" si="64">BI67-BJ67</f>
        <v>0</v>
      </c>
      <c r="BL67" s="235" t="s">
        <v>1457</v>
      </c>
      <c r="BM67" s="220">
        <f t="shared" si="32"/>
        <v>0</v>
      </c>
      <c r="BN67" s="220"/>
      <c r="BO67" s="220">
        <f t="shared" ref="BO67:BO130" si="65">BM67-BN67</f>
        <v>0</v>
      </c>
      <c r="BP67" s="220">
        <f t="shared" ref="BP67:BP121" si="66">N67+Q67+U67+Y67+AC67+AG67+AK67+AO67+AS67+AW67+BA67+BE67+BI67+BM67</f>
        <v>5768.08904420309</v>
      </c>
      <c r="BQ67" s="220">
        <f t="shared" ref="BQ67:BQ121" si="67">N67+R67+V67+Z67+AD67+AH67+AL67+AP67+AT67+AX67+BB67+BF67+BJ67+BN67</f>
        <v>7329.2578442031</v>
      </c>
      <c r="BR67" s="220">
        <v>0</v>
      </c>
      <c r="BS67" s="247" t="s">
        <v>39</v>
      </c>
      <c r="BT67" s="235" t="s">
        <v>39</v>
      </c>
      <c r="BU67" s="250" t="s">
        <v>294</v>
      </c>
      <c r="BV67" s="230" t="s">
        <v>299</v>
      </c>
      <c r="BW67" s="231"/>
    </row>
    <row r="68" s="209" customFormat="1" ht="60" customHeight="1" spans="1:75">
      <c r="A68" s="219">
        <v>89</v>
      </c>
      <c r="B68" s="220" t="s">
        <v>352</v>
      </c>
      <c r="C68" s="221" t="s">
        <v>175</v>
      </c>
      <c r="D68" s="221" t="s">
        <v>290</v>
      </c>
      <c r="E68" s="242" t="s">
        <v>291</v>
      </c>
      <c r="F68" s="219" t="s">
        <v>81</v>
      </c>
      <c r="G68" s="243" t="s">
        <v>1460</v>
      </c>
      <c r="H68" s="222" t="s">
        <v>284</v>
      </c>
      <c r="I68" s="232" t="s">
        <v>319</v>
      </c>
      <c r="J68" s="233" t="s">
        <v>320</v>
      </c>
      <c r="K68" s="223" cm="1">
        <f t="array" ref="K68">_xlfn.XLOOKUP(D68&amp;E68&amp;H68&amp;I68&amp;J68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10513.32</v>
      </c>
      <c r="L68" s="223"/>
      <c r="M68" s="224"/>
      <c r="N68" s="268">
        <v>2690.27</v>
      </c>
      <c r="O68" s="226">
        <v>1440000</v>
      </c>
      <c r="P68" s="247">
        <v>0.12</v>
      </c>
      <c r="Q68" s="228">
        <f t="shared" si="45"/>
        <v>1261.5984</v>
      </c>
      <c r="R68" s="268">
        <v>3919.5888</v>
      </c>
      <c r="S68" s="228">
        <f t="shared" si="54"/>
        <v>-2657.9904</v>
      </c>
      <c r="T68" s="247">
        <v>0.01</v>
      </c>
      <c r="U68" s="228">
        <f t="shared" si="46"/>
        <v>105.1332</v>
      </c>
      <c r="V68" s="269">
        <v>326.6324</v>
      </c>
      <c r="W68" s="228">
        <f t="shared" si="55"/>
        <v>-221.4992</v>
      </c>
      <c r="X68" s="247" t="s">
        <v>1457</v>
      </c>
      <c r="Y68" s="228">
        <f t="shared" si="53"/>
        <v>0</v>
      </c>
      <c r="Z68" s="228"/>
      <c r="AA68" s="228">
        <f t="shared" si="56"/>
        <v>0</v>
      </c>
      <c r="AB68" s="247">
        <v>0.01</v>
      </c>
      <c r="AC68" s="228">
        <f t="shared" si="47"/>
        <v>105.1332</v>
      </c>
      <c r="AD68" s="269">
        <v>326.6324</v>
      </c>
      <c r="AE68" s="269">
        <f>AC68-AD68</f>
        <v>-221.4992</v>
      </c>
      <c r="AF68" s="247">
        <v>0.01</v>
      </c>
      <c r="AG68" s="228">
        <f t="shared" si="48"/>
        <v>105.1332</v>
      </c>
      <c r="AH68" s="269">
        <v>326.6324</v>
      </c>
      <c r="AI68" s="228">
        <f t="shared" si="57"/>
        <v>-221.4992</v>
      </c>
      <c r="AJ68" s="247">
        <v>0.01</v>
      </c>
      <c r="AK68" s="228">
        <f>K68*AJ68</f>
        <v>105.1332</v>
      </c>
      <c r="AL68" s="269">
        <v>326.6324</v>
      </c>
      <c r="AM68" s="228">
        <f t="shared" si="58"/>
        <v>-221.4992</v>
      </c>
      <c r="AN68" s="247">
        <v>0.02</v>
      </c>
      <c r="AO68" s="228">
        <f>K68*AN68</f>
        <v>210.2664</v>
      </c>
      <c r="AP68" s="270">
        <v>653.2648</v>
      </c>
      <c r="AQ68" s="228">
        <f t="shared" si="59"/>
        <v>-442.9984</v>
      </c>
      <c r="AR68" s="247">
        <v>0.03</v>
      </c>
      <c r="AS68" s="228">
        <f t="shared" ref="AS68:AS104" si="68">K68*AR68</f>
        <v>315.3996</v>
      </c>
      <c r="AT68" s="271">
        <v>979.8972</v>
      </c>
      <c r="AU68" s="228">
        <f t="shared" si="60"/>
        <v>-664.4976</v>
      </c>
      <c r="AV68" s="247">
        <v>0.02</v>
      </c>
      <c r="AW68" s="228">
        <f t="shared" ref="AW68:AW118" si="69">K68*AV68</f>
        <v>210.2664</v>
      </c>
      <c r="AX68" s="272">
        <v>653.2648</v>
      </c>
      <c r="AY68" s="228">
        <f t="shared" si="61"/>
        <v>-442.9984</v>
      </c>
      <c r="AZ68" s="235" t="s">
        <v>1457</v>
      </c>
      <c r="BA68" s="228">
        <f t="shared" si="44"/>
        <v>0</v>
      </c>
      <c r="BB68" s="228"/>
      <c r="BC68" s="228">
        <f t="shared" si="62"/>
        <v>0</v>
      </c>
      <c r="BD68" s="235">
        <v>0</v>
      </c>
      <c r="BE68" s="228">
        <f t="shared" si="52"/>
        <v>0</v>
      </c>
      <c r="BF68" s="228"/>
      <c r="BG68" s="228">
        <f t="shared" si="63"/>
        <v>0</v>
      </c>
      <c r="BH68" s="235">
        <v>0</v>
      </c>
      <c r="BI68" s="228">
        <f t="shared" si="39"/>
        <v>0</v>
      </c>
      <c r="BJ68" s="228"/>
      <c r="BK68" s="228">
        <f t="shared" si="64"/>
        <v>0</v>
      </c>
      <c r="BL68" s="235" t="s">
        <v>1457</v>
      </c>
      <c r="BM68" s="220">
        <f t="shared" si="32"/>
        <v>0</v>
      </c>
      <c r="BN68" s="220"/>
      <c r="BO68" s="220">
        <f t="shared" si="65"/>
        <v>0</v>
      </c>
      <c r="BP68" s="220">
        <f t="shared" si="66"/>
        <v>5108.3336</v>
      </c>
      <c r="BQ68" s="220">
        <f t="shared" si="67"/>
        <v>10202.8152</v>
      </c>
      <c r="BR68" s="220">
        <v>0</v>
      </c>
      <c r="BS68" s="247" t="s">
        <v>39</v>
      </c>
      <c r="BT68" s="235" t="s">
        <v>39</v>
      </c>
      <c r="BU68" s="250" t="s">
        <v>294</v>
      </c>
      <c r="BV68" s="230" t="s">
        <v>299</v>
      </c>
      <c r="BW68" s="231"/>
    </row>
    <row r="69" s="209" customFormat="1" ht="60" customHeight="1" spans="1:75">
      <c r="A69" s="219">
        <v>90</v>
      </c>
      <c r="B69" s="220" t="s">
        <v>355</v>
      </c>
      <c r="C69" s="221" t="s">
        <v>175</v>
      </c>
      <c r="D69" s="221" t="s">
        <v>290</v>
      </c>
      <c r="E69" s="242" t="s">
        <v>291</v>
      </c>
      <c r="F69" s="219" t="s">
        <v>81</v>
      </c>
      <c r="G69" s="243" t="s">
        <v>1460</v>
      </c>
      <c r="H69" s="222" t="s">
        <v>322</v>
      </c>
      <c r="I69" s="232" t="s">
        <v>323</v>
      </c>
      <c r="J69" s="233" t="s">
        <v>324</v>
      </c>
      <c r="K69" s="223" cm="1">
        <f t="array" ref="K69">_xlfn.XLOOKUP(D69&amp;E69&amp;H69&amp;I69&amp;J69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9466.25</v>
      </c>
      <c r="L69" s="223"/>
      <c r="M69" s="224"/>
      <c r="N69" s="268">
        <v>2216.63</v>
      </c>
      <c r="O69" s="226">
        <v>560000</v>
      </c>
      <c r="P69" s="247">
        <v>0.12</v>
      </c>
      <c r="Q69" s="228">
        <f t="shared" si="45"/>
        <v>1135.95</v>
      </c>
      <c r="R69" s="268">
        <v>3866.2428</v>
      </c>
      <c r="S69" s="228">
        <f t="shared" si="54"/>
        <v>-2730.2928</v>
      </c>
      <c r="T69" s="247">
        <v>0.01</v>
      </c>
      <c r="U69" s="228">
        <f t="shared" si="46"/>
        <v>94.6625</v>
      </c>
      <c r="V69" s="269">
        <v>322.1869</v>
      </c>
      <c r="W69" s="228">
        <f t="shared" si="55"/>
        <v>-227.5244</v>
      </c>
      <c r="X69" s="247" t="s">
        <v>1457</v>
      </c>
      <c r="Y69" s="228">
        <f t="shared" si="53"/>
        <v>0</v>
      </c>
      <c r="Z69" s="228"/>
      <c r="AA69" s="228">
        <f t="shared" si="56"/>
        <v>0</v>
      </c>
      <c r="AB69" s="247">
        <v>0.01</v>
      </c>
      <c r="AC69" s="228">
        <f t="shared" si="47"/>
        <v>94.6625</v>
      </c>
      <c r="AD69" s="269">
        <v>322.1869</v>
      </c>
      <c r="AE69" s="269">
        <f>AC69-AD69</f>
        <v>-227.5244</v>
      </c>
      <c r="AF69" s="247">
        <v>0.01</v>
      </c>
      <c r="AG69" s="228">
        <f t="shared" si="48"/>
        <v>94.6625</v>
      </c>
      <c r="AH69" s="269">
        <v>322.1869</v>
      </c>
      <c r="AI69" s="228">
        <f t="shared" si="57"/>
        <v>-227.5244</v>
      </c>
      <c r="AJ69" s="247">
        <v>0.01</v>
      </c>
      <c r="AK69" s="228">
        <f>K69*AJ69</f>
        <v>94.6625</v>
      </c>
      <c r="AL69" s="269">
        <v>322.1869</v>
      </c>
      <c r="AM69" s="228">
        <f t="shared" si="58"/>
        <v>-227.5244</v>
      </c>
      <c r="AN69" s="247">
        <v>0.02</v>
      </c>
      <c r="AO69" s="228">
        <f>K69*AN69</f>
        <v>189.325</v>
      </c>
      <c r="AP69" s="270">
        <v>644.3738</v>
      </c>
      <c r="AQ69" s="228">
        <f t="shared" si="59"/>
        <v>-455.0488</v>
      </c>
      <c r="AR69" s="247">
        <v>0.04</v>
      </c>
      <c r="AS69" s="228">
        <f t="shared" si="68"/>
        <v>378.65</v>
      </c>
      <c r="AT69" s="271">
        <v>1288.7476</v>
      </c>
      <c r="AU69" s="228">
        <f t="shared" si="60"/>
        <v>-910.0976</v>
      </c>
      <c r="AV69" s="247">
        <v>0.04</v>
      </c>
      <c r="AW69" s="228">
        <f t="shared" si="69"/>
        <v>378.65</v>
      </c>
      <c r="AX69" s="272">
        <v>1288.7476</v>
      </c>
      <c r="AY69" s="228">
        <f t="shared" si="61"/>
        <v>-910.0976</v>
      </c>
      <c r="AZ69" s="235" t="s">
        <v>1457</v>
      </c>
      <c r="BA69" s="228">
        <f t="shared" si="44"/>
        <v>1000</v>
      </c>
      <c r="BB69" s="228">
        <f>1000</f>
        <v>1000</v>
      </c>
      <c r="BC69" s="228">
        <f t="shared" si="62"/>
        <v>0</v>
      </c>
      <c r="BD69" s="235">
        <v>0</v>
      </c>
      <c r="BE69" s="228">
        <f t="shared" si="52"/>
        <v>0</v>
      </c>
      <c r="BF69" s="228"/>
      <c r="BG69" s="228">
        <f t="shared" si="63"/>
        <v>0</v>
      </c>
      <c r="BH69" s="235">
        <v>0</v>
      </c>
      <c r="BI69" s="228">
        <f t="shared" si="39"/>
        <v>0</v>
      </c>
      <c r="BJ69" s="228"/>
      <c r="BK69" s="228">
        <f t="shared" si="64"/>
        <v>0</v>
      </c>
      <c r="BL69" s="235" t="s">
        <v>1457</v>
      </c>
      <c r="BM69" s="274">
        <v>30158.93</v>
      </c>
      <c r="BN69" s="274">
        <v>30158.93</v>
      </c>
      <c r="BO69" s="220">
        <f t="shared" si="65"/>
        <v>0</v>
      </c>
      <c r="BP69" s="220">
        <f t="shared" si="66"/>
        <v>35836.785</v>
      </c>
      <c r="BQ69" s="220">
        <f t="shared" si="67"/>
        <v>41752.4194</v>
      </c>
      <c r="BR69" s="220">
        <f>BP69-BQ69</f>
        <v>-5915.6344</v>
      </c>
      <c r="BS69" s="247" t="s">
        <v>39</v>
      </c>
      <c r="BT69" s="235" t="s">
        <v>39</v>
      </c>
      <c r="BU69" s="250" t="s">
        <v>294</v>
      </c>
      <c r="BV69" s="230" t="s">
        <v>299</v>
      </c>
      <c r="BW69" s="231"/>
    </row>
    <row r="70" s="209" customFormat="1" ht="24" customHeight="1" spans="1:75">
      <c r="A70" s="219">
        <v>95</v>
      </c>
      <c r="B70" s="220" t="s">
        <v>368</v>
      </c>
      <c r="C70" s="221" t="s">
        <v>175</v>
      </c>
      <c r="D70" s="221" t="s">
        <v>336</v>
      </c>
      <c r="E70" s="242" t="s">
        <v>337</v>
      </c>
      <c r="F70" s="219" t="s">
        <v>81</v>
      </c>
      <c r="G70" s="243" t="s">
        <v>1460</v>
      </c>
      <c r="H70" s="222" t="s">
        <v>60</v>
      </c>
      <c r="I70" s="237" t="s">
        <v>339</v>
      </c>
      <c r="J70" s="233" t="s">
        <v>340</v>
      </c>
      <c r="K70" s="223" cm="1">
        <f t="array" ref="K70">_xlfn.XLOOKUP(D70&amp;E70&amp;H70&amp;I70&amp;J70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0" s="223"/>
      <c r="M70" s="224"/>
      <c r="N70" s="275">
        <v>196</v>
      </c>
      <c r="O70" s="226">
        <v>2400000</v>
      </c>
      <c r="P70" s="247">
        <v>0.18</v>
      </c>
      <c r="Q70" s="228">
        <f t="shared" si="45"/>
        <v>0</v>
      </c>
      <c r="R70" s="275">
        <v>6439.716</v>
      </c>
      <c r="S70" s="228">
        <f t="shared" si="54"/>
        <v>-6439.716</v>
      </c>
      <c r="T70" s="235">
        <v>0</v>
      </c>
      <c r="U70" s="228">
        <f t="shared" si="46"/>
        <v>0</v>
      </c>
      <c r="V70" s="228"/>
      <c r="W70" s="228">
        <f t="shared" si="55"/>
        <v>0</v>
      </c>
      <c r="X70" s="235">
        <v>0</v>
      </c>
      <c r="Y70" s="228">
        <f t="shared" ref="Y70:Y133" si="70">K70*X70</f>
        <v>0</v>
      </c>
      <c r="Z70" s="228"/>
      <c r="AA70" s="228">
        <f t="shared" si="56"/>
        <v>0</v>
      </c>
      <c r="AB70" s="247">
        <v>0</v>
      </c>
      <c r="AC70" s="228">
        <f t="shared" si="47"/>
        <v>0</v>
      </c>
      <c r="AD70" s="228"/>
      <c r="AE70" s="228">
        <f t="shared" ref="AE67:AE133" si="71">AC70-AD70</f>
        <v>0</v>
      </c>
      <c r="AF70" s="247">
        <v>0</v>
      </c>
      <c r="AG70" s="228">
        <f t="shared" si="48"/>
        <v>0</v>
      </c>
      <c r="AH70" s="228"/>
      <c r="AI70" s="228">
        <f t="shared" si="57"/>
        <v>0</v>
      </c>
      <c r="AJ70" s="247" t="s">
        <v>1487</v>
      </c>
      <c r="AK70" s="228">
        <f t="shared" ref="AK70:AK81" si="72">AL70</f>
        <v>0</v>
      </c>
      <c r="AL70" s="228"/>
      <c r="AM70" s="228">
        <f t="shared" si="58"/>
        <v>0</v>
      </c>
      <c r="AN70" s="276" t="s">
        <v>1488</v>
      </c>
      <c r="AO70" s="275">
        <v>200</v>
      </c>
      <c r="AP70" s="275">
        <v>200</v>
      </c>
      <c r="AQ70" s="228">
        <f t="shared" si="59"/>
        <v>0</v>
      </c>
      <c r="AR70" s="247">
        <v>0.03</v>
      </c>
      <c r="AS70" s="228">
        <f t="shared" si="68"/>
        <v>0</v>
      </c>
      <c r="AT70" s="275">
        <v>1073.286</v>
      </c>
      <c r="AU70" s="228">
        <f t="shared" si="60"/>
        <v>-1073.286</v>
      </c>
      <c r="AV70" s="247">
        <v>0.04</v>
      </c>
      <c r="AW70" s="228">
        <f t="shared" si="69"/>
        <v>0</v>
      </c>
      <c r="AX70" s="275">
        <v>1431.048</v>
      </c>
      <c r="AY70" s="228">
        <f t="shared" si="61"/>
        <v>-1431.048</v>
      </c>
      <c r="AZ70" s="235" t="s">
        <v>1486</v>
      </c>
      <c r="BA70" s="228">
        <f t="shared" si="44"/>
        <v>0</v>
      </c>
      <c r="BB70" s="228"/>
      <c r="BC70" s="228">
        <f t="shared" si="62"/>
        <v>0</v>
      </c>
      <c r="BD70" s="235">
        <v>0</v>
      </c>
      <c r="BE70" s="228">
        <f t="shared" si="52"/>
        <v>0</v>
      </c>
      <c r="BF70" s="235"/>
      <c r="BG70" s="228">
        <f t="shared" si="63"/>
        <v>0</v>
      </c>
      <c r="BH70" s="235">
        <v>0</v>
      </c>
      <c r="BI70" s="228">
        <f t="shared" si="39"/>
        <v>0</v>
      </c>
      <c r="BJ70" s="235"/>
      <c r="BK70" s="228">
        <f t="shared" si="64"/>
        <v>0</v>
      </c>
      <c r="BL70" s="235" t="s">
        <v>1486</v>
      </c>
      <c r="BM70" s="275">
        <v>12049.233884017</v>
      </c>
      <c r="BN70" s="275">
        <v>12049.233884017</v>
      </c>
      <c r="BO70" s="220">
        <f t="shared" si="65"/>
        <v>0</v>
      </c>
      <c r="BP70" s="220">
        <f t="shared" si="66"/>
        <v>12445.233884017</v>
      </c>
      <c r="BQ70" s="220">
        <f t="shared" si="67"/>
        <v>21389.283884017</v>
      </c>
      <c r="BR70" s="220">
        <f t="shared" ref="BR70:BR121" si="73">BP70-BQ70</f>
        <v>-8944.05</v>
      </c>
      <c r="BS70" s="247" t="s">
        <v>39</v>
      </c>
      <c r="BT70" s="235" t="s">
        <v>39</v>
      </c>
      <c r="BU70" s="250" t="s">
        <v>341</v>
      </c>
      <c r="BV70" s="230" t="s">
        <v>299</v>
      </c>
      <c r="BW70" s="231"/>
    </row>
    <row r="71" s="209" customFormat="1" ht="24" customHeight="1" spans="1:75">
      <c r="A71" s="219">
        <v>96</v>
      </c>
      <c r="B71" s="220" t="s">
        <v>371</v>
      </c>
      <c r="C71" s="221" t="s">
        <v>175</v>
      </c>
      <c r="D71" s="221" t="s">
        <v>336</v>
      </c>
      <c r="E71" s="242" t="s">
        <v>337</v>
      </c>
      <c r="F71" s="219" t="s">
        <v>81</v>
      </c>
      <c r="G71" s="243" t="s">
        <v>1460</v>
      </c>
      <c r="H71" s="222" t="s">
        <v>66</v>
      </c>
      <c r="I71" s="237" t="s">
        <v>344</v>
      </c>
      <c r="J71" s="233" t="s">
        <v>340</v>
      </c>
      <c r="K71" s="223" cm="1">
        <f t="array" ref="K71">_xlfn.XLOOKUP(D71&amp;E71&amp;H71&amp;I71&amp;J71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1" s="223"/>
      <c r="M71" s="224"/>
      <c r="N71" s="275">
        <v>1840.53</v>
      </c>
      <c r="O71" s="226">
        <v>1400000</v>
      </c>
      <c r="P71" s="247">
        <v>0.19</v>
      </c>
      <c r="Q71" s="228">
        <f t="shared" si="45"/>
        <v>0</v>
      </c>
      <c r="R71" s="275">
        <v>4179.62</v>
      </c>
      <c r="S71" s="228">
        <f t="shared" si="54"/>
        <v>-4179.62</v>
      </c>
      <c r="T71" s="235">
        <v>0</v>
      </c>
      <c r="U71" s="228">
        <f t="shared" si="46"/>
        <v>0</v>
      </c>
      <c r="V71" s="228"/>
      <c r="W71" s="228">
        <f t="shared" si="55"/>
        <v>0</v>
      </c>
      <c r="X71" s="235">
        <v>0</v>
      </c>
      <c r="Y71" s="228">
        <f t="shared" si="70"/>
        <v>0</v>
      </c>
      <c r="Z71" s="228"/>
      <c r="AA71" s="228">
        <f t="shared" si="56"/>
        <v>0</v>
      </c>
      <c r="AB71" s="247">
        <v>0</v>
      </c>
      <c r="AC71" s="228">
        <f t="shared" si="47"/>
        <v>0</v>
      </c>
      <c r="AD71" s="228"/>
      <c r="AE71" s="228">
        <f t="shared" si="71"/>
        <v>0</v>
      </c>
      <c r="AF71" s="247">
        <v>0</v>
      </c>
      <c r="AG71" s="228">
        <f t="shared" si="48"/>
        <v>0</v>
      </c>
      <c r="AH71" s="228"/>
      <c r="AI71" s="228">
        <f t="shared" si="57"/>
        <v>0</v>
      </c>
      <c r="AJ71" s="247" t="s">
        <v>1487</v>
      </c>
      <c r="AK71" s="228">
        <f t="shared" si="72"/>
        <v>0</v>
      </c>
      <c r="AL71" s="228"/>
      <c r="AM71" s="228">
        <f t="shared" si="58"/>
        <v>0</v>
      </c>
      <c r="AN71" s="276" t="s">
        <v>1488</v>
      </c>
      <c r="AO71" s="275">
        <v>200</v>
      </c>
      <c r="AP71" s="275">
        <v>200</v>
      </c>
      <c r="AQ71" s="228">
        <f t="shared" si="59"/>
        <v>0</v>
      </c>
      <c r="AR71" s="247">
        <v>0.03</v>
      </c>
      <c r="AS71" s="228">
        <f t="shared" si="68"/>
        <v>0</v>
      </c>
      <c r="AT71" s="275">
        <v>659.94</v>
      </c>
      <c r="AU71" s="228">
        <f t="shared" si="60"/>
        <v>-659.94</v>
      </c>
      <c r="AV71" s="247">
        <v>0.04</v>
      </c>
      <c r="AW71" s="228">
        <f t="shared" si="69"/>
        <v>0</v>
      </c>
      <c r="AX71" s="275">
        <v>879.92</v>
      </c>
      <c r="AY71" s="228">
        <f t="shared" si="61"/>
        <v>-879.92</v>
      </c>
      <c r="AZ71" s="235" t="s">
        <v>1486</v>
      </c>
      <c r="BA71" s="228">
        <f t="shared" si="44"/>
        <v>0</v>
      </c>
      <c r="BB71" s="228"/>
      <c r="BC71" s="228">
        <f t="shared" si="62"/>
        <v>0</v>
      </c>
      <c r="BD71" s="235">
        <v>0</v>
      </c>
      <c r="BE71" s="228">
        <f t="shared" si="52"/>
        <v>0</v>
      </c>
      <c r="BF71" s="235"/>
      <c r="BG71" s="228">
        <f t="shared" si="63"/>
        <v>0</v>
      </c>
      <c r="BH71" s="235">
        <v>0</v>
      </c>
      <c r="BI71" s="228">
        <f t="shared" si="39"/>
        <v>0</v>
      </c>
      <c r="BJ71" s="235"/>
      <c r="BK71" s="228">
        <f t="shared" si="64"/>
        <v>0</v>
      </c>
      <c r="BL71" s="235" t="s">
        <v>1486</v>
      </c>
      <c r="BM71" s="275">
        <v>5553.95086324367</v>
      </c>
      <c r="BN71" s="275">
        <v>5553.95086324367</v>
      </c>
      <c r="BO71" s="220">
        <f t="shared" si="65"/>
        <v>0</v>
      </c>
      <c r="BP71" s="220">
        <f t="shared" si="66"/>
        <v>7594.48086324367</v>
      </c>
      <c r="BQ71" s="220">
        <f t="shared" si="67"/>
        <v>13313.9608632437</v>
      </c>
      <c r="BR71" s="220">
        <f t="shared" si="73"/>
        <v>-5719.48000000003</v>
      </c>
      <c r="BS71" s="247" t="s">
        <v>39</v>
      </c>
      <c r="BT71" s="235" t="s">
        <v>39</v>
      </c>
      <c r="BU71" s="250" t="s">
        <v>341</v>
      </c>
      <c r="BV71" s="230" t="s">
        <v>299</v>
      </c>
      <c r="BW71" s="231"/>
    </row>
    <row r="72" s="209" customFormat="1" ht="24" customHeight="1" spans="1:75">
      <c r="A72" s="219">
        <v>97</v>
      </c>
      <c r="B72" s="220" t="s">
        <v>376</v>
      </c>
      <c r="C72" s="221" t="s">
        <v>175</v>
      </c>
      <c r="D72" s="221" t="s">
        <v>336</v>
      </c>
      <c r="E72" s="242" t="s">
        <v>337</v>
      </c>
      <c r="F72" s="219" t="s">
        <v>81</v>
      </c>
      <c r="G72" s="243" t="s">
        <v>1460</v>
      </c>
      <c r="H72" s="222" t="s">
        <v>70</v>
      </c>
      <c r="I72" s="237" t="s">
        <v>256</v>
      </c>
      <c r="J72" s="233" t="s">
        <v>346</v>
      </c>
      <c r="K72" s="223" cm="1">
        <f t="array" ref="K72">_xlfn.XLOOKUP(D72&amp;E72&amp;H72&amp;I72&amp;J72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2" s="223"/>
      <c r="M72" s="224"/>
      <c r="N72" s="275">
        <v>56</v>
      </c>
      <c r="O72" s="226">
        <v>2000000</v>
      </c>
      <c r="P72" s="247">
        <v>0.21</v>
      </c>
      <c r="Q72" s="228">
        <f t="shared" si="45"/>
        <v>0</v>
      </c>
      <c r="R72" s="275">
        <v>6379.338</v>
      </c>
      <c r="S72" s="228">
        <f t="shared" si="54"/>
        <v>-6379.338</v>
      </c>
      <c r="T72" s="235">
        <v>0</v>
      </c>
      <c r="U72" s="228">
        <f t="shared" si="46"/>
        <v>0</v>
      </c>
      <c r="V72" s="228"/>
      <c r="W72" s="228">
        <f t="shared" si="55"/>
        <v>0</v>
      </c>
      <c r="X72" s="235">
        <v>0</v>
      </c>
      <c r="Y72" s="228">
        <f t="shared" si="70"/>
        <v>0</v>
      </c>
      <c r="Z72" s="228"/>
      <c r="AA72" s="228">
        <f t="shared" si="56"/>
        <v>0</v>
      </c>
      <c r="AB72" s="247">
        <v>0</v>
      </c>
      <c r="AC72" s="228">
        <f t="shared" si="47"/>
        <v>0</v>
      </c>
      <c r="AD72" s="228"/>
      <c r="AE72" s="228">
        <f t="shared" si="71"/>
        <v>0</v>
      </c>
      <c r="AF72" s="247">
        <v>0</v>
      </c>
      <c r="AG72" s="228">
        <f t="shared" si="48"/>
        <v>0</v>
      </c>
      <c r="AH72" s="228"/>
      <c r="AI72" s="228">
        <f t="shared" si="57"/>
        <v>0</v>
      </c>
      <c r="AJ72" s="247" t="s">
        <v>1487</v>
      </c>
      <c r="AK72" s="228">
        <f t="shared" si="72"/>
        <v>0</v>
      </c>
      <c r="AL72" s="228"/>
      <c r="AM72" s="228">
        <f t="shared" si="58"/>
        <v>0</v>
      </c>
      <c r="AN72" s="276" t="s">
        <v>1488</v>
      </c>
      <c r="AO72" s="275">
        <v>200</v>
      </c>
      <c r="AP72" s="275">
        <v>200</v>
      </c>
      <c r="AQ72" s="228">
        <f t="shared" si="59"/>
        <v>0</v>
      </c>
      <c r="AR72" s="247">
        <v>0.03</v>
      </c>
      <c r="AS72" s="228">
        <f t="shared" si="68"/>
        <v>0</v>
      </c>
      <c r="AT72" s="275">
        <v>911.334</v>
      </c>
      <c r="AU72" s="228">
        <f t="shared" si="60"/>
        <v>-911.334</v>
      </c>
      <c r="AV72" s="247">
        <v>0.04</v>
      </c>
      <c r="AW72" s="228">
        <f t="shared" si="69"/>
        <v>0</v>
      </c>
      <c r="AX72" s="275">
        <v>1215.112</v>
      </c>
      <c r="AY72" s="228">
        <f t="shared" si="61"/>
        <v>-1215.112</v>
      </c>
      <c r="AZ72" s="235" t="s">
        <v>1486</v>
      </c>
      <c r="BA72" s="228">
        <f t="shared" si="44"/>
        <v>0</v>
      </c>
      <c r="BB72" s="228"/>
      <c r="BC72" s="228">
        <f t="shared" si="62"/>
        <v>0</v>
      </c>
      <c r="BD72" s="235">
        <v>0</v>
      </c>
      <c r="BE72" s="228">
        <f t="shared" si="52"/>
        <v>0</v>
      </c>
      <c r="BF72" s="235"/>
      <c r="BG72" s="228">
        <f t="shared" si="63"/>
        <v>0</v>
      </c>
      <c r="BH72" s="235">
        <v>0</v>
      </c>
      <c r="BI72" s="228">
        <f t="shared" si="39"/>
        <v>0</v>
      </c>
      <c r="BJ72" s="235"/>
      <c r="BK72" s="228">
        <f t="shared" si="64"/>
        <v>0</v>
      </c>
      <c r="BL72" s="235" t="s">
        <v>1486</v>
      </c>
      <c r="BM72" s="275">
        <v>5366.75141390986</v>
      </c>
      <c r="BN72" s="275">
        <v>5366.75141390986</v>
      </c>
      <c r="BO72" s="220">
        <f t="shared" si="65"/>
        <v>0</v>
      </c>
      <c r="BP72" s="220">
        <f t="shared" si="66"/>
        <v>5622.75141390986</v>
      </c>
      <c r="BQ72" s="220">
        <f t="shared" si="67"/>
        <v>14128.5354139099</v>
      </c>
      <c r="BR72" s="220">
        <f t="shared" si="73"/>
        <v>-8505.78400000004</v>
      </c>
      <c r="BS72" s="247" t="s">
        <v>39</v>
      </c>
      <c r="BT72" s="235" t="s">
        <v>39</v>
      </c>
      <c r="BU72" s="250" t="s">
        <v>341</v>
      </c>
      <c r="BV72" s="230" t="s">
        <v>299</v>
      </c>
      <c r="BW72" s="231"/>
    </row>
    <row r="73" s="209" customFormat="1" ht="24" customHeight="1" spans="1:75">
      <c r="A73" s="219">
        <v>98</v>
      </c>
      <c r="B73" s="220" t="s">
        <v>379</v>
      </c>
      <c r="C73" s="221" t="s">
        <v>175</v>
      </c>
      <c r="D73" s="221" t="s">
        <v>336</v>
      </c>
      <c r="E73" s="242" t="s">
        <v>337</v>
      </c>
      <c r="F73" s="219" t="s">
        <v>81</v>
      </c>
      <c r="G73" s="243" t="s">
        <v>1460</v>
      </c>
      <c r="H73" s="222" t="s">
        <v>74</v>
      </c>
      <c r="I73" s="237" t="s">
        <v>348</v>
      </c>
      <c r="J73" s="233" t="s">
        <v>349</v>
      </c>
      <c r="K73" s="223" cm="1">
        <f t="array" ref="K73">_xlfn.XLOOKUP(D73&amp;E73&amp;H73&amp;I73&amp;J73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3" s="223"/>
      <c r="M73" s="224"/>
      <c r="N73" s="275">
        <v>2346.53</v>
      </c>
      <c r="O73" s="226">
        <v>1080000</v>
      </c>
      <c r="P73" s="247">
        <v>0.2</v>
      </c>
      <c r="Q73" s="228">
        <f t="shared" si="45"/>
        <v>0</v>
      </c>
      <c r="R73" s="275">
        <v>1614.2</v>
      </c>
      <c r="S73" s="228">
        <f t="shared" si="54"/>
        <v>-1614.2</v>
      </c>
      <c r="T73" s="235">
        <v>0</v>
      </c>
      <c r="U73" s="228">
        <f t="shared" si="46"/>
        <v>0</v>
      </c>
      <c r="V73" s="228"/>
      <c r="W73" s="228">
        <f t="shared" si="55"/>
        <v>0</v>
      </c>
      <c r="X73" s="235">
        <v>0</v>
      </c>
      <c r="Y73" s="228">
        <f t="shared" si="70"/>
        <v>0</v>
      </c>
      <c r="Z73" s="228"/>
      <c r="AA73" s="228">
        <f t="shared" si="56"/>
        <v>0</v>
      </c>
      <c r="AB73" s="247">
        <v>0</v>
      </c>
      <c r="AC73" s="228">
        <f t="shared" si="47"/>
        <v>0</v>
      </c>
      <c r="AD73" s="228"/>
      <c r="AE73" s="228">
        <f t="shared" si="71"/>
        <v>0</v>
      </c>
      <c r="AF73" s="247">
        <v>0</v>
      </c>
      <c r="AG73" s="228">
        <f t="shared" si="48"/>
        <v>0</v>
      </c>
      <c r="AH73" s="228"/>
      <c r="AI73" s="228">
        <f t="shared" si="57"/>
        <v>0</v>
      </c>
      <c r="AJ73" s="247" t="s">
        <v>1487</v>
      </c>
      <c r="AK73" s="228">
        <f t="shared" si="72"/>
        <v>0</v>
      </c>
      <c r="AL73" s="228"/>
      <c r="AM73" s="228">
        <f t="shared" si="58"/>
        <v>0</v>
      </c>
      <c r="AN73" s="276" t="s">
        <v>1488</v>
      </c>
      <c r="AO73" s="275">
        <v>200</v>
      </c>
      <c r="AP73" s="275">
        <v>200</v>
      </c>
      <c r="AQ73" s="228">
        <f t="shared" si="59"/>
        <v>0</v>
      </c>
      <c r="AR73" s="247">
        <v>0.03</v>
      </c>
      <c r="AS73" s="228">
        <f t="shared" si="68"/>
        <v>0</v>
      </c>
      <c r="AT73" s="275">
        <v>242.13</v>
      </c>
      <c r="AU73" s="228">
        <f t="shared" si="60"/>
        <v>-242.13</v>
      </c>
      <c r="AV73" s="247">
        <v>0.04</v>
      </c>
      <c r="AW73" s="228">
        <f t="shared" si="69"/>
        <v>0</v>
      </c>
      <c r="AX73" s="275">
        <v>322.84</v>
      </c>
      <c r="AY73" s="228">
        <f t="shared" si="61"/>
        <v>-322.84</v>
      </c>
      <c r="AZ73" s="235" t="s">
        <v>1486</v>
      </c>
      <c r="BA73" s="228">
        <f t="shared" si="44"/>
        <v>0</v>
      </c>
      <c r="BB73" s="228"/>
      <c r="BC73" s="228">
        <f t="shared" si="62"/>
        <v>0</v>
      </c>
      <c r="BD73" s="235">
        <v>0</v>
      </c>
      <c r="BE73" s="228">
        <f t="shared" si="52"/>
        <v>0</v>
      </c>
      <c r="BF73" s="235"/>
      <c r="BG73" s="228">
        <f t="shared" si="63"/>
        <v>0</v>
      </c>
      <c r="BH73" s="235">
        <v>0</v>
      </c>
      <c r="BI73" s="228">
        <f t="shared" si="39"/>
        <v>0</v>
      </c>
      <c r="BJ73" s="235"/>
      <c r="BK73" s="228">
        <f t="shared" si="64"/>
        <v>0</v>
      </c>
      <c r="BL73" s="235" t="s">
        <v>1486</v>
      </c>
      <c r="BM73" s="275">
        <v>2170.30915479769</v>
      </c>
      <c r="BN73" s="275">
        <v>2170.30915479769</v>
      </c>
      <c r="BO73" s="220">
        <f t="shared" si="65"/>
        <v>0</v>
      </c>
      <c r="BP73" s="220">
        <f t="shared" si="66"/>
        <v>4716.83915479769</v>
      </c>
      <c r="BQ73" s="220">
        <f t="shared" si="67"/>
        <v>6896.00915479769</v>
      </c>
      <c r="BR73" s="220">
        <f t="shared" si="73"/>
        <v>-2179.17</v>
      </c>
      <c r="BS73" s="247" t="s">
        <v>39</v>
      </c>
      <c r="BT73" s="235" t="s">
        <v>39</v>
      </c>
      <c r="BU73" s="250" t="s">
        <v>341</v>
      </c>
      <c r="BV73" s="230" t="s">
        <v>299</v>
      </c>
      <c r="BW73" s="231"/>
    </row>
    <row r="74" s="209" customFormat="1" ht="24" customHeight="1" spans="1:75">
      <c r="A74" s="219">
        <v>99</v>
      </c>
      <c r="B74" s="220" t="s">
        <v>382</v>
      </c>
      <c r="C74" s="221" t="s">
        <v>175</v>
      </c>
      <c r="D74" s="221" t="s">
        <v>336</v>
      </c>
      <c r="E74" s="242" t="s">
        <v>337</v>
      </c>
      <c r="F74" s="219" t="s">
        <v>81</v>
      </c>
      <c r="G74" s="243" t="s">
        <v>1460</v>
      </c>
      <c r="H74" s="222" t="s">
        <v>265</v>
      </c>
      <c r="I74" s="237" t="s">
        <v>351</v>
      </c>
      <c r="J74" s="233" t="s">
        <v>349</v>
      </c>
      <c r="K74" s="223" cm="1">
        <f t="array" ref="K74">_xlfn.XLOOKUP(D74&amp;E74&amp;H74&amp;I74&amp;J74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4" s="223"/>
      <c r="M74" s="224"/>
      <c r="N74" s="275">
        <v>2318.53</v>
      </c>
      <c r="O74" s="226">
        <v>920000</v>
      </c>
      <c r="P74" s="247">
        <v>0.2</v>
      </c>
      <c r="Q74" s="228">
        <f t="shared" si="45"/>
        <v>0</v>
      </c>
      <c r="R74" s="275">
        <v>2305.6</v>
      </c>
      <c r="S74" s="228">
        <f t="shared" si="54"/>
        <v>-2305.6</v>
      </c>
      <c r="T74" s="235">
        <v>0</v>
      </c>
      <c r="U74" s="228">
        <f t="shared" si="46"/>
        <v>0</v>
      </c>
      <c r="V74" s="228"/>
      <c r="W74" s="228">
        <f t="shared" si="55"/>
        <v>0</v>
      </c>
      <c r="X74" s="235">
        <v>0</v>
      </c>
      <c r="Y74" s="228">
        <f t="shared" si="70"/>
        <v>0</v>
      </c>
      <c r="Z74" s="228"/>
      <c r="AA74" s="228">
        <f t="shared" si="56"/>
        <v>0</v>
      </c>
      <c r="AB74" s="247">
        <v>0</v>
      </c>
      <c r="AC74" s="228">
        <f t="shared" si="47"/>
        <v>0</v>
      </c>
      <c r="AD74" s="228"/>
      <c r="AE74" s="228">
        <f t="shared" si="71"/>
        <v>0</v>
      </c>
      <c r="AF74" s="247">
        <v>0</v>
      </c>
      <c r="AG74" s="228">
        <f t="shared" si="48"/>
        <v>0</v>
      </c>
      <c r="AH74" s="228"/>
      <c r="AI74" s="228">
        <f t="shared" si="57"/>
        <v>0</v>
      </c>
      <c r="AJ74" s="247" t="s">
        <v>1487</v>
      </c>
      <c r="AK74" s="228">
        <f t="shared" si="72"/>
        <v>0</v>
      </c>
      <c r="AL74" s="228"/>
      <c r="AM74" s="228">
        <f t="shared" si="58"/>
        <v>0</v>
      </c>
      <c r="AN74" s="276" t="s">
        <v>1488</v>
      </c>
      <c r="AO74" s="275">
        <v>200</v>
      </c>
      <c r="AP74" s="275">
        <v>200</v>
      </c>
      <c r="AQ74" s="228">
        <f t="shared" si="59"/>
        <v>0</v>
      </c>
      <c r="AR74" s="247">
        <v>0.03</v>
      </c>
      <c r="AS74" s="228">
        <f t="shared" si="68"/>
        <v>0</v>
      </c>
      <c r="AT74" s="275">
        <v>345.84</v>
      </c>
      <c r="AU74" s="228">
        <f t="shared" si="60"/>
        <v>-345.84</v>
      </c>
      <c r="AV74" s="247">
        <v>0.04</v>
      </c>
      <c r="AW74" s="228">
        <f t="shared" si="69"/>
        <v>0</v>
      </c>
      <c r="AX74" s="275">
        <v>461.12</v>
      </c>
      <c r="AY74" s="228">
        <f t="shared" si="61"/>
        <v>-461.12</v>
      </c>
      <c r="AZ74" s="235" t="s">
        <v>1486</v>
      </c>
      <c r="BA74" s="228">
        <f t="shared" si="44"/>
        <v>0</v>
      </c>
      <c r="BB74" s="228"/>
      <c r="BC74" s="228">
        <f t="shared" si="62"/>
        <v>0</v>
      </c>
      <c r="BD74" s="235">
        <v>0</v>
      </c>
      <c r="BE74" s="228">
        <f t="shared" si="52"/>
        <v>0</v>
      </c>
      <c r="BF74" s="235"/>
      <c r="BG74" s="228">
        <f t="shared" si="63"/>
        <v>0</v>
      </c>
      <c r="BH74" s="235">
        <v>0</v>
      </c>
      <c r="BI74" s="228">
        <f t="shared" si="39"/>
        <v>0</v>
      </c>
      <c r="BJ74" s="235"/>
      <c r="BK74" s="228">
        <f t="shared" si="64"/>
        <v>0</v>
      </c>
      <c r="BL74" s="235" t="s">
        <v>1486</v>
      </c>
      <c r="BM74" s="275">
        <v>3107.27519099341</v>
      </c>
      <c r="BN74" s="275">
        <v>3107.27519099341</v>
      </c>
      <c r="BO74" s="220">
        <f t="shared" si="65"/>
        <v>0</v>
      </c>
      <c r="BP74" s="220">
        <f t="shared" si="66"/>
        <v>5625.80519099341</v>
      </c>
      <c r="BQ74" s="220">
        <f t="shared" si="67"/>
        <v>8738.36519099341</v>
      </c>
      <c r="BR74" s="220">
        <f t="shared" si="73"/>
        <v>-3112.56</v>
      </c>
      <c r="BS74" s="247" t="s">
        <v>39</v>
      </c>
      <c r="BT74" s="235" t="s">
        <v>39</v>
      </c>
      <c r="BU74" s="250" t="s">
        <v>341</v>
      </c>
      <c r="BV74" s="230" t="s">
        <v>299</v>
      </c>
      <c r="BW74" s="231"/>
    </row>
    <row r="75" s="209" customFormat="1" ht="24" customHeight="1" spans="1:75">
      <c r="A75" s="219">
        <v>100</v>
      </c>
      <c r="B75" s="220" t="s">
        <v>385</v>
      </c>
      <c r="C75" s="221" t="s">
        <v>175</v>
      </c>
      <c r="D75" s="221" t="s">
        <v>336</v>
      </c>
      <c r="E75" s="242" t="s">
        <v>337</v>
      </c>
      <c r="F75" s="219" t="s">
        <v>81</v>
      </c>
      <c r="G75" s="243" t="s">
        <v>1460</v>
      </c>
      <c r="H75" s="222" t="s">
        <v>86</v>
      </c>
      <c r="I75" s="237" t="s">
        <v>353</v>
      </c>
      <c r="J75" s="233" t="s">
        <v>354</v>
      </c>
      <c r="K75" s="223" cm="1">
        <f t="array" ref="K75">_xlfn.XLOOKUP(D75&amp;E75&amp;H75&amp;I75&amp;J75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5" s="223"/>
      <c r="M75" s="224"/>
      <c r="N75" s="275">
        <v>28</v>
      </c>
      <c r="O75" s="226">
        <v>720000</v>
      </c>
      <c r="P75" s="247">
        <v>0.23</v>
      </c>
      <c r="Q75" s="228">
        <f t="shared" si="45"/>
        <v>0</v>
      </c>
      <c r="R75" s="275">
        <v>968.645</v>
      </c>
      <c r="S75" s="228">
        <f t="shared" si="54"/>
        <v>-968.645</v>
      </c>
      <c r="T75" s="235">
        <v>0</v>
      </c>
      <c r="U75" s="228">
        <f t="shared" si="46"/>
        <v>0</v>
      </c>
      <c r="V75" s="228"/>
      <c r="W75" s="228">
        <f t="shared" si="55"/>
        <v>0</v>
      </c>
      <c r="X75" s="235">
        <v>0</v>
      </c>
      <c r="Y75" s="228">
        <f t="shared" si="70"/>
        <v>0</v>
      </c>
      <c r="Z75" s="228"/>
      <c r="AA75" s="228">
        <f t="shared" si="56"/>
        <v>0</v>
      </c>
      <c r="AB75" s="247">
        <v>0</v>
      </c>
      <c r="AC75" s="228">
        <f t="shared" si="47"/>
        <v>0</v>
      </c>
      <c r="AD75" s="228"/>
      <c r="AE75" s="228">
        <f t="shared" si="71"/>
        <v>0</v>
      </c>
      <c r="AF75" s="247">
        <v>0</v>
      </c>
      <c r="AG75" s="228">
        <f t="shared" si="48"/>
        <v>0</v>
      </c>
      <c r="AH75" s="228"/>
      <c r="AI75" s="228">
        <f t="shared" si="57"/>
        <v>0</v>
      </c>
      <c r="AJ75" s="247" t="s">
        <v>1487</v>
      </c>
      <c r="AK75" s="228">
        <f t="shared" si="72"/>
        <v>0</v>
      </c>
      <c r="AL75" s="228"/>
      <c r="AM75" s="228">
        <f t="shared" si="58"/>
        <v>0</v>
      </c>
      <c r="AN75" s="276" t="s">
        <v>1488</v>
      </c>
      <c r="AO75" s="275">
        <v>200</v>
      </c>
      <c r="AP75" s="275">
        <v>200</v>
      </c>
      <c r="AQ75" s="228">
        <f t="shared" si="59"/>
        <v>0</v>
      </c>
      <c r="AR75" s="247">
        <v>0.03</v>
      </c>
      <c r="AS75" s="228">
        <f t="shared" si="68"/>
        <v>0</v>
      </c>
      <c r="AT75" s="275">
        <v>126.345</v>
      </c>
      <c r="AU75" s="228">
        <f t="shared" si="60"/>
        <v>-126.345</v>
      </c>
      <c r="AV75" s="247">
        <v>0.04</v>
      </c>
      <c r="AW75" s="228">
        <f t="shared" si="69"/>
        <v>0</v>
      </c>
      <c r="AX75" s="275">
        <v>168.46</v>
      </c>
      <c r="AY75" s="228">
        <f t="shared" si="61"/>
        <v>-168.46</v>
      </c>
      <c r="AZ75" s="235" t="s">
        <v>1486</v>
      </c>
      <c r="BA75" s="228">
        <f t="shared" si="44"/>
        <v>0</v>
      </c>
      <c r="BB75" s="228"/>
      <c r="BC75" s="228">
        <f t="shared" si="62"/>
        <v>0</v>
      </c>
      <c r="BD75" s="235">
        <v>0</v>
      </c>
      <c r="BE75" s="228">
        <f t="shared" si="52"/>
        <v>0</v>
      </c>
      <c r="BF75" s="235"/>
      <c r="BG75" s="228">
        <f t="shared" si="63"/>
        <v>0</v>
      </c>
      <c r="BH75" s="235">
        <v>0</v>
      </c>
      <c r="BI75" s="228">
        <f t="shared" si="39"/>
        <v>0</v>
      </c>
      <c r="BJ75" s="235"/>
      <c r="BK75" s="228">
        <f t="shared" si="64"/>
        <v>0</v>
      </c>
      <c r="BL75" s="235" t="s">
        <v>1486</v>
      </c>
      <c r="BM75" s="275">
        <v>318.205801688822</v>
      </c>
      <c r="BN75" s="275">
        <v>318.205801688822</v>
      </c>
      <c r="BO75" s="220">
        <f t="shared" si="65"/>
        <v>0</v>
      </c>
      <c r="BP75" s="220">
        <f t="shared" si="66"/>
        <v>546.205801688822</v>
      </c>
      <c r="BQ75" s="220">
        <f t="shared" si="67"/>
        <v>1809.65580168882</v>
      </c>
      <c r="BR75" s="220">
        <f t="shared" si="73"/>
        <v>-1263.45</v>
      </c>
      <c r="BS75" s="247" t="s">
        <v>39</v>
      </c>
      <c r="BT75" s="235" t="s">
        <v>39</v>
      </c>
      <c r="BU75" s="250" t="s">
        <v>341</v>
      </c>
      <c r="BV75" s="230" t="s">
        <v>299</v>
      </c>
      <c r="BW75" s="231"/>
    </row>
    <row r="76" s="209" customFormat="1" ht="24" customHeight="1" spans="1:75">
      <c r="A76" s="219">
        <v>101</v>
      </c>
      <c r="B76" s="220" t="s">
        <v>388</v>
      </c>
      <c r="C76" s="221" t="s">
        <v>175</v>
      </c>
      <c r="D76" s="221" t="s">
        <v>336</v>
      </c>
      <c r="E76" s="242" t="s">
        <v>337</v>
      </c>
      <c r="F76" s="219" t="s">
        <v>81</v>
      </c>
      <c r="G76" s="243" t="s">
        <v>1460</v>
      </c>
      <c r="H76" s="222" t="s">
        <v>272</v>
      </c>
      <c r="I76" s="237" t="s">
        <v>356</v>
      </c>
      <c r="J76" s="233" t="s">
        <v>354</v>
      </c>
      <c r="K76" s="223" cm="1">
        <f t="array" ref="K76">_xlfn.XLOOKUP(D76&amp;E76&amp;H76&amp;I76&amp;J76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6" s="223"/>
      <c r="M76" s="224"/>
      <c r="N76" s="275">
        <v>1883.53</v>
      </c>
      <c r="O76" s="226">
        <v>1080000</v>
      </c>
      <c r="P76" s="247">
        <v>0.23</v>
      </c>
      <c r="Q76" s="228">
        <f t="shared" si="45"/>
        <v>0</v>
      </c>
      <c r="R76" s="275">
        <v>8158.79</v>
      </c>
      <c r="S76" s="228">
        <f t="shared" si="54"/>
        <v>-8158.79</v>
      </c>
      <c r="T76" s="235">
        <v>0</v>
      </c>
      <c r="U76" s="228">
        <f t="shared" si="46"/>
        <v>0</v>
      </c>
      <c r="V76" s="228"/>
      <c r="W76" s="228">
        <f t="shared" si="55"/>
        <v>0</v>
      </c>
      <c r="X76" s="235">
        <v>0</v>
      </c>
      <c r="Y76" s="228">
        <f t="shared" si="70"/>
        <v>0</v>
      </c>
      <c r="Z76" s="228"/>
      <c r="AA76" s="228">
        <f t="shared" si="56"/>
        <v>0</v>
      </c>
      <c r="AB76" s="247">
        <v>0</v>
      </c>
      <c r="AC76" s="228">
        <f t="shared" si="47"/>
        <v>0</v>
      </c>
      <c r="AD76" s="228"/>
      <c r="AE76" s="228">
        <f t="shared" si="71"/>
        <v>0</v>
      </c>
      <c r="AF76" s="247">
        <v>0</v>
      </c>
      <c r="AG76" s="228">
        <f t="shared" si="48"/>
        <v>0</v>
      </c>
      <c r="AH76" s="228"/>
      <c r="AI76" s="228">
        <f t="shared" si="57"/>
        <v>0</v>
      </c>
      <c r="AJ76" s="247" t="s">
        <v>1487</v>
      </c>
      <c r="AK76" s="228">
        <f t="shared" si="72"/>
        <v>0</v>
      </c>
      <c r="AL76" s="228"/>
      <c r="AM76" s="228">
        <f t="shared" si="58"/>
        <v>0</v>
      </c>
      <c r="AN76" s="276" t="s">
        <v>1488</v>
      </c>
      <c r="AO76" s="275">
        <v>200</v>
      </c>
      <c r="AP76" s="275">
        <v>200</v>
      </c>
      <c r="AQ76" s="228">
        <f t="shared" si="59"/>
        <v>0</v>
      </c>
      <c r="AR76" s="247">
        <v>0.03</v>
      </c>
      <c r="AS76" s="228">
        <f t="shared" si="68"/>
        <v>0</v>
      </c>
      <c r="AT76" s="275">
        <v>1064.19</v>
      </c>
      <c r="AU76" s="228">
        <f t="shared" si="60"/>
        <v>-1064.19</v>
      </c>
      <c r="AV76" s="247">
        <v>0.04</v>
      </c>
      <c r="AW76" s="228">
        <f t="shared" si="69"/>
        <v>0</v>
      </c>
      <c r="AX76" s="275">
        <v>1418.92</v>
      </c>
      <c r="AY76" s="228">
        <f t="shared" si="61"/>
        <v>-1418.92</v>
      </c>
      <c r="AZ76" s="235" t="s">
        <v>1486</v>
      </c>
      <c r="BA76" s="228">
        <f t="shared" si="44"/>
        <v>0</v>
      </c>
      <c r="BB76" s="228"/>
      <c r="BC76" s="228">
        <f t="shared" si="62"/>
        <v>0</v>
      </c>
      <c r="BD76" s="235">
        <v>0</v>
      </c>
      <c r="BE76" s="228">
        <f t="shared" si="52"/>
        <v>0</v>
      </c>
      <c r="BF76" s="235"/>
      <c r="BG76" s="228">
        <f t="shared" si="63"/>
        <v>0</v>
      </c>
      <c r="BH76" s="235">
        <v>0</v>
      </c>
      <c r="BI76" s="228">
        <f t="shared" si="39"/>
        <v>0</v>
      </c>
      <c r="BJ76" s="235"/>
      <c r="BK76" s="228">
        <f t="shared" si="64"/>
        <v>0</v>
      </c>
      <c r="BL76" s="235" t="s">
        <v>1486</v>
      </c>
      <c r="BM76" s="275">
        <v>7396.06147294493</v>
      </c>
      <c r="BN76" s="275">
        <v>7396.06147294493</v>
      </c>
      <c r="BO76" s="220">
        <f t="shared" si="65"/>
        <v>0</v>
      </c>
      <c r="BP76" s="220">
        <f t="shared" si="66"/>
        <v>9479.59147294493</v>
      </c>
      <c r="BQ76" s="220">
        <f t="shared" si="67"/>
        <v>20121.4914729449</v>
      </c>
      <c r="BR76" s="220">
        <f t="shared" si="73"/>
        <v>-10641.9</v>
      </c>
      <c r="BS76" s="247" t="s">
        <v>39</v>
      </c>
      <c r="BT76" s="235" t="s">
        <v>39</v>
      </c>
      <c r="BU76" s="250" t="s">
        <v>341</v>
      </c>
      <c r="BV76" s="230" t="s">
        <v>299</v>
      </c>
      <c r="BW76" s="231"/>
    </row>
    <row r="77" s="209" customFormat="1" ht="24" customHeight="1" spans="1:75">
      <c r="A77" s="219">
        <v>102</v>
      </c>
      <c r="B77" s="220" t="s">
        <v>391</v>
      </c>
      <c r="C77" s="221" t="s">
        <v>175</v>
      </c>
      <c r="D77" s="221" t="s">
        <v>336</v>
      </c>
      <c r="E77" s="242" t="s">
        <v>337</v>
      </c>
      <c r="F77" s="219" t="s">
        <v>81</v>
      </c>
      <c r="G77" s="243" t="s">
        <v>1460</v>
      </c>
      <c r="H77" s="222" t="s">
        <v>276</v>
      </c>
      <c r="I77" s="237" t="s">
        <v>358</v>
      </c>
      <c r="J77" s="233" t="s">
        <v>250</v>
      </c>
      <c r="K77" s="223" cm="1">
        <f t="array" ref="K77">_xlfn.XLOOKUP(D77&amp;E77&amp;H77&amp;I77&amp;J77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7" s="223"/>
      <c r="M77" s="224"/>
      <c r="N77" s="275">
        <v>1840.53</v>
      </c>
      <c r="O77" s="226">
        <v>880000</v>
      </c>
      <c r="P77" s="247">
        <v>0.23</v>
      </c>
      <c r="Q77" s="228">
        <f t="shared" si="45"/>
        <v>0</v>
      </c>
      <c r="R77" s="275">
        <v>4684.709</v>
      </c>
      <c r="S77" s="228">
        <f t="shared" si="54"/>
        <v>-4684.709</v>
      </c>
      <c r="T77" s="235">
        <v>0</v>
      </c>
      <c r="U77" s="228">
        <f t="shared" si="46"/>
        <v>0</v>
      </c>
      <c r="V77" s="228"/>
      <c r="W77" s="228">
        <f t="shared" si="55"/>
        <v>0</v>
      </c>
      <c r="X77" s="235">
        <v>0</v>
      </c>
      <c r="Y77" s="228">
        <f t="shared" si="70"/>
        <v>0</v>
      </c>
      <c r="Z77" s="228"/>
      <c r="AA77" s="228">
        <f t="shared" si="56"/>
        <v>0</v>
      </c>
      <c r="AB77" s="247">
        <v>0</v>
      </c>
      <c r="AC77" s="228">
        <f t="shared" si="47"/>
        <v>0</v>
      </c>
      <c r="AD77" s="228"/>
      <c r="AE77" s="228">
        <f t="shared" si="71"/>
        <v>0</v>
      </c>
      <c r="AF77" s="247">
        <v>0</v>
      </c>
      <c r="AG77" s="228">
        <f t="shared" si="48"/>
        <v>0</v>
      </c>
      <c r="AH77" s="228"/>
      <c r="AI77" s="228">
        <f t="shared" si="57"/>
        <v>0</v>
      </c>
      <c r="AJ77" s="247" t="s">
        <v>1487</v>
      </c>
      <c r="AK77" s="228">
        <f t="shared" si="72"/>
        <v>0</v>
      </c>
      <c r="AL77" s="228"/>
      <c r="AM77" s="228">
        <f t="shared" si="58"/>
        <v>0</v>
      </c>
      <c r="AN77" s="276" t="s">
        <v>1488</v>
      </c>
      <c r="AO77" s="275">
        <v>200</v>
      </c>
      <c r="AP77" s="275">
        <v>200</v>
      </c>
      <c r="AQ77" s="228">
        <f t="shared" si="59"/>
        <v>0</v>
      </c>
      <c r="AR77" s="247">
        <v>0.03</v>
      </c>
      <c r="AS77" s="228">
        <f t="shared" si="68"/>
        <v>0</v>
      </c>
      <c r="AT77" s="275">
        <v>611.049</v>
      </c>
      <c r="AU77" s="228">
        <f t="shared" si="60"/>
        <v>-611.049</v>
      </c>
      <c r="AV77" s="247">
        <v>0.04</v>
      </c>
      <c r="AW77" s="228">
        <f t="shared" si="69"/>
        <v>0</v>
      </c>
      <c r="AX77" s="275">
        <v>814.732</v>
      </c>
      <c r="AY77" s="228">
        <f t="shared" si="61"/>
        <v>-814.732</v>
      </c>
      <c r="AZ77" s="235" t="s">
        <v>1486</v>
      </c>
      <c r="BA77" s="228">
        <f t="shared" si="44"/>
        <v>0</v>
      </c>
      <c r="BB77" s="228"/>
      <c r="BC77" s="228">
        <f t="shared" si="62"/>
        <v>0</v>
      </c>
      <c r="BD77" s="235">
        <v>0</v>
      </c>
      <c r="BE77" s="228">
        <f t="shared" si="52"/>
        <v>0</v>
      </c>
      <c r="BF77" s="235"/>
      <c r="BG77" s="228">
        <f t="shared" si="63"/>
        <v>0</v>
      </c>
      <c r="BH77" s="235">
        <v>0</v>
      </c>
      <c r="BI77" s="228">
        <f t="shared" si="39"/>
        <v>0</v>
      </c>
      <c r="BJ77" s="235"/>
      <c r="BK77" s="228">
        <f t="shared" si="64"/>
        <v>0</v>
      </c>
      <c r="BL77" s="235" t="s">
        <v>1486</v>
      </c>
      <c r="BM77" s="275">
        <v>4937.76019150859</v>
      </c>
      <c r="BN77" s="275">
        <v>4937.76019150859</v>
      </c>
      <c r="BO77" s="220">
        <f t="shared" si="65"/>
        <v>0</v>
      </c>
      <c r="BP77" s="220">
        <f t="shared" si="66"/>
        <v>6978.29019150859</v>
      </c>
      <c r="BQ77" s="220">
        <f t="shared" si="67"/>
        <v>13088.7801915086</v>
      </c>
      <c r="BR77" s="220">
        <f t="shared" si="73"/>
        <v>-6110.49000000001</v>
      </c>
      <c r="BS77" s="247" t="s">
        <v>39</v>
      </c>
      <c r="BT77" s="235" t="s">
        <v>39</v>
      </c>
      <c r="BU77" s="250" t="s">
        <v>341</v>
      </c>
      <c r="BV77" s="230" t="s">
        <v>299</v>
      </c>
      <c r="BW77" s="231"/>
    </row>
    <row r="78" s="209" customFormat="1" ht="24" customHeight="1" spans="1:75">
      <c r="A78" s="219">
        <v>103</v>
      </c>
      <c r="B78" s="220" t="s">
        <v>394</v>
      </c>
      <c r="C78" s="221" t="s">
        <v>175</v>
      </c>
      <c r="D78" s="221" t="s">
        <v>336</v>
      </c>
      <c r="E78" s="242" t="s">
        <v>337</v>
      </c>
      <c r="F78" s="219" t="s">
        <v>81</v>
      </c>
      <c r="G78" s="243" t="s">
        <v>1460</v>
      </c>
      <c r="H78" s="222" t="s">
        <v>280</v>
      </c>
      <c r="I78" s="237" t="s">
        <v>360</v>
      </c>
      <c r="J78" s="233" t="s">
        <v>346</v>
      </c>
      <c r="K78" s="223" cm="1">
        <f t="array" ref="K78">_xlfn.XLOOKUP(D78&amp;E78&amp;H78&amp;I78&amp;J78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8" s="223"/>
      <c r="M78" s="224"/>
      <c r="N78" s="275">
        <v>2290.53</v>
      </c>
      <c r="O78" s="226">
        <v>880000</v>
      </c>
      <c r="P78" s="247">
        <v>0.23</v>
      </c>
      <c r="Q78" s="228">
        <f t="shared" si="45"/>
        <v>0</v>
      </c>
      <c r="R78" s="275">
        <v>1285.24</v>
      </c>
      <c r="S78" s="228">
        <f t="shared" si="54"/>
        <v>-1285.24</v>
      </c>
      <c r="T78" s="235">
        <v>0</v>
      </c>
      <c r="U78" s="228">
        <f t="shared" si="46"/>
        <v>0</v>
      </c>
      <c r="V78" s="228"/>
      <c r="W78" s="228">
        <f t="shared" si="55"/>
        <v>0</v>
      </c>
      <c r="X78" s="235">
        <v>0</v>
      </c>
      <c r="Y78" s="228">
        <f t="shared" si="70"/>
        <v>0</v>
      </c>
      <c r="Z78" s="228"/>
      <c r="AA78" s="228">
        <f t="shared" si="56"/>
        <v>0</v>
      </c>
      <c r="AB78" s="247">
        <v>0</v>
      </c>
      <c r="AC78" s="228">
        <f t="shared" si="47"/>
        <v>0</v>
      </c>
      <c r="AD78" s="228"/>
      <c r="AE78" s="228">
        <f t="shared" si="71"/>
        <v>0</v>
      </c>
      <c r="AF78" s="247">
        <v>0</v>
      </c>
      <c r="AG78" s="228">
        <f t="shared" si="48"/>
        <v>0</v>
      </c>
      <c r="AH78" s="228"/>
      <c r="AI78" s="228">
        <f t="shared" si="57"/>
        <v>0</v>
      </c>
      <c r="AJ78" s="247" t="s">
        <v>1487</v>
      </c>
      <c r="AK78" s="228">
        <f t="shared" si="72"/>
        <v>0</v>
      </c>
      <c r="AL78" s="228"/>
      <c r="AM78" s="228">
        <f t="shared" si="58"/>
        <v>0</v>
      </c>
      <c r="AN78" s="276" t="s">
        <v>1488</v>
      </c>
      <c r="AO78" s="275">
        <v>200</v>
      </c>
      <c r="AP78" s="275">
        <v>200</v>
      </c>
      <c r="AQ78" s="228">
        <f t="shared" si="59"/>
        <v>0</v>
      </c>
      <c r="AR78" s="247">
        <v>0.03</v>
      </c>
      <c r="AS78" s="228">
        <f t="shared" si="68"/>
        <v>0</v>
      </c>
      <c r="AT78" s="275">
        <v>167.64</v>
      </c>
      <c r="AU78" s="228">
        <f t="shared" si="60"/>
        <v>-167.64</v>
      </c>
      <c r="AV78" s="247">
        <v>0.04</v>
      </c>
      <c r="AW78" s="228">
        <f t="shared" si="69"/>
        <v>0</v>
      </c>
      <c r="AX78" s="275">
        <v>223.52</v>
      </c>
      <c r="AY78" s="228">
        <f t="shared" si="61"/>
        <v>-223.52</v>
      </c>
      <c r="AZ78" s="235" t="s">
        <v>1486</v>
      </c>
      <c r="BA78" s="228">
        <f t="shared" si="44"/>
        <v>0</v>
      </c>
      <c r="BB78" s="228"/>
      <c r="BC78" s="228">
        <f t="shared" si="62"/>
        <v>0</v>
      </c>
      <c r="BD78" s="235">
        <v>0</v>
      </c>
      <c r="BE78" s="228">
        <f t="shared" si="52"/>
        <v>0</v>
      </c>
      <c r="BF78" s="235"/>
      <c r="BG78" s="228">
        <f t="shared" si="63"/>
        <v>0</v>
      </c>
      <c r="BH78" s="235">
        <v>0</v>
      </c>
      <c r="BI78" s="228">
        <f t="shared" si="39"/>
        <v>0</v>
      </c>
      <c r="BJ78" s="235"/>
      <c r="BK78" s="228">
        <f t="shared" si="64"/>
        <v>0</v>
      </c>
      <c r="BL78" s="235" t="s">
        <v>1486</v>
      </c>
      <c r="BM78" s="275">
        <v>696.771371206729</v>
      </c>
      <c r="BN78" s="275">
        <v>696.771371206729</v>
      </c>
      <c r="BO78" s="220">
        <f t="shared" si="65"/>
        <v>0</v>
      </c>
      <c r="BP78" s="220">
        <f t="shared" si="66"/>
        <v>3187.30137120673</v>
      </c>
      <c r="BQ78" s="220">
        <f t="shared" si="67"/>
        <v>4863.70137120673</v>
      </c>
      <c r="BR78" s="220">
        <f t="shared" si="73"/>
        <v>-1676.4</v>
      </c>
      <c r="BS78" s="247" t="s">
        <v>39</v>
      </c>
      <c r="BT78" s="235" t="s">
        <v>39</v>
      </c>
      <c r="BU78" s="250" t="s">
        <v>341</v>
      </c>
      <c r="BV78" s="230" t="s">
        <v>299</v>
      </c>
      <c r="BW78" s="231"/>
    </row>
    <row r="79" s="209" customFormat="1" ht="36" customHeight="1" spans="1:75">
      <c r="A79" s="219">
        <v>104</v>
      </c>
      <c r="B79" s="220" t="s">
        <v>397</v>
      </c>
      <c r="C79" s="221" t="s">
        <v>175</v>
      </c>
      <c r="D79" s="221" t="s">
        <v>336</v>
      </c>
      <c r="E79" s="242" t="s">
        <v>337</v>
      </c>
      <c r="F79" s="219" t="s">
        <v>81</v>
      </c>
      <c r="G79" s="243" t="s">
        <v>1460</v>
      </c>
      <c r="H79" s="222" t="s">
        <v>284</v>
      </c>
      <c r="I79" s="237" t="s">
        <v>362</v>
      </c>
      <c r="J79" s="233" t="s">
        <v>363</v>
      </c>
      <c r="K79" s="223" cm="1">
        <f t="array" ref="K79">_xlfn.XLOOKUP(D79&amp;E79&amp;H79&amp;I79&amp;J79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9" s="223"/>
      <c r="M79" s="224"/>
      <c r="N79" s="275">
        <v>2318.53</v>
      </c>
      <c r="O79" s="226">
        <v>1520000</v>
      </c>
      <c r="P79" s="247">
        <v>0.21</v>
      </c>
      <c r="Q79" s="228">
        <f t="shared" si="45"/>
        <v>0</v>
      </c>
      <c r="R79" s="275">
        <v>7328.307</v>
      </c>
      <c r="S79" s="228">
        <f t="shared" si="54"/>
        <v>-7328.307</v>
      </c>
      <c r="T79" s="235">
        <v>0</v>
      </c>
      <c r="U79" s="228">
        <f t="shared" si="46"/>
        <v>0</v>
      </c>
      <c r="V79" s="228"/>
      <c r="W79" s="228">
        <f t="shared" si="55"/>
        <v>0</v>
      </c>
      <c r="X79" s="235">
        <v>0</v>
      </c>
      <c r="Y79" s="228">
        <f t="shared" si="70"/>
        <v>0</v>
      </c>
      <c r="Z79" s="228"/>
      <c r="AA79" s="228">
        <f t="shared" si="56"/>
        <v>0</v>
      </c>
      <c r="AB79" s="247">
        <v>0</v>
      </c>
      <c r="AC79" s="228">
        <f t="shared" si="47"/>
        <v>0</v>
      </c>
      <c r="AD79" s="228"/>
      <c r="AE79" s="228">
        <f t="shared" si="71"/>
        <v>0</v>
      </c>
      <c r="AF79" s="247">
        <v>0</v>
      </c>
      <c r="AG79" s="228">
        <f t="shared" si="48"/>
        <v>0</v>
      </c>
      <c r="AH79" s="228"/>
      <c r="AI79" s="228">
        <f t="shared" si="57"/>
        <v>0</v>
      </c>
      <c r="AJ79" s="247" t="s">
        <v>1487</v>
      </c>
      <c r="AK79" s="228">
        <f t="shared" si="72"/>
        <v>0</v>
      </c>
      <c r="AL79" s="228"/>
      <c r="AM79" s="228">
        <f t="shared" si="58"/>
        <v>0</v>
      </c>
      <c r="AN79" s="276" t="s">
        <v>1488</v>
      </c>
      <c r="AO79" s="275">
        <v>200</v>
      </c>
      <c r="AP79" s="275">
        <v>200</v>
      </c>
      <c r="AQ79" s="228">
        <f t="shared" si="59"/>
        <v>0</v>
      </c>
      <c r="AR79" s="247">
        <v>0.03</v>
      </c>
      <c r="AS79" s="228">
        <f t="shared" si="68"/>
        <v>0</v>
      </c>
      <c r="AT79" s="275">
        <v>1046.901</v>
      </c>
      <c r="AU79" s="228">
        <f t="shared" si="60"/>
        <v>-1046.901</v>
      </c>
      <c r="AV79" s="247">
        <v>0.04</v>
      </c>
      <c r="AW79" s="228">
        <f t="shared" si="69"/>
        <v>0</v>
      </c>
      <c r="AX79" s="275">
        <v>1395.868</v>
      </c>
      <c r="AY79" s="228">
        <f t="shared" si="61"/>
        <v>-1395.868</v>
      </c>
      <c r="AZ79" s="235" t="s">
        <v>1486</v>
      </c>
      <c r="BA79" s="228">
        <f t="shared" si="44"/>
        <v>0</v>
      </c>
      <c r="BB79" s="228"/>
      <c r="BC79" s="228">
        <f t="shared" si="62"/>
        <v>0</v>
      </c>
      <c r="BD79" s="235">
        <v>0</v>
      </c>
      <c r="BE79" s="228">
        <f t="shared" si="52"/>
        <v>0</v>
      </c>
      <c r="BF79" s="235"/>
      <c r="BG79" s="228">
        <f t="shared" si="63"/>
        <v>0</v>
      </c>
      <c r="BH79" s="235">
        <v>0</v>
      </c>
      <c r="BI79" s="228">
        <f t="shared" si="39"/>
        <v>0</v>
      </c>
      <c r="BJ79" s="235"/>
      <c r="BK79" s="228">
        <f t="shared" si="64"/>
        <v>0</v>
      </c>
      <c r="BL79" s="235" t="s">
        <v>1486</v>
      </c>
      <c r="BM79" s="275">
        <v>10798.7753220454</v>
      </c>
      <c r="BN79" s="275">
        <v>10798.7753220454</v>
      </c>
      <c r="BO79" s="220">
        <f t="shared" si="65"/>
        <v>0</v>
      </c>
      <c r="BP79" s="220">
        <f t="shared" si="66"/>
        <v>13317.3053220454</v>
      </c>
      <c r="BQ79" s="220">
        <f t="shared" si="67"/>
        <v>23088.3813220454</v>
      </c>
      <c r="BR79" s="220">
        <f t="shared" si="73"/>
        <v>-9771.076</v>
      </c>
      <c r="BS79" s="247" t="s">
        <v>39</v>
      </c>
      <c r="BT79" s="235" t="s">
        <v>39</v>
      </c>
      <c r="BU79" s="250" t="s">
        <v>341</v>
      </c>
      <c r="BV79" s="230" t="s">
        <v>364</v>
      </c>
      <c r="BW79" s="231"/>
    </row>
    <row r="80" s="209" customFormat="1" ht="36" customHeight="1" spans="1:75">
      <c r="A80" s="219">
        <v>105</v>
      </c>
      <c r="B80" s="220" t="s">
        <v>398</v>
      </c>
      <c r="C80" s="221" t="s">
        <v>175</v>
      </c>
      <c r="D80" s="221" t="s">
        <v>336</v>
      </c>
      <c r="E80" s="242" t="s">
        <v>337</v>
      </c>
      <c r="F80" s="219" t="s">
        <v>81</v>
      </c>
      <c r="G80" s="243" t="s">
        <v>1460</v>
      </c>
      <c r="H80" s="222" t="s">
        <v>322</v>
      </c>
      <c r="I80" s="237" t="s">
        <v>366</v>
      </c>
      <c r="J80" s="233" t="s">
        <v>367</v>
      </c>
      <c r="K80" s="223" cm="1">
        <f t="array" ref="K80">_xlfn.XLOOKUP(D80&amp;E80&amp;H80&amp;I80&amp;J80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80" s="223"/>
      <c r="M80" s="224"/>
      <c r="N80" s="275">
        <v>3625.06</v>
      </c>
      <c r="O80" s="226">
        <v>1080000</v>
      </c>
      <c r="P80" s="247">
        <v>0.22</v>
      </c>
      <c r="Q80" s="228">
        <f t="shared" si="45"/>
        <v>0</v>
      </c>
      <c r="R80" s="275">
        <v>9648.705</v>
      </c>
      <c r="S80" s="228">
        <f t="shared" si="54"/>
        <v>-9648.705</v>
      </c>
      <c r="T80" s="235">
        <v>0</v>
      </c>
      <c r="U80" s="228">
        <f t="shared" si="46"/>
        <v>0</v>
      </c>
      <c r="V80" s="228"/>
      <c r="W80" s="228">
        <f t="shared" si="55"/>
        <v>0</v>
      </c>
      <c r="X80" s="235">
        <v>0</v>
      </c>
      <c r="Y80" s="228">
        <f t="shared" si="70"/>
        <v>0</v>
      </c>
      <c r="Z80" s="228"/>
      <c r="AA80" s="228">
        <f t="shared" si="56"/>
        <v>0</v>
      </c>
      <c r="AB80" s="247">
        <v>0</v>
      </c>
      <c r="AC80" s="228">
        <f t="shared" si="47"/>
        <v>0</v>
      </c>
      <c r="AD80" s="228"/>
      <c r="AE80" s="228">
        <f t="shared" si="71"/>
        <v>0</v>
      </c>
      <c r="AF80" s="247">
        <v>0</v>
      </c>
      <c r="AG80" s="228">
        <f t="shared" si="48"/>
        <v>0</v>
      </c>
      <c r="AH80" s="228"/>
      <c r="AI80" s="228">
        <f t="shared" si="57"/>
        <v>0</v>
      </c>
      <c r="AJ80" s="247" t="s">
        <v>1487</v>
      </c>
      <c r="AK80" s="228">
        <f t="shared" si="72"/>
        <v>0</v>
      </c>
      <c r="AL80" s="228"/>
      <c r="AM80" s="228">
        <f t="shared" si="58"/>
        <v>0</v>
      </c>
      <c r="AN80" s="276" t="s">
        <v>1488</v>
      </c>
      <c r="AO80" s="275">
        <v>200</v>
      </c>
      <c r="AP80" s="275">
        <v>200</v>
      </c>
      <c r="AQ80" s="228">
        <f t="shared" si="59"/>
        <v>0</v>
      </c>
      <c r="AR80" s="247">
        <v>0.03</v>
      </c>
      <c r="AS80" s="228">
        <f t="shared" si="68"/>
        <v>0</v>
      </c>
      <c r="AT80" s="275">
        <v>1315.7325</v>
      </c>
      <c r="AU80" s="228">
        <f t="shared" si="60"/>
        <v>-1315.7325</v>
      </c>
      <c r="AV80" s="247">
        <v>0.04</v>
      </c>
      <c r="AW80" s="228">
        <f t="shared" si="69"/>
        <v>0</v>
      </c>
      <c r="AX80" s="275">
        <v>1754.31</v>
      </c>
      <c r="AY80" s="228">
        <f t="shared" si="61"/>
        <v>-1754.31</v>
      </c>
      <c r="AZ80" s="235" t="s">
        <v>1486</v>
      </c>
      <c r="BA80" s="228">
        <f t="shared" si="44"/>
        <v>0</v>
      </c>
      <c r="BB80" s="228"/>
      <c r="BC80" s="228">
        <f t="shared" si="62"/>
        <v>0</v>
      </c>
      <c r="BD80" s="235">
        <v>0</v>
      </c>
      <c r="BE80" s="228">
        <f t="shared" si="52"/>
        <v>0</v>
      </c>
      <c r="BF80" s="235"/>
      <c r="BG80" s="228">
        <f t="shared" si="63"/>
        <v>0</v>
      </c>
      <c r="BH80" s="235">
        <v>0</v>
      </c>
      <c r="BI80" s="228">
        <f t="shared" si="39"/>
        <v>0</v>
      </c>
      <c r="BJ80" s="235"/>
      <c r="BK80" s="228">
        <f t="shared" si="64"/>
        <v>0</v>
      </c>
      <c r="BL80" s="235" t="s">
        <v>1486</v>
      </c>
      <c r="BM80" s="275">
        <v>6200.85157684527</v>
      </c>
      <c r="BN80" s="275">
        <v>6200.85157684527</v>
      </c>
      <c r="BO80" s="220">
        <f t="shared" si="65"/>
        <v>0</v>
      </c>
      <c r="BP80" s="220">
        <f t="shared" si="66"/>
        <v>10025.9115768453</v>
      </c>
      <c r="BQ80" s="220">
        <f t="shared" si="67"/>
        <v>22744.6590768453</v>
      </c>
      <c r="BR80" s="220">
        <f t="shared" si="73"/>
        <v>-12718.7475</v>
      </c>
      <c r="BS80" s="247" t="s">
        <v>39</v>
      </c>
      <c r="BT80" s="235" t="s">
        <v>39</v>
      </c>
      <c r="BU80" s="250" t="s">
        <v>341</v>
      </c>
      <c r="BV80" s="230" t="s">
        <v>364</v>
      </c>
      <c r="BW80" s="231"/>
    </row>
    <row r="81" s="209" customFormat="1" ht="36" customHeight="1" spans="1:75">
      <c r="A81" s="219">
        <v>106</v>
      </c>
      <c r="B81" s="220" t="s">
        <v>402</v>
      </c>
      <c r="C81" s="221" t="s">
        <v>175</v>
      </c>
      <c r="D81" s="221" t="s">
        <v>336</v>
      </c>
      <c r="E81" s="242" t="s">
        <v>337</v>
      </c>
      <c r="F81" s="219" t="s">
        <v>81</v>
      </c>
      <c r="G81" s="243" t="s">
        <v>1460</v>
      </c>
      <c r="H81" s="222" t="s">
        <v>329</v>
      </c>
      <c r="I81" s="237" t="s">
        <v>369</v>
      </c>
      <c r="J81" s="233" t="s">
        <v>370</v>
      </c>
      <c r="K81" s="223" cm="1">
        <f t="array" ref="K81">_xlfn.XLOOKUP(D81&amp;E81&amp;H81&amp;I81&amp;J81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81" s="223"/>
      <c r="M81" s="224"/>
      <c r="N81" s="275">
        <v>4075.06</v>
      </c>
      <c r="O81" s="226">
        <v>880000</v>
      </c>
      <c r="P81" s="247">
        <v>0.23</v>
      </c>
      <c r="Q81" s="228">
        <f t="shared" si="45"/>
        <v>0</v>
      </c>
      <c r="R81" s="275">
        <v>5904.79</v>
      </c>
      <c r="S81" s="228">
        <f t="shared" si="54"/>
        <v>-5904.79</v>
      </c>
      <c r="T81" s="235">
        <v>0</v>
      </c>
      <c r="U81" s="228">
        <f t="shared" si="46"/>
        <v>0</v>
      </c>
      <c r="V81" s="228"/>
      <c r="W81" s="228">
        <f t="shared" si="55"/>
        <v>0</v>
      </c>
      <c r="X81" s="235">
        <v>0</v>
      </c>
      <c r="Y81" s="228">
        <f t="shared" si="70"/>
        <v>0</v>
      </c>
      <c r="Z81" s="228"/>
      <c r="AA81" s="228">
        <f t="shared" si="56"/>
        <v>0</v>
      </c>
      <c r="AB81" s="247">
        <v>0</v>
      </c>
      <c r="AC81" s="228">
        <f t="shared" si="47"/>
        <v>0</v>
      </c>
      <c r="AD81" s="228"/>
      <c r="AE81" s="228">
        <f t="shared" si="71"/>
        <v>0</v>
      </c>
      <c r="AF81" s="247">
        <v>0</v>
      </c>
      <c r="AG81" s="228">
        <f t="shared" si="48"/>
        <v>0</v>
      </c>
      <c r="AH81" s="228"/>
      <c r="AI81" s="228">
        <f t="shared" si="57"/>
        <v>0</v>
      </c>
      <c r="AJ81" s="247" t="s">
        <v>1487</v>
      </c>
      <c r="AK81" s="228">
        <f t="shared" si="72"/>
        <v>0</v>
      </c>
      <c r="AL81" s="228"/>
      <c r="AM81" s="228">
        <f t="shared" si="58"/>
        <v>0</v>
      </c>
      <c r="AN81" s="276" t="s">
        <v>1488</v>
      </c>
      <c r="AO81" s="275">
        <v>200</v>
      </c>
      <c r="AP81" s="275">
        <v>200</v>
      </c>
      <c r="AQ81" s="228">
        <f t="shared" si="59"/>
        <v>0</v>
      </c>
      <c r="AR81" s="247">
        <v>0.03</v>
      </c>
      <c r="AS81" s="228">
        <f t="shared" si="68"/>
        <v>0</v>
      </c>
      <c r="AT81" s="275">
        <v>770.19</v>
      </c>
      <c r="AU81" s="228">
        <f t="shared" si="60"/>
        <v>-770.19</v>
      </c>
      <c r="AV81" s="247">
        <v>0.04</v>
      </c>
      <c r="AW81" s="228">
        <f t="shared" si="69"/>
        <v>0</v>
      </c>
      <c r="AX81" s="275">
        <v>1026.92</v>
      </c>
      <c r="AY81" s="228">
        <f t="shared" si="61"/>
        <v>-1026.92</v>
      </c>
      <c r="AZ81" s="235" t="s">
        <v>1486</v>
      </c>
      <c r="BA81" s="228">
        <f t="shared" si="44"/>
        <v>500</v>
      </c>
      <c r="BB81" s="228">
        <v>500</v>
      </c>
      <c r="BC81" s="228">
        <f t="shared" si="62"/>
        <v>0</v>
      </c>
      <c r="BD81" s="235">
        <v>0</v>
      </c>
      <c r="BE81" s="228">
        <f t="shared" si="52"/>
        <v>0</v>
      </c>
      <c r="BF81" s="235"/>
      <c r="BG81" s="228">
        <f t="shared" si="63"/>
        <v>0</v>
      </c>
      <c r="BH81" s="235">
        <v>0</v>
      </c>
      <c r="BI81" s="228">
        <f t="shared" si="39"/>
        <v>0</v>
      </c>
      <c r="BJ81" s="235"/>
      <c r="BK81" s="228">
        <f t="shared" si="64"/>
        <v>0</v>
      </c>
      <c r="BL81" s="235" t="s">
        <v>1486</v>
      </c>
      <c r="BM81" s="275">
        <v>7310.72375679856</v>
      </c>
      <c r="BN81" s="275">
        <v>7310.72375679856</v>
      </c>
      <c r="BO81" s="220">
        <f t="shared" si="65"/>
        <v>0</v>
      </c>
      <c r="BP81" s="220">
        <f t="shared" si="66"/>
        <v>12085.7837567986</v>
      </c>
      <c r="BQ81" s="220">
        <f t="shared" si="67"/>
        <v>19787.6837567986</v>
      </c>
      <c r="BR81" s="220">
        <f t="shared" si="73"/>
        <v>-7701.90000000004</v>
      </c>
      <c r="BS81" s="247" t="s">
        <v>39</v>
      </c>
      <c r="BT81" s="235" t="s">
        <v>39</v>
      </c>
      <c r="BU81" s="250" t="s">
        <v>341</v>
      </c>
      <c r="BV81" s="230" t="s">
        <v>364</v>
      </c>
      <c r="BW81" s="231"/>
    </row>
    <row r="82" s="209" customFormat="1" ht="12" customHeight="1" spans="1:75">
      <c r="A82" s="219">
        <v>107</v>
      </c>
      <c r="B82" s="220" t="s">
        <v>407</v>
      </c>
      <c r="C82" s="221" t="s">
        <v>175</v>
      </c>
      <c r="D82" s="221" t="s">
        <v>372</v>
      </c>
      <c r="E82" s="221" t="s">
        <v>373</v>
      </c>
      <c r="F82" s="219" t="s">
        <v>53</v>
      </c>
      <c r="G82" s="243" t="s">
        <v>1489</v>
      </c>
      <c r="H82" s="222" t="s">
        <v>39</v>
      </c>
      <c r="I82" s="233" t="s">
        <v>39</v>
      </c>
      <c r="J82" s="233" t="s">
        <v>39</v>
      </c>
      <c r="K82" s="223" cm="1">
        <f t="array" ref="K82">_xlfn.XLOOKUP(D82&amp;E82&amp;H82&amp;I82&amp;J82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111638.94</v>
      </c>
      <c r="L82" s="223"/>
      <c r="M82" s="224"/>
      <c r="N82" s="225"/>
      <c r="O82" s="226">
        <v>2462000</v>
      </c>
      <c r="P82" s="251">
        <v>0</v>
      </c>
      <c r="Q82" s="228">
        <f t="shared" si="45"/>
        <v>0</v>
      </c>
      <c r="R82" s="227"/>
      <c r="S82" s="228">
        <f t="shared" si="54"/>
        <v>0</v>
      </c>
      <c r="T82" s="227">
        <v>0</v>
      </c>
      <c r="U82" s="228">
        <f t="shared" si="46"/>
        <v>0</v>
      </c>
      <c r="V82" s="227"/>
      <c r="W82" s="228">
        <f t="shared" si="55"/>
        <v>0</v>
      </c>
      <c r="X82" s="227">
        <v>0</v>
      </c>
      <c r="Y82" s="228">
        <f t="shared" si="70"/>
        <v>0</v>
      </c>
      <c r="Z82" s="227"/>
      <c r="AA82" s="228">
        <f t="shared" si="56"/>
        <v>0</v>
      </c>
      <c r="AB82" s="227">
        <v>0</v>
      </c>
      <c r="AC82" s="228">
        <f t="shared" si="47"/>
        <v>0</v>
      </c>
      <c r="AD82" s="227"/>
      <c r="AE82" s="228">
        <f t="shared" si="71"/>
        <v>0</v>
      </c>
      <c r="AF82" s="227">
        <v>0</v>
      </c>
      <c r="AG82" s="228">
        <f t="shared" si="48"/>
        <v>0</v>
      </c>
      <c r="AH82" s="228"/>
      <c r="AI82" s="228">
        <f t="shared" si="57"/>
        <v>0</v>
      </c>
      <c r="AJ82" s="235">
        <v>0</v>
      </c>
      <c r="AK82" s="228">
        <f t="shared" ref="AK82:AK135" si="74">K82*AJ82</f>
        <v>0</v>
      </c>
      <c r="AL82" s="228"/>
      <c r="AM82" s="228">
        <f t="shared" si="58"/>
        <v>0</v>
      </c>
      <c r="AN82" s="235">
        <v>0</v>
      </c>
      <c r="AO82" s="228">
        <f t="shared" ref="AO82:AO135" si="75">K82*AN82</f>
        <v>0</v>
      </c>
      <c r="AP82" s="228"/>
      <c r="AQ82" s="228">
        <f t="shared" si="59"/>
        <v>0</v>
      </c>
      <c r="AR82" s="235">
        <v>0</v>
      </c>
      <c r="AS82" s="228">
        <f t="shared" si="68"/>
        <v>0</v>
      </c>
      <c r="AT82" s="228"/>
      <c r="AU82" s="228">
        <f t="shared" si="60"/>
        <v>0</v>
      </c>
      <c r="AV82" s="235">
        <v>0</v>
      </c>
      <c r="AW82" s="228">
        <f t="shared" si="69"/>
        <v>0</v>
      </c>
      <c r="AX82" s="228"/>
      <c r="AY82" s="228">
        <f t="shared" si="61"/>
        <v>0</v>
      </c>
      <c r="AZ82" s="235">
        <v>0</v>
      </c>
      <c r="BA82" s="228">
        <f t="shared" ref="BA82:BA104" si="76">K82*AZ82</f>
        <v>0</v>
      </c>
      <c r="BB82" s="228"/>
      <c r="BC82" s="228">
        <f t="shared" si="62"/>
        <v>0</v>
      </c>
      <c r="BD82" s="228"/>
      <c r="BE82" s="228">
        <f t="shared" si="52"/>
        <v>0</v>
      </c>
      <c r="BF82" s="228"/>
      <c r="BG82" s="228">
        <f t="shared" si="63"/>
        <v>0</v>
      </c>
      <c r="BH82" s="228"/>
      <c r="BI82" s="228">
        <f t="shared" si="39"/>
        <v>0</v>
      </c>
      <c r="BJ82" s="228"/>
      <c r="BK82" s="228">
        <f t="shared" si="64"/>
        <v>0</v>
      </c>
      <c r="BL82" s="228">
        <v>0</v>
      </c>
      <c r="BM82" s="220">
        <f t="shared" ref="BM82:BM89" si="77">K82*BL82</f>
        <v>0</v>
      </c>
      <c r="BN82" s="220"/>
      <c r="BO82" s="220">
        <f t="shared" si="65"/>
        <v>0</v>
      </c>
      <c r="BP82" s="220">
        <f t="shared" si="66"/>
        <v>0</v>
      </c>
      <c r="BQ82" s="220">
        <f t="shared" si="67"/>
        <v>0</v>
      </c>
      <c r="BR82" s="220">
        <f t="shared" si="73"/>
        <v>0</v>
      </c>
      <c r="BS82" s="220"/>
      <c r="BT82" s="229" t="s">
        <v>39</v>
      </c>
      <c r="BU82" s="230" t="s">
        <v>375</v>
      </c>
      <c r="BV82" s="230"/>
      <c r="BW82" s="231"/>
    </row>
    <row r="83" s="209" customFormat="1" ht="12" customHeight="1" spans="1:75">
      <c r="A83" s="219">
        <v>108</v>
      </c>
      <c r="B83" s="220" t="s">
        <v>410</v>
      </c>
      <c r="C83" s="221" t="s">
        <v>175</v>
      </c>
      <c r="D83" s="221" t="s">
        <v>377</v>
      </c>
      <c r="E83" s="221" t="s">
        <v>378</v>
      </c>
      <c r="F83" s="219" t="s">
        <v>53</v>
      </c>
      <c r="G83" s="243" t="s">
        <v>1489</v>
      </c>
      <c r="H83" s="222" t="s">
        <v>39</v>
      </c>
      <c r="I83" s="233" t="s">
        <v>39</v>
      </c>
      <c r="J83" s="233" t="s">
        <v>39</v>
      </c>
      <c r="K83" s="223" cm="1">
        <f t="array" ref="K83">_xlfn.XLOOKUP(D83&amp;E83&amp;H83&amp;I83&amp;J83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98750</v>
      </c>
      <c r="L83" s="223"/>
      <c r="M83" s="224"/>
      <c r="N83" s="225"/>
      <c r="O83" s="226">
        <v>2465000</v>
      </c>
      <c r="P83" s="251">
        <v>0</v>
      </c>
      <c r="Q83" s="228">
        <f t="shared" si="45"/>
        <v>0</v>
      </c>
      <c r="R83" s="227"/>
      <c r="S83" s="228">
        <f t="shared" si="54"/>
        <v>0</v>
      </c>
      <c r="T83" s="227">
        <v>0</v>
      </c>
      <c r="U83" s="228">
        <f t="shared" si="46"/>
        <v>0</v>
      </c>
      <c r="V83" s="227"/>
      <c r="W83" s="228">
        <f t="shared" si="55"/>
        <v>0</v>
      </c>
      <c r="X83" s="227">
        <v>0</v>
      </c>
      <c r="Y83" s="228">
        <f t="shared" si="70"/>
        <v>0</v>
      </c>
      <c r="Z83" s="227"/>
      <c r="AA83" s="228">
        <f t="shared" si="56"/>
        <v>0</v>
      </c>
      <c r="AB83" s="227">
        <v>0</v>
      </c>
      <c r="AC83" s="228">
        <f t="shared" si="47"/>
        <v>0</v>
      </c>
      <c r="AD83" s="227"/>
      <c r="AE83" s="228">
        <f t="shared" si="71"/>
        <v>0</v>
      </c>
      <c r="AF83" s="227">
        <v>0</v>
      </c>
      <c r="AG83" s="228">
        <f t="shared" si="48"/>
        <v>0</v>
      </c>
      <c r="AH83" s="228"/>
      <c r="AI83" s="228">
        <f t="shared" si="57"/>
        <v>0</v>
      </c>
      <c r="AJ83" s="235">
        <v>0</v>
      </c>
      <c r="AK83" s="228">
        <f t="shared" si="74"/>
        <v>0</v>
      </c>
      <c r="AL83" s="228"/>
      <c r="AM83" s="228">
        <f t="shared" si="58"/>
        <v>0</v>
      </c>
      <c r="AN83" s="235">
        <v>0</v>
      </c>
      <c r="AO83" s="228">
        <f t="shared" si="75"/>
        <v>0</v>
      </c>
      <c r="AP83" s="228"/>
      <c r="AQ83" s="228">
        <f t="shared" si="59"/>
        <v>0</v>
      </c>
      <c r="AR83" s="235">
        <v>0</v>
      </c>
      <c r="AS83" s="228">
        <f t="shared" si="68"/>
        <v>0</v>
      </c>
      <c r="AT83" s="228"/>
      <c r="AU83" s="228">
        <f t="shared" si="60"/>
        <v>0</v>
      </c>
      <c r="AV83" s="235">
        <v>0</v>
      </c>
      <c r="AW83" s="228">
        <f t="shared" si="69"/>
        <v>0</v>
      </c>
      <c r="AX83" s="228"/>
      <c r="AY83" s="228">
        <f t="shared" si="61"/>
        <v>0</v>
      </c>
      <c r="AZ83" s="235">
        <v>0</v>
      </c>
      <c r="BA83" s="228">
        <f t="shared" si="76"/>
        <v>0</v>
      </c>
      <c r="BB83" s="228"/>
      <c r="BC83" s="228">
        <f t="shared" si="62"/>
        <v>0</v>
      </c>
      <c r="BD83" s="228"/>
      <c r="BE83" s="228">
        <f t="shared" si="52"/>
        <v>0</v>
      </c>
      <c r="BF83" s="228"/>
      <c r="BG83" s="228">
        <f t="shared" si="63"/>
        <v>0</v>
      </c>
      <c r="BH83" s="228"/>
      <c r="BI83" s="228">
        <f t="shared" si="39"/>
        <v>0</v>
      </c>
      <c r="BJ83" s="228"/>
      <c r="BK83" s="228">
        <f t="shared" si="64"/>
        <v>0</v>
      </c>
      <c r="BL83" s="228">
        <v>0</v>
      </c>
      <c r="BM83" s="220">
        <f t="shared" si="77"/>
        <v>0</v>
      </c>
      <c r="BN83" s="220"/>
      <c r="BO83" s="220">
        <f t="shared" si="65"/>
        <v>0</v>
      </c>
      <c r="BP83" s="220">
        <f t="shared" si="66"/>
        <v>0</v>
      </c>
      <c r="BQ83" s="220">
        <f t="shared" si="67"/>
        <v>0</v>
      </c>
      <c r="BR83" s="220">
        <f t="shared" si="73"/>
        <v>0</v>
      </c>
      <c r="BS83" s="220"/>
      <c r="BT83" s="229" t="s">
        <v>39</v>
      </c>
      <c r="BU83" s="230" t="s">
        <v>375</v>
      </c>
      <c r="BV83" s="230"/>
      <c r="BW83" s="231"/>
    </row>
    <row r="84" s="209" customFormat="1" ht="12" customHeight="1" spans="1:75">
      <c r="A84" s="219">
        <v>109</v>
      </c>
      <c r="B84" s="220" t="s">
        <v>412</v>
      </c>
      <c r="C84" s="221" t="s">
        <v>175</v>
      </c>
      <c r="D84" s="221" t="s">
        <v>380</v>
      </c>
      <c r="E84" s="221" t="s">
        <v>381</v>
      </c>
      <c r="F84" s="219" t="s">
        <v>53</v>
      </c>
      <c r="G84" s="243" t="s">
        <v>1489</v>
      </c>
      <c r="H84" s="222" t="s">
        <v>39</v>
      </c>
      <c r="I84" s="233" t="s">
        <v>39</v>
      </c>
      <c r="J84" s="233" t="s">
        <v>39</v>
      </c>
      <c r="K84" s="223" cm="1">
        <f t="array" ref="K84">_xlfn.XLOOKUP(D84&amp;E84&amp;H84&amp;I84&amp;J84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84" s="223"/>
      <c r="M84" s="224"/>
      <c r="N84" s="225"/>
      <c r="O84" s="226">
        <v>2650000</v>
      </c>
      <c r="P84" s="251">
        <v>0</v>
      </c>
      <c r="Q84" s="228">
        <f t="shared" si="45"/>
        <v>0</v>
      </c>
      <c r="R84" s="227"/>
      <c r="S84" s="228">
        <f t="shared" si="54"/>
        <v>0</v>
      </c>
      <c r="T84" s="227">
        <v>0</v>
      </c>
      <c r="U84" s="228">
        <f t="shared" si="46"/>
        <v>0</v>
      </c>
      <c r="V84" s="227"/>
      <c r="W84" s="228">
        <f t="shared" si="55"/>
        <v>0</v>
      </c>
      <c r="X84" s="227">
        <v>0</v>
      </c>
      <c r="Y84" s="228">
        <f t="shared" si="70"/>
        <v>0</v>
      </c>
      <c r="Z84" s="227"/>
      <c r="AA84" s="228">
        <f t="shared" si="56"/>
        <v>0</v>
      </c>
      <c r="AB84" s="227">
        <v>0</v>
      </c>
      <c r="AC84" s="228">
        <f t="shared" si="47"/>
        <v>0</v>
      </c>
      <c r="AD84" s="227"/>
      <c r="AE84" s="228">
        <f t="shared" si="71"/>
        <v>0</v>
      </c>
      <c r="AF84" s="227">
        <v>0</v>
      </c>
      <c r="AG84" s="228">
        <f t="shared" si="48"/>
        <v>0</v>
      </c>
      <c r="AH84" s="228"/>
      <c r="AI84" s="228">
        <f t="shared" si="57"/>
        <v>0</v>
      </c>
      <c r="AJ84" s="235">
        <v>0</v>
      </c>
      <c r="AK84" s="228">
        <f t="shared" si="74"/>
        <v>0</v>
      </c>
      <c r="AL84" s="228"/>
      <c r="AM84" s="228">
        <f t="shared" si="58"/>
        <v>0</v>
      </c>
      <c r="AN84" s="235">
        <v>0</v>
      </c>
      <c r="AO84" s="228">
        <f t="shared" si="75"/>
        <v>0</v>
      </c>
      <c r="AP84" s="228"/>
      <c r="AQ84" s="228">
        <f t="shared" si="59"/>
        <v>0</v>
      </c>
      <c r="AR84" s="235">
        <v>0</v>
      </c>
      <c r="AS84" s="228">
        <f t="shared" si="68"/>
        <v>0</v>
      </c>
      <c r="AT84" s="228"/>
      <c r="AU84" s="228">
        <f t="shared" si="60"/>
        <v>0</v>
      </c>
      <c r="AV84" s="235">
        <v>0</v>
      </c>
      <c r="AW84" s="228">
        <f t="shared" si="69"/>
        <v>0</v>
      </c>
      <c r="AX84" s="228"/>
      <c r="AY84" s="228">
        <f t="shared" si="61"/>
        <v>0</v>
      </c>
      <c r="AZ84" s="235">
        <v>0</v>
      </c>
      <c r="BA84" s="228">
        <f t="shared" si="76"/>
        <v>0</v>
      </c>
      <c r="BB84" s="228"/>
      <c r="BC84" s="228">
        <f t="shared" si="62"/>
        <v>0</v>
      </c>
      <c r="BD84" s="228"/>
      <c r="BE84" s="228">
        <f t="shared" si="52"/>
        <v>0</v>
      </c>
      <c r="BF84" s="228"/>
      <c r="BG84" s="228">
        <f t="shared" si="63"/>
        <v>0</v>
      </c>
      <c r="BH84" s="228"/>
      <c r="BI84" s="228">
        <f t="shared" si="39"/>
        <v>0</v>
      </c>
      <c r="BJ84" s="228"/>
      <c r="BK84" s="228">
        <f t="shared" si="64"/>
        <v>0</v>
      </c>
      <c r="BL84" s="228">
        <v>0</v>
      </c>
      <c r="BM84" s="220">
        <f t="shared" si="77"/>
        <v>0</v>
      </c>
      <c r="BN84" s="220"/>
      <c r="BO84" s="220">
        <f t="shared" si="65"/>
        <v>0</v>
      </c>
      <c r="BP84" s="220">
        <f t="shared" si="66"/>
        <v>0</v>
      </c>
      <c r="BQ84" s="220">
        <f t="shared" si="67"/>
        <v>0</v>
      </c>
      <c r="BR84" s="220">
        <f t="shared" si="73"/>
        <v>0</v>
      </c>
      <c r="BS84" s="220"/>
      <c r="BT84" s="229" t="s">
        <v>39</v>
      </c>
      <c r="BU84" s="230" t="s">
        <v>375</v>
      </c>
      <c r="BV84" s="230"/>
      <c r="BW84" s="231"/>
    </row>
    <row r="85" s="209" customFormat="1" ht="12" customHeight="1" spans="1:75">
      <c r="A85" s="219">
        <v>110</v>
      </c>
      <c r="B85" s="220" t="s">
        <v>415</v>
      </c>
      <c r="C85" s="221" t="s">
        <v>175</v>
      </c>
      <c r="D85" s="221" t="s">
        <v>383</v>
      </c>
      <c r="E85" s="221" t="s">
        <v>384</v>
      </c>
      <c r="F85" s="219" t="s">
        <v>53</v>
      </c>
      <c r="G85" s="243" t="s">
        <v>1489</v>
      </c>
      <c r="H85" s="222" t="s">
        <v>39</v>
      </c>
      <c r="I85" s="233" t="s">
        <v>39</v>
      </c>
      <c r="J85" s="233" t="s">
        <v>39</v>
      </c>
      <c r="K85" s="223" cm="1">
        <f t="array" ref="K85">_xlfn.XLOOKUP(D85&amp;E85&amp;H85&amp;I85&amp;J85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8498.08</v>
      </c>
      <c r="L85" s="223"/>
      <c r="M85" s="224"/>
      <c r="N85" s="225"/>
      <c r="O85" s="226">
        <v>1574000</v>
      </c>
      <c r="P85" s="251">
        <v>0</v>
      </c>
      <c r="Q85" s="228">
        <f t="shared" si="45"/>
        <v>0</v>
      </c>
      <c r="R85" s="227"/>
      <c r="S85" s="228">
        <f t="shared" si="54"/>
        <v>0</v>
      </c>
      <c r="T85" s="227">
        <v>0</v>
      </c>
      <c r="U85" s="228">
        <f t="shared" si="46"/>
        <v>0</v>
      </c>
      <c r="V85" s="227"/>
      <c r="W85" s="228">
        <f t="shared" si="55"/>
        <v>0</v>
      </c>
      <c r="X85" s="227">
        <v>0</v>
      </c>
      <c r="Y85" s="228">
        <f t="shared" si="70"/>
        <v>0</v>
      </c>
      <c r="Z85" s="227"/>
      <c r="AA85" s="228">
        <f t="shared" si="56"/>
        <v>0</v>
      </c>
      <c r="AB85" s="227">
        <v>0</v>
      </c>
      <c r="AC85" s="228">
        <f t="shared" si="47"/>
        <v>0</v>
      </c>
      <c r="AD85" s="227"/>
      <c r="AE85" s="228">
        <f t="shared" si="71"/>
        <v>0</v>
      </c>
      <c r="AF85" s="227">
        <v>0</v>
      </c>
      <c r="AG85" s="228">
        <f t="shared" si="48"/>
        <v>0</v>
      </c>
      <c r="AH85" s="228"/>
      <c r="AI85" s="228">
        <f t="shared" si="57"/>
        <v>0</v>
      </c>
      <c r="AJ85" s="235">
        <v>0</v>
      </c>
      <c r="AK85" s="228">
        <f t="shared" si="74"/>
        <v>0</v>
      </c>
      <c r="AL85" s="228"/>
      <c r="AM85" s="228">
        <f t="shared" si="58"/>
        <v>0</v>
      </c>
      <c r="AN85" s="235">
        <v>0</v>
      </c>
      <c r="AO85" s="228">
        <f t="shared" si="75"/>
        <v>0</v>
      </c>
      <c r="AP85" s="228"/>
      <c r="AQ85" s="228">
        <f t="shared" si="59"/>
        <v>0</v>
      </c>
      <c r="AR85" s="235">
        <v>0</v>
      </c>
      <c r="AS85" s="228">
        <f t="shared" si="68"/>
        <v>0</v>
      </c>
      <c r="AT85" s="228"/>
      <c r="AU85" s="228">
        <f t="shared" si="60"/>
        <v>0</v>
      </c>
      <c r="AV85" s="235">
        <v>0</v>
      </c>
      <c r="AW85" s="228">
        <f t="shared" si="69"/>
        <v>0</v>
      </c>
      <c r="AX85" s="228"/>
      <c r="AY85" s="228">
        <f t="shared" si="61"/>
        <v>0</v>
      </c>
      <c r="AZ85" s="235">
        <v>0</v>
      </c>
      <c r="BA85" s="228">
        <f t="shared" si="76"/>
        <v>0</v>
      </c>
      <c r="BB85" s="228"/>
      <c r="BC85" s="228">
        <f t="shared" si="62"/>
        <v>0</v>
      </c>
      <c r="BD85" s="228"/>
      <c r="BE85" s="228">
        <f t="shared" si="52"/>
        <v>0</v>
      </c>
      <c r="BF85" s="228"/>
      <c r="BG85" s="228">
        <f t="shared" si="63"/>
        <v>0</v>
      </c>
      <c r="BH85" s="228"/>
      <c r="BI85" s="228">
        <f t="shared" si="39"/>
        <v>0</v>
      </c>
      <c r="BJ85" s="228"/>
      <c r="BK85" s="228">
        <f t="shared" si="64"/>
        <v>0</v>
      </c>
      <c r="BL85" s="228">
        <v>0</v>
      </c>
      <c r="BM85" s="220">
        <f t="shared" si="77"/>
        <v>0</v>
      </c>
      <c r="BN85" s="220"/>
      <c r="BO85" s="220">
        <f t="shared" si="65"/>
        <v>0</v>
      </c>
      <c r="BP85" s="220">
        <f t="shared" si="66"/>
        <v>0</v>
      </c>
      <c r="BQ85" s="220">
        <f t="shared" si="67"/>
        <v>0</v>
      </c>
      <c r="BR85" s="220">
        <f t="shared" si="73"/>
        <v>0</v>
      </c>
      <c r="BS85" s="220"/>
      <c r="BT85" s="229" t="s">
        <v>39</v>
      </c>
      <c r="BU85" s="230" t="s">
        <v>375</v>
      </c>
      <c r="BV85" s="230"/>
      <c r="BW85" s="231"/>
    </row>
    <row r="86" s="209" customFormat="1" ht="12" customHeight="1" spans="1:75">
      <c r="A86" s="219">
        <v>111</v>
      </c>
      <c r="B86" s="220" t="s">
        <v>418</v>
      </c>
      <c r="C86" s="221" t="s">
        <v>175</v>
      </c>
      <c r="D86" s="221" t="s">
        <v>386</v>
      </c>
      <c r="E86" s="221" t="s">
        <v>387</v>
      </c>
      <c r="F86" s="219" t="s">
        <v>53</v>
      </c>
      <c r="G86" s="243" t="s">
        <v>1489</v>
      </c>
      <c r="H86" s="222" t="s">
        <v>39</v>
      </c>
      <c r="I86" s="233" t="s">
        <v>39</v>
      </c>
      <c r="J86" s="233" t="s">
        <v>39</v>
      </c>
      <c r="K86" s="223" cm="1">
        <f t="array" ref="K86">_xlfn.XLOOKUP(D86&amp;E86&amp;H86&amp;I86&amp;J86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149297.62</v>
      </c>
      <c r="L86" s="223"/>
      <c r="M86" s="224"/>
      <c r="N86" s="225"/>
      <c r="O86" s="226">
        <v>3130000</v>
      </c>
      <c r="P86" s="251">
        <v>0</v>
      </c>
      <c r="Q86" s="228">
        <f t="shared" si="45"/>
        <v>0</v>
      </c>
      <c r="R86" s="227"/>
      <c r="S86" s="228">
        <f t="shared" si="54"/>
        <v>0</v>
      </c>
      <c r="T86" s="227">
        <v>0</v>
      </c>
      <c r="U86" s="228">
        <f t="shared" si="46"/>
        <v>0</v>
      </c>
      <c r="V86" s="227"/>
      <c r="W86" s="228">
        <f t="shared" si="55"/>
        <v>0</v>
      </c>
      <c r="X86" s="227">
        <v>0</v>
      </c>
      <c r="Y86" s="228">
        <f t="shared" si="70"/>
        <v>0</v>
      </c>
      <c r="Z86" s="227"/>
      <c r="AA86" s="228">
        <f t="shared" si="56"/>
        <v>0</v>
      </c>
      <c r="AB86" s="227">
        <v>0</v>
      </c>
      <c r="AC86" s="228">
        <f t="shared" si="47"/>
        <v>0</v>
      </c>
      <c r="AD86" s="227"/>
      <c r="AE86" s="228">
        <f t="shared" si="71"/>
        <v>0</v>
      </c>
      <c r="AF86" s="227">
        <v>0</v>
      </c>
      <c r="AG86" s="228">
        <f t="shared" si="48"/>
        <v>0</v>
      </c>
      <c r="AH86" s="228"/>
      <c r="AI86" s="228">
        <f t="shared" si="57"/>
        <v>0</v>
      </c>
      <c r="AJ86" s="235">
        <v>0</v>
      </c>
      <c r="AK86" s="228">
        <f t="shared" si="74"/>
        <v>0</v>
      </c>
      <c r="AL86" s="228"/>
      <c r="AM86" s="228">
        <f t="shared" si="58"/>
        <v>0</v>
      </c>
      <c r="AN86" s="235">
        <v>0</v>
      </c>
      <c r="AO86" s="228">
        <f t="shared" si="75"/>
        <v>0</v>
      </c>
      <c r="AP86" s="228"/>
      <c r="AQ86" s="228">
        <f t="shared" si="59"/>
        <v>0</v>
      </c>
      <c r="AR86" s="235">
        <v>0</v>
      </c>
      <c r="AS86" s="228">
        <f t="shared" si="68"/>
        <v>0</v>
      </c>
      <c r="AT86" s="228"/>
      <c r="AU86" s="228">
        <f t="shared" si="60"/>
        <v>0</v>
      </c>
      <c r="AV86" s="235">
        <v>0</v>
      </c>
      <c r="AW86" s="228">
        <f t="shared" si="69"/>
        <v>0</v>
      </c>
      <c r="AX86" s="228"/>
      <c r="AY86" s="228">
        <f t="shared" si="61"/>
        <v>0</v>
      </c>
      <c r="AZ86" s="235">
        <v>0</v>
      </c>
      <c r="BA86" s="228">
        <f t="shared" si="76"/>
        <v>0</v>
      </c>
      <c r="BB86" s="228"/>
      <c r="BC86" s="228">
        <f t="shared" si="62"/>
        <v>0</v>
      </c>
      <c r="BD86" s="228"/>
      <c r="BE86" s="228">
        <f t="shared" si="52"/>
        <v>0</v>
      </c>
      <c r="BF86" s="228"/>
      <c r="BG86" s="228">
        <f t="shared" si="63"/>
        <v>0</v>
      </c>
      <c r="BH86" s="228"/>
      <c r="BI86" s="228">
        <f t="shared" si="39"/>
        <v>0</v>
      </c>
      <c r="BJ86" s="228"/>
      <c r="BK86" s="228">
        <f t="shared" si="64"/>
        <v>0</v>
      </c>
      <c r="BL86" s="228">
        <v>0</v>
      </c>
      <c r="BM86" s="220">
        <f t="shared" si="77"/>
        <v>0</v>
      </c>
      <c r="BN86" s="220"/>
      <c r="BO86" s="220">
        <f t="shared" si="65"/>
        <v>0</v>
      </c>
      <c r="BP86" s="220">
        <f t="shared" si="66"/>
        <v>0</v>
      </c>
      <c r="BQ86" s="220">
        <f t="shared" si="67"/>
        <v>0</v>
      </c>
      <c r="BR86" s="220">
        <f t="shared" si="73"/>
        <v>0</v>
      </c>
      <c r="BS86" s="220"/>
      <c r="BT86" s="229" t="s">
        <v>39</v>
      </c>
      <c r="BU86" s="230" t="s">
        <v>375</v>
      </c>
      <c r="BV86" s="230"/>
      <c r="BW86" s="231"/>
    </row>
    <row r="87" s="209" customFormat="1" ht="12" customHeight="1" spans="1:75">
      <c r="A87" s="219">
        <v>112</v>
      </c>
      <c r="B87" s="220" t="s">
        <v>421</v>
      </c>
      <c r="C87" s="221" t="s">
        <v>175</v>
      </c>
      <c r="D87" s="221" t="s">
        <v>389</v>
      </c>
      <c r="E87" s="221" t="s">
        <v>390</v>
      </c>
      <c r="F87" s="219" t="s">
        <v>53</v>
      </c>
      <c r="G87" s="243" t="s">
        <v>1489</v>
      </c>
      <c r="H87" s="222" t="s">
        <v>39</v>
      </c>
      <c r="I87" s="233" t="s">
        <v>39</v>
      </c>
      <c r="J87" s="233" t="s">
        <v>39</v>
      </c>
      <c r="K87" s="223" cm="1">
        <f t="array" ref="K87">_xlfn.XLOOKUP(D87&amp;E87&amp;H87&amp;I87&amp;J87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115940.99</v>
      </c>
      <c r="L87" s="223"/>
      <c r="M87" s="224"/>
      <c r="N87" s="225"/>
      <c r="O87" s="226">
        <v>2588000</v>
      </c>
      <c r="P87" s="251">
        <v>0</v>
      </c>
      <c r="Q87" s="228">
        <f t="shared" si="45"/>
        <v>0</v>
      </c>
      <c r="R87" s="227"/>
      <c r="S87" s="228">
        <f t="shared" si="54"/>
        <v>0</v>
      </c>
      <c r="T87" s="227">
        <v>0</v>
      </c>
      <c r="U87" s="228">
        <f t="shared" si="46"/>
        <v>0</v>
      </c>
      <c r="V87" s="227"/>
      <c r="W87" s="228">
        <f t="shared" si="55"/>
        <v>0</v>
      </c>
      <c r="X87" s="227">
        <v>0</v>
      </c>
      <c r="Y87" s="228">
        <f t="shared" si="70"/>
        <v>0</v>
      </c>
      <c r="Z87" s="227"/>
      <c r="AA87" s="228">
        <f t="shared" si="56"/>
        <v>0</v>
      </c>
      <c r="AB87" s="227">
        <v>0</v>
      </c>
      <c r="AC87" s="228">
        <f t="shared" si="47"/>
        <v>0</v>
      </c>
      <c r="AD87" s="227"/>
      <c r="AE87" s="228">
        <f t="shared" si="71"/>
        <v>0</v>
      </c>
      <c r="AF87" s="227">
        <v>0</v>
      </c>
      <c r="AG87" s="228">
        <f t="shared" si="48"/>
        <v>0</v>
      </c>
      <c r="AH87" s="228"/>
      <c r="AI87" s="228">
        <f t="shared" si="57"/>
        <v>0</v>
      </c>
      <c r="AJ87" s="235">
        <v>0</v>
      </c>
      <c r="AK87" s="228">
        <f t="shared" si="74"/>
        <v>0</v>
      </c>
      <c r="AL87" s="228"/>
      <c r="AM87" s="228">
        <f t="shared" si="58"/>
        <v>0</v>
      </c>
      <c r="AN87" s="235">
        <v>0</v>
      </c>
      <c r="AO87" s="228">
        <f t="shared" si="75"/>
        <v>0</v>
      </c>
      <c r="AP87" s="228"/>
      <c r="AQ87" s="228">
        <f t="shared" si="59"/>
        <v>0</v>
      </c>
      <c r="AR87" s="235">
        <v>0</v>
      </c>
      <c r="AS87" s="228">
        <f t="shared" si="68"/>
        <v>0</v>
      </c>
      <c r="AT87" s="228"/>
      <c r="AU87" s="228">
        <f t="shared" si="60"/>
        <v>0</v>
      </c>
      <c r="AV87" s="235">
        <v>0</v>
      </c>
      <c r="AW87" s="228">
        <f t="shared" si="69"/>
        <v>0</v>
      </c>
      <c r="AX87" s="228"/>
      <c r="AY87" s="228">
        <f t="shared" si="61"/>
        <v>0</v>
      </c>
      <c r="AZ87" s="235">
        <v>0</v>
      </c>
      <c r="BA87" s="228">
        <f t="shared" si="76"/>
        <v>0</v>
      </c>
      <c r="BB87" s="228"/>
      <c r="BC87" s="228">
        <f t="shared" si="62"/>
        <v>0</v>
      </c>
      <c r="BD87" s="228"/>
      <c r="BE87" s="228">
        <f t="shared" si="52"/>
        <v>0</v>
      </c>
      <c r="BF87" s="228"/>
      <c r="BG87" s="228">
        <f t="shared" si="63"/>
        <v>0</v>
      </c>
      <c r="BH87" s="228"/>
      <c r="BI87" s="228">
        <f t="shared" si="39"/>
        <v>0</v>
      </c>
      <c r="BJ87" s="228"/>
      <c r="BK87" s="228">
        <f t="shared" si="64"/>
        <v>0</v>
      </c>
      <c r="BL87" s="228">
        <v>0</v>
      </c>
      <c r="BM87" s="220">
        <f t="shared" si="77"/>
        <v>0</v>
      </c>
      <c r="BN87" s="220"/>
      <c r="BO87" s="220">
        <f t="shared" si="65"/>
        <v>0</v>
      </c>
      <c r="BP87" s="220">
        <f t="shared" si="66"/>
        <v>0</v>
      </c>
      <c r="BQ87" s="220">
        <f t="shared" si="67"/>
        <v>0</v>
      </c>
      <c r="BR87" s="220">
        <f t="shared" si="73"/>
        <v>0</v>
      </c>
      <c r="BS87" s="220"/>
      <c r="BT87" s="229" t="s">
        <v>39</v>
      </c>
      <c r="BU87" s="230" t="s">
        <v>375</v>
      </c>
      <c r="BV87" s="230"/>
      <c r="BW87" s="231"/>
    </row>
    <row r="88" s="209" customFormat="1" ht="12" customHeight="1" spans="1:75">
      <c r="A88" s="219">
        <v>113</v>
      </c>
      <c r="B88" s="220" t="s">
        <v>423</v>
      </c>
      <c r="C88" s="221" t="s">
        <v>175</v>
      </c>
      <c r="D88" s="221" t="s">
        <v>392</v>
      </c>
      <c r="E88" s="221" t="s">
        <v>393</v>
      </c>
      <c r="F88" s="219" t="s">
        <v>53</v>
      </c>
      <c r="G88" s="243" t="s">
        <v>1489</v>
      </c>
      <c r="H88" s="222" t="s">
        <v>39</v>
      </c>
      <c r="I88" s="233" t="s">
        <v>39</v>
      </c>
      <c r="J88" s="233" t="s">
        <v>39</v>
      </c>
      <c r="K88" s="223" cm="1">
        <f t="array" ref="K88">_xlfn.XLOOKUP(D88&amp;E88&amp;H88&amp;I88&amp;J88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88" s="223"/>
      <c r="M88" s="224"/>
      <c r="N88" s="225"/>
      <c r="O88" s="226">
        <v>1249000</v>
      </c>
      <c r="P88" s="251">
        <v>0</v>
      </c>
      <c r="Q88" s="228">
        <f t="shared" si="45"/>
        <v>0</v>
      </c>
      <c r="R88" s="227"/>
      <c r="S88" s="228">
        <f t="shared" si="54"/>
        <v>0</v>
      </c>
      <c r="T88" s="227">
        <v>0</v>
      </c>
      <c r="U88" s="228">
        <f t="shared" si="46"/>
        <v>0</v>
      </c>
      <c r="V88" s="227"/>
      <c r="W88" s="228">
        <f t="shared" si="55"/>
        <v>0</v>
      </c>
      <c r="X88" s="227">
        <v>0</v>
      </c>
      <c r="Y88" s="228">
        <f t="shared" si="70"/>
        <v>0</v>
      </c>
      <c r="Z88" s="227"/>
      <c r="AA88" s="228">
        <f t="shared" si="56"/>
        <v>0</v>
      </c>
      <c r="AB88" s="227">
        <v>0</v>
      </c>
      <c r="AC88" s="228">
        <f t="shared" si="47"/>
        <v>0</v>
      </c>
      <c r="AD88" s="227"/>
      <c r="AE88" s="228">
        <f t="shared" si="71"/>
        <v>0</v>
      </c>
      <c r="AF88" s="227">
        <v>0</v>
      </c>
      <c r="AG88" s="228">
        <f t="shared" si="48"/>
        <v>0</v>
      </c>
      <c r="AH88" s="228"/>
      <c r="AI88" s="228">
        <f t="shared" si="57"/>
        <v>0</v>
      </c>
      <c r="AJ88" s="235">
        <v>0</v>
      </c>
      <c r="AK88" s="228">
        <f t="shared" si="74"/>
        <v>0</v>
      </c>
      <c r="AL88" s="228"/>
      <c r="AM88" s="228">
        <f t="shared" si="58"/>
        <v>0</v>
      </c>
      <c r="AN88" s="235">
        <v>0</v>
      </c>
      <c r="AO88" s="228">
        <f t="shared" si="75"/>
        <v>0</v>
      </c>
      <c r="AP88" s="228"/>
      <c r="AQ88" s="228">
        <f t="shared" si="59"/>
        <v>0</v>
      </c>
      <c r="AR88" s="235">
        <v>0</v>
      </c>
      <c r="AS88" s="228">
        <f t="shared" si="68"/>
        <v>0</v>
      </c>
      <c r="AT88" s="228"/>
      <c r="AU88" s="228">
        <f t="shared" si="60"/>
        <v>0</v>
      </c>
      <c r="AV88" s="235">
        <v>0</v>
      </c>
      <c r="AW88" s="228">
        <f t="shared" si="69"/>
        <v>0</v>
      </c>
      <c r="AX88" s="228"/>
      <c r="AY88" s="228">
        <f t="shared" si="61"/>
        <v>0</v>
      </c>
      <c r="AZ88" s="235">
        <v>0</v>
      </c>
      <c r="BA88" s="228">
        <f t="shared" si="76"/>
        <v>0</v>
      </c>
      <c r="BB88" s="228"/>
      <c r="BC88" s="228">
        <f t="shared" si="62"/>
        <v>0</v>
      </c>
      <c r="BD88" s="228"/>
      <c r="BE88" s="228">
        <f t="shared" si="52"/>
        <v>0</v>
      </c>
      <c r="BF88" s="228"/>
      <c r="BG88" s="228">
        <f t="shared" si="63"/>
        <v>0</v>
      </c>
      <c r="BH88" s="228"/>
      <c r="BI88" s="228">
        <f t="shared" si="39"/>
        <v>0</v>
      </c>
      <c r="BJ88" s="228"/>
      <c r="BK88" s="228">
        <f t="shared" si="64"/>
        <v>0</v>
      </c>
      <c r="BL88" s="228">
        <v>0</v>
      </c>
      <c r="BM88" s="220">
        <f t="shared" si="77"/>
        <v>0</v>
      </c>
      <c r="BN88" s="220"/>
      <c r="BO88" s="220">
        <f t="shared" si="65"/>
        <v>0</v>
      </c>
      <c r="BP88" s="220">
        <f t="shared" si="66"/>
        <v>0</v>
      </c>
      <c r="BQ88" s="220">
        <f t="shared" si="67"/>
        <v>0</v>
      </c>
      <c r="BR88" s="220">
        <f t="shared" si="73"/>
        <v>0</v>
      </c>
      <c r="BS88" s="220"/>
      <c r="BT88" s="229" t="s">
        <v>39</v>
      </c>
      <c r="BU88" s="230" t="s">
        <v>375</v>
      </c>
      <c r="BV88" s="230"/>
      <c r="BW88" s="231"/>
    </row>
    <row r="89" s="209" customFormat="1" ht="12" customHeight="1" spans="1:75">
      <c r="A89" s="219">
        <v>114</v>
      </c>
      <c r="B89" s="220" t="s">
        <v>426</v>
      </c>
      <c r="C89" s="221" t="s">
        <v>175</v>
      </c>
      <c r="D89" s="221" t="s">
        <v>395</v>
      </c>
      <c r="E89" s="221" t="s">
        <v>396</v>
      </c>
      <c r="F89" s="219" t="s">
        <v>53</v>
      </c>
      <c r="G89" s="222" t="s">
        <v>374</v>
      </c>
      <c r="H89" s="222" t="s">
        <v>39</v>
      </c>
      <c r="I89" s="233" t="s">
        <v>39</v>
      </c>
      <c r="J89" s="233" t="s">
        <v>39</v>
      </c>
      <c r="K89" s="223" cm="1">
        <f t="array" ref="K89">_xlfn.XLOOKUP(D89&amp;E89&amp;H89&amp;I89&amp;J89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383229.96</v>
      </c>
      <c r="L89" s="223"/>
      <c r="M89" s="224"/>
      <c r="N89" s="225"/>
      <c r="O89" s="226">
        <v>0</v>
      </c>
      <c r="P89" s="227">
        <v>0</v>
      </c>
      <c r="Q89" s="228">
        <f t="shared" si="45"/>
        <v>0</v>
      </c>
      <c r="R89" s="227"/>
      <c r="S89" s="228">
        <f t="shared" si="54"/>
        <v>0</v>
      </c>
      <c r="T89" s="227">
        <v>0</v>
      </c>
      <c r="U89" s="228">
        <f t="shared" si="46"/>
        <v>0</v>
      </c>
      <c r="V89" s="227"/>
      <c r="W89" s="228">
        <f t="shared" si="55"/>
        <v>0</v>
      </c>
      <c r="X89" s="227">
        <v>0</v>
      </c>
      <c r="Y89" s="228">
        <f t="shared" si="70"/>
        <v>0</v>
      </c>
      <c r="Z89" s="227"/>
      <c r="AA89" s="228">
        <f t="shared" si="56"/>
        <v>0</v>
      </c>
      <c r="AB89" s="227">
        <v>0</v>
      </c>
      <c r="AC89" s="228">
        <f t="shared" si="47"/>
        <v>0</v>
      </c>
      <c r="AD89" s="227"/>
      <c r="AE89" s="228">
        <f t="shared" si="71"/>
        <v>0</v>
      </c>
      <c r="AF89" s="227">
        <v>0</v>
      </c>
      <c r="AG89" s="228">
        <f t="shared" si="48"/>
        <v>0</v>
      </c>
      <c r="AH89" s="227"/>
      <c r="AI89" s="228">
        <f t="shared" si="57"/>
        <v>0</v>
      </c>
      <c r="AJ89" s="227">
        <v>0</v>
      </c>
      <c r="AK89" s="228">
        <f t="shared" si="74"/>
        <v>0</v>
      </c>
      <c r="AL89" s="227"/>
      <c r="AM89" s="228">
        <f t="shared" si="58"/>
        <v>0</v>
      </c>
      <c r="AN89" s="227">
        <v>0</v>
      </c>
      <c r="AO89" s="228">
        <f t="shared" si="75"/>
        <v>0</v>
      </c>
      <c r="AP89" s="228"/>
      <c r="AQ89" s="228">
        <f t="shared" si="59"/>
        <v>0</v>
      </c>
      <c r="AR89" s="228">
        <v>0</v>
      </c>
      <c r="AS89" s="228">
        <f t="shared" si="68"/>
        <v>0</v>
      </c>
      <c r="AT89" s="227"/>
      <c r="AU89" s="228">
        <f t="shared" si="60"/>
        <v>0</v>
      </c>
      <c r="AV89" s="227">
        <v>0</v>
      </c>
      <c r="AW89" s="228">
        <f t="shared" si="69"/>
        <v>0</v>
      </c>
      <c r="AX89" s="227"/>
      <c r="AY89" s="228">
        <f t="shared" si="61"/>
        <v>0</v>
      </c>
      <c r="AZ89" s="227">
        <v>0</v>
      </c>
      <c r="BA89" s="228">
        <f t="shared" si="76"/>
        <v>0</v>
      </c>
      <c r="BB89" s="228"/>
      <c r="BC89" s="228">
        <f t="shared" si="62"/>
        <v>0</v>
      </c>
      <c r="BD89" s="228"/>
      <c r="BE89" s="228">
        <f t="shared" si="52"/>
        <v>0</v>
      </c>
      <c r="BF89" s="228"/>
      <c r="BG89" s="228">
        <f t="shared" si="63"/>
        <v>0</v>
      </c>
      <c r="BH89" s="228"/>
      <c r="BI89" s="228">
        <f t="shared" si="39"/>
        <v>0</v>
      </c>
      <c r="BJ89" s="228"/>
      <c r="BK89" s="228">
        <f t="shared" si="64"/>
        <v>0</v>
      </c>
      <c r="BL89" s="228">
        <v>0</v>
      </c>
      <c r="BM89" s="220">
        <f t="shared" si="77"/>
        <v>0</v>
      </c>
      <c r="BN89" s="220"/>
      <c r="BO89" s="220">
        <f t="shared" si="65"/>
        <v>0</v>
      </c>
      <c r="BP89" s="220">
        <f t="shared" si="66"/>
        <v>0</v>
      </c>
      <c r="BQ89" s="220">
        <f t="shared" si="67"/>
        <v>0</v>
      </c>
      <c r="BR89" s="220">
        <f t="shared" si="73"/>
        <v>0</v>
      </c>
      <c r="BS89" s="254">
        <v>0.08</v>
      </c>
      <c r="BT89" s="229">
        <v>0.015</v>
      </c>
      <c r="BU89" s="230"/>
      <c r="BV89" s="230"/>
      <c r="BW89" s="231"/>
    </row>
    <row r="90" s="209" customFormat="1" ht="36" customHeight="1" spans="1:75">
      <c r="A90" s="219">
        <v>117</v>
      </c>
      <c r="B90" s="220" t="s">
        <v>433</v>
      </c>
      <c r="C90" s="221" t="s">
        <v>175</v>
      </c>
      <c r="D90" s="221" t="s">
        <v>399</v>
      </c>
      <c r="E90" s="221" t="s">
        <v>400</v>
      </c>
      <c r="F90" s="219" t="s">
        <v>47</v>
      </c>
      <c r="G90" s="222" t="s">
        <v>374</v>
      </c>
      <c r="H90" s="233" t="s">
        <v>39</v>
      </c>
      <c r="I90" s="232" t="s">
        <v>403</v>
      </c>
      <c r="J90" s="233" t="s">
        <v>404</v>
      </c>
      <c r="K90" s="223" cm="1">
        <f t="array" ref="K90">_xlfn.XLOOKUP(D90&amp;E90&amp;H90&amp;I90&amp;J90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49922.16</v>
      </c>
      <c r="L90" s="223"/>
      <c r="M90" s="224"/>
      <c r="N90" s="225">
        <v>111820.33</v>
      </c>
      <c r="O90" s="226">
        <v>400000</v>
      </c>
      <c r="P90" s="277">
        <v>0.17</v>
      </c>
      <c r="Q90" s="228">
        <f t="shared" si="45"/>
        <v>8486.7672</v>
      </c>
      <c r="R90" s="278">
        <v>79345.34</v>
      </c>
      <c r="S90" s="228">
        <f t="shared" si="54"/>
        <v>-70858.5728</v>
      </c>
      <c r="T90" s="227">
        <v>0</v>
      </c>
      <c r="U90" s="228">
        <f t="shared" si="46"/>
        <v>0</v>
      </c>
      <c r="V90" s="227">
        <v>0</v>
      </c>
      <c r="W90" s="228">
        <f t="shared" si="55"/>
        <v>0</v>
      </c>
      <c r="X90" s="277">
        <v>0.02</v>
      </c>
      <c r="Y90" s="228">
        <f t="shared" si="70"/>
        <v>998.4432</v>
      </c>
      <c r="Z90" s="278">
        <v>10148.11</v>
      </c>
      <c r="AA90" s="228">
        <f t="shared" si="56"/>
        <v>-9149.6668</v>
      </c>
      <c r="AB90" s="227">
        <v>0</v>
      </c>
      <c r="AC90" s="228">
        <f t="shared" si="47"/>
        <v>0</v>
      </c>
      <c r="AD90" s="227">
        <v>0</v>
      </c>
      <c r="AE90" s="228">
        <f t="shared" si="71"/>
        <v>0</v>
      </c>
      <c r="AF90" s="227">
        <v>0</v>
      </c>
      <c r="AG90" s="228">
        <f t="shared" si="48"/>
        <v>0</v>
      </c>
      <c r="AH90" s="227">
        <v>0</v>
      </c>
      <c r="AI90" s="228">
        <f t="shared" si="57"/>
        <v>0</v>
      </c>
      <c r="AJ90" s="227">
        <v>0</v>
      </c>
      <c r="AK90" s="228">
        <f t="shared" si="74"/>
        <v>0</v>
      </c>
      <c r="AL90" s="227">
        <v>0</v>
      </c>
      <c r="AM90" s="228">
        <f t="shared" si="58"/>
        <v>0</v>
      </c>
      <c r="AN90" s="227">
        <v>0</v>
      </c>
      <c r="AO90" s="228">
        <f t="shared" si="75"/>
        <v>0</v>
      </c>
      <c r="AP90" s="228">
        <v>0</v>
      </c>
      <c r="AQ90" s="228">
        <f t="shared" si="59"/>
        <v>0</v>
      </c>
      <c r="AR90" s="235">
        <v>0.04</v>
      </c>
      <c r="AS90" s="228">
        <f t="shared" si="68"/>
        <v>1996.8864</v>
      </c>
      <c r="AT90" s="278">
        <v>20296.21</v>
      </c>
      <c r="AU90" s="228">
        <f t="shared" si="60"/>
        <v>-18299.3236</v>
      </c>
      <c r="AV90" s="235">
        <v>0.04</v>
      </c>
      <c r="AW90" s="228">
        <f t="shared" si="69"/>
        <v>1996.8864</v>
      </c>
      <c r="AX90" s="278">
        <v>19209.54</v>
      </c>
      <c r="AY90" s="228">
        <f t="shared" si="61"/>
        <v>-17212.6536</v>
      </c>
      <c r="AZ90" s="227">
        <v>0</v>
      </c>
      <c r="BA90" s="228">
        <f t="shared" si="76"/>
        <v>0</v>
      </c>
      <c r="BB90" s="279">
        <v>0</v>
      </c>
      <c r="BC90" s="228">
        <f t="shared" si="62"/>
        <v>0</v>
      </c>
      <c r="BD90" s="280"/>
      <c r="BE90" s="228">
        <f t="shared" si="52"/>
        <v>0</v>
      </c>
      <c r="BF90" s="280">
        <v>0</v>
      </c>
      <c r="BG90" s="228">
        <f t="shared" si="63"/>
        <v>0</v>
      </c>
      <c r="BH90" s="280"/>
      <c r="BI90" s="228">
        <f t="shared" si="39"/>
        <v>0</v>
      </c>
      <c r="BJ90" s="280">
        <v>0</v>
      </c>
      <c r="BK90" s="228">
        <f t="shared" si="64"/>
        <v>0</v>
      </c>
      <c r="BL90" s="280" t="s">
        <v>1457</v>
      </c>
      <c r="BM90" s="220">
        <f t="shared" ref="BM90:BM101" si="78">BN90</f>
        <v>138459.51</v>
      </c>
      <c r="BN90" s="281">
        <v>138459.51</v>
      </c>
      <c r="BO90" s="220">
        <f t="shared" si="65"/>
        <v>0</v>
      </c>
      <c r="BP90" s="220">
        <f t="shared" si="66"/>
        <v>263758.8232</v>
      </c>
      <c r="BQ90" s="220">
        <f t="shared" si="67"/>
        <v>379279.04</v>
      </c>
      <c r="BR90" s="220">
        <f t="shared" si="73"/>
        <v>-115520.2168</v>
      </c>
      <c r="BS90" s="227" t="s">
        <v>39</v>
      </c>
      <c r="BT90" s="227" t="s">
        <v>39</v>
      </c>
      <c r="BU90" s="230"/>
      <c r="BV90" s="230" t="s">
        <v>405</v>
      </c>
      <c r="BW90" s="231"/>
    </row>
    <row r="91" s="209" customFormat="1" ht="36" customHeight="1" spans="1:75">
      <c r="A91" s="219">
        <v>118</v>
      </c>
      <c r="B91" s="220" t="s">
        <v>436</v>
      </c>
      <c r="C91" s="221" t="s">
        <v>175</v>
      </c>
      <c r="D91" s="221" t="s">
        <v>399</v>
      </c>
      <c r="E91" s="221" t="s">
        <v>400</v>
      </c>
      <c r="F91" s="219" t="s">
        <v>47</v>
      </c>
      <c r="G91" s="222" t="s">
        <v>374</v>
      </c>
      <c r="H91" s="233" t="s">
        <v>39</v>
      </c>
      <c r="I91" s="237" t="s">
        <v>408</v>
      </c>
      <c r="J91" s="228" t="s">
        <v>1490</v>
      </c>
      <c r="K91" s="223" cm="1">
        <f t="array" ref="K91">_xlfn.XLOOKUP(D91&amp;E91&amp;H91&amp;I91&amp;J91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17581.5</v>
      </c>
      <c r="L91" s="223"/>
      <c r="M91" s="224"/>
      <c r="N91" s="225"/>
      <c r="O91" s="226">
        <v>380000</v>
      </c>
      <c r="P91" s="277">
        <v>0.15</v>
      </c>
      <c r="Q91" s="228">
        <f t="shared" si="45"/>
        <v>2637.225</v>
      </c>
      <c r="R91" s="278"/>
      <c r="S91" s="228">
        <f t="shared" si="54"/>
        <v>2637.225</v>
      </c>
      <c r="T91" s="227">
        <v>0</v>
      </c>
      <c r="U91" s="228">
        <f t="shared" si="46"/>
        <v>0</v>
      </c>
      <c r="V91" s="227"/>
      <c r="W91" s="228">
        <f t="shared" si="55"/>
        <v>0</v>
      </c>
      <c r="X91" s="277">
        <v>0.02</v>
      </c>
      <c r="Y91" s="228">
        <f t="shared" si="70"/>
        <v>351.63</v>
      </c>
      <c r="Z91" s="278"/>
      <c r="AA91" s="228">
        <f t="shared" si="56"/>
        <v>351.63</v>
      </c>
      <c r="AB91" s="227">
        <v>0</v>
      </c>
      <c r="AC91" s="228">
        <f t="shared" si="47"/>
        <v>0</v>
      </c>
      <c r="AD91" s="227"/>
      <c r="AE91" s="228">
        <f t="shared" si="71"/>
        <v>0</v>
      </c>
      <c r="AF91" s="227">
        <v>0</v>
      </c>
      <c r="AG91" s="228">
        <f t="shared" si="48"/>
        <v>0</v>
      </c>
      <c r="AH91" s="227"/>
      <c r="AI91" s="228">
        <f t="shared" si="57"/>
        <v>0</v>
      </c>
      <c r="AJ91" s="227">
        <v>0</v>
      </c>
      <c r="AK91" s="228">
        <f t="shared" si="74"/>
        <v>0</v>
      </c>
      <c r="AL91" s="227"/>
      <c r="AM91" s="228">
        <f t="shared" si="58"/>
        <v>0</v>
      </c>
      <c r="AN91" s="227">
        <v>0</v>
      </c>
      <c r="AO91" s="228">
        <f t="shared" si="75"/>
        <v>0</v>
      </c>
      <c r="AP91" s="228"/>
      <c r="AQ91" s="228">
        <f t="shared" si="59"/>
        <v>0</v>
      </c>
      <c r="AR91" s="235">
        <v>0.04</v>
      </c>
      <c r="AS91" s="228">
        <f t="shared" si="68"/>
        <v>703.26</v>
      </c>
      <c r="AT91" s="278"/>
      <c r="AU91" s="228">
        <f t="shared" si="60"/>
        <v>703.26</v>
      </c>
      <c r="AV91" s="235">
        <v>0.04</v>
      </c>
      <c r="AW91" s="228">
        <f t="shared" si="69"/>
        <v>703.26</v>
      </c>
      <c r="AX91" s="278"/>
      <c r="AY91" s="228">
        <f t="shared" si="61"/>
        <v>703.26</v>
      </c>
      <c r="AZ91" s="227">
        <v>0</v>
      </c>
      <c r="BA91" s="228">
        <f t="shared" si="76"/>
        <v>0</v>
      </c>
      <c r="BB91" s="279"/>
      <c r="BC91" s="228">
        <f t="shared" si="62"/>
        <v>0</v>
      </c>
      <c r="BD91" s="280"/>
      <c r="BE91" s="228">
        <f t="shared" si="52"/>
        <v>0</v>
      </c>
      <c r="BF91" s="280"/>
      <c r="BG91" s="228">
        <f t="shared" si="63"/>
        <v>0</v>
      </c>
      <c r="BH91" s="280"/>
      <c r="BI91" s="228">
        <f t="shared" si="39"/>
        <v>0</v>
      </c>
      <c r="BJ91" s="280"/>
      <c r="BK91" s="228">
        <f t="shared" si="64"/>
        <v>0</v>
      </c>
      <c r="BL91" s="280" t="s">
        <v>1457</v>
      </c>
      <c r="BM91" s="220">
        <f t="shared" si="78"/>
        <v>0</v>
      </c>
      <c r="BN91" s="281"/>
      <c r="BO91" s="220">
        <f t="shared" si="65"/>
        <v>0</v>
      </c>
      <c r="BP91" s="220">
        <f t="shared" si="66"/>
        <v>4395.375</v>
      </c>
      <c r="BQ91" s="220">
        <f t="shared" si="67"/>
        <v>0</v>
      </c>
      <c r="BR91" s="220">
        <f t="shared" si="73"/>
        <v>4395.375</v>
      </c>
      <c r="BS91" s="227" t="s">
        <v>39</v>
      </c>
      <c r="BT91" s="227" t="s">
        <v>39</v>
      </c>
      <c r="BU91" s="230"/>
      <c r="BV91" s="230" t="s">
        <v>405</v>
      </c>
      <c r="BW91" s="231"/>
    </row>
    <row r="92" s="209" customFormat="1" ht="36" customHeight="1" spans="1:75">
      <c r="A92" s="219">
        <v>119</v>
      </c>
      <c r="B92" s="220" t="s">
        <v>440</v>
      </c>
      <c r="C92" s="221" t="s">
        <v>175</v>
      </c>
      <c r="D92" s="221" t="s">
        <v>399</v>
      </c>
      <c r="E92" s="221" t="s">
        <v>400</v>
      </c>
      <c r="F92" s="219" t="s">
        <v>47</v>
      </c>
      <c r="G92" s="222" t="s">
        <v>374</v>
      </c>
      <c r="H92" s="233" t="s">
        <v>39</v>
      </c>
      <c r="I92" s="237" t="s">
        <v>209</v>
      </c>
      <c r="J92" s="233" t="s">
        <v>411</v>
      </c>
      <c r="K92" s="223" cm="1">
        <f t="array" ref="K92">_xlfn.XLOOKUP(D92&amp;E92&amp;H92&amp;I92&amp;J92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18221.6</v>
      </c>
      <c r="L92" s="223"/>
      <c r="M92" s="224"/>
      <c r="N92" s="225"/>
      <c r="O92" s="226">
        <v>500000</v>
      </c>
      <c r="P92" s="277">
        <v>0.18</v>
      </c>
      <c r="Q92" s="228">
        <f t="shared" si="45"/>
        <v>3279.888</v>
      </c>
      <c r="R92" s="278"/>
      <c r="S92" s="228">
        <f t="shared" si="54"/>
        <v>3279.888</v>
      </c>
      <c r="T92" s="227">
        <v>0</v>
      </c>
      <c r="U92" s="228">
        <f t="shared" si="46"/>
        <v>0</v>
      </c>
      <c r="V92" s="227"/>
      <c r="W92" s="228">
        <f t="shared" si="55"/>
        <v>0</v>
      </c>
      <c r="X92" s="277">
        <v>0.02</v>
      </c>
      <c r="Y92" s="228">
        <f t="shared" si="70"/>
        <v>364.432</v>
      </c>
      <c r="Z92" s="278"/>
      <c r="AA92" s="228">
        <f t="shared" si="56"/>
        <v>364.432</v>
      </c>
      <c r="AB92" s="227">
        <v>0</v>
      </c>
      <c r="AC92" s="228">
        <f t="shared" si="47"/>
        <v>0</v>
      </c>
      <c r="AD92" s="227"/>
      <c r="AE92" s="228">
        <f t="shared" si="71"/>
        <v>0</v>
      </c>
      <c r="AF92" s="227">
        <v>0</v>
      </c>
      <c r="AG92" s="228">
        <f t="shared" si="48"/>
        <v>0</v>
      </c>
      <c r="AH92" s="227"/>
      <c r="AI92" s="228">
        <f t="shared" si="57"/>
        <v>0</v>
      </c>
      <c r="AJ92" s="227">
        <v>0</v>
      </c>
      <c r="AK92" s="228">
        <f t="shared" si="74"/>
        <v>0</v>
      </c>
      <c r="AL92" s="227"/>
      <c r="AM92" s="228">
        <f t="shared" si="58"/>
        <v>0</v>
      </c>
      <c r="AN92" s="227">
        <v>0</v>
      </c>
      <c r="AO92" s="228">
        <f t="shared" si="75"/>
        <v>0</v>
      </c>
      <c r="AP92" s="228"/>
      <c r="AQ92" s="228">
        <f t="shared" si="59"/>
        <v>0</v>
      </c>
      <c r="AR92" s="235">
        <v>0.04</v>
      </c>
      <c r="AS92" s="228">
        <f t="shared" si="68"/>
        <v>728.864</v>
      </c>
      <c r="AT92" s="278"/>
      <c r="AU92" s="228">
        <f t="shared" si="60"/>
        <v>728.864</v>
      </c>
      <c r="AV92" s="235">
        <v>0.04</v>
      </c>
      <c r="AW92" s="228">
        <f t="shared" si="69"/>
        <v>728.864</v>
      </c>
      <c r="AX92" s="278"/>
      <c r="AY92" s="228">
        <f t="shared" si="61"/>
        <v>728.864</v>
      </c>
      <c r="AZ92" s="227">
        <v>0</v>
      </c>
      <c r="BA92" s="228">
        <f t="shared" si="76"/>
        <v>0</v>
      </c>
      <c r="BB92" s="279"/>
      <c r="BC92" s="228">
        <f t="shared" si="62"/>
        <v>0</v>
      </c>
      <c r="BD92" s="280"/>
      <c r="BE92" s="228">
        <f t="shared" si="52"/>
        <v>0</v>
      </c>
      <c r="BF92" s="280"/>
      <c r="BG92" s="228">
        <f t="shared" si="63"/>
        <v>0</v>
      </c>
      <c r="BH92" s="280"/>
      <c r="BI92" s="228">
        <f t="shared" si="39"/>
        <v>0</v>
      </c>
      <c r="BJ92" s="280"/>
      <c r="BK92" s="228">
        <f t="shared" si="64"/>
        <v>0</v>
      </c>
      <c r="BL92" s="280" t="s">
        <v>1457</v>
      </c>
      <c r="BM92" s="220">
        <f t="shared" si="78"/>
        <v>0</v>
      </c>
      <c r="BN92" s="281"/>
      <c r="BO92" s="220">
        <f t="shared" si="65"/>
        <v>0</v>
      </c>
      <c r="BP92" s="220">
        <f t="shared" si="66"/>
        <v>5102.048</v>
      </c>
      <c r="BQ92" s="220">
        <f t="shared" si="67"/>
        <v>0</v>
      </c>
      <c r="BR92" s="220">
        <f t="shared" si="73"/>
        <v>5102.048</v>
      </c>
      <c r="BS92" s="227" t="s">
        <v>39</v>
      </c>
      <c r="BT92" s="227" t="s">
        <v>39</v>
      </c>
      <c r="BU92" s="230"/>
      <c r="BV92" s="230" t="s">
        <v>405</v>
      </c>
      <c r="BW92" s="231"/>
    </row>
    <row r="93" s="209" customFormat="1" ht="36" customHeight="1" spans="1:75">
      <c r="A93" s="219">
        <v>120</v>
      </c>
      <c r="B93" s="220" t="s">
        <v>447</v>
      </c>
      <c r="C93" s="221" t="s">
        <v>175</v>
      </c>
      <c r="D93" s="221" t="s">
        <v>399</v>
      </c>
      <c r="E93" s="221" t="s">
        <v>400</v>
      </c>
      <c r="F93" s="219" t="s">
        <v>47</v>
      </c>
      <c r="G93" s="222" t="s">
        <v>374</v>
      </c>
      <c r="H93" s="233" t="s">
        <v>39</v>
      </c>
      <c r="I93" s="237" t="s">
        <v>413</v>
      </c>
      <c r="J93" s="233" t="s">
        <v>414</v>
      </c>
      <c r="K93" s="223" cm="1">
        <f t="array" ref="K93">_xlfn.XLOOKUP(D93&amp;E93&amp;H93&amp;I93&amp;J93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44658.8</v>
      </c>
      <c r="L93" s="223"/>
      <c r="M93" s="224"/>
      <c r="N93" s="225"/>
      <c r="O93" s="226">
        <v>800000</v>
      </c>
      <c r="P93" s="277">
        <v>0.1</v>
      </c>
      <c r="Q93" s="228">
        <f t="shared" si="45"/>
        <v>4465.88</v>
      </c>
      <c r="R93" s="278"/>
      <c r="S93" s="228">
        <f t="shared" si="54"/>
        <v>4465.88</v>
      </c>
      <c r="T93" s="227">
        <v>0</v>
      </c>
      <c r="U93" s="228">
        <f t="shared" si="46"/>
        <v>0</v>
      </c>
      <c r="V93" s="227"/>
      <c r="W93" s="228">
        <f t="shared" si="55"/>
        <v>0</v>
      </c>
      <c r="X93" s="277">
        <v>0.02</v>
      </c>
      <c r="Y93" s="228">
        <f t="shared" si="70"/>
        <v>893.176</v>
      </c>
      <c r="Z93" s="278"/>
      <c r="AA93" s="228">
        <f t="shared" si="56"/>
        <v>893.176</v>
      </c>
      <c r="AB93" s="227">
        <v>0</v>
      </c>
      <c r="AC93" s="228">
        <f t="shared" si="47"/>
        <v>0</v>
      </c>
      <c r="AD93" s="227"/>
      <c r="AE93" s="228">
        <f t="shared" si="71"/>
        <v>0</v>
      </c>
      <c r="AF93" s="227">
        <v>0</v>
      </c>
      <c r="AG93" s="228">
        <f t="shared" si="48"/>
        <v>0</v>
      </c>
      <c r="AH93" s="227"/>
      <c r="AI93" s="228">
        <f t="shared" si="57"/>
        <v>0</v>
      </c>
      <c r="AJ93" s="227">
        <v>0</v>
      </c>
      <c r="AK93" s="228">
        <f t="shared" si="74"/>
        <v>0</v>
      </c>
      <c r="AL93" s="227"/>
      <c r="AM93" s="228">
        <f t="shared" si="58"/>
        <v>0</v>
      </c>
      <c r="AN93" s="227">
        <v>0</v>
      </c>
      <c r="AO93" s="228">
        <f t="shared" si="75"/>
        <v>0</v>
      </c>
      <c r="AP93" s="228"/>
      <c r="AQ93" s="228">
        <f t="shared" si="59"/>
        <v>0</v>
      </c>
      <c r="AR93" s="235">
        <v>0.04</v>
      </c>
      <c r="AS93" s="228">
        <f t="shared" si="68"/>
        <v>1786.352</v>
      </c>
      <c r="AT93" s="278"/>
      <c r="AU93" s="228">
        <f t="shared" si="60"/>
        <v>1786.352</v>
      </c>
      <c r="AV93" s="235">
        <v>0.04</v>
      </c>
      <c r="AW93" s="228">
        <f t="shared" si="69"/>
        <v>1786.352</v>
      </c>
      <c r="AX93" s="278"/>
      <c r="AY93" s="228">
        <f t="shared" si="61"/>
        <v>1786.352</v>
      </c>
      <c r="AZ93" s="227">
        <v>0</v>
      </c>
      <c r="BA93" s="228">
        <f t="shared" si="76"/>
        <v>0</v>
      </c>
      <c r="BB93" s="279"/>
      <c r="BC93" s="228">
        <f t="shared" si="62"/>
        <v>0</v>
      </c>
      <c r="BD93" s="280"/>
      <c r="BE93" s="228">
        <f t="shared" si="52"/>
        <v>0</v>
      </c>
      <c r="BF93" s="280"/>
      <c r="BG93" s="228">
        <f t="shared" si="63"/>
        <v>0</v>
      </c>
      <c r="BH93" s="280"/>
      <c r="BI93" s="228">
        <f t="shared" si="39"/>
        <v>0</v>
      </c>
      <c r="BJ93" s="280"/>
      <c r="BK93" s="228">
        <f t="shared" si="64"/>
        <v>0</v>
      </c>
      <c r="BL93" s="280" t="s">
        <v>1457</v>
      </c>
      <c r="BM93" s="220">
        <f t="shared" si="78"/>
        <v>0</v>
      </c>
      <c r="BN93" s="281"/>
      <c r="BO93" s="220">
        <f t="shared" si="65"/>
        <v>0</v>
      </c>
      <c r="BP93" s="220">
        <f t="shared" si="66"/>
        <v>8931.76</v>
      </c>
      <c r="BQ93" s="220">
        <f t="shared" si="67"/>
        <v>0</v>
      </c>
      <c r="BR93" s="220">
        <f t="shared" si="73"/>
        <v>8931.76</v>
      </c>
      <c r="BS93" s="227" t="s">
        <v>39</v>
      </c>
      <c r="BT93" s="227" t="s">
        <v>39</v>
      </c>
      <c r="BU93" s="230"/>
      <c r="BV93" s="230" t="s">
        <v>405</v>
      </c>
      <c r="BW93" s="231"/>
    </row>
    <row r="94" s="209" customFormat="1" ht="36" customHeight="1" spans="1:75">
      <c r="A94" s="219">
        <v>121</v>
      </c>
      <c r="B94" s="220" t="s">
        <v>452</v>
      </c>
      <c r="C94" s="221" t="s">
        <v>175</v>
      </c>
      <c r="D94" s="221" t="s">
        <v>399</v>
      </c>
      <c r="E94" s="221" t="s">
        <v>400</v>
      </c>
      <c r="F94" s="219" t="s">
        <v>47</v>
      </c>
      <c r="G94" s="222" t="s">
        <v>374</v>
      </c>
      <c r="H94" s="233" t="s">
        <v>39</v>
      </c>
      <c r="I94" s="237" t="s">
        <v>416</v>
      </c>
      <c r="J94" s="233" t="s">
        <v>417</v>
      </c>
      <c r="K94" s="223" cm="1">
        <f t="array" ref="K94">_xlfn.XLOOKUP(D94&amp;E94&amp;H94&amp;I94&amp;J94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16139.6</v>
      </c>
      <c r="L94" s="223"/>
      <c r="M94" s="224"/>
      <c r="N94" s="225"/>
      <c r="O94" s="226">
        <v>240000</v>
      </c>
      <c r="P94" s="277">
        <v>0.02</v>
      </c>
      <c r="Q94" s="228">
        <f t="shared" si="45"/>
        <v>322.792</v>
      </c>
      <c r="R94" s="278"/>
      <c r="S94" s="228">
        <f t="shared" si="54"/>
        <v>322.792</v>
      </c>
      <c r="T94" s="227">
        <v>0</v>
      </c>
      <c r="U94" s="228">
        <f t="shared" si="46"/>
        <v>0</v>
      </c>
      <c r="V94" s="227"/>
      <c r="W94" s="228">
        <f t="shared" si="55"/>
        <v>0</v>
      </c>
      <c r="X94" s="277">
        <v>0.02</v>
      </c>
      <c r="Y94" s="228">
        <f t="shared" si="70"/>
        <v>322.792</v>
      </c>
      <c r="Z94" s="282"/>
      <c r="AA94" s="228">
        <f t="shared" si="56"/>
        <v>322.792</v>
      </c>
      <c r="AB94" s="227">
        <v>0</v>
      </c>
      <c r="AC94" s="228">
        <f t="shared" si="47"/>
        <v>0</v>
      </c>
      <c r="AD94" s="227"/>
      <c r="AE94" s="228">
        <f t="shared" si="71"/>
        <v>0</v>
      </c>
      <c r="AF94" s="227">
        <v>0</v>
      </c>
      <c r="AG94" s="228">
        <f t="shared" si="48"/>
        <v>0</v>
      </c>
      <c r="AH94" s="227"/>
      <c r="AI94" s="228">
        <f t="shared" si="57"/>
        <v>0</v>
      </c>
      <c r="AJ94" s="227">
        <v>0</v>
      </c>
      <c r="AK94" s="228">
        <f t="shared" si="74"/>
        <v>0</v>
      </c>
      <c r="AL94" s="227"/>
      <c r="AM94" s="228">
        <f t="shared" si="58"/>
        <v>0</v>
      </c>
      <c r="AN94" s="227">
        <v>0</v>
      </c>
      <c r="AO94" s="228">
        <f t="shared" si="75"/>
        <v>0</v>
      </c>
      <c r="AP94" s="228"/>
      <c r="AQ94" s="228">
        <f t="shared" si="59"/>
        <v>0</v>
      </c>
      <c r="AR94" s="235">
        <v>0.04</v>
      </c>
      <c r="AS94" s="228">
        <f t="shared" si="68"/>
        <v>645.584</v>
      </c>
      <c r="AT94" s="282"/>
      <c r="AU94" s="228">
        <f t="shared" si="60"/>
        <v>645.584</v>
      </c>
      <c r="AV94" s="277">
        <v>0.01</v>
      </c>
      <c r="AW94" s="228">
        <f t="shared" si="69"/>
        <v>161.396</v>
      </c>
      <c r="AX94" s="282"/>
      <c r="AY94" s="228">
        <f t="shared" si="61"/>
        <v>161.396</v>
      </c>
      <c r="AZ94" s="227">
        <v>0</v>
      </c>
      <c r="BA94" s="228">
        <f t="shared" si="76"/>
        <v>0</v>
      </c>
      <c r="BB94" s="279"/>
      <c r="BC94" s="228">
        <f t="shared" si="62"/>
        <v>0</v>
      </c>
      <c r="BD94" s="280"/>
      <c r="BE94" s="228">
        <f t="shared" si="52"/>
        <v>0</v>
      </c>
      <c r="BF94" s="280"/>
      <c r="BG94" s="228">
        <f t="shared" si="63"/>
        <v>0</v>
      </c>
      <c r="BH94" s="280"/>
      <c r="BI94" s="228">
        <f t="shared" si="39"/>
        <v>0</v>
      </c>
      <c r="BJ94" s="280"/>
      <c r="BK94" s="228">
        <f t="shared" si="64"/>
        <v>0</v>
      </c>
      <c r="BL94" s="280" t="s">
        <v>1457</v>
      </c>
      <c r="BM94" s="220">
        <f t="shared" si="78"/>
        <v>0</v>
      </c>
      <c r="BN94" s="281"/>
      <c r="BO94" s="220">
        <f t="shared" si="65"/>
        <v>0</v>
      </c>
      <c r="BP94" s="220">
        <f t="shared" si="66"/>
        <v>1452.564</v>
      </c>
      <c r="BQ94" s="220">
        <f t="shared" si="67"/>
        <v>0</v>
      </c>
      <c r="BR94" s="220">
        <f t="shared" si="73"/>
        <v>1452.564</v>
      </c>
      <c r="BS94" s="227" t="s">
        <v>39</v>
      </c>
      <c r="BT94" s="227" t="s">
        <v>39</v>
      </c>
      <c r="BU94" s="230"/>
      <c r="BV94" s="230" t="s">
        <v>405</v>
      </c>
      <c r="BW94" s="231"/>
    </row>
    <row r="95" s="209" customFormat="1" ht="36" customHeight="1" spans="1:75">
      <c r="A95" s="219">
        <v>122</v>
      </c>
      <c r="B95" s="220" t="s">
        <v>455</v>
      </c>
      <c r="C95" s="221" t="s">
        <v>175</v>
      </c>
      <c r="D95" s="221" t="s">
        <v>399</v>
      </c>
      <c r="E95" s="221" t="s">
        <v>400</v>
      </c>
      <c r="F95" s="219" t="s">
        <v>47</v>
      </c>
      <c r="G95" s="222" t="s">
        <v>374</v>
      </c>
      <c r="H95" s="233" t="s">
        <v>39</v>
      </c>
      <c r="I95" s="237" t="s">
        <v>419</v>
      </c>
      <c r="J95" s="233" t="s">
        <v>420</v>
      </c>
      <c r="K95" s="223" cm="1">
        <f t="array" ref="K95">_xlfn.XLOOKUP(D95&amp;E95&amp;H95&amp;I95&amp;J95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37792.2</v>
      </c>
      <c r="L95" s="223"/>
      <c r="M95" s="224"/>
      <c r="N95" s="225"/>
      <c r="O95" s="226">
        <v>480000</v>
      </c>
      <c r="P95" s="277">
        <v>0.18</v>
      </c>
      <c r="Q95" s="228">
        <f t="shared" si="45"/>
        <v>6802.596</v>
      </c>
      <c r="R95" s="278"/>
      <c r="S95" s="228">
        <f t="shared" si="54"/>
        <v>6802.596</v>
      </c>
      <c r="T95" s="227">
        <v>0</v>
      </c>
      <c r="U95" s="228">
        <f t="shared" si="46"/>
        <v>0</v>
      </c>
      <c r="V95" s="227"/>
      <c r="W95" s="228">
        <f t="shared" si="55"/>
        <v>0</v>
      </c>
      <c r="X95" s="277">
        <v>0.02</v>
      </c>
      <c r="Y95" s="228">
        <f t="shared" si="70"/>
        <v>755.844</v>
      </c>
      <c r="Z95" s="278"/>
      <c r="AA95" s="228">
        <f t="shared" si="56"/>
        <v>755.844</v>
      </c>
      <c r="AB95" s="227">
        <v>0</v>
      </c>
      <c r="AC95" s="228">
        <f t="shared" si="47"/>
        <v>0</v>
      </c>
      <c r="AD95" s="227"/>
      <c r="AE95" s="228">
        <f t="shared" si="71"/>
        <v>0</v>
      </c>
      <c r="AF95" s="227">
        <v>0</v>
      </c>
      <c r="AG95" s="228">
        <f t="shared" si="48"/>
        <v>0</v>
      </c>
      <c r="AH95" s="227"/>
      <c r="AI95" s="228">
        <f t="shared" si="57"/>
        <v>0</v>
      </c>
      <c r="AJ95" s="227">
        <v>0</v>
      </c>
      <c r="AK95" s="228">
        <f t="shared" si="74"/>
        <v>0</v>
      </c>
      <c r="AL95" s="227"/>
      <c r="AM95" s="228">
        <f t="shared" si="58"/>
        <v>0</v>
      </c>
      <c r="AN95" s="227">
        <v>0</v>
      </c>
      <c r="AO95" s="228">
        <f t="shared" si="75"/>
        <v>0</v>
      </c>
      <c r="AP95" s="228"/>
      <c r="AQ95" s="228">
        <f t="shared" si="59"/>
        <v>0</v>
      </c>
      <c r="AR95" s="235">
        <v>0.04</v>
      </c>
      <c r="AS95" s="228">
        <f t="shared" si="68"/>
        <v>1511.688</v>
      </c>
      <c r="AT95" s="278"/>
      <c r="AU95" s="228">
        <f t="shared" si="60"/>
        <v>1511.688</v>
      </c>
      <c r="AV95" s="235">
        <v>0.04</v>
      </c>
      <c r="AW95" s="228">
        <f t="shared" si="69"/>
        <v>1511.688</v>
      </c>
      <c r="AX95" s="278"/>
      <c r="AY95" s="228">
        <f t="shared" si="61"/>
        <v>1511.688</v>
      </c>
      <c r="AZ95" s="227">
        <v>0</v>
      </c>
      <c r="BA95" s="228">
        <f t="shared" si="76"/>
        <v>0</v>
      </c>
      <c r="BB95" s="279"/>
      <c r="BC95" s="228">
        <f t="shared" si="62"/>
        <v>0</v>
      </c>
      <c r="BD95" s="280"/>
      <c r="BE95" s="228">
        <f t="shared" si="52"/>
        <v>0</v>
      </c>
      <c r="BF95" s="280"/>
      <c r="BG95" s="228">
        <f t="shared" si="63"/>
        <v>0</v>
      </c>
      <c r="BH95" s="280"/>
      <c r="BI95" s="228">
        <f t="shared" ref="BI95:BI135" si="79">K95*BH95</f>
        <v>0</v>
      </c>
      <c r="BJ95" s="280"/>
      <c r="BK95" s="228">
        <f t="shared" si="64"/>
        <v>0</v>
      </c>
      <c r="BL95" s="280" t="s">
        <v>1457</v>
      </c>
      <c r="BM95" s="220">
        <f t="shared" si="78"/>
        <v>0</v>
      </c>
      <c r="BN95" s="281"/>
      <c r="BO95" s="220">
        <f t="shared" si="65"/>
        <v>0</v>
      </c>
      <c r="BP95" s="220">
        <f t="shared" si="66"/>
        <v>10581.816</v>
      </c>
      <c r="BQ95" s="220">
        <f t="shared" si="67"/>
        <v>0</v>
      </c>
      <c r="BR95" s="220">
        <f t="shared" si="73"/>
        <v>10581.816</v>
      </c>
      <c r="BS95" s="227" t="s">
        <v>39</v>
      </c>
      <c r="BT95" s="227" t="s">
        <v>39</v>
      </c>
      <c r="BU95" s="230"/>
      <c r="BV95" s="230" t="s">
        <v>405</v>
      </c>
      <c r="BW95" s="231"/>
    </row>
    <row r="96" s="209" customFormat="1" ht="36" customHeight="1" spans="1:75">
      <c r="A96" s="219">
        <v>123</v>
      </c>
      <c r="B96" s="220" t="s">
        <v>458</v>
      </c>
      <c r="C96" s="221" t="s">
        <v>175</v>
      </c>
      <c r="D96" s="221" t="s">
        <v>399</v>
      </c>
      <c r="E96" s="221" t="s">
        <v>400</v>
      </c>
      <c r="F96" s="219" t="s">
        <v>47</v>
      </c>
      <c r="G96" s="222" t="s">
        <v>374</v>
      </c>
      <c r="H96" s="233" t="s">
        <v>39</v>
      </c>
      <c r="I96" s="237" t="s">
        <v>422</v>
      </c>
      <c r="J96" s="233" t="s">
        <v>414</v>
      </c>
      <c r="K96" s="223" cm="1">
        <f t="array" ref="K96">_xlfn.XLOOKUP(D96&amp;E96&amp;H96&amp;I96&amp;J96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96" s="223"/>
      <c r="M96" s="224"/>
      <c r="N96" s="225"/>
      <c r="O96" s="226">
        <v>240000</v>
      </c>
      <c r="P96" s="277">
        <v>0.18</v>
      </c>
      <c r="Q96" s="228">
        <f t="shared" si="45"/>
        <v>0</v>
      </c>
      <c r="R96" s="278"/>
      <c r="S96" s="228">
        <f t="shared" si="54"/>
        <v>0</v>
      </c>
      <c r="T96" s="227">
        <v>0</v>
      </c>
      <c r="U96" s="228">
        <f t="shared" si="46"/>
        <v>0</v>
      </c>
      <c r="V96" s="227"/>
      <c r="W96" s="228">
        <f t="shared" si="55"/>
        <v>0</v>
      </c>
      <c r="X96" s="277">
        <v>0.02</v>
      </c>
      <c r="Y96" s="228">
        <f t="shared" si="70"/>
        <v>0</v>
      </c>
      <c r="Z96" s="282"/>
      <c r="AA96" s="228">
        <f t="shared" si="56"/>
        <v>0</v>
      </c>
      <c r="AB96" s="227">
        <v>0</v>
      </c>
      <c r="AC96" s="228">
        <f t="shared" si="47"/>
        <v>0</v>
      </c>
      <c r="AD96" s="227"/>
      <c r="AE96" s="228">
        <f t="shared" si="71"/>
        <v>0</v>
      </c>
      <c r="AF96" s="227">
        <v>0</v>
      </c>
      <c r="AG96" s="228">
        <f t="shared" si="48"/>
        <v>0</v>
      </c>
      <c r="AH96" s="227"/>
      <c r="AI96" s="228">
        <f t="shared" si="57"/>
        <v>0</v>
      </c>
      <c r="AJ96" s="227">
        <v>0</v>
      </c>
      <c r="AK96" s="228">
        <f t="shared" si="74"/>
        <v>0</v>
      </c>
      <c r="AL96" s="227"/>
      <c r="AM96" s="228">
        <f t="shared" si="58"/>
        <v>0</v>
      </c>
      <c r="AN96" s="227">
        <v>0</v>
      </c>
      <c r="AO96" s="228">
        <f t="shared" si="75"/>
        <v>0</v>
      </c>
      <c r="AP96" s="228"/>
      <c r="AQ96" s="228">
        <f t="shared" si="59"/>
        <v>0</v>
      </c>
      <c r="AR96" s="235">
        <v>0.04</v>
      </c>
      <c r="AS96" s="228">
        <f t="shared" si="68"/>
        <v>0</v>
      </c>
      <c r="AT96" s="278"/>
      <c r="AU96" s="228">
        <f t="shared" si="60"/>
        <v>0</v>
      </c>
      <c r="AV96" s="235">
        <v>0.04</v>
      </c>
      <c r="AW96" s="228">
        <f t="shared" si="69"/>
        <v>0</v>
      </c>
      <c r="AX96" s="278"/>
      <c r="AY96" s="228">
        <f t="shared" si="61"/>
        <v>0</v>
      </c>
      <c r="AZ96" s="227">
        <v>0</v>
      </c>
      <c r="BA96" s="228">
        <f t="shared" si="76"/>
        <v>0</v>
      </c>
      <c r="BB96" s="279"/>
      <c r="BC96" s="228">
        <f t="shared" si="62"/>
        <v>0</v>
      </c>
      <c r="BD96" s="280"/>
      <c r="BE96" s="228">
        <f t="shared" si="52"/>
        <v>0</v>
      </c>
      <c r="BF96" s="280"/>
      <c r="BG96" s="228">
        <f t="shared" si="63"/>
        <v>0</v>
      </c>
      <c r="BH96" s="280"/>
      <c r="BI96" s="228">
        <f t="shared" si="79"/>
        <v>0</v>
      </c>
      <c r="BJ96" s="280"/>
      <c r="BK96" s="228">
        <f t="shared" si="64"/>
        <v>0</v>
      </c>
      <c r="BL96" s="280" t="s">
        <v>1457</v>
      </c>
      <c r="BM96" s="220">
        <f t="shared" si="78"/>
        <v>0</v>
      </c>
      <c r="BN96" s="281"/>
      <c r="BO96" s="220">
        <f t="shared" si="65"/>
        <v>0</v>
      </c>
      <c r="BP96" s="220">
        <f t="shared" si="66"/>
        <v>0</v>
      </c>
      <c r="BQ96" s="220">
        <f t="shared" si="67"/>
        <v>0</v>
      </c>
      <c r="BR96" s="220">
        <f t="shared" si="73"/>
        <v>0</v>
      </c>
      <c r="BS96" s="227" t="s">
        <v>39</v>
      </c>
      <c r="BT96" s="227" t="s">
        <v>39</v>
      </c>
      <c r="BU96" s="230"/>
      <c r="BV96" s="230" t="s">
        <v>405</v>
      </c>
      <c r="BW96" s="231"/>
    </row>
    <row r="97" s="209" customFormat="1" ht="36" customHeight="1" spans="1:75">
      <c r="A97" s="219">
        <v>124</v>
      </c>
      <c r="B97" s="220" t="s">
        <v>461</v>
      </c>
      <c r="C97" s="221" t="s">
        <v>175</v>
      </c>
      <c r="D97" s="221" t="s">
        <v>399</v>
      </c>
      <c r="E97" s="221" t="s">
        <v>400</v>
      </c>
      <c r="F97" s="219" t="s">
        <v>47</v>
      </c>
      <c r="G97" s="222" t="s">
        <v>374</v>
      </c>
      <c r="H97" s="233" t="s">
        <v>39</v>
      </c>
      <c r="I97" s="237" t="s">
        <v>424</v>
      </c>
      <c r="J97" s="233" t="s">
        <v>425</v>
      </c>
      <c r="K97" s="223" cm="1">
        <f t="array" ref="K97">_xlfn.XLOOKUP(D97&amp;E97&amp;H97&amp;I97&amp;J97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4595.4</v>
      </c>
      <c r="L97" s="223"/>
      <c r="M97" s="224"/>
      <c r="N97" s="225"/>
      <c r="O97" s="226">
        <v>220000</v>
      </c>
      <c r="P97" s="277">
        <v>0.18</v>
      </c>
      <c r="Q97" s="228">
        <f t="shared" si="45"/>
        <v>827.172</v>
      </c>
      <c r="R97" s="278"/>
      <c r="S97" s="228">
        <f t="shared" si="54"/>
        <v>827.172</v>
      </c>
      <c r="T97" s="227">
        <v>0</v>
      </c>
      <c r="U97" s="228">
        <f t="shared" si="46"/>
        <v>0</v>
      </c>
      <c r="V97" s="227"/>
      <c r="W97" s="228">
        <f t="shared" si="55"/>
        <v>0</v>
      </c>
      <c r="X97" s="277">
        <v>0.02</v>
      </c>
      <c r="Y97" s="228">
        <f t="shared" si="70"/>
        <v>91.908</v>
      </c>
      <c r="Z97" s="282"/>
      <c r="AA97" s="228">
        <f t="shared" si="56"/>
        <v>91.908</v>
      </c>
      <c r="AB97" s="227">
        <v>0</v>
      </c>
      <c r="AC97" s="228">
        <f t="shared" si="47"/>
        <v>0</v>
      </c>
      <c r="AD97" s="227"/>
      <c r="AE97" s="228">
        <f t="shared" si="71"/>
        <v>0</v>
      </c>
      <c r="AF97" s="227">
        <v>0</v>
      </c>
      <c r="AG97" s="228">
        <f t="shared" si="48"/>
        <v>0</v>
      </c>
      <c r="AH97" s="227"/>
      <c r="AI97" s="228">
        <f t="shared" si="57"/>
        <v>0</v>
      </c>
      <c r="AJ97" s="227">
        <v>0</v>
      </c>
      <c r="AK97" s="228">
        <f t="shared" si="74"/>
        <v>0</v>
      </c>
      <c r="AL97" s="227"/>
      <c r="AM97" s="228">
        <f t="shared" si="58"/>
        <v>0</v>
      </c>
      <c r="AN97" s="227">
        <v>0</v>
      </c>
      <c r="AO97" s="228">
        <f t="shared" si="75"/>
        <v>0</v>
      </c>
      <c r="AP97" s="228"/>
      <c r="AQ97" s="228">
        <f t="shared" si="59"/>
        <v>0</v>
      </c>
      <c r="AR97" s="235">
        <v>0.04</v>
      </c>
      <c r="AS97" s="228">
        <f t="shared" si="68"/>
        <v>183.816</v>
      </c>
      <c r="AT97" s="278"/>
      <c r="AU97" s="228">
        <f t="shared" si="60"/>
        <v>183.816</v>
      </c>
      <c r="AV97" s="235">
        <v>0.04</v>
      </c>
      <c r="AW97" s="228">
        <f t="shared" si="69"/>
        <v>183.816</v>
      </c>
      <c r="AX97" s="278"/>
      <c r="AY97" s="228">
        <f t="shared" si="61"/>
        <v>183.816</v>
      </c>
      <c r="AZ97" s="227">
        <v>0</v>
      </c>
      <c r="BA97" s="228">
        <f t="shared" si="76"/>
        <v>0</v>
      </c>
      <c r="BB97" s="279"/>
      <c r="BC97" s="228">
        <f t="shared" si="62"/>
        <v>0</v>
      </c>
      <c r="BD97" s="280"/>
      <c r="BE97" s="228">
        <f t="shared" si="52"/>
        <v>0</v>
      </c>
      <c r="BF97" s="280"/>
      <c r="BG97" s="228">
        <f t="shared" si="63"/>
        <v>0</v>
      </c>
      <c r="BH97" s="280"/>
      <c r="BI97" s="228">
        <f t="shared" si="79"/>
        <v>0</v>
      </c>
      <c r="BJ97" s="280"/>
      <c r="BK97" s="228">
        <f t="shared" si="64"/>
        <v>0</v>
      </c>
      <c r="BL97" s="280" t="s">
        <v>1457</v>
      </c>
      <c r="BM97" s="220">
        <f t="shared" si="78"/>
        <v>0</v>
      </c>
      <c r="BN97" s="281"/>
      <c r="BO97" s="220">
        <f t="shared" si="65"/>
        <v>0</v>
      </c>
      <c r="BP97" s="220">
        <f t="shared" si="66"/>
        <v>1286.712</v>
      </c>
      <c r="BQ97" s="220">
        <f t="shared" si="67"/>
        <v>0</v>
      </c>
      <c r="BR97" s="220">
        <f t="shared" si="73"/>
        <v>1286.712</v>
      </c>
      <c r="BS97" s="227" t="s">
        <v>39</v>
      </c>
      <c r="BT97" s="227" t="s">
        <v>39</v>
      </c>
      <c r="BU97" s="230"/>
      <c r="BV97" s="230" t="s">
        <v>405</v>
      </c>
      <c r="BW97" s="231"/>
    </row>
    <row r="98" s="209" customFormat="1" ht="36" customHeight="1" spans="1:75">
      <c r="A98" s="219">
        <v>125</v>
      </c>
      <c r="B98" s="220" t="s">
        <v>463</v>
      </c>
      <c r="C98" s="221" t="s">
        <v>175</v>
      </c>
      <c r="D98" s="221" t="s">
        <v>399</v>
      </c>
      <c r="E98" s="221" t="s">
        <v>400</v>
      </c>
      <c r="F98" s="219" t="s">
        <v>47</v>
      </c>
      <c r="G98" s="222" t="s">
        <v>374</v>
      </c>
      <c r="H98" s="233" t="s">
        <v>39</v>
      </c>
      <c r="I98" s="237" t="s">
        <v>186</v>
      </c>
      <c r="J98" s="233" t="s">
        <v>427</v>
      </c>
      <c r="K98" s="223" cm="1">
        <f t="array" ref="K98">_xlfn.XLOOKUP(D98&amp;E98&amp;H98&amp;I98&amp;J98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11708.46</v>
      </c>
      <c r="L98" s="223"/>
      <c r="M98" s="224"/>
      <c r="N98" s="225"/>
      <c r="O98" s="226">
        <v>300000</v>
      </c>
      <c r="P98" s="277">
        <v>0.18</v>
      </c>
      <c r="Q98" s="228">
        <f t="shared" si="45"/>
        <v>2107.5228</v>
      </c>
      <c r="R98" s="278"/>
      <c r="S98" s="228">
        <f t="shared" si="54"/>
        <v>2107.5228</v>
      </c>
      <c r="T98" s="227">
        <v>0</v>
      </c>
      <c r="U98" s="228">
        <f t="shared" si="46"/>
        <v>0</v>
      </c>
      <c r="V98" s="227"/>
      <c r="W98" s="228">
        <f t="shared" si="55"/>
        <v>0</v>
      </c>
      <c r="X98" s="277">
        <v>0.02</v>
      </c>
      <c r="Y98" s="228">
        <f t="shared" si="70"/>
        <v>234.1692</v>
      </c>
      <c r="Z98" s="282"/>
      <c r="AA98" s="228">
        <f t="shared" si="56"/>
        <v>234.1692</v>
      </c>
      <c r="AB98" s="227">
        <v>0</v>
      </c>
      <c r="AC98" s="228">
        <f t="shared" si="47"/>
        <v>0</v>
      </c>
      <c r="AD98" s="227"/>
      <c r="AE98" s="228">
        <f t="shared" si="71"/>
        <v>0</v>
      </c>
      <c r="AF98" s="227">
        <v>0</v>
      </c>
      <c r="AG98" s="228">
        <f t="shared" si="48"/>
        <v>0</v>
      </c>
      <c r="AH98" s="227"/>
      <c r="AI98" s="228">
        <f t="shared" si="57"/>
        <v>0</v>
      </c>
      <c r="AJ98" s="227">
        <v>0</v>
      </c>
      <c r="AK98" s="228">
        <f t="shared" si="74"/>
        <v>0</v>
      </c>
      <c r="AL98" s="227"/>
      <c r="AM98" s="228">
        <f t="shared" si="58"/>
        <v>0</v>
      </c>
      <c r="AN98" s="227">
        <v>0</v>
      </c>
      <c r="AO98" s="228">
        <f t="shared" si="75"/>
        <v>0</v>
      </c>
      <c r="AP98" s="228"/>
      <c r="AQ98" s="228">
        <f t="shared" si="59"/>
        <v>0</v>
      </c>
      <c r="AR98" s="235">
        <v>0.04</v>
      </c>
      <c r="AS98" s="228">
        <f t="shared" si="68"/>
        <v>468.3384</v>
      </c>
      <c r="AT98" s="278"/>
      <c r="AU98" s="228">
        <f t="shared" si="60"/>
        <v>468.3384</v>
      </c>
      <c r="AV98" s="235">
        <v>0.04</v>
      </c>
      <c r="AW98" s="228">
        <f t="shared" si="69"/>
        <v>468.3384</v>
      </c>
      <c r="AX98" s="278"/>
      <c r="AY98" s="228">
        <f t="shared" si="61"/>
        <v>468.3384</v>
      </c>
      <c r="AZ98" s="227">
        <v>0</v>
      </c>
      <c r="BA98" s="228">
        <f t="shared" si="76"/>
        <v>0</v>
      </c>
      <c r="BB98" s="279"/>
      <c r="BC98" s="228">
        <f t="shared" si="62"/>
        <v>0</v>
      </c>
      <c r="BD98" s="280"/>
      <c r="BE98" s="228">
        <f t="shared" si="52"/>
        <v>0</v>
      </c>
      <c r="BF98" s="280"/>
      <c r="BG98" s="228">
        <f t="shared" si="63"/>
        <v>0</v>
      </c>
      <c r="BH98" s="280"/>
      <c r="BI98" s="228">
        <f t="shared" si="79"/>
        <v>0</v>
      </c>
      <c r="BJ98" s="280"/>
      <c r="BK98" s="228">
        <f t="shared" si="64"/>
        <v>0</v>
      </c>
      <c r="BL98" s="280" t="s">
        <v>1457</v>
      </c>
      <c r="BM98" s="220">
        <f t="shared" si="78"/>
        <v>0</v>
      </c>
      <c r="BN98" s="283"/>
      <c r="BO98" s="220">
        <f t="shared" si="65"/>
        <v>0</v>
      </c>
      <c r="BP98" s="220">
        <f t="shared" si="66"/>
        <v>3278.3688</v>
      </c>
      <c r="BQ98" s="220">
        <f t="shared" si="67"/>
        <v>0</v>
      </c>
      <c r="BR98" s="220">
        <f t="shared" si="73"/>
        <v>3278.3688</v>
      </c>
      <c r="BS98" s="227" t="s">
        <v>39</v>
      </c>
      <c r="BT98" s="227" t="s">
        <v>39</v>
      </c>
      <c r="BU98" s="230"/>
      <c r="BV98" s="230" t="s">
        <v>405</v>
      </c>
      <c r="BW98" s="231"/>
    </row>
    <row r="99" s="209" customFormat="1" ht="36" customHeight="1" spans="1:75">
      <c r="A99" s="219">
        <v>126</v>
      </c>
      <c r="B99" s="220" t="s">
        <v>466</v>
      </c>
      <c r="C99" s="221" t="s">
        <v>175</v>
      </c>
      <c r="D99" s="221" t="s">
        <v>399</v>
      </c>
      <c r="E99" s="221" t="s">
        <v>400</v>
      </c>
      <c r="F99" s="219" t="s">
        <v>47</v>
      </c>
      <c r="G99" s="222" t="s">
        <v>374</v>
      </c>
      <c r="H99" s="233" t="s">
        <v>39</v>
      </c>
      <c r="I99" s="237" t="s">
        <v>319</v>
      </c>
      <c r="J99" s="233" t="s">
        <v>429</v>
      </c>
      <c r="K99" s="223" cm="1">
        <f t="array" ref="K99">_xlfn.XLOOKUP(D99&amp;E99&amp;H99&amp;I99&amp;J99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33726.8</v>
      </c>
      <c r="L99" s="223"/>
      <c r="M99" s="224"/>
      <c r="N99" s="225"/>
      <c r="O99" s="226">
        <v>400000</v>
      </c>
      <c r="P99" s="277">
        <v>0.18</v>
      </c>
      <c r="Q99" s="228">
        <f t="shared" si="45"/>
        <v>6070.824</v>
      </c>
      <c r="R99" s="278"/>
      <c r="S99" s="228">
        <f t="shared" si="54"/>
        <v>6070.824</v>
      </c>
      <c r="T99" s="227">
        <v>0</v>
      </c>
      <c r="U99" s="228">
        <f t="shared" si="46"/>
        <v>0</v>
      </c>
      <c r="V99" s="227"/>
      <c r="W99" s="228">
        <f t="shared" si="55"/>
        <v>0</v>
      </c>
      <c r="X99" s="277">
        <v>0.02</v>
      </c>
      <c r="Y99" s="228">
        <f t="shared" si="70"/>
        <v>674.536</v>
      </c>
      <c r="Z99" s="278"/>
      <c r="AA99" s="228">
        <f t="shared" si="56"/>
        <v>674.536</v>
      </c>
      <c r="AB99" s="227">
        <v>0</v>
      </c>
      <c r="AC99" s="228">
        <f t="shared" si="47"/>
        <v>0</v>
      </c>
      <c r="AD99" s="227"/>
      <c r="AE99" s="228">
        <f t="shared" si="71"/>
        <v>0</v>
      </c>
      <c r="AF99" s="227">
        <v>0</v>
      </c>
      <c r="AG99" s="228">
        <f t="shared" si="48"/>
        <v>0</v>
      </c>
      <c r="AH99" s="227"/>
      <c r="AI99" s="228">
        <f t="shared" si="57"/>
        <v>0</v>
      </c>
      <c r="AJ99" s="227">
        <v>0</v>
      </c>
      <c r="AK99" s="228">
        <f t="shared" si="74"/>
        <v>0</v>
      </c>
      <c r="AL99" s="227"/>
      <c r="AM99" s="228">
        <f t="shared" si="58"/>
        <v>0</v>
      </c>
      <c r="AN99" s="227">
        <v>0</v>
      </c>
      <c r="AO99" s="228">
        <f t="shared" si="75"/>
        <v>0</v>
      </c>
      <c r="AP99" s="228"/>
      <c r="AQ99" s="228">
        <f t="shared" si="59"/>
        <v>0</v>
      </c>
      <c r="AR99" s="235">
        <v>0.04</v>
      </c>
      <c r="AS99" s="228">
        <f t="shared" si="68"/>
        <v>1349.072</v>
      </c>
      <c r="AT99" s="278"/>
      <c r="AU99" s="228">
        <f t="shared" si="60"/>
        <v>1349.072</v>
      </c>
      <c r="AV99" s="235">
        <v>0.04</v>
      </c>
      <c r="AW99" s="228">
        <f t="shared" si="69"/>
        <v>1349.072</v>
      </c>
      <c r="AX99" s="278"/>
      <c r="AY99" s="228">
        <f t="shared" si="61"/>
        <v>1349.072</v>
      </c>
      <c r="AZ99" s="227">
        <v>0</v>
      </c>
      <c r="BA99" s="228">
        <f t="shared" si="76"/>
        <v>0</v>
      </c>
      <c r="BB99" s="279"/>
      <c r="BC99" s="228">
        <f t="shared" si="62"/>
        <v>0</v>
      </c>
      <c r="BD99" s="280"/>
      <c r="BE99" s="228">
        <f t="shared" si="52"/>
        <v>0</v>
      </c>
      <c r="BF99" s="280"/>
      <c r="BG99" s="228">
        <f t="shared" si="63"/>
        <v>0</v>
      </c>
      <c r="BH99" s="280"/>
      <c r="BI99" s="228">
        <f t="shared" si="79"/>
        <v>0</v>
      </c>
      <c r="BJ99" s="280"/>
      <c r="BK99" s="228">
        <f t="shared" si="64"/>
        <v>0</v>
      </c>
      <c r="BL99" s="280" t="s">
        <v>1457</v>
      </c>
      <c r="BM99" s="220">
        <f t="shared" si="78"/>
        <v>0</v>
      </c>
      <c r="BN99" s="283"/>
      <c r="BO99" s="220">
        <f t="shared" si="65"/>
        <v>0</v>
      </c>
      <c r="BP99" s="220">
        <f t="shared" si="66"/>
        <v>9443.504</v>
      </c>
      <c r="BQ99" s="220">
        <f t="shared" si="67"/>
        <v>0</v>
      </c>
      <c r="BR99" s="220">
        <f t="shared" si="73"/>
        <v>9443.504</v>
      </c>
      <c r="BS99" s="227" t="s">
        <v>39</v>
      </c>
      <c r="BT99" s="227" t="s">
        <v>39</v>
      </c>
      <c r="BU99" s="230"/>
      <c r="BV99" s="230" t="s">
        <v>405</v>
      </c>
      <c r="BW99" s="231"/>
    </row>
    <row r="100" s="209" customFormat="1" ht="36" customHeight="1" spans="1:75">
      <c r="A100" s="219">
        <v>127</v>
      </c>
      <c r="B100" s="220" t="s">
        <v>468</v>
      </c>
      <c r="C100" s="221" t="s">
        <v>175</v>
      </c>
      <c r="D100" s="221" t="s">
        <v>399</v>
      </c>
      <c r="E100" s="221" t="s">
        <v>400</v>
      </c>
      <c r="F100" s="219" t="s">
        <v>47</v>
      </c>
      <c r="G100" s="222" t="s">
        <v>374</v>
      </c>
      <c r="H100" s="233" t="s">
        <v>39</v>
      </c>
      <c r="I100" s="237" t="s">
        <v>431</v>
      </c>
      <c r="J100" s="228" t="s">
        <v>1491</v>
      </c>
      <c r="K100" s="223" cm="1">
        <f t="array" ref="K100">_xlfn.XLOOKUP(D100&amp;E100&amp;H100&amp;I100&amp;J100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23106.2</v>
      </c>
      <c r="L100" s="223"/>
      <c r="M100" s="224"/>
      <c r="N100" s="225"/>
      <c r="O100" s="226">
        <v>300000</v>
      </c>
      <c r="P100" s="277">
        <v>0.18</v>
      </c>
      <c r="Q100" s="228">
        <f t="shared" si="45"/>
        <v>4159.116</v>
      </c>
      <c r="R100" s="278"/>
      <c r="S100" s="228">
        <f t="shared" si="54"/>
        <v>4159.116</v>
      </c>
      <c r="T100" s="227">
        <v>0</v>
      </c>
      <c r="U100" s="228">
        <f t="shared" si="46"/>
        <v>0</v>
      </c>
      <c r="V100" s="227"/>
      <c r="W100" s="228">
        <f t="shared" si="55"/>
        <v>0</v>
      </c>
      <c r="X100" s="277">
        <v>0.02</v>
      </c>
      <c r="Y100" s="228">
        <f t="shared" si="70"/>
        <v>462.124</v>
      </c>
      <c r="Z100" s="278"/>
      <c r="AA100" s="228">
        <f t="shared" si="56"/>
        <v>462.124</v>
      </c>
      <c r="AB100" s="227">
        <v>0</v>
      </c>
      <c r="AC100" s="228">
        <f t="shared" si="47"/>
        <v>0</v>
      </c>
      <c r="AD100" s="227"/>
      <c r="AE100" s="228">
        <f t="shared" si="71"/>
        <v>0</v>
      </c>
      <c r="AF100" s="227">
        <v>0</v>
      </c>
      <c r="AG100" s="228">
        <f t="shared" si="48"/>
        <v>0</v>
      </c>
      <c r="AH100" s="227"/>
      <c r="AI100" s="228">
        <f t="shared" si="57"/>
        <v>0</v>
      </c>
      <c r="AJ100" s="227">
        <v>0</v>
      </c>
      <c r="AK100" s="228">
        <f t="shared" si="74"/>
        <v>0</v>
      </c>
      <c r="AL100" s="227"/>
      <c r="AM100" s="228">
        <f t="shared" si="58"/>
        <v>0</v>
      </c>
      <c r="AN100" s="227">
        <v>0</v>
      </c>
      <c r="AO100" s="228">
        <f t="shared" si="75"/>
        <v>0</v>
      </c>
      <c r="AP100" s="228"/>
      <c r="AQ100" s="228">
        <f t="shared" si="59"/>
        <v>0</v>
      </c>
      <c r="AR100" s="235">
        <v>0.04</v>
      </c>
      <c r="AS100" s="228">
        <f t="shared" si="68"/>
        <v>924.248</v>
      </c>
      <c r="AT100" s="278"/>
      <c r="AU100" s="228">
        <f t="shared" si="60"/>
        <v>924.248</v>
      </c>
      <c r="AV100" s="235">
        <v>0.04</v>
      </c>
      <c r="AW100" s="228">
        <f t="shared" si="69"/>
        <v>924.248</v>
      </c>
      <c r="AX100" s="278"/>
      <c r="AY100" s="228">
        <f t="shared" si="61"/>
        <v>924.248</v>
      </c>
      <c r="AZ100" s="227">
        <v>0</v>
      </c>
      <c r="BA100" s="228">
        <f t="shared" si="76"/>
        <v>0</v>
      </c>
      <c r="BB100" s="279"/>
      <c r="BC100" s="228">
        <f t="shared" si="62"/>
        <v>0</v>
      </c>
      <c r="BD100" s="280"/>
      <c r="BE100" s="228">
        <f t="shared" si="52"/>
        <v>0</v>
      </c>
      <c r="BF100" s="280"/>
      <c r="BG100" s="228">
        <f t="shared" si="63"/>
        <v>0</v>
      </c>
      <c r="BH100" s="280"/>
      <c r="BI100" s="228">
        <f t="shared" si="79"/>
        <v>0</v>
      </c>
      <c r="BJ100" s="280"/>
      <c r="BK100" s="228">
        <f t="shared" si="64"/>
        <v>0</v>
      </c>
      <c r="BL100" s="280" t="s">
        <v>1457</v>
      </c>
      <c r="BM100" s="220">
        <f t="shared" si="78"/>
        <v>0</v>
      </c>
      <c r="BN100" s="281"/>
      <c r="BO100" s="220">
        <f t="shared" si="65"/>
        <v>0</v>
      </c>
      <c r="BP100" s="220">
        <f t="shared" si="66"/>
        <v>6469.736</v>
      </c>
      <c r="BQ100" s="220">
        <f t="shared" si="67"/>
        <v>0</v>
      </c>
      <c r="BR100" s="220">
        <f t="shared" si="73"/>
        <v>6469.736</v>
      </c>
      <c r="BS100" s="227" t="s">
        <v>39</v>
      </c>
      <c r="BT100" s="227" t="s">
        <v>39</v>
      </c>
      <c r="BU100" s="230"/>
      <c r="BV100" s="230" t="s">
        <v>405</v>
      </c>
      <c r="BW100" s="231"/>
    </row>
    <row r="101" s="209" customFormat="1" ht="36" customHeight="1" spans="1:75">
      <c r="A101" s="219">
        <v>128</v>
      </c>
      <c r="B101" s="220" t="s">
        <v>472</v>
      </c>
      <c r="C101" s="221" t="s">
        <v>175</v>
      </c>
      <c r="D101" s="221" t="s">
        <v>399</v>
      </c>
      <c r="E101" s="221" t="s">
        <v>400</v>
      </c>
      <c r="F101" s="219" t="s">
        <v>47</v>
      </c>
      <c r="G101" s="222" t="s">
        <v>374</v>
      </c>
      <c r="H101" s="233" t="s">
        <v>39</v>
      </c>
      <c r="I101" s="237" t="s">
        <v>434</v>
      </c>
      <c r="J101" s="233" t="s">
        <v>435</v>
      </c>
      <c r="K101" s="223" cm="1">
        <f t="array" ref="K101">_xlfn.XLOOKUP(D101&amp;E101&amp;H101&amp;I101&amp;J101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1" s="223"/>
      <c r="M101" s="224"/>
      <c r="N101" s="225"/>
      <c r="O101" s="226">
        <v>220000</v>
      </c>
      <c r="P101" s="277">
        <v>0.18</v>
      </c>
      <c r="Q101" s="228">
        <f t="shared" si="45"/>
        <v>0</v>
      </c>
      <c r="R101" s="278"/>
      <c r="S101" s="228">
        <f t="shared" si="54"/>
        <v>0</v>
      </c>
      <c r="T101" s="227">
        <v>0</v>
      </c>
      <c r="U101" s="228">
        <f t="shared" si="46"/>
        <v>0</v>
      </c>
      <c r="V101" s="227"/>
      <c r="W101" s="228">
        <f t="shared" si="55"/>
        <v>0</v>
      </c>
      <c r="X101" s="277">
        <v>0.02</v>
      </c>
      <c r="Y101" s="228">
        <f t="shared" si="70"/>
        <v>0</v>
      </c>
      <c r="Z101" s="278"/>
      <c r="AA101" s="228">
        <f t="shared" si="56"/>
        <v>0</v>
      </c>
      <c r="AB101" s="227">
        <v>0</v>
      </c>
      <c r="AC101" s="228">
        <f t="shared" si="47"/>
        <v>0</v>
      </c>
      <c r="AD101" s="227"/>
      <c r="AE101" s="228">
        <f t="shared" si="71"/>
        <v>0</v>
      </c>
      <c r="AF101" s="227">
        <v>0</v>
      </c>
      <c r="AG101" s="228">
        <f t="shared" si="48"/>
        <v>0</v>
      </c>
      <c r="AH101" s="227"/>
      <c r="AI101" s="228">
        <f t="shared" si="57"/>
        <v>0</v>
      </c>
      <c r="AJ101" s="227">
        <v>0</v>
      </c>
      <c r="AK101" s="228">
        <f t="shared" si="74"/>
        <v>0</v>
      </c>
      <c r="AL101" s="227"/>
      <c r="AM101" s="228">
        <f t="shared" si="58"/>
        <v>0</v>
      </c>
      <c r="AN101" s="227">
        <v>0</v>
      </c>
      <c r="AO101" s="228">
        <f t="shared" si="75"/>
        <v>0</v>
      </c>
      <c r="AP101" s="228"/>
      <c r="AQ101" s="228">
        <f t="shared" si="59"/>
        <v>0</v>
      </c>
      <c r="AR101" s="235">
        <v>0.04</v>
      </c>
      <c r="AS101" s="228">
        <f t="shared" si="68"/>
        <v>0</v>
      </c>
      <c r="AT101" s="278"/>
      <c r="AU101" s="228">
        <f t="shared" si="60"/>
        <v>0</v>
      </c>
      <c r="AV101" s="235">
        <v>0.04</v>
      </c>
      <c r="AW101" s="228">
        <f t="shared" si="69"/>
        <v>0</v>
      </c>
      <c r="AX101" s="278"/>
      <c r="AY101" s="228">
        <f t="shared" si="61"/>
        <v>0</v>
      </c>
      <c r="AZ101" s="227">
        <v>0</v>
      </c>
      <c r="BA101" s="228">
        <f t="shared" si="76"/>
        <v>0</v>
      </c>
      <c r="BB101" s="279"/>
      <c r="BC101" s="228">
        <f t="shared" si="62"/>
        <v>0</v>
      </c>
      <c r="BD101" s="280"/>
      <c r="BE101" s="228">
        <f t="shared" si="52"/>
        <v>0</v>
      </c>
      <c r="BF101" s="280"/>
      <c r="BG101" s="228">
        <f t="shared" si="63"/>
        <v>0</v>
      </c>
      <c r="BH101" s="280"/>
      <c r="BI101" s="228">
        <f t="shared" si="79"/>
        <v>0</v>
      </c>
      <c r="BJ101" s="280"/>
      <c r="BK101" s="228">
        <f t="shared" si="64"/>
        <v>0</v>
      </c>
      <c r="BL101" s="280" t="s">
        <v>1457</v>
      </c>
      <c r="BM101" s="220">
        <f t="shared" si="78"/>
        <v>0</v>
      </c>
      <c r="BN101" s="281"/>
      <c r="BO101" s="220">
        <f t="shared" si="65"/>
        <v>0</v>
      </c>
      <c r="BP101" s="220">
        <f t="shared" si="66"/>
        <v>0</v>
      </c>
      <c r="BQ101" s="220">
        <f t="shared" si="67"/>
        <v>0</v>
      </c>
      <c r="BR101" s="220">
        <f t="shared" si="73"/>
        <v>0</v>
      </c>
      <c r="BS101" s="227" t="s">
        <v>39</v>
      </c>
      <c r="BT101" s="227" t="s">
        <v>39</v>
      </c>
      <c r="BU101" s="230"/>
      <c r="BV101" s="230" t="s">
        <v>405</v>
      </c>
      <c r="BW101" s="231"/>
    </row>
    <row r="102" s="209" customFormat="1" ht="12" customHeight="1" spans="1:75">
      <c r="A102" s="219">
        <v>129</v>
      </c>
      <c r="B102" s="220" t="s">
        <v>477</v>
      </c>
      <c r="C102" s="221" t="s">
        <v>175</v>
      </c>
      <c r="D102" s="221" t="s">
        <v>437</v>
      </c>
      <c r="E102" s="221" t="s">
        <v>438</v>
      </c>
      <c r="F102" s="219" t="s">
        <v>53</v>
      </c>
      <c r="G102" s="222" t="s">
        <v>374</v>
      </c>
      <c r="H102" s="222" t="s">
        <v>39</v>
      </c>
      <c r="I102" s="233" t="s">
        <v>39</v>
      </c>
      <c r="J102" s="233" t="s">
        <v>39</v>
      </c>
      <c r="K102" s="223" cm="1">
        <f t="array" ref="K102">_xlfn.XLOOKUP(D102&amp;E102&amp;H102&amp;I102&amp;J102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45261.49</v>
      </c>
      <c r="L102" s="223"/>
      <c r="M102" s="224"/>
      <c r="N102" s="225"/>
      <c r="O102" s="226">
        <v>566000</v>
      </c>
      <c r="P102" s="227">
        <v>0</v>
      </c>
      <c r="Q102" s="228">
        <f t="shared" si="45"/>
        <v>0</v>
      </c>
      <c r="R102" s="227"/>
      <c r="S102" s="228">
        <f t="shared" si="54"/>
        <v>0</v>
      </c>
      <c r="T102" s="227">
        <v>0</v>
      </c>
      <c r="U102" s="228">
        <f t="shared" si="46"/>
        <v>0</v>
      </c>
      <c r="V102" s="227"/>
      <c r="W102" s="228">
        <f t="shared" si="55"/>
        <v>0</v>
      </c>
      <c r="X102" s="227">
        <v>0</v>
      </c>
      <c r="Y102" s="228">
        <f t="shared" si="70"/>
        <v>0</v>
      </c>
      <c r="Z102" s="227"/>
      <c r="AA102" s="228">
        <f t="shared" si="56"/>
        <v>0</v>
      </c>
      <c r="AB102" s="227">
        <v>0</v>
      </c>
      <c r="AC102" s="228">
        <f t="shared" si="47"/>
        <v>0</v>
      </c>
      <c r="AD102" s="227"/>
      <c r="AE102" s="228">
        <f t="shared" si="71"/>
        <v>0</v>
      </c>
      <c r="AF102" s="227">
        <v>0</v>
      </c>
      <c r="AG102" s="228">
        <f t="shared" si="48"/>
        <v>0</v>
      </c>
      <c r="AH102" s="227"/>
      <c r="AI102" s="228">
        <f t="shared" si="57"/>
        <v>0</v>
      </c>
      <c r="AJ102" s="227">
        <v>0</v>
      </c>
      <c r="AK102" s="228">
        <f t="shared" si="74"/>
        <v>0</v>
      </c>
      <c r="AL102" s="227"/>
      <c r="AM102" s="228">
        <f t="shared" si="58"/>
        <v>0</v>
      </c>
      <c r="AN102" s="227">
        <v>0</v>
      </c>
      <c r="AO102" s="228">
        <f t="shared" si="75"/>
        <v>0</v>
      </c>
      <c r="AP102" s="228"/>
      <c r="AQ102" s="228">
        <f t="shared" si="59"/>
        <v>0</v>
      </c>
      <c r="AR102" s="228">
        <v>0</v>
      </c>
      <c r="AS102" s="228">
        <f t="shared" si="68"/>
        <v>0</v>
      </c>
      <c r="AT102" s="227"/>
      <c r="AU102" s="228">
        <f t="shared" si="60"/>
        <v>0</v>
      </c>
      <c r="AV102" s="227">
        <v>0</v>
      </c>
      <c r="AW102" s="228">
        <f t="shared" si="69"/>
        <v>0</v>
      </c>
      <c r="AX102" s="227"/>
      <c r="AY102" s="228">
        <f t="shared" si="61"/>
        <v>0</v>
      </c>
      <c r="AZ102" s="227">
        <v>0</v>
      </c>
      <c r="BA102" s="228">
        <f t="shared" si="76"/>
        <v>0</v>
      </c>
      <c r="BB102" s="228"/>
      <c r="BC102" s="228">
        <f t="shared" si="62"/>
        <v>0</v>
      </c>
      <c r="BD102" s="228"/>
      <c r="BE102" s="228">
        <f t="shared" si="52"/>
        <v>0</v>
      </c>
      <c r="BF102" s="228"/>
      <c r="BG102" s="228">
        <f t="shared" si="63"/>
        <v>0</v>
      </c>
      <c r="BH102" s="228"/>
      <c r="BI102" s="228">
        <f t="shared" si="79"/>
        <v>0</v>
      </c>
      <c r="BJ102" s="228"/>
      <c r="BK102" s="228">
        <f t="shared" si="64"/>
        <v>0</v>
      </c>
      <c r="BL102" s="228">
        <v>0</v>
      </c>
      <c r="BM102" s="220">
        <f>K102*BL102</f>
        <v>0</v>
      </c>
      <c r="BN102" s="220"/>
      <c r="BO102" s="220">
        <f t="shared" si="65"/>
        <v>0</v>
      </c>
      <c r="BP102" s="220">
        <f t="shared" si="66"/>
        <v>0</v>
      </c>
      <c r="BQ102" s="220">
        <f t="shared" si="67"/>
        <v>0</v>
      </c>
      <c r="BR102" s="220">
        <f t="shared" si="73"/>
        <v>0</v>
      </c>
      <c r="BS102" s="220">
        <v>100000</v>
      </c>
      <c r="BT102" s="229" t="s">
        <v>39</v>
      </c>
      <c r="BU102" s="230" t="s">
        <v>439</v>
      </c>
      <c r="BV102" s="230"/>
      <c r="BW102" s="231"/>
    </row>
    <row r="103" s="209" customFormat="1" ht="12" customHeight="1" spans="1:75">
      <c r="A103" s="219">
        <v>130</v>
      </c>
      <c r="B103" s="220" t="s">
        <v>480</v>
      </c>
      <c r="C103" s="221" t="s">
        <v>175</v>
      </c>
      <c r="D103" s="221" t="s">
        <v>441</v>
      </c>
      <c r="E103" s="221" t="s">
        <v>442</v>
      </c>
      <c r="F103" s="219" t="s">
        <v>53</v>
      </c>
      <c r="G103" s="222" t="s">
        <v>374</v>
      </c>
      <c r="H103" s="222" t="s">
        <v>39</v>
      </c>
      <c r="I103" s="233" t="s">
        <v>39</v>
      </c>
      <c r="J103" s="233" t="s">
        <v>39</v>
      </c>
      <c r="K103" s="223" cm="1">
        <f t="array" ref="K103">_xlfn.XLOOKUP(D103&amp;E103&amp;H103&amp;I103&amp;J103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56992.07</v>
      </c>
      <c r="L103" s="223"/>
      <c r="M103" s="224"/>
      <c r="N103" s="225"/>
      <c r="O103" s="226">
        <v>710000</v>
      </c>
      <c r="P103" s="227">
        <v>0</v>
      </c>
      <c r="Q103" s="228">
        <f t="shared" si="45"/>
        <v>0</v>
      </c>
      <c r="R103" s="227"/>
      <c r="S103" s="228">
        <f t="shared" si="54"/>
        <v>0</v>
      </c>
      <c r="T103" s="227">
        <v>0</v>
      </c>
      <c r="U103" s="228">
        <f t="shared" si="46"/>
        <v>0</v>
      </c>
      <c r="V103" s="227"/>
      <c r="W103" s="228">
        <f t="shared" si="55"/>
        <v>0</v>
      </c>
      <c r="X103" s="227">
        <v>0</v>
      </c>
      <c r="Y103" s="228">
        <f t="shared" si="70"/>
        <v>0</v>
      </c>
      <c r="Z103" s="227"/>
      <c r="AA103" s="228">
        <f t="shared" si="56"/>
        <v>0</v>
      </c>
      <c r="AB103" s="227">
        <v>0</v>
      </c>
      <c r="AC103" s="228">
        <f t="shared" si="47"/>
        <v>0</v>
      </c>
      <c r="AD103" s="227"/>
      <c r="AE103" s="228">
        <f t="shared" si="71"/>
        <v>0</v>
      </c>
      <c r="AF103" s="227">
        <v>0</v>
      </c>
      <c r="AG103" s="228">
        <f t="shared" si="48"/>
        <v>0</v>
      </c>
      <c r="AH103" s="227"/>
      <c r="AI103" s="228">
        <f t="shared" si="57"/>
        <v>0</v>
      </c>
      <c r="AJ103" s="227">
        <v>0</v>
      </c>
      <c r="AK103" s="228">
        <f t="shared" si="74"/>
        <v>0</v>
      </c>
      <c r="AL103" s="227"/>
      <c r="AM103" s="228">
        <f t="shared" si="58"/>
        <v>0</v>
      </c>
      <c r="AN103" s="227">
        <v>0</v>
      </c>
      <c r="AO103" s="228">
        <f t="shared" si="75"/>
        <v>0</v>
      </c>
      <c r="AP103" s="228"/>
      <c r="AQ103" s="228">
        <f t="shared" si="59"/>
        <v>0</v>
      </c>
      <c r="AR103" s="228">
        <v>0</v>
      </c>
      <c r="AS103" s="228">
        <f t="shared" si="68"/>
        <v>0</v>
      </c>
      <c r="AT103" s="227"/>
      <c r="AU103" s="228">
        <f t="shared" si="60"/>
        <v>0</v>
      </c>
      <c r="AV103" s="227">
        <v>0</v>
      </c>
      <c r="AW103" s="228">
        <f t="shared" si="69"/>
        <v>0</v>
      </c>
      <c r="AX103" s="227"/>
      <c r="AY103" s="228">
        <f t="shared" si="61"/>
        <v>0</v>
      </c>
      <c r="AZ103" s="227">
        <v>0</v>
      </c>
      <c r="BA103" s="228">
        <f t="shared" si="76"/>
        <v>0</v>
      </c>
      <c r="BB103" s="228"/>
      <c r="BC103" s="228">
        <f t="shared" si="62"/>
        <v>0</v>
      </c>
      <c r="BD103" s="228"/>
      <c r="BE103" s="228">
        <f t="shared" si="52"/>
        <v>0</v>
      </c>
      <c r="BF103" s="228"/>
      <c r="BG103" s="228">
        <f t="shared" si="63"/>
        <v>0</v>
      </c>
      <c r="BH103" s="228"/>
      <c r="BI103" s="228">
        <f t="shared" si="79"/>
        <v>0</v>
      </c>
      <c r="BJ103" s="228"/>
      <c r="BK103" s="228">
        <f t="shared" si="64"/>
        <v>0</v>
      </c>
      <c r="BL103" s="228">
        <v>0</v>
      </c>
      <c r="BM103" s="220">
        <f>K103*BL103</f>
        <v>0</v>
      </c>
      <c r="BN103" s="220"/>
      <c r="BO103" s="220">
        <f t="shared" si="65"/>
        <v>0</v>
      </c>
      <c r="BP103" s="220">
        <f t="shared" si="66"/>
        <v>0</v>
      </c>
      <c r="BQ103" s="220">
        <f t="shared" si="67"/>
        <v>0</v>
      </c>
      <c r="BR103" s="220">
        <f t="shared" si="73"/>
        <v>0</v>
      </c>
      <c r="BS103" s="220">
        <v>100000</v>
      </c>
      <c r="BT103" s="229" t="s">
        <v>39</v>
      </c>
      <c r="BU103" s="230" t="s">
        <v>439</v>
      </c>
      <c r="BV103" s="230"/>
      <c r="BW103" s="231"/>
    </row>
    <row r="104" s="209" customFormat="1" ht="24" customHeight="1" spans="1:75">
      <c r="A104" s="219">
        <v>131</v>
      </c>
      <c r="B104" s="220" t="s">
        <v>484</v>
      </c>
      <c r="C104" s="221" t="s">
        <v>443</v>
      </c>
      <c r="D104" s="221" t="s">
        <v>444</v>
      </c>
      <c r="E104" s="242" t="s">
        <v>445</v>
      </c>
      <c r="F104" s="221" t="s">
        <v>53</v>
      </c>
      <c r="G104" s="243" t="s">
        <v>1460</v>
      </c>
      <c r="H104" s="220" t="s">
        <v>39</v>
      </c>
      <c r="I104" s="239" t="s">
        <v>39</v>
      </c>
      <c r="J104" s="220" t="s">
        <v>39</v>
      </c>
      <c r="K104" s="223" cm="1">
        <f t="array" ref="K104">_xlfn.XLOOKUP(D104&amp;E104&amp;H104&amp;I104&amp;J104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4" s="223"/>
      <c r="M104" s="235"/>
      <c r="N104" s="225"/>
      <c r="O104" s="226">
        <v>0</v>
      </c>
      <c r="P104" s="227">
        <v>0</v>
      </c>
      <c r="Q104" s="228">
        <f t="shared" si="45"/>
        <v>0</v>
      </c>
      <c r="R104" s="228"/>
      <c r="S104" s="228">
        <f t="shared" si="54"/>
        <v>0</v>
      </c>
      <c r="T104" s="235"/>
      <c r="U104" s="228">
        <f t="shared" si="46"/>
        <v>0</v>
      </c>
      <c r="V104" s="227"/>
      <c r="W104" s="228">
        <f t="shared" si="55"/>
        <v>0</v>
      </c>
      <c r="X104" s="227"/>
      <c r="Y104" s="228">
        <f t="shared" si="70"/>
        <v>0</v>
      </c>
      <c r="Z104" s="227"/>
      <c r="AA104" s="228">
        <f t="shared" si="56"/>
        <v>0</v>
      </c>
      <c r="AB104" s="227"/>
      <c r="AC104" s="228">
        <f t="shared" si="47"/>
        <v>0</v>
      </c>
      <c r="AD104" s="227"/>
      <c r="AE104" s="228">
        <f t="shared" si="71"/>
        <v>0</v>
      </c>
      <c r="AF104" s="227">
        <v>0</v>
      </c>
      <c r="AG104" s="228">
        <f t="shared" si="48"/>
        <v>0</v>
      </c>
      <c r="AH104" s="227"/>
      <c r="AI104" s="228">
        <f t="shared" si="57"/>
        <v>0</v>
      </c>
      <c r="AJ104" s="227">
        <v>0</v>
      </c>
      <c r="AK104" s="228">
        <f t="shared" si="74"/>
        <v>0</v>
      </c>
      <c r="AL104" s="227"/>
      <c r="AM104" s="228">
        <f t="shared" si="58"/>
        <v>0</v>
      </c>
      <c r="AN104" s="227">
        <v>0</v>
      </c>
      <c r="AO104" s="228">
        <f t="shared" si="75"/>
        <v>0</v>
      </c>
      <c r="AP104" s="228"/>
      <c r="AQ104" s="228">
        <f t="shared" si="59"/>
        <v>0</v>
      </c>
      <c r="AR104" s="228">
        <v>0</v>
      </c>
      <c r="AS104" s="228">
        <f t="shared" si="68"/>
        <v>0</v>
      </c>
      <c r="AT104" s="227"/>
      <c r="AU104" s="228">
        <f t="shared" si="60"/>
        <v>0</v>
      </c>
      <c r="AV104" s="227">
        <v>0</v>
      </c>
      <c r="AW104" s="228">
        <f t="shared" si="69"/>
        <v>0</v>
      </c>
      <c r="AX104" s="227"/>
      <c r="AY104" s="228">
        <f t="shared" si="61"/>
        <v>0</v>
      </c>
      <c r="AZ104" s="227">
        <v>0</v>
      </c>
      <c r="BA104" s="228">
        <f t="shared" si="76"/>
        <v>0</v>
      </c>
      <c r="BB104" s="228"/>
      <c r="BC104" s="228">
        <f t="shared" si="62"/>
        <v>0</v>
      </c>
      <c r="BD104" s="228"/>
      <c r="BE104" s="228">
        <f t="shared" si="52"/>
        <v>0</v>
      </c>
      <c r="BF104" s="228"/>
      <c r="BG104" s="228">
        <f t="shared" si="63"/>
        <v>0</v>
      </c>
      <c r="BH104" s="228"/>
      <c r="BI104" s="228">
        <f t="shared" si="79"/>
        <v>0</v>
      </c>
      <c r="BJ104" s="228"/>
      <c r="BK104" s="228">
        <f t="shared" si="64"/>
        <v>0</v>
      </c>
      <c r="BL104" s="228">
        <v>0</v>
      </c>
      <c r="BM104" s="220">
        <f>K104*BL104</f>
        <v>0</v>
      </c>
      <c r="BN104" s="220"/>
      <c r="BO104" s="220">
        <f t="shared" si="65"/>
        <v>0</v>
      </c>
      <c r="BP104" s="220">
        <f t="shared" si="66"/>
        <v>0</v>
      </c>
      <c r="BQ104" s="220">
        <f t="shared" si="67"/>
        <v>0</v>
      </c>
      <c r="BR104" s="220">
        <f t="shared" si="73"/>
        <v>0</v>
      </c>
      <c r="BS104" s="220"/>
      <c r="BT104" s="235" t="s">
        <v>39</v>
      </c>
      <c r="BU104" s="230" t="s">
        <v>446</v>
      </c>
      <c r="BV104" s="230"/>
      <c r="BW104" s="231"/>
    </row>
    <row r="105" s="209" customFormat="1" ht="24" customHeight="1" spans="1:75">
      <c r="A105" s="219">
        <v>132</v>
      </c>
      <c r="B105" s="220" t="s">
        <v>487</v>
      </c>
      <c r="C105" s="221" t="s">
        <v>443</v>
      </c>
      <c r="D105" s="221" t="s">
        <v>444</v>
      </c>
      <c r="E105" s="242" t="s">
        <v>445</v>
      </c>
      <c r="F105" s="221" t="s">
        <v>53</v>
      </c>
      <c r="G105" s="243" t="s">
        <v>1460</v>
      </c>
      <c r="H105" s="222" t="s">
        <v>60</v>
      </c>
      <c r="I105" s="232" t="s">
        <v>448</v>
      </c>
      <c r="J105" s="233" t="s">
        <v>449</v>
      </c>
      <c r="K105" s="223" cm="1">
        <f t="array" ref="K105">_xlfn.XLOOKUP(D105&amp;E105&amp;H105&amp;I105&amp;J105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5" s="223"/>
      <c r="M105" s="224"/>
      <c r="N105" s="284">
        <v>1246.63</v>
      </c>
      <c r="O105" s="226">
        <v>280000</v>
      </c>
      <c r="P105" s="247">
        <v>0.09</v>
      </c>
      <c r="Q105" s="228">
        <f t="shared" si="45"/>
        <v>0</v>
      </c>
      <c r="R105" s="228">
        <f t="shared" ref="R105:R111" si="80">Q105</f>
        <v>0</v>
      </c>
      <c r="S105" s="228">
        <f t="shared" si="54"/>
        <v>0</v>
      </c>
      <c r="T105" s="235">
        <v>0</v>
      </c>
      <c r="U105" s="228">
        <f t="shared" si="46"/>
        <v>0</v>
      </c>
      <c r="V105" s="228"/>
      <c r="W105" s="228">
        <f t="shared" si="55"/>
        <v>0</v>
      </c>
      <c r="X105" s="235">
        <v>0</v>
      </c>
      <c r="Y105" s="228">
        <f t="shared" si="70"/>
        <v>0</v>
      </c>
      <c r="Z105" s="227"/>
      <c r="AA105" s="228">
        <f t="shared" si="56"/>
        <v>0</v>
      </c>
      <c r="AB105" s="227" t="s">
        <v>1492</v>
      </c>
      <c r="AC105" s="228"/>
      <c r="AD105" s="227"/>
      <c r="AE105" s="228">
        <f t="shared" si="71"/>
        <v>0</v>
      </c>
      <c r="AF105" s="277">
        <v>0.02</v>
      </c>
      <c r="AG105" s="228">
        <f t="shared" si="48"/>
        <v>0</v>
      </c>
      <c r="AH105" s="228">
        <f t="shared" ref="AH105:AH111" si="81">AG105</f>
        <v>0</v>
      </c>
      <c r="AI105" s="228">
        <f t="shared" si="57"/>
        <v>0</v>
      </c>
      <c r="AJ105" s="247">
        <v>0</v>
      </c>
      <c r="AK105" s="228">
        <f t="shared" si="74"/>
        <v>0</v>
      </c>
      <c r="AL105" s="228"/>
      <c r="AM105" s="228">
        <f t="shared" si="58"/>
        <v>0</v>
      </c>
      <c r="AN105" s="235">
        <v>0</v>
      </c>
      <c r="AO105" s="228">
        <f t="shared" si="75"/>
        <v>0</v>
      </c>
      <c r="AP105" s="228"/>
      <c r="AQ105" s="228">
        <f t="shared" si="59"/>
        <v>0</v>
      </c>
      <c r="AR105" s="247" t="s">
        <v>1457</v>
      </c>
      <c r="AS105" s="228">
        <f t="shared" ref="AS105:AS110" si="82">AT105</f>
        <v>0</v>
      </c>
      <c r="AT105" s="227"/>
      <c r="AU105" s="228">
        <f t="shared" si="60"/>
        <v>0</v>
      </c>
      <c r="AV105" s="285">
        <v>0</v>
      </c>
      <c r="AW105" s="228">
        <f t="shared" si="69"/>
        <v>0</v>
      </c>
      <c r="AX105" s="228"/>
      <c r="AY105" s="228">
        <f t="shared" si="61"/>
        <v>0</v>
      </c>
      <c r="AZ105" s="235" t="s">
        <v>1493</v>
      </c>
      <c r="BA105" s="228">
        <f t="shared" ref="BA105:BA119" si="83">BB105</f>
        <v>0</v>
      </c>
      <c r="BB105" s="228"/>
      <c r="BC105" s="228">
        <f t="shared" si="62"/>
        <v>0</v>
      </c>
      <c r="BD105" s="235">
        <v>0</v>
      </c>
      <c r="BE105" s="228">
        <f t="shared" si="52"/>
        <v>0</v>
      </c>
      <c r="BF105" s="235"/>
      <c r="BG105" s="228">
        <f t="shared" si="63"/>
        <v>0</v>
      </c>
      <c r="BH105" s="235">
        <v>0</v>
      </c>
      <c r="BI105" s="228">
        <f t="shared" si="79"/>
        <v>0</v>
      </c>
      <c r="BJ105" s="235"/>
      <c r="BK105" s="228">
        <f t="shared" si="64"/>
        <v>0</v>
      </c>
      <c r="BL105" s="235" t="s">
        <v>1457</v>
      </c>
      <c r="BM105" s="220">
        <f t="shared" ref="BM105:BM118" si="84">BN105</f>
        <v>0</v>
      </c>
      <c r="BN105" s="220"/>
      <c r="BO105" s="220">
        <f t="shared" si="65"/>
        <v>0</v>
      </c>
      <c r="BP105" s="220">
        <f t="shared" si="66"/>
        <v>1246.63</v>
      </c>
      <c r="BQ105" s="220">
        <f t="shared" si="67"/>
        <v>1246.63</v>
      </c>
      <c r="BR105" s="220">
        <f t="shared" si="73"/>
        <v>0</v>
      </c>
      <c r="BS105" s="247" t="s">
        <v>39</v>
      </c>
      <c r="BT105" s="228" t="s">
        <v>39</v>
      </c>
      <c r="BU105" s="230" t="s">
        <v>450</v>
      </c>
      <c r="BV105" s="230" t="s">
        <v>451</v>
      </c>
      <c r="BW105" s="231"/>
    </row>
    <row r="106" s="209" customFormat="1" ht="24" customHeight="1" spans="1:75">
      <c r="A106" s="219">
        <v>133</v>
      </c>
      <c r="B106" s="220" t="s">
        <v>491</v>
      </c>
      <c r="C106" s="221" t="s">
        <v>443</v>
      </c>
      <c r="D106" s="221" t="s">
        <v>444</v>
      </c>
      <c r="E106" s="242" t="s">
        <v>445</v>
      </c>
      <c r="F106" s="221" t="s">
        <v>53</v>
      </c>
      <c r="G106" s="243" t="s">
        <v>1460</v>
      </c>
      <c r="H106" s="222" t="s">
        <v>66</v>
      </c>
      <c r="I106" s="232" t="s">
        <v>453</v>
      </c>
      <c r="J106" s="233" t="s">
        <v>454</v>
      </c>
      <c r="K106" s="223" cm="1">
        <f t="array" ref="K106">_xlfn.XLOOKUP(D106&amp;E106&amp;H106&amp;I106&amp;J106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6" s="223"/>
      <c r="M106" s="224"/>
      <c r="N106" s="284">
        <v>3520.89</v>
      </c>
      <c r="O106" s="226">
        <v>560000</v>
      </c>
      <c r="P106" s="247">
        <v>0.1</v>
      </c>
      <c r="Q106" s="228">
        <f t="shared" si="45"/>
        <v>0</v>
      </c>
      <c r="R106" s="228">
        <f t="shared" si="80"/>
        <v>0</v>
      </c>
      <c r="S106" s="228">
        <f t="shared" si="54"/>
        <v>0</v>
      </c>
      <c r="T106" s="235">
        <v>0</v>
      </c>
      <c r="U106" s="228">
        <f t="shared" si="46"/>
        <v>0</v>
      </c>
      <c r="V106" s="228"/>
      <c r="W106" s="228">
        <f t="shared" si="55"/>
        <v>0</v>
      </c>
      <c r="X106" s="235">
        <v>0</v>
      </c>
      <c r="Y106" s="228">
        <f t="shared" si="70"/>
        <v>0</v>
      </c>
      <c r="Z106" s="227"/>
      <c r="AA106" s="228">
        <f t="shared" si="56"/>
        <v>0</v>
      </c>
      <c r="AB106" s="227" t="s">
        <v>1494</v>
      </c>
      <c r="AC106" s="228"/>
      <c r="AD106" s="227"/>
      <c r="AE106" s="228">
        <f t="shared" si="71"/>
        <v>0</v>
      </c>
      <c r="AF106" s="277">
        <v>0.02</v>
      </c>
      <c r="AG106" s="228">
        <f t="shared" si="48"/>
        <v>0</v>
      </c>
      <c r="AH106" s="228">
        <f t="shared" si="81"/>
        <v>0</v>
      </c>
      <c r="AI106" s="228">
        <f t="shared" si="57"/>
        <v>0</v>
      </c>
      <c r="AJ106" s="247">
        <v>0</v>
      </c>
      <c r="AK106" s="228">
        <f t="shared" si="74"/>
        <v>0</v>
      </c>
      <c r="AL106" s="228"/>
      <c r="AM106" s="228">
        <f t="shared" si="58"/>
        <v>0</v>
      </c>
      <c r="AN106" s="235">
        <v>0</v>
      </c>
      <c r="AO106" s="228">
        <f t="shared" si="75"/>
        <v>0</v>
      </c>
      <c r="AP106" s="228"/>
      <c r="AQ106" s="228">
        <f t="shared" si="59"/>
        <v>0</v>
      </c>
      <c r="AR106" s="247" t="s">
        <v>1457</v>
      </c>
      <c r="AS106" s="228">
        <f t="shared" si="82"/>
        <v>0</v>
      </c>
      <c r="AT106" s="227"/>
      <c r="AU106" s="228">
        <f t="shared" si="60"/>
        <v>0</v>
      </c>
      <c r="AV106" s="285">
        <v>0</v>
      </c>
      <c r="AW106" s="228">
        <f t="shared" si="69"/>
        <v>0</v>
      </c>
      <c r="AX106" s="228"/>
      <c r="AY106" s="228">
        <f t="shared" si="61"/>
        <v>0</v>
      </c>
      <c r="AZ106" s="235" t="s">
        <v>1493</v>
      </c>
      <c r="BA106" s="228">
        <f t="shared" si="83"/>
        <v>0</v>
      </c>
      <c r="BB106" s="228"/>
      <c r="BC106" s="228">
        <f t="shared" si="62"/>
        <v>0</v>
      </c>
      <c r="BD106" s="235">
        <v>0</v>
      </c>
      <c r="BE106" s="228">
        <f t="shared" si="52"/>
        <v>0</v>
      </c>
      <c r="BF106" s="235"/>
      <c r="BG106" s="228">
        <f t="shared" si="63"/>
        <v>0</v>
      </c>
      <c r="BH106" s="235">
        <v>0</v>
      </c>
      <c r="BI106" s="228">
        <f t="shared" si="79"/>
        <v>0</v>
      </c>
      <c r="BJ106" s="235"/>
      <c r="BK106" s="228">
        <f t="shared" si="64"/>
        <v>0</v>
      </c>
      <c r="BL106" s="235" t="s">
        <v>1457</v>
      </c>
      <c r="BM106" s="220">
        <f t="shared" si="84"/>
        <v>0</v>
      </c>
      <c r="BN106" s="220"/>
      <c r="BO106" s="220">
        <f t="shared" si="65"/>
        <v>0</v>
      </c>
      <c r="BP106" s="220">
        <f t="shared" si="66"/>
        <v>3520.89</v>
      </c>
      <c r="BQ106" s="220">
        <f t="shared" si="67"/>
        <v>3520.89</v>
      </c>
      <c r="BR106" s="220">
        <f t="shared" si="73"/>
        <v>0</v>
      </c>
      <c r="BS106" s="247" t="s">
        <v>39</v>
      </c>
      <c r="BT106" s="228" t="s">
        <v>39</v>
      </c>
      <c r="BU106" s="230" t="s">
        <v>450</v>
      </c>
      <c r="BV106" s="230" t="s">
        <v>451</v>
      </c>
      <c r="BW106" s="231"/>
    </row>
    <row r="107" s="209" customFormat="1" ht="24" customHeight="1" spans="1:75">
      <c r="A107" s="219">
        <v>134</v>
      </c>
      <c r="B107" s="220" t="s">
        <v>495</v>
      </c>
      <c r="C107" s="221" t="s">
        <v>443</v>
      </c>
      <c r="D107" s="221" t="s">
        <v>444</v>
      </c>
      <c r="E107" s="242" t="s">
        <v>445</v>
      </c>
      <c r="F107" s="221" t="s">
        <v>53</v>
      </c>
      <c r="G107" s="243" t="s">
        <v>1460</v>
      </c>
      <c r="H107" s="222" t="s">
        <v>70</v>
      </c>
      <c r="I107" s="232" t="s">
        <v>456</v>
      </c>
      <c r="J107" s="233" t="s">
        <v>457</v>
      </c>
      <c r="K107" s="223" cm="1">
        <f t="array" ref="K107">_xlfn.XLOOKUP(D107&amp;E107&amp;H107&amp;I107&amp;J107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7" s="223"/>
      <c r="M107" s="224"/>
      <c r="N107" s="284">
        <v>1246.63</v>
      </c>
      <c r="O107" s="226">
        <v>420000</v>
      </c>
      <c r="P107" s="247">
        <v>0.1</v>
      </c>
      <c r="Q107" s="228">
        <f t="shared" si="45"/>
        <v>0</v>
      </c>
      <c r="R107" s="228">
        <f t="shared" si="80"/>
        <v>0</v>
      </c>
      <c r="S107" s="228">
        <f t="shared" si="54"/>
        <v>0</v>
      </c>
      <c r="T107" s="235">
        <v>0</v>
      </c>
      <c r="U107" s="228">
        <f t="shared" si="46"/>
        <v>0</v>
      </c>
      <c r="V107" s="228"/>
      <c r="W107" s="228">
        <f t="shared" si="55"/>
        <v>0</v>
      </c>
      <c r="X107" s="235">
        <v>0</v>
      </c>
      <c r="Y107" s="228">
        <f t="shared" si="70"/>
        <v>0</v>
      </c>
      <c r="Z107" s="227"/>
      <c r="AA107" s="228">
        <f t="shared" si="56"/>
        <v>0</v>
      </c>
      <c r="AB107" s="227" t="s">
        <v>1495</v>
      </c>
      <c r="AC107" s="228"/>
      <c r="AD107" s="227"/>
      <c r="AE107" s="228">
        <f t="shared" si="71"/>
        <v>0</v>
      </c>
      <c r="AF107" s="277">
        <v>0.02</v>
      </c>
      <c r="AG107" s="228">
        <f t="shared" si="48"/>
        <v>0</v>
      </c>
      <c r="AH107" s="228">
        <f t="shared" si="81"/>
        <v>0</v>
      </c>
      <c r="AI107" s="228">
        <f t="shared" si="57"/>
        <v>0</v>
      </c>
      <c r="AJ107" s="247">
        <v>0</v>
      </c>
      <c r="AK107" s="228">
        <f t="shared" si="74"/>
        <v>0</v>
      </c>
      <c r="AL107" s="228"/>
      <c r="AM107" s="228">
        <f t="shared" si="58"/>
        <v>0</v>
      </c>
      <c r="AN107" s="235">
        <v>0</v>
      </c>
      <c r="AO107" s="228">
        <f t="shared" si="75"/>
        <v>0</v>
      </c>
      <c r="AP107" s="228"/>
      <c r="AQ107" s="228">
        <f t="shared" si="59"/>
        <v>0</v>
      </c>
      <c r="AR107" s="247" t="s">
        <v>1457</v>
      </c>
      <c r="AS107" s="228">
        <f t="shared" si="82"/>
        <v>0</v>
      </c>
      <c r="AT107" s="227"/>
      <c r="AU107" s="228">
        <f t="shared" si="60"/>
        <v>0</v>
      </c>
      <c r="AV107" s="285">
        <v>0</v>
      </c>
      <c r="AW107" s="228">
        <f t="shared" si="69"/>
        <v>0</v>
      </c>
      <c r="AX107" s="228"/>
      <c r="AY107" s="228">
        <f t="shared" si="61"/>
        <v>0</v>
      </c>
      <c r="AZ107" s="235" t="s">
        <v>1493</v>
      </c>
      <c r="BA107" s="228">
        <f t="shared" si="83"/>
        <v>0</v>
      </c>
      <c r="BB107" s="228"/>
      <c r="BC107" s="228">
        <f t="shared" si="62"/>
        <v>0</v>
      </c>
      <c r="BD107" s="235">
        <v>0</v>
      </c>
      <c r="BE107" s="228">
        <f t="shared" si="52"/>
        <v>0</v>
      </c>
      <c r="BF107" s="235"/>
      <c r="BG107" s="228">
        <f t="shared" si="63"/>
        <v>0</v>
      </c>
      <c r="BH107" s="235">
        <v>0</v>
      </c>
      <c r="BI107" s="228">
        <f t="shared" si="79"/>
        <v>0</v>
      </c>
      <c r="BJ107" s="235"/>
      <c r="BK107" s="228">
        <f t="shared" si="64"/>
        <v>0</v>
      </c>
      <c r="BL107" s="235" t="s">
        <v>1457</v>
      </c>
      <c r="BM107" s="220">
        <f t="shared" si="84"/>
        <v>0</v>
      </c>
      <c r="BN107" s="220"/>
      <c r="BO107" s="220">
        <f t="shared" si="65"/>
        <v>0</v>
      </c>
      <c r="BP107" s="220">
        <f t="shared" si="66"/>
        <v>1246.63</v>
      </c>
      <c r="BQ107" s="220">
        <f t="shared" si="67"/>
        <v>1246.63</v>
      </c>
      <c r="BR107" s="220">
        <f t="shared" si="73"/>
        <v>0</v>
      </c>
      <c r="BS107" s="247" t="s">
        <v>39</v>
      </c>
      <c r="BT107" s="228" t="s">
        <v>39</v>
      </c>
      <c r="BU107" s="230" t="s">
        <v>450</v>
      </c>
      <c r="BV107" s="230" t="s">
        <v>451</v>
      </c>
      <c r="BW107" s="231"/>
    </row>
    <row r="108" s="209" customFormat="1" ht="24" customHeight="1" spans="1:75">
      <c r="A108" s="219">
        <v>135</v>
      </c>
      <c r="B108" s="220" t="s">
        <v>498</v>
      </c>
      <c r="C108" s="221" t="s">
        <v>443</v>
      </c>
      <c r="D108" s="221" t="s">
        <v>444</v>
      </c>
      <c r="E108" s="242" t="s">
        <v>445</v>
      </c>
      <c r="F108" s="221" t="s">
        <v>53</v>
      </c>
      <c r="G108" s="243" t="s">
        <v>1460</v>
      </c>
      <c r="H108" s="222" t="s">
        <v>74</v>
      </c>
      <c r="I108" s="232" t="s">
        <v>459</v>
      </c>
      <c r="J108" s="233" t="s">
        <v>460</v>
      </c>
      <c r="K108" s="223" cm="1">
        <f t="array" ref="K108">_xlfn.XLOOKUP(D108&amp;E108&amp;H108&amp;I108&amp;J108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8" s="223"/>
      <c r="M108" s="224"/>
      <c r="N108" s="284">
        <v>2448.26</v>
      </c>
      <c r="O108" s="226">
        <v>210000</v>
      </c>
      <c r="P108" s="247">
        <v>0.1</v>
      </c>
      <c r="Q108" s="228">
        <f t="shared" si="45"/>
        <v>0</v>
      </c>
      <c r="R108" s="228">
        <f t="shared" si="80"/>
        <v>0</v>
      </c>
      <c r="S108" s="228">
        <f t="shared" si="54"/>
        <v>0</v>
      </c>
      <c r="T108" s="235">
        <v>0</v>
      </c>
      <c r="U108" s="228">
        <f t="shared" si="46"/>
        <v>0</v>
      </c>
      <c r="V108" s="228"/>
      <c r="W108" s="228">
        <f t="shared" si="55"/>
        <v>0</v>
      </c>
      <c r="X108" s="235">
        <v>0</v>
      </c>
      <c r="Y108" s="228">
        <f t="shared" si="70"/>
        <v>0</v>
      </c>
      <c r="Z108" s="227"/>
      <c r="AA108" s="228">
        <f t="shared" si="56"/>
        <v>0</v>
      </c>
      <c r="AB108" s="227" t="s">
        <v>1496</v>
      </c>
      <c r="AC108" s="228"/>
      <c r="AD108" s="227"/>
      <c r="AE108" s="228">
        <f t="shared" si="71"/>
        <v>0</v>
      </c>
      <c r="AF108" s="277">
        <v>0.02</v>
      </c>
      <c r="AG108" s="228">
        <f t="shared" si="48"/>
        <v>0</v>
      </c>
      <c r="AH108" s="228">
        <f t="shared" si="81"/>
        <v>0</v>
      </c>
      <c r="AI108" s="228">
        <f t="shared" si="57"/>
        <v>0</v>
      </c>
      <c r="AJ108" s="247">
        <v>0</v>
      </c>
      <c r="AK108" s="228">
        <f t="shared" si="74"/>
        <v>0</v>
      </c>
      <c r="AL108" s="228"/>
      <c r="AM108" s="228">
        <f t="shared" si="58"/>
        <v>0</v>
      </c>
      <c r="AN108" s="235">
        <v>0</v>
      </c>
      <c r="AO108" s="228">
        <f t="shared" si="75"/>
        <v>0</v>
      </c>
      <c r="AP108" s="228"/>
      <c r="AQ108" s="228">
        <f t="shared" si="59"/>
        <v>0</v>
      </c>
      <c r="AR108" s="247" t="s">
        <v>1457</v>
      </c>
      <c r="AS108" s="228">
        <f t="shared" si="82"/>
        <v>0</v>
      </c>
      <c r="AT108" s="227"/>
      <c r="AU108" s="228">
        <f t="shared" si="60"/>
        <v>0</v>
      </c>
      <c r="AV108" s="285">
        <v>0</v>
      </c>
      <c r="AW108" s="228">
        <f t="shared" si="69"/>
        <v>0</v>
      </c>
      <c r="AX108" s="228"/>
      <c r="AY108" s="228">
        <f t="shared" si="61"/>
        <v>0</v>
      </c>
      <c r="AZ108" s="235" t="s">
        <v>1493</v>
      </c>
      <c r="BA108" s="228">
        <f t="shared" si="83"/>
        <v>0</v>
      </c>
      <c r="BB108" s="228"/>
      <c r="BC108" s="228">
        <f t="shared" si="62"/>
        <v>0</v>
      </c>
      <c r="BD108" s="235">
        <v>0</v>
      </c>
      <c r="BE108" s="228">
        <f t="shared" si="52"/>
        <v>0</v>
      </c>
      <c r="BF108" s="235"/>
      <c r="BG108" s="228">
        <f t="shared" si="63"/>
        <v>0</v>
      </c>
      <c r="BH108" s="235">
        <v>0</v>
      </c>
      <c r="BI108" s="228">
        <f t="shared" si="79"/>
        <v>0</v>
      </c>
      <c r="BJ108" s="235"/>
      <c r="BK108" s="228">
        <f t="shared" si="64"/>
        <v>0</v>
      </c>
      <c r="BL108" s="235" t="s">
        <v>1457</v>
      </c>
      <c r="BM108" s="220">
        <f t="shared" si="84"/>
        <v>0</v>
      </c>
      <c r="BN108" s="220"/>
      <c r="BO108" s="220">
        <f t="shared" si="65"/>
        <v>0</v>
      </c>
      <c r="BP108" s="220">
        <f t="shared" si="66"/>
        <v>2448.26</v>
      </c>
      <c r="BQ108" s="220">
        <f t="shared" si="67"/>
        <v>2448.26</v>
      </c>
      <c r="BR108" s="220">
        <f t="shared" si="73"/>
        <v>0</v>
      </c>
      <c r="BS108" s="247" t="s">
        <v>39</v>
      </c>
      <c r="BT108" s="228" t="s">
        <v>39</v>
      </c>
      <c r="BU108" s="230" t="s">
        <v>450</v>
      </c>
      <c r="BV108" s="230" t="s">
        <v>451</v>
      </c>
      <c r="BW108" s="231"/>
    </row>
    <row r="109" s="209" customFormat="1" ht="24" customHeight="1" spans="1:75">
      <c r="A109" s="219">
        <v>136</v>
      </c>
      <c r="B109" s="220" t="s">
        <v>500</v>
      </c>
      <c r="C109" s="221" t="s">
        <v>443</v>
      </c>
      <c r="D109" s="221" t="s">
        <v>444</v>
      </c>
      <c r="E109" s="242" t="s">
        <v>445</v>
      </c>
      <c r="F109" s="221" t="s">
        <v>53</v>
      </c>
      <c r="G109" s="243" t="s">
        <v>1460</v>
      </c>
      <c r="H109" s="222" t="s">
        <v>265</v>
      </c>
      <c r="I109" s="232" t="s">
        <v>316</v>
      </c>
      <c r="J109" s="233" t="s">
        <v>462</v>
      </c>
      <c r="K109" s="223" cm="1">
        <f t="array" ref="K109">_xlfn.XLOOKUP(D109&amp;E109&amp;H109&amp;I109&amp;J109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9" s="223"/>
      <c r="M109" s="224"/>
      <c r="N109" s="284">
        <v>2347.26</v>
      </c>
      <c r="O109" s="226">
        <v>490000</v>
      </c>
      <c r="P109" s="247">
        <v>0.1</v>
      </c>
      <c r="Q109" s="228">
        <f t="shared" si="45"/>
        <v>0</v>
      </c>
      <c r="R109" s="228">
        <f t="shared" si="80"/>
        <v>0</v>
      </c>
      <c r="S109" s="228">
        <f t="shared" si="54"/>
        <v>0</v>
      </c>
      <c r="T109" s="235">
        <v>0</v>
      </c>
      <c r="U109" s="228">
        <f t="shared" si="46"/>
        <v>0</v>
      </c>
      <c r="V109" s="228"/>
      <c r="W109" s="228">
        <f t="shared" si="55"/>
        <v>0</v>
      </c>
      <c r="X109" s="235">
        <v>0</v>
      </c>
      <c r="Y109" s="228">
        <f t="shared" si="70"/>
        <v>0</v>
      </c>
      <c r="Z109" s="227"/>
      <c r="AA109" s="228">
        <f t="shared" si="56"/>
        <v>0</v>
      </c>
      <c r="AB109" s="227" t="s">
        <v>1497</v>
      </c>
      <c r="AC109" s="228"/>
      <c r="AD109" s="227"/>
      <c r="AE109" s="228">
        <f t="shared" si="71"/>
        <v>0</v>
      </c>
      <c r="AF109" s="277">
        <v>0.02</v>
      </c>
      <c r="AG109" s="228">
        <f t="shared" si="48"/>
        <v>0</v>
      </c>
      <c r="AH109" s="228">
        <f t="shared" si="81"/>
        <v>0</v>
      </c>
      <c r="AI109" s="228">
        <f t="shared" si="57"/>
        <v>0</v>
      </c>
      <c r="AJ109" s="247">
        <v>0</v>
      </c>
      <c r="AK109" s="228">
        <f t="shared" si="74"/>
        <v>0</v>
      </c>
      <c r="AL109" s="228"/>
      <c r="AM109" s="228">
        <f t="shared" si="58"/>
        <v>0</v>
      </c>
      <c r="AN109" s="235">
        <v>0</v>
      </c>
      <c r="AO109" s="228">
        <f t="shared" si="75"/>
        <v>0</v>
      </c>
      <c r="AP109" s="228"/>
      <c r="AQ109" s="228">
        <f t="shared" si="59"/>
        <v>0</v>
      </c>
      <c r="AR109" s="247" t="s">
        <v>1457</v>
      </c>
      <c r="AS109" s="228">
        <f t="shared" si="82"/>
        <v>0</v>
      </c>
      <c r="AT109" s="227"/>
      <c r="AU109" s="228">
        <f t="shared" si="60"/>
        <v>0</v>
      </c>
      <c r="AV109" s="285">
        <v>0</v>
      </c>
      <c r="AW109" s="228">
        <f t="shared" si="69"/>
        <v>0</v>
      </c>
      <c r="AX109" s="228"/>
      <c r="AY109" s="228">
        <f t="shared" si="61"/>
        <v>0</v>
      </c>
      <c r="AZ109" s="235" t="s">
        <v>1493</v>
      </c>
      <c r="BA109" s="228">
        <f t="shared" si="83"/>
        <v>0</v>
      </c>
      <c r="BB109" s="228"/>
      <c r="BC109" s="228">
        <f t="shared" si="62"/>
        <v>0</v>
      </c>
      <c r="BD109" s="235">
        <v>0</v>
      </c>
      <c r="BE109" s="228">
        <f t="shared" si="52"/>
        <v>0</v>
      </c>
      <c r="BF109" s="235"/>
      <c r="BG109" s="228">
        <f t="shared" si="63"/>
        <v>0</v>
      </c>
      <c r="BH109" s="235">
        <v>0</v>
      </c>
      <c r="BI109" s="228">
        <f t="shared" si="79"/>
        <v>0</v>
      </c>
      <c r="BJ109" s="235"/>
      <c r="BK109" s="228">
        <f t="shared" si="64"/>
        <v>0</v>
      </c>
      <c r="BL109" s="235" t="s">
        <v>1457</v>
      </c>
      <c r="BM109" s="220">
        <f t="shared" si="84"/>
        <v>0</v>
      </c>
      <c r="BN109" s="220"/>
      <c r="BO109" s="220">
        <f t="shared" si="65"/>
        <v>0</v>
      </c>
      <c r="BP109" s="220">
        <f t="shared" si="66"/>
        <v>2347.26</v>
      </c>
      <c r="BQ109" s="220">
        <f t="shared" si="67"/>
        <v>2347.26</v>
      </c>
      <c r="BR109" s="220">
        <f t="shared" si="73"/>
        <v>0</v>
      </c>
      <c r="BS109" s="247" t="s">
        <v>39</v>
      </c>
      <c r="BT109" s="228" t="s">
        <v>39</v>
      </c>
      <c r="BU109" s="230" t="s">
        <v>450</v>
      </c>
      <c r="BV109" s="230" t="s">
        <v>451</v>
      </c>
      <c r="BW109" s="231"/>
    </row>
    <row r="110" s="209" customFormat="1" ht="24" customHeight="1" spans="1:75">
      <c r="A110" s="219">
        <v>137</v>
      </c>
      <c r="B110" s="220" t="s">
        <v>503</v>
      </c>
      <c r="C110" s="221" t="s">
        <v>443</v>
      </c>
      <c r="D110" s="221" t="s">
        <v>444</v>
      </c>
      <c r="E110" s="242" t="s">
        <v>445</v>
      </c>
      <c r="F110" s="221" t="s">
        <v>53</v>
      </c>
      <c r="G110" s="243" t="s">
        <v>1460</v>
      </c>
      <c r="H110" s="222" t="s">
        <v>86</v>
      </c>
      <c r="I110" s="232" t="s">
        <v>464</v>
      </c>
      <c r="J110" s="233" t="s">
        <v>465</v>
      </c>
      <c r="K110" s="223" cm="1">
        <f t="array" ref="K110">_xlfn.XLOOKUP(D110&amp;E110&amp;H110&amp;I110&amp;J110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0" s="223"/>
      <c r="M110" s="224"/>
      <c r="N110" s="284">
        <v>2347.26</v>
      </c>
      <c r="O110" s="226">
        <v>560000</v>
      </c>
      <c r="P110" s="247">
        <v>0.09</v>
      </c>
      <c r="Q110" s="228">
        <f t="shared" ref="Q110:Q137" si="85">K110*P110</f>
        <v>0</v>
      </c>
      <c r="R110" s="228">
        <f t="shared" si="80"/>
        <v>0</v>
      </c>
      <c r="S110" s="228">
        <f t="shared" si="54"/>
        <v>0</v>
      </c>
      <c r="T110" s="235">
        <v>0</v>
      </c>
      <c r="U110" s="228">
        <f t="shared" ref="U110:U135" si="86">K110*T110</f>
        <v>0</v>
      </c>
      <c r="V110" s="228"/>
      <c r="W110" s="228">
        <f t="shared" si="55"/>
        <v>0</v>
      </c>
      <c r="X110" s="235">
        <v>0</v>
      </c>
      <c r="Y110" s="228">
        <f t="shared" si="70"/>
        <v>0</v>
      </c>
      <c r="Z110" s="227"/>
      <c r="AA110" s="228">
        <f t="shared" si="56"/>
        <v>0</v>
      </c>
      <c r="AB110" s="227" t="s">
        <v>1498</v>
      </c>
      <c r="AC110" s="228"/>
      <c r="AD110" s="227"/>
      <c r="AE110" s="228">
        <f t="shared" si="71"/>
        <v>0</v>
      </c>
      <c r="AF110" s="277">
        <v>0.02</v>
      </c>
      <c r="AG110" s="228">
        <f t="shared" ref="AG110:AG135" si="87">K110*AF110</f>
        <v>0</v>
      </c>
      <c r="AH110" s="228">
        <f t="shared" si="81"/>
        <v>0</v>
      </c>
      <c r="AI110" s="228">
        <f t="shared" si="57"/>
        <v>0</v>
      </c>
      <c r="AJ110" s="247">
        <v>0</v>
      </c>
      <c r="AK110" s="228">
        <f t="shared" si="74"/>
        <v>0</v>
      </c>
      <c r="AL110" s="228"/>
      <c r="AM110" s="228">
        <f t="shared" si="58"/>
        <v>0</v>
      </c>
      <c r="AN110" s="235">
        <v>0</v>
      </c>
      <c r="AO110" s="228">
        <f t="shared" si="75"/>
        <v>0</v>
      </c>
      <c r="AP110" s="228"/>
      <c r="AQ110" s="228">
        <f t="shared" si="59"/>
        <v>0</v>
      </c>
      <c r="AR110" s="247" t="s">
        <v>1457</v>
      </c>
      <c r="AS110" s="228">
        <f t="shared" si="82"/>
        <v>0</v>
      </c>
      <c r="AT110" s="227"/>
      <c r="AU110" s="228">
        <f t="shared" si="60"/>
        <v>0</v>
      </c>
      <c r="AV110" s="285">
        <v>0</v>
      </c>
      <c r="AW110" s="228">
        <f t="shared" si="69"/>
        <v>0</v>
      </c>
      <c r="AX110" s="228"/>
      <c r="AY110" s="228">
        <f t="shared" si="61"/>
        <v>0</v>
      </c>
      <c r="AZ110" s="235" t="s">
        <v>1493</v>
      </c>
      <c r="BA110" s="228">
        <f t="shared" si="83"/>
        <v>0</v>
      </c>
      <c r="BB110" s="228"/>
      <c r="BC110" s="228">
        <f t="shared" si="62"/>
        <v>0</v>
      </c>
      <c r="BD110" s="235">
        <v>0</v>
      </c>
      <c r="BE110" s="228">
        <f t="shared" si="52"/>
        <v>0</v>
      </c>
      <c r="BF110" s="235"/>
      <c r="BG110" s="228">
        <f t="shared" si="63"/>
        <v>0</v>
      </c>
      <c r="BH110" s="235">
        <v>0</v>
      </c>
      <c r="BI110" s="228">
        <f t="shared" si="79"/>
        <v>0</v>
      </c>
      <c r="BJ110" s="235"/>
      <c r="BK110" s="228">
        <f t="shared" si="64"/>
        <v>0</v>
      </c>
      <c r="BL110" s="235" t="s">
        <v>1457</v>
      </c>
      <c r="BM110" s="220">
        <f t="shared" si="84"/>
        <v>0</v>
      </c>
      <c r="BN110" s="220"/>
      <c r="BO110" s="220">
        <f t="shared" si="65"/>
        <v>0</v>
      </c>
      <c r="BP110" s="220">
        <f t="shared" si="66"/>
        <v>2347.26</v>
      </c>
      <c r="BQ110" s="220">
        <f t="shared" si="67"/>
        <v>2347.26</v>
      </c>
      <c r="BR110" s="220">
        <f t="shared" si="73"/>
        <v>0</v>
      </c>
      <c r="BS110" s="247" t="s">
        <v>39</v>
      </c>
      <c r="BT110" s="228" t="s">
        <v>39</v>
      </c>
      <c r="BU110" s="230" t="s">
        <v>450</v>
      </c>
      <c r="BV110" s="230" t="s">
        <v>451</v>
      </c>
      <c r="BW110" s="231"/>
    </row>
    <row r="111" s="209" customFormat="1" ht="24" customHeight="1" spans="1:75">
      <c r="A111" s="219">
        <v>138</v>
      </c>
      <c r="B111" s="220" t="s">
        <v>508</v>
      </c>
      <c r="C111" s="221" t="s">
        <v>443</v>
      </c>
      <c r="D111" s="221" t="s">
        <v>444</v>
      </c>
      <c r="E111" s="242" t="s">
        <v>445</v>
      </c>
      <c r="F111" s="221" t="s">
        <v>53</v>
      </c>
      <c r="G111" s="243" t="s">
        <v>1460</v>
      </c>
      <c r="H111" s="222" t="s">
        <v>272</v>
      </c>
      <c r="I111" s="232" t="s">
        <v>186</v>
      </c>
      <c r="J111" s="233" t="s">
        <v>467</v>
      </c>
      <c r="K111" s="223" cm="1">
        <f t="array" ref="K111">_xlfn.XLOOKUP(D111&amp;E111&amp;H111&amp;I111&amp;J111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1" s="223"/>
      <c r="M111" s="224"/>
      <c r="N111" s="284">
        <v>1246.63</v>
      </c>
      <c r="O111" s="226">
        <v>210000</v>
      </c>
      <c r="P111" s="247">
        <v>0.09</v>
      </c>
      <c r="Q111" s="228">
        <f t="shared" si="85"/>
        <v>0</v>
      </c>
      <c r="R111" s="228">
        <f t="shared" si="80"/>
        <v>0</v>
      </c>
      <c r="S111" s="228">
        <f t="shared" si="54"/>
        <v>0</v>
      </c>
      <c r="T111" s="235">
        <v>0</v>
      </c>
      <c r="U111" s="228">
        <f t="shared" si="86"/>
        <v>0</v>
      </c>
      <c r="V111" s="228"/>
      <c r="W111" s="228">
        <f t="shared" si="55"/>
        <v>0</v>
      </c>
      <c r="X111" s="235">
        <v>0</v>
      </c>
      <c r="Y111" s="228">
        <f t="shared" si="70"/>
        <v>0</v>
      </c>
      <c r="Z111" s="227"/>
      <c r="AA111" s="228">
        <f t="shared" si="56"/>
        <v>0</v>
      </c>
      <c r="AB111" s="227" t="s">
        <v>1499</v>
      </c>
      <c r="AC111" s="228"/>
      <c r="AD111" s="227"/>
      <c r="AE111" s="228">
        <f t="shared" si="71"/>
        <v>0</v>
      </c>
      <c r="AF111" s="277">
        <v>0.02</v>
      </c>
      <c r="AG111" s="228">
        <f t="shared" si="87"/>
        <v>0</v>
      </c>
      <c r="AH111" s="228">
        <f t="shared" si="81"/>
        <v>0</v>
      </c>
      <c r="AI111" s="228">
        <f t="shared" si="57"/>
        <v>0</v>
      </c>
      <c r="AJ111" s="247">
        <v>0</v>
      </c>
      <c r="AK111" s="228">
        <f t="shared" si="74"/>
        <v>0</v>
      </c>
      <c r="AL111" s="228"/>
      <c r="AM111" s="228">
        <f t="shared" si="58"/>
        <v>0</v>
      </c>
      <c r="AN111" s="235">
        <v>0</v>
      </c>
      <c r="AO111" s="228">
        <f t="shared" si="75"/>
        <v>0</v>
      </c>
      <c r="AP111" s="228"/>
      <c r="AQ111" s="228">
        <f t="shared" si="59"/>
        <v>0</v>
      </c>
      <c r="AR111" s="247" t="s">
        <v>1457</v>
      </c>
      <c r="AS111" s="228"/>
      <c r="AT111" s="227"/>
      <c r="AU111" s="228">
        <f t="shared" si="60"/>
        <v>0</v>
      </c>
      <c r="AV111" s="285">
        <v>0</v>
      </c>
      <c r="AW111" s="228">
        <f t="shared" si="69"/>
        <v>0</v>
      </c>
      <c r="AX111" s="228"/>
      <c r="AY111" s="228">
        <f t="shared" si="61"/>
        <v>0</v>
      </c>
      <c r="AZ111" s="235" t="s">
        <v>1493</v>
      </c>
      <c r="BA111" s="228"/>
      <c r="BB111" s="228"/>
      <c r="BC111" s="228">
        <f t="shared" si="62"/>
        <v>0</v>
      </c>
      <c r="BD111" s="235">
        <v>0</v>
      </c>
      <c r="BE111" s="228">
        <f t="shared" si="52"/>
        <v>0</v>
      </c>
      <c r="BF111" s="235"/>
      <c r="BG111" s="228">
        <f t="shared" si="63"/>
        <v>0</v>
      </c>
      <c r="BH111" s="235">
        <v>0</v>
      </c>
      <c r="BI111" s="228">
        <f t="shared" si="79"/>
        <v>0</v>
      </c>
      <c r="BJ111" s="235"/>
      <c r="BK111" s="228">
        <f t="shared" si="64"/>
        <v>0</v>
      </c>
      <c r="BL111" s="235" t="s">
        <v>1457</v>
      </c>
      <c r="BM111" s="220">
        <f t="shared" si="84"/>
        <v>0</v>
      </c>
      <c r="BN111" s="220"/>
      <c r="BO111" s="220">
        <f t="shared" si="65"/>
        <v>0</v>
      </c>
      <c r="BP111" s="220">
        <f t="shared" si="66"/>
        <v>1246.63</v>
      </c>
      <c r="BQ111" s="220">
        <f t="shared" si="67"/>
        <v>1246.63</v>
      </c>
      <c r="BR111" s="220">
        <f t="shared" si="73"/>
        <v>0</v>
      </c>
      <c r="BS111" s="247" t="s">
        <v>39</v>
      </c>
      <c r="BT111" s="228" t="s">
        <v>39</v>
      </c>
      <c r="BU111" s="230" t="s">
        <v>450</v>
      </c>
      <c r="BV111" s="230" t="s">
        <v>451</v>
      </c>
      <c r="BW111" s="231"/>
    </row>
    <row r="112" s="209" customFormat="1" ht="36" customHeight="1" spans="1:75">
      <c r="A112" s="219">
        <v>140</v>
      </c>
      <c r="B112" s="220" t="s">
        <v>517</v>
      </c>
      <c r="C112" s="221" t="s">
        <v>443</v>
      </c>
      <c r="D112" s="221" t="s">
        <v>469</v>
      </c>
      <c r="E112" s="242" t="s">
        <v>470</v>
      </c>
      <c r="F112" s="219" t="s">
        <v>81</v>
      </c>
      <c r="G112" s="243" t="s">
        <v>1460</v>
      </c>
      <c r="H112" s="222" t="s">
        <v>60</v>
      </c>
      <c r="I112" s="232" t="s">
        <v>473</v>
      </c>
      <c r="J112" s="233" t="s">
        <v>474</v>
      </c>
      <c r="K112" s="223" cm="1">
        <f t="array" ref="K112">_xlfn.XLOOKUP(D112&amp;E112&amp;H112&amp;I112&amp;J112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2" s="223"/>
      <c r="M112" s="224"/>
      <c r="N112" s="225"/>
      <c r="O112" s="226">
        <v>0</v>
      </c>
      <c r="P112" s="247">
        <v>0.035</v>
      </c>
      <c r="Q112" s="276">
        <f t="shared" si="85"/>
        <v>0</v>
      </c>
      <c r="R112" s="259">
        <v>2983.8</v>
      </c>
      <c r="S112" s="228">
        <f t="shared" si="54"/>
        <v>-2983.8</v>
      </c>
      <c r="T112" s="235">
        <v>0</v>
      </c>
      <c r="U112" s="228">
        <f t="shared" si="86"/>
        <v>0</v>
      </c>
      <c r="V112" s="228"/>
      <c r="W112" s="228">
        <f t="shared" si="55"/>
        <v>0</v>
      </c>
      <c r="X112" s="235">
        <v>0</v>
      </c>
      <c r="Y112" s="228">
        <f t="shared" si="70"/>
        <v>0</v>
      </c>
      <c r="Z112" s="228"/>
      <c r="AA112" s="228">
        <f t="shared" si="56"/>
        <v>0</v>
      </c>
      <c r="AB112" s="247">
        <v>0</v>
      </c>
      <c r="AC112" s="228">
        <f t="shared" ref="AC112:AC135" si="88">K112*AB112</f>
        <v>0</v>
      </c>
      <c r="AD112" s="228"/>
      <c r="AE112" s="228">
        <f t="shared" si="71"/>
        <v>0</v>
      </c>
      <c r="AF112" s="247">
        <v>0</v>
      </c>
      <c r="AG112" s="228">
        <f t="shared" si="87"/>
        <v>0</v>
      </c>
      <c r="AH112" s="228"/>
      <c r="AI112" s="228">
        <f t="shared" si="57"/>
        <v>0</v>
      </c>
      <c r="AJ112" s="247">
        <v>0</v>
      </c>
      <c r="AK112" s="228">
        <f t="shared" si="74"/>
        <v>0</v>
      </c>
      <c r="AL112" s="228"/>
      <c r="AM112" s="228">
        <f t="shared" si="58"/>
        <v>0</v>
      </c>
      <c r="AN112" s="235">
        <v>0</v>
      </c>
      <c r="AO112" s="228">
        <f t="shared" si="75"/>
        <v>0</v>
      </c>
      <c r="AP112" s="228"/>
      <c r="AQ112" s="228">
        <f t="shared" si="59"/>
        <v>0</v>
      </c>
      <c r="AR112" s="247">
        <v>0.035</v>
      </c>
      <c r="AS112" s="228">
        <f t="shared" ref="AS112:AS120" si="89">K112*AR112</f>
        <v>0</v>
      </c>
      <c r="AT112" s="286">
        <v>2983.8025</v>
      </c>
      <c r="AU112" s="228">
        <f t="shared" si="60"/>
        <v>-2983.8025</v>
      </c>
      <c r="AV112" s="247">
        <v>0.06</v>
      </c>
      <c r="AW112" s="228">
        <f t="shared" si="69"/>
        <v>0</v>
      </c>
      <c r="AX112" s="287">
        <v>5115.09</v>
      </c>
      <c r="AY112" s="228">
        <f t="shared" si="61"/>
        <v>-5115.09</v>
      </c>
      <c r="AZ112" s="240" t="s">
        <v>1457</v>
      </c>
      <c r="BA112" s="228">
        <f t="shared" si="83"/>
        <v>0</v>
      </c>
      <c r="BB112" s="228"/>
      <c r="BC112" s="228">
        <f t="shared" si="62"/>
        <v>0</v>
      </c>
      <c r="BD112" s="235" t="s">
        <v>1500</v>
      </c>
      <c r="BE112" s="228">
        <f t="shared" ref="BE112:BE117" si="90">BF112</f>
        <v>0</v>
      </c>
      <c r="BF112" s="228"/>
      <c r="BG112" s="228">
        <f t="shared" si="63"/>
        <v>0</v>
      </c>
      <c r="BH112" s="235">
        <v>0</v>
      </c>
      <c r="BI112" s="228">
        <f t="shared" si="79"/>
        <v>0</v>
      </c>
      <c r="BJ112" s="228"/>
      <c r="BK112" s="228">
        <f t="shared" si="64"/>
        <v>0</v>
      </c>
      <c r="BL112" s="235" t="s">
        <v>1457</v>
      </c>
      <c r="BM112" s="288">
        <v>4117</v>
      </c>
      <c r="BN112" s="288">
        <v>4117</v>
      </c>
      <c r="BO112" s="220">
        <f t="shared" si="65"/>
        <v>0</v>
      </c>
      <c r="BP112" s="220">
        <f t="shared" si="66"/>
        <v>4117</v>
      </c>
      <c r="BQ112" s="220">
        <f t="shared" si="67"/>
        <v>15199.6925</v>
      </c>
      <c r="BR112" s="220">
        <f t="shared" si="73"/>
        <v>-11082.6925</v>
      </c>
      <c r="BS112" s="247" t="s">
        <v>39</v>
      </c>
      <c r="BT112" s="228" t="s">
        <v>39</v>
      </c>
      <c r="BU112" s="230" t="s">
        <v>475</v>
      </c>
      <c r="BV112" s="230" t="s">
        <v>288</v>
      </c>
      <c r="BW112" s="231"/>
    </row>
    <row r="113" s="209" customFormat="1" ht="48" customHeight="1" spans="1:75">
      <c r="A113" s="219">
        <v>141</v>
      </c>
      <c r="B113" s="220" t="s">
        <v>521</v>
      </c>
      <c r="C113" s="221" t="s">
        <v>443</v>
      </c>
      <c r="D113" s="221" t="s">
        <v>469</v>
      </c>
      <c r="E113" s="242" t="s">
        <v>470</v>
      </c>
      <c r="F113" s="219" t="s">
        <v>81</v>
      </c>
      <c r="G113" s="243" t="s">
        <v>1460</v>
      </c>
      <c r="H113" s="222" t="s">
        <v>66</v>
      </c>
      <c r="I113" s="232" t="s">
        <v>478</v>
      </c>
      <c r="J113" s="233" t="s">
        <v>479</v>
      </c>
      <c r="K113" s="223" cm="1">
        <f t="array" ref="K113">_xlfn.XLOOKUP(D113&amp;E113&amp;H113&amp;I113&amp;J113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3" s="223"/>
      <c r="M113" s="224"/>
      <c r="N113" s="225"/>
      <c r="O113" s="226">
        <v>0</v>
      </c>
      <c r="P113" s="247">
        <v>0.025</v>
      </c>
      <c r="Q113" s="276">
        <f t="shared" si="85"/>
        <v>0</v>
      </c>
      <c r="R113" s="259">
        <v>278.58</v>
      </c>
      <c r="S113" s="228">
        <f t="shared" si="54"/>
        <v>-278.58</v>
      </c>
      <c r="T113" s="235">
        <v>0</v>
      </c>
      <c r="U113" s="228">
        <f t="shared" si="86"/>
        <v>0</v>
      </c>
      <c r="V113" s="228"/>
      <c r="W113" s="228">
        <f t="shared" si="55"/>
        <v>0</v>
      </c>
      <c r="X113" s="235">
        <v>0</v>
      </c>
      <c r="Y113" s="228">
        <f t="shared" si="70"/>
        <v>0</v>
      </c>
      <c r="Z113" s="228"/>
      <c r="AA113" s="228">
        <f t="shared" si="56"/>
        <v>0</v>
      </c>
      <c r="AB113" s="247">
        <v>0</v>
      </c>
      <c r="AC113" s="228">
        <f t="shared" si="88"/>
        <v>0</v>
      </c>
      <c r="AD113" s="228"/>
      <c r="AE113" s="228">
        <f t="shared" si="71"/>
        <v>0</v>
      </c>
      <c r="AF113" s="247">
        <v>0</v>
      </c>
      <c r="AG113" s="228">
        <f t="shared" si="87"/>
        <v>0</v>
      </c>
      <c r="AH113" s="228"/>
      <c r="AI113" s="228">
        <f t="shared" si="57"/>
        <v>0</v>
      </c>
      <c r="AJ113" s="247">
        <v>0</v>
      </c>
      <c r="AK113" s="228">
        <f t="shared" si="74"/>
        <v>0</v>
      </c>
      <c r="AL113" s="228"/>
      <c r="AM113" s="228">
        <f t="shared" si="58"/>
        <v>0</v>
      </c>
      <c r="AN113" s="235">
        <v>0</v>
      </c>
      <c r="AO113" s="228">
        <f t="shared" si="75"/>
        <v>0</v>
      </c>
      <c r="AP113" s="228"/>
      <c r="AQ113" s="228">
        <f t="shared" si="59"/>
        <v>0</v>
      </c>
      <c r="AR113" s="247">
        <v>0.035</v>
      </c>
      <c r="AS113" s="228">
        <f t="shared" si="89"/>
        <v>0</v>
      </c>
      <c r="AT113" s="286">
        <v>390.005</v>
      </c>
      <c r="AU113" s="228">
        <f t="shared" si="60"/>
        <v>-390.005</v>
      </c>
      <c r="AV113" s="247">
        <v>0.07</v>
      </c>
      <c r="AW113" s="228">
        <f t="shared" si="69"/>
        <v>0</v>
      </c>
      <c r="AX113" s="287">
        <v>780.01</v>
      </c>
      <c r="AY113" s="228">
        <f t="shared" si="61"/>
        <v>-780.01</v>
      </c>
      <c r="AZ113" s="240" t="s">
        <v>1457</v>
      </c>
      <c r="BA113" s="228">
        <f t="shared" si="83"/>
        <v>0</v>
      </c>
      <c r="BB113" s="228"/>
      <c r="BC113" s="228">
        <f t="shared" si="62"/>
        <v>0</v>
      </c>
      <c r="BD113" s="235" t="s">
        <v>1501</v>
      </c>
      <c r="BE113" s="228">
        <f t="shared" si="90"/>
        <v>0</v>
      </c>
      <c r="BF113" s="228"/>
      <c r="BG113" s="228">
        <f t="shared" si="63"/>
        <v>0</v>
      </c>
      <c r="BH113" s="235">
        <v>0</v>
      </c>
      <c r="BI113" s="228">
        <f t="shared" si="79"/>
        <v>0</v>
      </c>
      <c r="BJ113" s="228"/>
      <c r="BK113" s="228">
        <f t="shared" si="64"/>
        <v>0</v>
      </c>
      <c r="BL113" s="235" t="s">
        <v>1457</v>
      </c>
      <c r="BM113" s="288">
        <v>472</v>
      </c>
      <c r="BN113" s="288">
        <v>472</v>
      </c>
      <c r="BO113" s="220">
        <f t="shared" si="65"/>
        <v>0</v>
      </c>
      <c r="BP113" s="220">
        <f t="shared" si="66"/>
        <v>472</v>
      </c>
      <c r="BQ113" s="220">
        <f t="shared" si="67"/>
        <v>1920.595</v>
      </c>
      <c r="BR113" s="220">
        <f t="shared" si="73"/>
        <v>-1448.595</v>
      </c>
      <c r="BS113" s="247" t="s">
        <v>39</v>
      </c>
      <c r="BT113" s="228" t="s">
        <v>39</v>
      </c>
      <c r="BU113" s="230" t="s">
        <v>475</v>
      </c>
      <c r="BV113" s="230" t="s">
        <v>288</v>
      </c>
      <c r="BW113" s="231"/>
    </row>
    <row r="114" s="209" customFormat="1" ht="48" customHeight="1" spans="1:75">
      <c r="A114" s="219">
        <v>142</v>
      </c>
      <c r="B114" s="220" t="s">
        <v>524</v>
      </c>
      <c r="C114" s="221" t="s">
        <v>443</v>
      </c>
      <c r="D114" s="221" t="s">
        <v>469</v>
      </c>
      <c r="E114" s="242" t="s">
        <v>470</v>
      </c>
      <c r="F114" s="219" t="s">
        <v>81</v>
      </c>
      <c r="G114" s="243" t="s">
        <v>1460</v>
      </c>
      <c r="H114" s="222" t="s">
        <v>70</v>
      </c>
      <c r="I114" s="237" t="s">
        <v>481</v>
      </c>
      <c r="J114" s="233" t="s">
        <v>482</v>
      </c>
      <c r="K114" s="223" cm="1">
        <f t="array" ref="K114">_xlfn.XLOOKUP(D114&amp;E114&amp;H114&amp;I114&amp;J114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4" s="223"/>
      <c r="M114" s="224"/>
      <c r="N114" s="225"/>
      <c r="O114" s="226">
        <v>0</v>
      </c>
      <c r="P114" s="247">
        <v>0.025</v>
      </c>
      <c r="Q114" s="276">
        <f t="shared" si="85"/>
        <v>0</v>
      </c>
      <c r="R114" s="259">
        <v>190.37</v>
      </c>
      <c r="S114" s="228">
        <f t="shared" si="54"/>
        <v>-190.37</v>
      </c>
      <c r="T114" s="235">
        <v>0</v>
      </c>
      <c r="U114" s="228">
        <f t="shared" si="86"/>
        <v>0</v>
      </c>
      <c r="V114" s="228"/>
      <c r="W114" s="228">
        <f t="shared" si="55"/>
        <v>0</v>
      </c>
      <c r="X114" s="235">
        <v>0</v>
      </c>
      <c r="Y114" s="228">
        <f t="shared" si="70"/>
        <v>0</v>
      </c>
      <c r="Z114" s="228"/>
      <c r="AA114" s="228">
        <f t="shared" si="56"/>
        <v>0</v>
      </c>
      <c r="AB114" s="247">
        <v>0</v>
      </c>
      <c r="AC114" s="228">
        <f t="shared" si="88"/>
        <v>0</v>
      </c>
      <c r="AD114" s="228"/>
      <c r="AE114" s="228">
        <f t="shared" si="71"/>
        <v>0</v>
      </c>
      <c r="AF114" s="247">
        <v>0</v>
      </c>
      <c r="AG114" s="228">
        <f t="shared" si="87"/>
        <v>0</v>
      </c>
      <c r="AH114" s="228"/>
      <c r="AI114" s="228">
        <f t="shared" si="57"/>
        <v>0</v>
      </c>
      <c r="AJ114" s="247">
        <v>0</v>
      </c>
      <c r="AK114" s="228">
        <f t="shared" si="74"/>
        <v>0</v>
      </c>
      <c r="AL114" s="228"/>
      <c r="AM114" s="228">
        <f t="shared" si="58"/>
        <v>0</v>
      </c>
      <c r="AN114" s="235">
        <v>0</v>
      </c>
      <c r="AO114" s="228">
        <f t="shared" si="75"/>
        <v>0</v>
      </c>
      <c r="AP114" s="228"/>
      <c r="AQ114" s="228">
        <f t="shared" si="59"/>
        <v>0</v>
      </c>
      <c r="AR114" s="247">
        <v>0.035</v>
      </c>
      <c r="AS114" s="228">
        <f t="shared" si="89"/>
        <v>0</v>
      </c>
      <c r="AT114" s="286">
        <v>266.511</v>
      </c>
      <c r="AU114" s="228">
        <f t="shared" si="60"/>
        <v>-266.511</v>
      </c>
      <c r="AV114" s="247">
        <v>0.07</v>
      </c>
      <c r="AW114" s="228">
        <f t="shared" si="69"/>
        <v>0</v>
      </c>
      <c r="AX114" s="287">
        <v>533.022</v>
      </c>
      <c r="AY114" s="228">
        <f t="shared" si="61"/>
        <v>-533.022</v>
      </c>
      <c r="AZ114" s="240" t="s">
        <v>1457</v>
      </c>
      <c r="BA114" s="228">
        <f t="shared" si="83"/>
        <v>0</v>
      </c>
      <c r="BB114" s="228"/>
      <c r="BC114" s="228">
        <f t="shared" si="62"/>
        <v>0</v>
      </c>
      <c r="BD114" s="235" t="s">
        <v>1502</v>
      </c>
      <c r="BE114" s="228">
        <f t="shared" si="90"/>
        <v>0</v>
      </c>
      <c r="BF114" s="228"/>
      <c r="BG114" s="228">
        <f t="shared" si="63"/>
        <v>0</v>
      </c>
      <c r="BH114" s="235">
        <v>0</v>
      </c>
      <c r="BI114" s="228">
        <f t="shared" si="79"/>
        <v>0</v>
      </c>
      <c r="BJ114" s="228"/>
      <c r="BK114" s="228">
        <f t="shared" si="64"/>
        <v>0</v>
      </c>
      <c r="BL114" s="235" t="s">
        <v>1457</v>
      </c>
      <c r="BM114" s="288">
        <v>0</v>
      </c>
      <c r="BN114" s="288">
        <v>0</v>
      </c>
      <c r="BO114" s="220">
        <f t="shared" si="65"/>
        <v>0</v>
      </c>
      <c r="BP114" s="220">
        <f t="shared" si="66"/>
        <v>0</v>
      </c>
      <c r="BQ114" s="220">
        <f t="shared" si="67"/>
        <v>989.903</v>
      </c>
      <c r="BR114" s="220">
        <f t="shared" si="73"/>
        <v>-989.903</v>
      </c>
      <c r="BS114" s="247" t="s">
        <v>39</v>
      </c>
      <c r="BT114" s="228" t="s">
        <v>39</v>
      </c>
      <c r="BU114" s="230" t="s">
        <v>483</v>
      </c>
      <c r="BV114" s="230" t="s">
        <v>288</v>
      </c>
      <c r="BW114" s="231"/>
    </row>
    <row r="115" s="209" customFormat="1" ht="48" customHeight="1" spans="1:75">
      <c r="A115" s="219">
        <v>143</v>
      </c>
      <c r="B115" s="220" t="s">
        <v>526</v>
      </c>
      <c r="C115" s="221" t="s">
        <v>443</v>
      </c>
      <c r="D115" s="221" t="s">
        <v>469</v>
      </c>
      <c r="E115" s="242" t="s">
        <v>470</v>
      </c>
      <c r="F115" s="219" t="s">
        <v>81</v>
      </c>
      <c r="G115" s="243" t="s">
        <v>1460</v>
      </c>
      <c r="H115" s="222" t="s">
        <v>74</v>
      </c>
      <c r="I115" s="237" t="s">
        <v>485</v>
      </c>
      <c r="J115" s="233" t="s">
        <v>486</v>
      </c>
      <c r="K115" s="223" cm="1">
        <f t="array" ref="K115">_xlfn.XLOOKUP(D115&amp;E115&amp;H115&amp;I115&amp;J115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5" s="223"/>
      <c r="M115" s="224"/>
      <c r="N115" s="225"/>
      <c r="O115" s="226">
        <v>0</v>
      </c>
      <c r="P115" s="247">
        <v>0.025</v>
      </c>
      <c r="Q115" s="276">
        <f t="shared" si="85"/>
        <v>0</v>
      </c>
      <c r="R115" s="259">
        <v>762.08</v>
      </c>
      <c r="S115" s="228">
        <f t="shared" si="54"/>
        <v>-762.08</v>
      </c>
      <c r="T115" s="235">
        <v>0</v>
      </c>
      <c r="U115" s="228">
        <f t="shared" si="86"/>
        <v>0</v>
      </c>
      <c r="V115" s="228"/>
      <c r="W115" s="228">
        <f t="shared" si="55"/>
        <v>0</v>
      </c>
      <c r="X115" s="235">
        <v>0</v>
      </c>
      <c r="Y115" s="228">
        <f t="shared" si="70"/>
        <v>0</v>
      </c>
      <c r="Z115" s="228"/>
      <c r="AA115" s="228">
        <f t="shared" si="56"/>
        <v>0</v>
      </c>
      <c r="AB115" s="247">
        <v>0</v>
      </c>
      <c r="AC115" s="228">
        <f t="shared" si="88"/>
        <v>0</v>
      </c>
      <c r="AD115" s="228"/>
      <c r="AE115" s="228">
        <f t="shared" si="71"/>
        <v>0</v>
      </c>
      <c r="AF115" s="247">
        <v>0</v>
      </c>
      <c r="AG115" s="228">
        <f t="shared" si="87"/>
        <v>0</v>
      </c>
      <c r="AH115" s="228"/>
      <c r="AI115" s="228">
        <f t="shared" si="57"/>
        <v>0</v>
      </c>
      <c r="AJ115" s="247">
        <v>0</v>
      </c>
      <c r="AK115" s="228">
        <f t="shared" si="74"/>
        <v>0</v>
      </c>
      <c r="AL115" s="228"/>
      <c r="AM115" s="228">
        <f t="shared" si="58"/>
        <v>0</v>
      </c>
      <c r="AN115" s="235">
        <v>0</v>
      </c>
      <c r="AO115" s="228">
        <f t="shared" si="75"/>
        <v>0</v>
      </c>
      <c r="AP115" s="228"/>
      <c r="AQ115" s="228">
        <f t="shared" si="59"/>
        <v>0</v>
      </c>
      <c r="AR115" s="247">
        <v>0.035</v>
      </c>
      <c r="AS115" s="228">
        <f t="shared" si="89"/>
        <v>0</v>
      </c>
      <c r="AT115" s="286">
        <v>1066.905</v>
      </c>
      <c r="AU115" s="228">
        <f t="shared" si="60"/>
        <v>-1066.905</v>
      </c>
      <c r="AV115" s="247">
        <v>0.07</v>
      </c>
      <c r="AW115" s="228">
        <f t="shared" si="69"/>
        <v>0</v>
      </c>
      <c r="AX115" s="287">
        <v>2133.81</v>
      </c>
      <c r="AY115" s="228">
        <f t="shared" si="61"/>
        <v>-2133.81</v>
      </c>
      <c r="AZ115" s="240" t="s">
        <v>1457</v>
      </c>
      <c r="BA115" s="228">
        <f t="shared" si="83"/>
        <v>0</v>
      </c>
      <c r="BB115" s="228"/>
      <c r="BC115" s="228">
        <f t="shared" si="62"/>
        <v>0</v>
      </c>
      <c r="BD115" s="235" t="s">
        <v>1501</v>
      </c>
      <c r="BE115" s="228">
        <f t="shared" si="90"/>
        <v>0</v>
      </c>
      <c r="BF115" s="228"/>
      <c r="BG115" s="228">
        <f t="shared" si="63"/>
        <v>0</v>
      </c>
      <c r="BH115" s="235">
        <v>0</v>
      </c>
      <c r="BI115" s="228">
        <f t="shared" si="79"/>
        <v>0</v>
      </c>
      <c r="BJ115" s="228"/>
      <c r="BK115" s="228">
        <f t="shared" si="64"/>
        <v>0</v>
      </c>
      <c r="BL115" s="235" t="s">
        <v>1457</v>
      </c>
      <c r="BM115" s="288">
        <v>147</v>
      </c>
      <c r="BN115" s="288">
        <v>147</v>
      </c>
      <c r="BO115" s="220">
        <f t="shared" si="65"/>
        <v>0</v>
      </c>
      <c r="BP115" s="220">
        <f t="shared" si="66"/>
        <v>147</v>
      </c>
      <c r="BQ115" s="220">
        <f t="shared" si="67"/>
        <v>4109.795</v>
      </c>
      <c r="BR115" s="220">
        <f t="shared" si="73"/>
        <v>-3962.795</v>
      </c>
      <c r="BS115" s="247" t="s">
        <v>39</v>
      </c>
      <c r="BT115" s="228" t="s">
        <v>39</v>
      </c>
      <c r="BU115" s="230" t="s">
        <v>475</v>
      </c>
      <c r="BV115" s="230" t="s">
        <v>288</v>
      </c>
      <c r="BW115" s="231"/>
    </row>
    <row r="116" s="209" customFormat="1" ht="48" customHeight="1" spans="1:75">
      <c r="A116" s="219">
        <v>144</v>
      </c>
      <c r="B116" s="220" t="s">
        <v>529</v>
      </c>
      <c r="C116" s="221" t="s">
        <v>443</v>
      </c>
      <c r="D116" s="221" t="s">
        <v>469</v>
      </c>
      <c r="E116" s="242" t="s">
        <v>470</v>
      </c>
      <c r="F116" s="219" t="s">
        <v>81</v>
      </c>
      <c r="G116" s="243" t="s">
        <v>1460</v>
      </c>
      <c r="H116" s="222" t="s">
        <v>265</v>
      </c>
      <c r="I116" s="237" t="s">
        <v>488</v>
      </c>
      <c r="J116" s="233" t="s">
        <v>489</v>
      </c>
      <c r="K116" s="223" cm="1">
        <f t="array" ref="K116">_xlfn.XLOOKUP(D116&amp;E116&amp;H116&amp;I116&amp;J116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6" s="223"/>
      <c r="M116" s="224"/>
      <c r="N116" s="225"/>
      <c r="O116" s="226">
        <v>0</v>
      </c>
      <c r="P116" s="247">
        <v>0</v>
      </c>
      <c r="Q116" s="276">
        <f t="shared" si="85"/>
        <v>0</v>
      </c>
      <c r="R116" s="228">
        <v>0</v>
      </c>
      <c r="S116" s="228">
        <v>0</v>
      </c>
      <c r="T116" s="247">
        <v>0</v>
      </c>
      <c r="U116" s="228">
        <f t="shared" si="86"/>
        <v>0</v>
      </c>
      <c r="V116" s="228"/>
      <c r="W116" s="228">
        <f t="shared" si="55"/>
        <v>0</v>
      </c>
      <c r="X116" s="235">
        <v>0</v>
      </c>
      <c r="Y116" s="228">
        <f t="shared" si="70"/>
        <v>0</v>
      </c>
      <c r="Z116" s="228"/>
      <c r="AA116" s="228">
        <f t="shared" si="56"/>
        <v>0</v>
      </c>
      <c r="AB116" s="247">
        <v>0</v>
      </c>
      <c r="AC116" s="228">
        <f t="shared" si="88"/>
        <v>0</v>
      </c>
      <c r="AD116" s="228"/>
      <c r="AE116" s="228">
        <f t="shared" si="71"/>
        <v>0</v>
      </c>
      <c r="AF116" s="247">
        <v>0</v>
      </c>
      <c r="AG116" s="228">
        <f t="shared" si="87"/>
        <v>0</v>
      </c>
      <c r="AH116" s="228"/>
      <c r="AI116" s="228">
        <f t="shared" si="57"/>
        <v>0</v>
      </c>
      <c r="AJ116" s="247">
        <v>0</v>
      </c>
      <c r="AK116" s="228">
        <f t="shared" si="74"/>
        <v>0</v>
      </c>
      <c r="AL116" s="228"/>
      <c r="AM116" s="228">
        <f t="shared" si="58"/>
        <v>0</v>
      </c>
      <c r="AN116" s="247">
        <v>0</v>
      </c>
      <c r="AO116" s="228">
        <f t="shared" si="75"/>
        <v>0</v>
      </c>
      <c r="AP116" s="228"/>
      <c r="AQ116" s="228">
        <f t="shared" si="59"/>
        <v>0</v>
      </c>
      <c r="AR116" s="247">
        <v>0.035</v>
      </c>
      <c r="AS116" s="228">
        <f t="shared" si="89"/>
        <v>0</v>
      </c>
      <c r="AT116" s="286">
        <v>586.6105</v>
      </c>
      <c r="AU116" s="228">
        <f t="shared" si="60"/>
        <v>-586.6105</v>
      </c>
      <c r="AV116" s="247">
        <v>0.065</v>
      </c>
      <c r="AW116" s="228">
        <f t="shared" si="69"/>
        <v>0</v>
      </c>
      <c r="AX116" s="287">
        <v>1089.4195</v>
      </c>
      <c r="AY116" s="228">
        <f t="shared" si="61"/>
        <v>-1089.4195</v>
      </c>
      <c r="AZ116" s="240" t="s">
        <v>1457</v>
      </c>
      <c r="BA116" s="228">
        <f t="shared" si="83"/>
        <v>0</v>
      </c>
      <c r="BB116" s="228"/>
      <c r="BC116" s="228">
        <f t="shared" si="62"/>
        <v>0</v>
      </c>
      <c r="BD116" s="235" t="s">
        <v>1501</v>
      </c>
      <c r="BE116" s="228">
        <f t="shared" si="90"/>
        <v>0</v>
      </c>
      <c r="BF116" s="228"/>
      <c r="BG116" s="228">
        <f t="shared" si="63"/>
        <v>0</v>
      </c>
      <c r="BH116" s="235">
        <v>0</v>
      </c>
      <c r="BI116" s="228">
        <f t="shared" si="79"/>
        <v>0</v>
      </c>
      <c r="BJ116" s="228"/>
      <c r="BK116" s="228">
        <f t="shared" si="64"/>
        <v>0</v>
      </c>
      <c r="BL116" s="235" t="s">
        <v>1457</v>
      </c>
      <c r="BM116" s="288">
        <v>0</v>
      </c>
      <c r="BN116" s="288">
        <v>0</v>
      </c>
      <c r="BO116" s="220">
        <f t="shared" si="65"/>
        <v>0</v>
      </c>
      <c r="BP116" s="220">
        <f t="shared" si="66"/>
        <v>0</v>
      </c>
      <c r="BQ116" s="220">
        <f t="shared" si="67"/>
        <v>1676.03</v>
      </c>
      <c r="BR116" s="220">
        <f t="shared" si="73"/>
        <v>-1676.03</v>
      </c>
      <c r="BS116" s="247" t="s">
        <v>39</v>
      </c>
      <c r="BT116" s="228" t="s">
        <v>39</v>
      </c>
      <c r="BU116" s="230" t="s">
        <v>490</v>
      </c>
      <c r="BV116" s="230" t="s">
        <v>288</v>
      </c>
      <c r="BW116" s="231"/>
    </row>
    <row r="117" s="209" customFormat="1" ht="48" customHeight="1" spans="1:75">
      <c r="A117" s="219">
        <v>145</v>
      </c>
      <c r="B117" s="220" t="s">
        <v>532</v>
      </c>
      <c r="C117" s="221" t="s">
        <v>443</v>
      </c>
      <c r="D117" s="221" t="s">
        <v>469</v>
      </c>
      <c r="E117" s="242" t="s">
        <v>470</v>
      </c>
      <c r="F117" s="219" t="s">
        <v>81</v>
      </c>
      <c r="G117" s="243" t="s">
        <v>1460</v>
      </c>
      <c r="H117" s="222" t="s">
        <v>86</v>
      </c>
      <c r="I117" s="237" t="s">
        <v>492</v>
      </c>
      <c r="J117" s="233" t="s">
        <v>493</v>
      </c>
      <c r="K117" s="223" cm="1">
        <f t="array" ref="K117">_xlfn.XLOOKUP(D117&amp;E117&amp;H117&amp;I117&amp;J117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7" s="223"/>
      <c r="M117" s="224"/>
      <c r="N117" s="225"/>
      <c r="O117" s="226">
        <v>0</v>
      </c>
      <c r="P117" s="247">
        <v>0.025</v>
      </c>
      <c r="Q117" s="276">
        <f t="shared" si="85"/>
        <v>0</v>
      </c>
      <c r="R117" s="259">
        <v>224.22</v>
      </c>
      <c r="S117" s="228">
        <f t="shared" si="54"/>
        <v>-224.22</v>
      </c>
      <c r="T117" s="235">
        <v>0</v>
      </c>
      <c r="U117" s="228">
        <f t="shared" si="86"/>
        <v>0</v>
      </c>
      <c r="V117" s="228"/>
      <c r="W117" s="228">
        <f t="shared" si="55"/>
        <v>0</v>
      </c>
      <c r="X117" s="235">
        <v>0</v>
      </c>
      <c r="Y117" s="228">
        <f t="shared" si="70"/>
        <v>0</v>
      </c>
      <c r="Z117" s="228"/>
      <c r="AA117" s="228">
        <f t="shared" si="56"/>
        <v>0</v>
      </c>
      <c r="AB117" s="247">
        <v>0</v>
      </c>
      <c r="AC117" s="228">
        <f t="shared" si="88"/>
        <v>0</v>
      </c>
      <c r="AD117" s="228"/>
      <c r="AE117" s="228">
        <f t="shared" si="71"/>
        <v>0</v>
      </c>
      <c r="AF117" s="247">
        <v>0</v>
      </c>
      <c r="AG117" s="228">
        <f t="shared" si="87"/>
        <v>0</v>
      </c>
      <c r="AH117" s="228"/>
      <c r="AI117" s="228">
        <f t="shared" si="57"/>
        <v>0</v>
      </c>
      <c r="AJ117" s="247">
        <v>0</v>
      </c>
      <c r="AK117" s="228">
        <f t="shared" si="74"/>
        <v>0</v>
      </c>
      <c r="AL117" s="228"/>
      <c r="AM117" s="228">
        <f t="shared" si="58"/>
        <v>0</v>
      </c>
      <c r="AN117" s="235">
        <v>0</v>
      </c>
      <c r="AO117" s="228">
        <f t="shared" si="75"/>
        <v>0</v>
      </c>
      <c r="AP117" s="228"/>
      <c r="AQ117" s="228">
        <f t="shared" si="59"/>
        <v>0</v>
      </c>
      <c r="AR117" s="247">
        <v>0.035</v>
      </c>
      <c r="AS117" s="228">
        <f t="shared" si="89"/>
        <v>0</v>
      </c>
      <c r="AT117" s="286">
        <v>313.91045</v>
      </c>
      <c r="AU117" s="228">
        <f t="shared" si="60"/>
        <v>-313.91045</v>
      </c>
      <c r="AV117" s="247">
        <v>0.07</v>
      </c>
      <c r="AW117" s="228">
        <f t="shared" si="69"/>
        <v>0</v>
      </c>
      <c r="AX117" s="287">
        <v>627.8209</v>
      </c>
      <c r="AY117" s="228">
        <f t="shared" si="61"/>
        <v>-627.8209</v>
      </c>
      <c r="AZ117" s="240" t="s">
        <v>1457</v>
      </c>
      <c r="BA117" s="228">
        <f t="shared" si="83"/>
        <v>0</v>
      </c>
      <c r="BB117" s="228"/>
      <c r="BC117" s="228">
        <f t="shared" si="62"/>
        <v>0</v>
      </c>
      <c r="BD117" s="235" t="s">
        <v>1503</v>
      </c>
      <c r="BE117" s="228">
        <f t="shared" si="90"/>
        <v>0</v>
      </c>
      <c r="BF117" s="228"/>
      <c r="BG117" s="228">
        <f t="shared" si="63"/>
        <v>0</v>
      </c>
      <c r="BH117" s="235">
        <v>0</v>
      </c>
      <c r="BI117" s="228">
        <f t="shared" si="79"/>
        <v>0</v>
      </c>
      <c r="BJ117" s="228"/>
      <c r="BK117" s="228">
        <f t="shared" si="64"/>
        <v>0</v>
      </c>
      <c r="BL117" s="235" t="s">
        <v>1457</v>
      </c>
      <c r="BM117" s="288">
        <v>1443.78</v>
      </c>
      <c r="BN117" s="288">
        <v>1443.78</v>
      </c>
      <c r="BO117" s="220">
        <f t="shared" si="65"/>
        <v>0</v>
      </c>
      <c r="BP117" s="220">
        <f t="shared" si="66"/>
        <v>1443.78</v>
      </c>
      <c r="BQ117" s="220">
        <f t="shared" si="67"/>
        <v>2609.73135</v>
      </c>
      <c r="BR117" s="220">
        <f t="shared" si="73"/>
        <v>-1165.95135</v>
      </c>
      <c r="BS117" s="247" t="s">
        <v>39</v>
      </c>
      <c r="BT117" s="228" t="s">
        <v>39</v>
      </c>
      <c r="BU117" s="230" t="s">
        <v>494</v>
      </c>
      <c r="BV117" s="230" t="s">
        <v>288</v>
      </c>
      <c r="BW117" s="231"/>
    </row>
    <row r="118" s="209" customFormat="1" ht="24" customHeight="1" spans="1:75">
      <c r="A118" s="219">
        <v>146</v>
      </c>
      <c r="B118" s="220" t="s">
        <v>535</v>
      </c>
      <c r="C118" s="221" t="s">
        <v>443</v>
      </c>
      <c r="D118" s="221" t="s">
        <v>469</v>
      </c>
      <c r="E118" s="242" t="s">
        <v>470</v>
      </c>
      <c r="F118" s="219" t="s">
        <v>81</v>
      </c>
      <c r="G118" s="243" t="s">
        <v>1460</v>
      </c>
      <c r="H118" s="222" t="s">
        <v>272</v>
      </c>
      <c r="I118" s="237" t="s">
        <v>240</v>
      </c>
      <c r="J118" s="233" t="s">
        <v>496</v>
      </c>
      <c r="K118" s="223" cm="1">
        <f t="array" ref="K118">_xlfn.XLOOKUP(D118&amp;E118&amp;H118&amp;I118&amp;J118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8" s="223"/>
      <c r="M118" s="224"/>
      <c r="N118" s="225"/>
      <c r="O118" s="226">
        <v>0</v>
      </c>
      <c r="P118" s="247">
        <v>0</v>
      </c>
      <c r="Q118" s="228">
        <f t="shared" si="85"/>
        <v>0</v>
      </c>
      <c r="R118" s="228"/>
      <c r="S118" s="228">
        <f t="shared" si="54"/>
        <v>0</v>
      </c>
      <c r="T118" s="235">
        <v>0</v>
      </c>
      <c r="U118" s="228">
        <f t="shared" si="86"/>
        <v>0</v>
      </c>
      <c r="V118" s="228"/>
      <c r="W118" s="228">
        <f t="shared" si="55"/>
        <v>0</v>
      </c>
      <c r="X118" s="235">
        <v>0</v>
      </c>
      <c r="Y118" s="228">
        <f t="shared" si="70"/>
        <v>0</v>
      </c>
      <c r="Z118" s="228"/>
      <c r="AA118" s="228">
        <f t="shared" si="56"/>
        <v>0</v>
      </c>
      <c r="AB118" s="247">
        <v>0</v>
      </c>
      <c r="AC118" s="228">
        <f t="shared" si="88"/>
        <v>0</v>
      </c>
      <c r="AD118" s="228"/>
      <c r="AE118" s="228">
        <f t="shared" si="71"/>
        <v>0</v>
      </c>
      <c r="AF118" s="247">
        <v>0</v>
      </c>
      <c r="AG118" s="228">
        <f t="shared" si="87"/>
        <v>0</v>
      </c>
      <c r="AH118" s="228"/>
      <c r="AI118" s="228">
        <f t="shared" si="57"/>
        <v>0</v>
      </c>
      <c r="AJ118" s="247">
        <v>0</v>
      </c>
      <c r="AK118" s="228">
        <f t="shared" si="74"/>
        <v>0</v>
      </c>
      <c r="AL118" s="228"/>
      <c r="AM118" s="228">
        <f t="shared" si="58"/>
        <v>0</v>
      </c>
      <c r="AN118" s="235">
        <v>0</v>
      </c>
      <c r="AO118" s="228">
        <f t="shared" si="75"/>
        <v>0</v>
      </c>
      <c r="AP118" s="228"/>
      <c r="AQ118" s="228">
        <f t="shared" si="59"/>
        <v>0</v>
      </c>
      <c r="AR118" s="247">
        <v>0.035</v>
      </c>
      <c r="AS118" s="228">
        <f t="shared" si="89"/>
        <v>0</v>
      </c>
      <c r="AT118" s="286">
        <v>273.12075</v>
      </c>
      <c r="AU118" s="228">
        <f t="shared" si="60"/>
        <v>-273.12075</v>
      </c>
      <c r="AV118" s="247" t="s">
        <v>1504</v>
      </c>
      <c r="AW118" s="287">
        <v>1800</v>
      </c>
      <c r="AX118" s="287">
        <v>1800</v>
      </c>
      <c r="AY118" s="228">
        <f t="shared" si="61"/>
        <v>0</v>
      </c>
      <c r="AZ118" s="235" t="s">
        <v>1457</v>
      </c>
      <c r="BA118" s="228">
        <f t="shared" si="83"/>
        <v>0</v>
      </c>
      <c r="BB118" s="228"/>
      <c r="BC118" s="228">
        <f t="shared" si="62"/>
        <v>0</v>
      </c>
      <c r="BD118" s="235">
        <v>0</v>
      </c>
      <c r="BE118" s="228">
        <f>K118*BD118</f>
        <v>0</v>
      </c>
      <c r="BF118" s="228"/>
      <c r="BG118" s="228">
        <f t="shared" si="63"/>
        <v>0</v>
      </c>
      <c r="BH118" s="235">
        <v>0</v>
      </c>
      <c r="BI118" s="228">
        <f t="shared" si="79"/>
        <v>0</v>
      </c>
      <c r="BJ118" s="228"/>
      <c r="BK118" s="228">
        <f t="shared" si="64"/>
        <v>0</v>
      </c>
      <c r="BL118" s="235" t="s">
        <v>1457</v>
      </c>
      <c r="BM118" s="288">
        <v>2300</v>
      </c>
      <c r="BN118" s="288">
        <v>2300</v>
      </c>
      <c r="BO118" s="220">
        <f t="shared" si="65"/>
        <v>0</v>
      </c>
      <c r="BP118" s="220">
        <f t="shared" si="66"/>
        <v>4100</v>
      </c>
      <c r="BQ118" s="220">
        <f t="shared" si="67"/>
        <v>4373.12075</v>
      </c>
      <c r="BR118" s="220">
        <f t="shared" si="73"/>
        <v>-273.12075</v>
      </c>
      <c r="BS118" s="247" t="s">
        <v>39</v>
      </c>
      <c r="BT118" s="228" t="s">
        <v>39</v>
      </c>
      <c r="BU118" s="250" t="s">
        <v>497</v>
      </c>
      <c r="BV118" s="230" t="s">
        <v>288</v>
      </c>
      <c r="BW118" s="231"/>
    </row>
    <row r="119" s="209" customFormat="1" ht="48" customHeight="1" spans="1:75">
      <c r="A119" s="219">
        <v>147</v>
      </c>
      <c r="B119" s="220" t="s">
        <v>539</v>
      </c>
      <c r="C119" s="221" t="s">
        <v>443</v>
      </c>
      <c r="D119" s="221" t="s">
        <v>469</v>
      </c>
      <c r="E119" s="242" t="s">
        <v>470</v>
      </c>
      <c r="F119" s="219" t="s">
        <v>81</v>
      </c>
      <c r="G119" s="243" t="s">
        <v>1460</v>
      </c>
      <c r="H119" s="222" t="s">
        <v>276</v>
      </c>
      <c r="I119" s="237" t="s">
        <v>499</v>
      </c>
      <c r="J119" s="233" t="s">
        <v>496</v>
      </c>
      <c r="K119" s="223" cm="1">
        <f t="array" ref="K119">_xlfn.XLOOKUP(D119&amp;E119&amp;H119&amp;I119&amp;J119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9" s="223"/>
      <c r="M119" s="224"/>
      <c r="N119" s="225">
        <v>0</v>
      </c>
      <c r="O119" s="226">
        <v>0</v>
      </c>
      <c r="P119" s="247">
        <v>0</v>
      </c>
      <c r="Q119" s="228">
        <f t="shared" si="85"/>
        <v>0</v>
      </c>
      <c r="R119" s="289"/>
      <c r="S119" s="228">
        <f t="shared" si="54"/>
        <v>0</v>
      </c>
      <c r="T119" s="247">
        <v>0</v>
      </c>
      <c r="U119" s="228">
        <f t="shared" si="86"/>
        <v>0</v>
      </c>
      <c r="V119" s="228"/>
      <c r="W119" s="228">
        <f t="shared" si="55"/>
        <v>0</v>
      </c>
      <c r="X119" s="235">
        <v>0</v>
      </c>
      <c r="Y119" s="228">
        <f t="shared" si="70"/>
        <v>0</v>
      </c>
      <c r="Z119" s="228"/>
      <c r="AA119" s="228">
        <f t="shared" si="56"/>
        <v>0</v>
      </c>
      <c r="AB119" s="247">
        <v>0</v>
      </c>
      <c r="AC119" s="228">
        <f t="shared" si="88"/>
        <v>0</v>
      </c>
      <c r="AD119" s="228"/>
      <c r="AE119" s="228">
        <f t="shared" si="71"/>
        <v>0</v>
      </c>
      <c r="AF119" s="247">
        <v>0</v>
      </c>
      <c r="AG119" s="228">
        <f t="shared" si="87"/>
        <v>0</v>
      </c>
      <c r="AH119" s="228"/>
      <c r="AI119" s="228">
        <f t="shared" si="57"/>
        <v>0</v>
      </c>
      <c r="AJ119" s="247">
        <v>0</v>
      </c>
      <c r="AK119" s="228">
        <f t="shared" si="74"/>
        <v>0</v>
      </c>
      <c r="AL119" s="228"/>
      <c r="AM119" s="228">
        <f t="shared" si="58"/>
        <v>0</v>
      </c>
      <c r="AN119" s="247">
        <v>0</v>
      </c>
      <c r="AO119" s="228">
        <f t="shared" si="75"/>
        <v>0</v>
      </c>
      <c r="AP119" s="228"/>
      <c r="AQ119" s="228">
        <f t="shared" si="59"/>
        <v>0</v>
      </c>
      <c r="AR119" s="247">
        <v>0.035</v>
      </c>
      <c r="AS119" s="228">
        <f t="shared" si="89"/>
        <v>0</v>
      </c>
      <c r="AT119" s="286">
        <v>1249.96375</v>
      </c>
      <c r="AU119" s="228">
        <f t="shared" si="60"/>
        <v>-1249.96375</v>
      </c>
      <c r="AV119" s="247" t="s">
        <v>1504</v>
      </c>
      <c r="AW119" s="287">
        <v>7022.51</v>
      </c>
      <c r="AX119" s="287">
        <v>7022.51</v>
      </c>
      <c r="AY119" s="228">
        <f t="shared" si="61"/>
        <v>0</v>
      </c>
      <c r="AZ119" s="240" t="s">
        <v>1457</v>
      </c>
      <c r="BA119" s="228">
        <f t="shared" si="83"/>
        <v>0</v>
      </c>
      <c r="BB119" s="228"/>
      <c r="BC119" s="228">
        <f t="shared" si="62"/>
        <v>0</v>
      </c>
      <c r="BD119" s="235" t="s">
        <v>1505</v>
      </c>
      <c r="BE119" s="228">
        <f>BF119</f>
        <v>0</v>
      </c>
      <c r="BF119" s="228"/>
      <c r="BG119" s="228">
        <f t="shared" si="63"/>
        <v>0</v>
      </c>
      <c r="BH119" s="235">
        <v>0</v>
      </c>
      <c r="BI119" s="228">
        <f t="shared" si="79"/>
        <v>0</v>
      </c>
      <c r="BJ119" s="228"/>
      <c r="BK119" s="228">
        <f t="shared" si="64"/>
        <v>0</v>
      </c>
      <c r="BL119" s="235" t="s">
        <v>1457</v>
      </c>
      <c r="BM119" s="288">
        <v>17714.14</v>
      </c>
      <c r="BN119" s="288">
        <v>17714.14</v>
      </c>
      <c r="BO119" s="220">
        <f t="shared" si="65"/>
        <v>0</v>
      </c>
      <c r="BP119" s="220">
        <f t="shared" si="66"/>
        <v>24736.65</v>
      </c>
      <c r="BQ119" s="220">
        <f t="shared" si="67"/>
        <v>25986.61375</v>
      </c>
      <c r="BR119" s="220">
        <f t="shared" si="73"/>
        <v>-1249.96375</v>
      </c>
      <c r="BS119" s="247" t="s">
        <v>39</v>
      </c>
      <c r="BT119" s="228" t="s">
        <v>39</v>
      </c>
      <c r="BU119" s="250" t="s">
        <v>497</v>
      </c>
      <c r="BV119" s="230" t="s">
        <v>288</v>
      </c>
      <c r="BW119" s="231"/>
    </row>
    <row r="120" s="209" customFormat="1" ht="12" customHeight="1" spans="1:75">
      <c r="A120" s="219">
        <v>149</v>
      </c>
      <c r="B120" s="220" t="s">
        <v>544</v>
      </c>
      <c r="C120" s="221" t="s">
        <v>443</v>
      </c>
      <c r="D120" s="221" t="s">
        <v>504</v>
      </c>
      <c r="E120" s="221" t="s">
        <v>505</v>
      </c>
      <c r="F120" s="219" t="s">
        <v>53</v>
      </c>
      <c r="G120" s="222" t="s">
        <v>374</v>
      </c>
      <c r="H120" s="222" t="s">
        <v>39</v>
      </c>
      <c r="I120" s="232" t="s">
        <v>39</v>
      </c>
      <c r="J120" s="233" t="s">
        <v>39</v>
      </c>
      <c r="K120" s="223" cm="1">
        <f t="array" ref="K120">_xlfn.XLOOKUP(D120&amp;E120&amp;H120&amp;I120&amp;J120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20" s="223"/>
      <c r="M120" s="224"/>
      <c r="N120" s="225"/>
      <c r="O120" s="226">
        <v>522000</v>
      </c>
      <c r="P120" s="227">
        <v>0</v>
      </c>
      <c r="Q120" s="228">
        <f t="shared" si="85"/>
        <v>0</v>
      </c>
      <c r="R120" s="227"/>
      <c r="S120" s="228">
        <f t="shared" si="54"/>
        <v>0</v>
      </c>
      <c r="T120" s="227">
        <v>0</v>
      </c>
      <c r="U120" s="228">
        <f t="shared" si="86"/>
        <v>0</v>
      </c>
      <c r="V120" s="227"/>
      <c r="W120" s="228">
        <f t="shared" si="55"/>
        <v>0</v>
      </c>
      <c r="X120" s="227">
        <v>0</v>
      </c>
      <c r="Y120" s="228">
        <f t="shared" si="70"/>
        <v>0</v>
      </c>
      <c r="Z120" s="227"/>
      <c r="AA120" s="228">
        <f t="shared" si="56"/>
        <v>0</v>
      </c>
      <c r="AB120" s="227">
        <v>0</v>
      </c>
      <c r="AC120" s="228">
        <f t="shared" si="88"/>
        <v>0</v>
      </c>
      <c r="AD120" s="227"/>
      <c r="AE120" s="228">
        <f t="shared" si="71"/>
        <v>0</v>
      </c>
      <c r="AF120" s="227">
        <v>0</v>
      </c>
      <c r="AG120" s="228">
        <f t="shared" si="87"/>
        <v>0</v>
      </c>
      <c r="AH120" s="227"/>
      <c r="AI120" s="228">
        <f t="shared" si="57"/>
        <v>0</v>
      </c>
      <c r="AJ120" s="227">
        <v>0</v>
      </c>
      <c r="AK120" s="228">
        <f t="shared" si="74"/>
        <v>0</v>
      </c>
      <c r="AL120" s="227"/>
      <c r="AM120" s="228">
        <f t="shared" si="58"/>
        <v>0</v>
      </c>
      <c r="AN120" s="227">
        <v>0</v>
      </c>
      <c r="AO120" s="228">
        <f t="shared" si="75"/>
        <v>0</v>
      </c>
      <c r="AP120" s="228"/>
      <c r="AQ120" s="228">
        <f t="shared" si="59"/>
        <v>0</v>
      </c>
      <c r="AR120" s="228">
        <v>0</v>
      </c>
      <c r="AS120" s="228">
        <f t="shared" si="89"/>
        <v>0</v>
      </c>
      <c r="AT120" s="227"/>
      <c r="AU120" s="228">
        <f t="shared" si="60"/>
        <v>0</v>
      </c>
      <c r="AV120" s="227">
        <v>0</v>
      </c>
      <c r="AW120" s="228">
        <f>K120*AV120</f>
        <v>0</v>
      </c>
      <c r="AX120" s="227"/>
      <c r="AY120" s="228">
        <f t="shared" si="61"/>
        <v>0</v>
      </c>
      <c r="AZ120" s="227">
        <v>0</v>
      </c>
      <c r="BA120" s="228">
        <f t="shared" ref="BA120:BA135" si="91">K120*AZ120</f>
        <v>0</v>
      </c>
      <c r="BB120" s="228"/>
      <c r="BC120" s="228">
        <f t="shared" si="62"/>
        <v>0</v>
      </c>
      <c r="BD120" s="228"/>
      <c r="BE120" s="228">
        <f>K120*BD120</f>
        <v>0</v>
      </c>
      <c r="BF120" s="228"/>
      <c r="BG120" s="228">
        <f t="shared" si="63"/>
        <v>0</v>
      </c>
      <c r="BH120" s="228"/>
      <c r="BI120" s="228">
        <f t="shared" si="79"/>
        <v>0</v>
      </c>
      <c r="BJ120" s="228"/>
      <c r="BK120" s="228">
        <f t="shared" si="64"/>
        <v>0</v>
      </c>
      <c r="BL120" s="228">
        <v>0</v>
      </c>
      <c r="BM120" s="220">
        <f>K120*BL120</f>
        <v>0</v>
      </c>
      <c r="BN120" s="220"/>
      <c r="BO120" s="220">
        <f t="shared" si="65"/>
        <v>0</v>
      </c>
      <c r="BP120" s="220">
        <f t="shared" si="66"/>
        <v>0</v>
      </c>
      <c r="BQ120" s="220">
        <f t="shared" si="67"/>
        <v>0</v>
      </c>
      <c r="BR120" s="220">
        <f t="shared" si="73"/>
        <v>0</v>
      </c>
      <c r="BS120" s="220">
        <v>100000</v>
      </c>
      <c r="BT120" s="229" t="s">
        <v>39</v>
      </c>
      <c r="BU120" s="230" t="s">
        <v>439</v>
      </c>
      <c r="BV120" s="230"/>
      <c r="BW120" s="231"/>
    </row>
    <row r="121" s="209" customFormat="1" ht="36" customHeight="1" spans="1:75">
      <c r="A121" s="219">
        <v>151</v>
      </c>
      <c r="B121" s="220" t="s">
        <v>550</v>
      </c>
      <c r="C121" s="221" t="s">
        <v>443</v>
      </c>
      <c r="D121" s="221" t="s">
        <v>506</v>
      </c>
      <c r="E121" s="221" t="s">
        <v>507</v>
      </c>
      <c r="F121" s="219" t="s">
        <v>81</v>
      </c>
      <c r="G121" s="222" t="s">
        <v>374</v>
      </c>
      <c r="H121" s="233" t="s">
        <v>39</v>
      </c>
      <c r="I121" s="237" t="s">
        <v>186</v>
      </c>
      <c r="J121" s="233" t="s">
        <v>509</v>
      </c>
      <c r="K121" s="290">
        <v>3358.13</v>
      </c>
      <c r="L121" s="223"/>
      <c r="M121" s="224"/>
      <c r="N121" s="291">
        <v>34997.28</v>
      </c>
      <c r="O121" s="226">
        <v>564000</v>
      </c>
      <c r="P121" s="277">
        <v>0.18</v>
      </c>
      <c r="Q121" s="276">
        <f t="shared" si="85"/>
        <v>604.4634</v>
      </c>
      <c r="R121" s="292">
        <v>65338.65</v>
      </c>
      <c r="S121" s="276">
        <f t="shared" si="54"/>
        <v>-64734.1866</v>
      </c>
      <c r="T121" s="227">
        <v>0</v>
      </c>
      <c r="U121" s="228">
        <f t="shared" si="86"/>
        <v>0</v>
      </c>
      <c r="V121" s="228">
        <v>0</v>
      </c>
      <c r="W121" s="228">
        <f t="shared" si="55"/>
        <v>0</v>
      </c>
      <c r="X121" s="240"/>
      <c r="Y121" s="228">
        <f t="shared" si="70"/>
        <v>0</v>
      </c>
      <c r="Z121" s="227"/>
      <c r="AA121" s="228">
        <f t="shared" si="56"/>
        <v>0</v>
      </c>
      <c r="AB121" s="227">
        <v>0</v>
      </c>
      <c r="AC121" s="228">
        <f t="shared" si="88"/>
        <v>0</v>
      </c>
      <c r="AD121" s="227">
        <v>0</v>
      </c>
      <c r="AE121" s="228">
        <f t="shared" si="71"/>
        <v>0</v>
      </c>
      <c r="AF121" s="227">
        <v>0</v>
      </c>
      <c r="AG121" s="228">
        <f t="shared" si="87"/>
        <v>0</v>
      </c>
      <c r="AH121" s="227">
        <v>0</v>
      </c>
      <c r="AI121" s="228">
        <f t="shared" si="57"/>
        <v>0</v>
      </c>
      <c r="AJ121" s="227">
        <v>0</v>
      </c>
      <c r="AK121" s="228">
        <f t="shared" si="74"/>
        <v>0</v>
      </c>
      <c r="AL121" s="227">
        <v>0</v>
      </c>
      <c r="AM121" s="228">
        <f t="shared" si="58"/>
        <v>0</v>
      </c>
      <c r="AN121" s="227">
        <v>0</v>
      </c>
      <c r="AO121" s="228">
        <f t="shared" si="75"/>
        <v>0</v>
      </c>
      <c r="AP121" s="228">
        <v>0</v>
      </c>
      <c r="AQ121" s="228">
        <f t="shared" si="59"/>
        <v>0</v>
      </c>
      <c r="AR121" s="293"/>
      <c r="AS121" s="228">
        <f>AT121</f>
        <v>8154</v>
      </c>
      <c r="AT121" s="228">
        <v>8154</v>
      </c>
      <c r="AU121" s="228">
        <f t="shared" si="60"/>
        <v>0</v>
      </c>
      <c r="AV121" s="292"/>
      <c r="AW121" s="228">
        <f>AX121</f>
        <v>22821.76</v>
      </c>
      <c r="AX121" s="292">
        <v>22821.76</v>
      </c>
      <c r="AY121" s="228">
        <f t="shared" si="61"/>
        <v>0</v>
      </c>
      <c r="AZ121" s="227">
        <v>0</v>
      </c>
      <c r="BA121" s="228">
        <f>BB121</f>
        <v>2348.76</v>
      </c>
      <c r="BB121" s="292">
        <v>2348.76</v>
      </c>
      <c r="BC121" s="228">
        <f t="shared" si="62"/>
        <v>0</v>
      </c>
      <c r="BD121" s="247"/>
      <c r="BE121" s="228">
        <f>BF121</f>
        <v>20000</v>
      </c>
      <c r="BF121" s="276">
        <v>20000</v>
      </c>
      <c r="BG121" s="228">
        <f t="shared" si="63"/>
        <v>0</v>
      </c>
      <c r="BH121" s="247"/>
      <c r="BI121" s="228">
        <f t="shared" si="79"/>
        <v>0</v>
      </c>
      <c r="BJ121" s="247">
        <v>0</v>
      </c>
      <c r="BK121" s="228">
        <f t="shared" si="64"/>
        <v>0</v>
      </c>
      <c r="BL121" s="280" t="s">
        <v>1457</v>
      </c>
      <c r="BM121" s="220">
        <f t="shared" ref="BM121:BM135" si="92">BN121</f>
        <v>107259.41</v>
      </c>
      <c r="BN121" s="256">
        <v>107259.41</v>
      </c>
      <c r="BO121" s="220">
        <f t="shared" si="65"/>
        <v>0</v>
      </c>
      <c r="BP121" s="294">
        <f t="shared" si="66"/>
        <v>196185.6734</v>
      </c>
      <c r="BQ121" s="220">
        <f t="shared" si="67"/>
        <v>260919.86</v>
      </c>
      <c r="BR121" s="294">
        <f t="shared" si="73"/>
        <v>-64734.1866</v>
      </c>
      <c r="BS121" s="254" t="s">
        <v>39</v>
      </c>
      <c r="BT121" s="229" t="s">
        <v>39</v>
      </c>
      <c r="BU121" s="295" t="s">
        <v>510</v>
      </c>
      <c r="BV121" s="230" t="s">
        <v>511</v>
      </c>
      <c r="BW121" s="231"/>
    </row>
    <row r="122" s="209" customFormat="1" ht="24" customHeight="1" spans="1:75">
      <c r="A122" s="219">
        <v>152</v>
      </c>
      <c r="B122" s="220" t="s">
        <v>554</v>
      </c>
      <c r="C122" s="221" t="s">
        <v>443</v>
      </c>
      <c r="D122" s="221" t="s">
        <v>506</v>
      </c>
      <c r="E122" s="221" t="s">
        <v>507</v>
      </c>
      <c r="F122" s="219" t="s">
        <v>81</v>
      </c>
      <c r="G122" s="222" t="s">
        <v>374</v>
      </c>
      <c r="H122" s="233" t="s">
        <v>39</v>
      </c>
      <c r="I122" s="237" t="s">
        <v>514</v>
      </c>
      <c r="J122" s="233" t="s">
        <v>515</v>
      </c>
      <c r="K122" s="290">
        <v>6538.5</v>
      </c>
      <c r="L122" s="223"/>
      <c r="M122" s="224"/>
      <c r="N122" s="291"/>
      <c r="O122" s="226">
        <v>924000</v>
      </c>
      <c r="P122" s="277">
        <v>0.19</v>
      </c>
      <c r="Q122" s="276">
        <f t="shared" si="85"/>
        <v>1242.315</v>
      </c>
      <c r="R122" s="292"/>
      <c r="S122" s="276">
        <f t="shared" ref="S122:S141" si="93">Q122-R122</f>
        <v>1242.315</v>
      </c>
      <c r="T122" s="227">
        <v>0</v>
      </c>
      <c r="U122" s="228">
        <f t="shared" si="86"/>
        <v>0</v>
      </c>
      <c r="V122" s="228"/>
      <c r="W122" s="228">
        <f t="shared" si="55"/>
        <v>0</v>
      </c>
      <c r="X122" s="240"/>
      <c r="Y122" s="228">
        <f t="shared" si="70"/>
        <v>0</v>
      </c>
      <c r="Z122" s="227"/>
      <c r="AA122" s="228">
        <f t="shared" si="56"/>
        <v>0</v>
      </c>
      <c r="AB122" s="227">
        <v>0</v>
      </c>
      <c r="AC122" s="228">
        <f t="shared" si="88"/>
        <v>0</v>
      </c>
      <c r="AD122" s="227"/>
      <c r="AE122" s="228">
        <f t="shared" si="71"/>
        <v>0</v>
      </c>
      <c r="AF122" s="227">
        <v>0</v>
      </c>
      <c r="AG122" s="228">
        <f t="shared" si="87"/>
        <v>0</v>
      </c>
      <c r="AH122" s="227"/>
      <c r="AI122" s="228">
        <f t="shared" si="57"/>
        <v>0</v>
      </c>
      <c r="AJ122" s="227">
        <v>0</v>
      </c>
      <c r="AK122" s="228">
        <f t="shared" si="74"/>
        <v>0</v>
      </c>
      <c r="AL122" s="227"/>
      <c r="AM122" s="228">
        <f t="shared" si="58"/>
        <v>0</v>
      </c>
      <c r="AN122" s="227">
        <v>0</v>
      </c>
      <c r="AO122" s="228">
        <f t="shared" si="75"/>
        <v>0</v>
      </c>
      <c r="AP122" s="228"/>
      <c r="AQ122" s="228">
        <f t="shared" si="59"/>
        <v>0</v>
      </c>
      <c r="AR122" s="293"/>
      <c r="AS122" s="228"/>
      <c r="AT122" s="228"/>
      <c r="AU122" s="228">
        <f t="shared" si="60"/>
        <v>0</v>
      </c>
      <c r="AV122" s="240"/>
      <c r="AW122" s="228">
        <f t="shared" ref="AW122:AW135" si="94">K122*AV122</f>
        <v>0</v>
      </c>
      <c r="AX122" s="292"/>
      <c r="AY122" s="228">
        <f t="shared" si="61"/>
        <v>0</v>
      </c>
      <c r="AZ122" s="227">
        <v>0</v>
      </c>
      <c r="BA122" s="228">
        <f t="shared" si="91"/>
        <v>0</v>
      </c>
      <c r="BB122" s="292"/>
      <c r="BC122" s="228">
        <f t="shared" si="62"/>
        <v>0</v>
      </c>
      <c r="BD122" s="247"/>
      <c r="BE122" s="228">
        <f t="shared" ref="BE122:BE135" si="95">K122*BD122</f>
        <v>0</v>
      </c>
      <c r="BF122" s="247"/>
      <c r="BG122" s="228">
        <f t="shared" si="63"/>
        <v>0</v>
      </c>
      <c r="BH122" s="247"/>
      <c r="BI122" s="228">
        <f t="shared" si="79"/>
        <v>0</v>
      </c>
      <c r="BJ122" s="247"/>
      <c r="BK122" s="228">
        <f t="shared" si="64"/>
        <v>0</v>
      </c>
      <c r="BL122" s="280" t="s">
        <v>1457</v>
      </c>
      <c r="BM122" s="220">
        <f t="shared" si="92"/>
        <v>0</v>
      </c>
      <c r="BN122" s="256"/>
      <c r="BO122" s="220">
        <f t="shared" si="65"/>
        <v>0</v>
      </c>
      <c r="BP122" s="294">
        <f t="shared" ref="BP122:BP141" si="96">N122+Q122+U122+Y122+AC122+AG122+AK122+AO122+AS122+AW122+BA122+BE122+BI122+BM122</f>
        <v>1242.315</v>
      </c>
      <c r="BQ122" s="220">
        <f t="shared" ref="BQ122:BQ141" si="97">N122+R122+V122+Z122+AD122+AH122+AL122+AP122+AT122+AX122+BB122+BF122+BJ122+BN122</f>
        <v>0</v>
      </c>
      <c r="BR122" s="294">
        <f t="shared" ref="BR122:BR141" si="98">BP122-BQ122</f>
        <v>1242.315</v>
      </c>
      <c r="BS122" s="254" t="s">
        <v>39</v>
      </c>
      <c r="BT122" s="229" t="s">
        <v>39</v>
      </c>
      <c r="BU122" s="295" t="s">
        <v>510</v>
      </c>
      <c r="BV122" s="230" t="s">
        <v>516</v>
      </c>
      <c r="BW122" s="231"/>
    </row>
    <row r="123" s="209" customFormat="1" ht="24" customHeight="1" spans="1:75">
      <c r="A123" s="219">
        <v>153</v>
      </c>
      <c r="B123" s="220" t="s">
        <v>558</v>
      </c>
      <c r="C123" s="221" t="s">
        <v>443</v>
      </c>
      <c r="D123" s="221" t="s">
        <v>506</v>
      </c>
      <c r="E123" s="221" t="s">
        <v>507</v>
      </c>
      <c r="F123" s="219" t="s">
        <v>81</v>
      </c>
      <c r="G123" s="222" t="s">
        <v>374</v>
      </c>
      <c r="H123" s="233" t="s">
        <v>39</v>
      </c>
      <c r="I123" s="237" t="s">
        <v>518</v>
      </c>
      <c r="J123" s="233" t="s">
        <v>519</v>
      </c>
      <c r="K123" s="296">
        <v>0</v>
      </c>
      <c r="L123" s="223"/>
      <c r="M123" s="224"/>
      <c r="N123" s="291"/>
      <c r="O123" s="226">
        <v>384000</v>
      </c>
      <c r="P123" s="277">
        <v>0.19</v>
      </c>
      <c r="Q123" s="276">
        <f t="shared" si="85"/>
        <v>0</v>
      </c>
      <c r="R123" s="292"/>
      <c r="S123" s="276">
        <f t="shared" si="93"/>
        <v>0</v>
      </c>
      <c r="T123" s="227">
        <v>0</v>
      </c>
      <c r="U123" s="228">
        <f t="shared" si="86"/>
        <v>0</v>
      </c>
      <c r="V123" s="228"/>
      <c r="W123" s="228">
        <f t="shared" si="55"/>
        <v>0</v>
      </c>
      <c r="X123" s="240"/>
      <c r="Y123" s="228">
        <f t="shared" si="70"/>
        <v>0</v>
      </c>
      <c r="Z123" s="227"/>
      <c r="AA123" s="228">
        <f t="shared" si="56"/>
        <v>0</v>
      </c>
      <c r="AB123" s="227">
        <v>0</v>
      </c>
      <c r="AC123" s="228">
        <f t="shared" si="88"/>
        <v>0</v>
      </c>
      <c r="AD123" s="227"/>
      <c r="AE123" s="228">
        <f t="shared" si="71"/>
        <v>0</v>
      </c>
      <c r="AF123" s="227">
        <v>0</v>
      </c>
      <c r="AG123" s="228">
        <f t="shared" si="87"/>
        <v>0</v>
      </c>
      <c r="AH123" s="227"/>
      <c r="AI123" s="228">
        <f t="shared" si="57"/>
        <v>0</v>
      </c>
      <c r="AJ123" s="227">
        <v>0</v>
      </c>
      <c r="AK123" s="228">
        <f t="shared" si="74"/>
        <v>0</v>
      </c>
      <c r="AL123" s="227"/>
      <c r="AM123" s="228">
        <f t="shared" si="58"/>
        <v>0</v>
      </c>
      <c r="AN123" s="227">
        <v>0</v>
      </c>
      <c r="AO123" s="228">
        <f t="shared" si="75"/>
        <v>0</v>
      </c>
      <c r="AP123" s="228"/>
      <c r="AQ123" s="228">
        <f t="shared" si="59"/>
        <v>0</v>
      </c>
      <c r="AR123" s="293"/>
      <c r="AS123" s="228"/>
      <c r="AT123" s="228"/>
      <c r="AU123" s="228">
        <f t="shared" si="60"/>
        <v>0</v>
      </c>
      <c r="AV123" s="240"/>
      <c r="AW123" s="228">
        <f t="shared" si="94"/>
        <v>0</v>
      </c>
      <c r="AX123" s="292"/>
      <c r="AY123" s="228">
        <f t="shared" si="61"/>
        <v>0</v>
      </c>
      <c r="AZ123" s="227">
        <v>0</v>
      </c>
      <c r="BA123" s="228">
        <f t="shared" si="91"/>
        <v>0</v>
      </c>
      <c r="BB123" s="292"/>
      <c r="BC123" s="228">
        <f t="shared" si="62"/>
        <v>0</v>
      </c>
      <c r="BD123" s="247"/>
      <c r="BE123" s="228">
        <f t="shared" si="95"/>
        <v>0</v>
      </c>
      <c r="BF123" s="247"/>
      <c r="BG123" s="228">
        <f t="shared" si="63"/>
        <v>0</v>
      </c>
      <c r="BH123" s="247"/>
      <c r="BI123" s="228">
        <f t="shared" si="79"/>
        <v>0</v>
      </c>
      <c r="BJ123" s="247"/>
      <c r="BK123" s="228">
        <f t="shared" si="64"/>
        <v>0</v>
      </c>
      <c r="BL123" s="280" t="s">
        <v>1457</v>
      </c>
      <c r="BM123" s="220">
        <f t="shared" si="92"/>
        <v>0</v>
      </c>
      <c r="BN123" s="256"/>
      <c r="BO123" s="220">
        <f t="shared" si="65"/>
        <v>0</v>
      </c>
      <c r="BP123" s="294">
        <f t="shared" si="96"/>
        <v>0</v>
      </c>
      <c r="BQ123" s="220">
        <f t="shared" si="97"/>
        <v>0</v>
      </c>
      <c r="BR123" s="294">
        <f t="shared" si="98"/>
        <v>0</v>
      </c>
      <c r="BS123" s="254" t="s">
        <v>39</v>
      </c>
      <c r="BT123" s="229" t="s">
        <v>39</v>
      </c>
      <c r="BU123" s="295" t="s">
        <v>520</v>
      </c>
      <c r="BV123" s="230" t="s">
        <v>516</v>
      </c>
      <c r="BW123" s="231"/>
    </row>
    <row r="124" s="209" customFormat="1" ht="24" customHeight="1" spans="1:75">
      <c r="A124" s="219">
        <v>154</v>
      </c>
      <c r="B124" s="220" t="s">
        <v>561</v>
      </c>
      <c r="C124" s="221" t="s">
        <v>443</v>
      </c>
      <c r="D124" s="221" t="s">
        <v>506</v>
      </c>
      <c r="E124" s="221" t="s">
        <v>507</v>
      </c>
      <c r="F124" s="219" t="s">
        <v>81</v>
      </c>
      <c r="G124" s="222" t="s">
        <v>374</v>
      </c>
      <c r="H124" s="233" t="s">
        <v>39</v>
      </c>
      <c r="I124" s="237" t="s">
        <v>522</v>
      </c>
      <c r="J124" s="233" t="s">
        <v>523</v>
      </c>
      <c r="K124" s="290">
        <v>6169.68</v>
      </c>
      <c r="L124" s="223"/>
      <c r="M124" s="224"/>
      <c r="N124" s="291"/>
      <c r="O124" s="226">
        <v>588000</v>
      </c>
      <c r="P124" s="277">
        <v>0.19</v>
      </c>
      <c r="Q124" s="276">
        <f t="shared" si="85"/>
        <v>1172.2392</v>
      </c>
      <c r="R124" s="292"/>
      <c r="S124" s="276">
        <f t="shared" si="93"/>
        <v>1172.2392</v>
      </c>
      <c r="T124" s="227">
        <v>0</v>
      </c>
      <c r="U124" s="228">
        <f t="shared" si="86"/>
        <v>0</v>
      </c>
      <c r="V124" s="228"/>
      <c r="W124" s="228">
        <f t="shared" si="55"/>
        <v>0</v>
      </c>
      <c r="X124" s="240"/>
      <c r="Y124" s="228">
        <f t="shared" si="70"/>
        <v>0</v>
      </c>
      <c r="Z124" s="227"/>
      <c r="AA124" s="228">
        <f t="shared" si="56"/>
        <v>0</v>
      </c>
      <c r="AB124" s="227">
        <v>0</v>
      </c>
      <c r="AC124" s="228">
        <f t="shared" si="88"/>
        <v>0</v>
      </c>
      <c r="AD124" s="227"/>
      <c r="AE124" s="228">
        <f t="shared" si="71"/>
        <v>0</v>
      </c>
      <c r="AF124" s="227">
        <v>0</v>
      </c>
      <c r="AG124" s="228">
        <f t="shared" si="87"/>
        <v>0</v>
      </c>
      <c r="AH124" s="227"/>
      <c r="AI124" s="228">
        <f t="shared" si="57"/>
        <v>0</v>
      </c>
      <c r="AJ124" s="227">
        <v>0</v>
      </c>
      <c r="AK124" s="228">
        <f t="shared" si="74"/>
        <v>0</v>
      </c>
      <c r="AL124" s="227"/>
      <c r="AM124" s="228">
        <f t="shared" si="58"/>
        <v>0</v>
      </c>
      <c r="AN124" s="227">
        <v>0</v>
      </c>
      <c r="AO124" s="228">
        <f t="shared" si="75"/>
        <v>0</v>
      </c>
      <c r="AP124" s="228"/>
      <c r="AQ124" s="228">
        <f t="shared" si="59"/>
        <v>0</v>
      </c>
      <c r="AR124" s="293"/>
      <c r="AS124" s="228"/>
      <c r="AT124" s="228"/>
      <c r="AU124" s="228">
        <f t="shared" si="60"/>
        <v>0</v>
      </c>
      <c r="AV124" s="240"/>
      <c r="AW124" s="228">
        <f t="shared" si="94"/>
        <v>0</v>
      </c>
      <c r="AX124" s="292"/>
      <c r="AY124" s="228">
        <f t="shared" si="61"/>
        <v>0</v>
      </c>
      <c r="AZ124" s="227">
        <v>0</v>
      </c>
      <c r="BA124" s="228">
        <f t="shared" si="91"/>
        <v>0</v>
      </c>
      <c r="BB124" s="292"/>
      <c r="BC124" s="228">
        <f t="shared" si="62"/>
        <v>0</v>
      </c>
      <c r="BD124" s="247"/>
      <c r="BE124" s="228">
        <f t="shared" si="95"/>
        <v>0</v>
      </c>
      <c r="BF124" s="247"/>
      <c r="BG124" s="228">
        <f t="shared" si="63"/>
        <v>0</v>
      </c>
      <c r="BH124" s="247"/>
      <c r="BI124" s="228">
        <f t="shared" si="79"/>
        <v>0</v>
      </c>
      <c r="BJ124" s="247"/>
      <c r="BK124" s="228">
        <f t="shared" si="64"/>
        <v>0</v>
      </c>
      <c r="BL124" s="280" t="s">
        <v>1457</v>
      </c>
      <c r="BM124" s="220">
        <f t="shared" si="92"/>
        <v>0</v>
      </c>
      <c r="BN124" s="256"/>
      <c r="BO124" s="220">
        <f t="shared" si="65"/>
        <v>0</v>
      </c>
      <c r="BP124" s="294">
        <f t="shared" si="96"/>
        <v>1172.2392</v>
      </c>
      <c r="BQ124" s="220">
        <f t="shared" si="97"/>
        <v>0</v>
      </c>
      <c r="BR124" s="294">
        <f t="shared" si="98"/>
        <v>1172.2392</v>
      </c>
      <c r="BS124" s="254" t="s">
        <v>39</v>
      </c>
      <c r="BT124" s="229" t="s">
        <v>39</v>
      </c>
      <c r="BU124" s="295" t="s">
        <v>510</v>
      </c>
      <c r="BV124" s="230" t="s">
        <v>516</v>
      </c>
      <c r="BW124" s="231"/>
    </row>
    <row r="125" s="209" customFormat="1" ht="36" customHeight="1" spans="1:75">
      <c r="A125" s="219">
        <v>155</v>
      </c>
      <c r="B125" s="220" t="s">
        <v>565</v>
      </c>
      <c r="C125" s="221" t="s">
        <v>443</v>
      </c>
      <c r="D125" s="221" t="s">
        <v>506</v>
      </c>
      <c r="E125" s="221" t="s">
        <v>507</v>
      </c>
      <c r="F125" s="219" t="s">
        <v>81</v>
      </c>
      <c r="G125" s="222" t="s">
        <v>374</v>
      </c>
      <c r="H125" s="233" t="s">
        <v>39</v>
      </c>
      <c r="I125" s="237" t="s">
        <v>448</v>
      </c>
      <c r="J125" s="233" t="s">
        <v>525</v>
      </c>
      <c r="K125" s="290">
        <v>5915.21</v>
      </c>
      <c r="L125" s="223"/>
      <c r="M125" s="224"/>
      <c r="N125" s="291"/>
      <c r="O125" s="226">
        <v>660000</v>
      </c>
      <c r="P125" s="277">
        <v>0.19</v>
      </c>
      <c r="Q125" s="276">
        <f t="shared" si="85"/>
        <v>1123.8899</v>
      </c>
      <c r="R125" s="292"/>
      <c r="S125" s="276">
        <f t="shared" si="93"/>
        <v>1123.8899</v>
      </c>
      <c r="T125" s="227">
        <v>0</v>
      </c>
      <c r="U125" s="228">
        <f t="shared" si="86"/>
        <v>0</v>
      </c>
      <c r="V125" s="228"/>
      <c r="W125" s="228">
        <f t="shared" si="55"/>
        <v>0</v>
      </c>
      <c r="X125" s="240"/>
      <c r="Y125" s="228">
        <f t="shared" si="70"/>
        <v>0</v>
      </c>
      <c r="Z125" s="227"/>
      <c r="AA125" s="228">
        <f t="shared" si="56"/>
        <v>0</v>
      </c>
      <c r="AB125" s="227">
        <v>0</v>
      </c>
      <c r="AC125" s="228">
        <f t="shared" si="88"/>
        <v>0</v>
      </c>
      <c r="AD125" s="227"/>
      <c r="AE125" s="228">
        <f t="shared" si="71"/>
        <v>0</v>
      </c>
      <c r="AF125" s="227">
        <v>0</v>
      </c>
      <c r="AG125" s="228">
        <f t="shared" si="87"/>
        <v>0</v>
      </c>
      <c r="AH125" s="227"/>
      <c r="AI125" s="228">
        <f t="shared" si="57"/>
        <v>0</v>
      </c>
      <c r="AJ125" s="227">
        <v>0</v>
      </c>
      <c r="AK125" s="228">
        <f t="shared" si="74"/>
        <v>0</v>
      </c>
      <c r="AL125" s="227"/>
      <c r="AM125" s="228">
        <f t="shared" si="58"/>
        <v>0</v>
      </c>
      <c r="AN125" s="227">
        <v>0</v>
      </c>
      <c r="AO125" s="228">
        <f t="shared" si="75"/>
        <v>0</v>
      </c>
      <c r="AP125" s="228"/>
      <c r="AQ125" s="228">
        <f t="shared" si="59"/>
        <v>0</v>
      </c>
      <c r="AR125" s="293"/>
      <c r="AS125" s="228"/>
      <c r="AT125" s="228"/>
      <c r="AU125" s="228">
        <f t="shared" si="60"/>
        <v>0</v>
      </c>
      <c r="AV125" s="240"/>
      <c r="AW125" s="228">
        <f t="shared" si="94"/>
        <v>0</v>
      </c>
      <c r="AX125" s="292"/>
      <c r="AY125" s="228">
        <f t="shared" si="61"/>
        <v>0</v>
      </c>
      <c r="AZ125" s="227">
        <v>0</v>
      </c>
      <c r="BA125" s="228">
        <f t="shared" si="91"/>
        <v>0</v>
      </c>
      <c r="BB125" s="292"/>
      <c r="BC125" s="228">
        <f t="shared" si="62"/>
        <v>0</v>
      </c>
      <c r="BD125" s="247"/>
      <c r="BE125" s="228">
        <f t="shared" si="95"/>
        <v>0</v>
      </c>
      <c r="BF125" s="247"/>
      <c r="BG125" s="228">
        <f t="shared" si="63"/>
        <v>0</v>
      </c>
      <c r="BH125" s="247"/>
      <c r="BI125" s="228">
        <f t="shared" si="79"/>
        <v>0</v>
      </c>
      <c r="BJ125" s="247"/>
      <c r="BK125" s="228">
        <f t="shared" si="64"/>
        <v>0</v>
      </c>
      <c r="BL125" s="280" t="s">
        <v>1457</v>
      </c>
      <c r="BM125" s="220">
        <f t="shared" si="92"/>
        <v>0</v>
      </c>
      <c r="BN125" s="256"/>
      <c r="BO125" s="220">
        <f t="shared" si="65"/>
        <v>0</v>
      </c>
      <c r="BP125" s="294">
        <f t="shared" si="96"/>
        <v>1123.8899</v>
      </c>
      <c r="BQ125" s="220">
        <f t="shared" si="97"/>
        <v>0</v>
      </c>
      <c r="BR125" s="294">
        <f t="shared" si="98"/>
        <v>1123.8899</v>
      </c>
      <c r="BS125" s="254" t="s">
        <v>39</v>
      </c>
      <c r="BT125" s="229" t="s">
        <v>39</v>
      </c>
      <c r="BU125" s="295" t="s">
        <v>510</v>
      </c>
      <c r="BV125" s="230" t="s">
        <v>511</v>
      </c>
      <c r="BW125" s="231"/>
    </row>
    <row r="126" s="209" customFormat="1" ht="36" customHeight="1" spans="1:75">
      <c r="A126" s="219">
        <v>156</v>
      </c>
      <c r="B126" s="220" t="s">
        <v>568</v>
      </c>
      <c r="C126" s="221" t="s">
        <v>443</v>
      </c>
      <c r="D126" s="221" t="s">
        <v>506</v>
      </c>
      <c r="E126" s="221" t="s">
        <v>507</v>
      </c>
      <c r="F126" s="219" t="s">
        <v>81</v>
      </c>
      <c r="G126" s="222" t="s">
        <v>374</v>
      </c>
      <c r="H126" s="233" t="s">
        <v>39</v>
      </c>
      <c r="I126" s="237" t="s">
        <v>527</v>
      </c>
      <c r="J126" s="233" t="s">
        <v>528</v>
      </c>
      <c r="K126" s="290">
        <v>3626.3</v>
      </c>
      <c r="L126" s="223"/>
      <c r="M126" s="224"/>
      <c r="N126" s="291"/>
      <c r="O126" s="226">
        <v>660000</v>
      </c>
      <c r="P126" s="277">
        <v>0.19</v>
      </c>
      <c r="Q126" s="276">
        <f t="shared" si="85"/>
        <v>688.997</v>
      </c>
      <c r="R126" s="292"/>
      <c r="S126" s="276">
        <f t="shared" si="93"/>
        <v>688.997</v>
      </c>
      <c r="T126" s="227">
        <v>0</v>
      </c>
      <c r="U126" s="228">
        <f t="shared" si="86"/>
        <v>0</v>
      </c>
      <c r="V126" s="228"/>
      <c r="W126" s="228">
        <f t="shared" si="55"/>
        <v>0</v>
      </c>
      <c r="X126" s="240"/>
      <c r="Y126" s="228">
        <f t="shared" si="70"/>
        <v>0</v>
      </c>
      <c r="Z126" s="227"/>
      <c r="AA126" s="228">
        <f t="shared" si="56"/>
        <v>0</v>
      </c>
      <c r="AB126" s="227">
        <v>0</v>
      </c>
      <c r="AC126" s="228">
        <f t="shared" si="88"/>
        <v>0</v>
      </c>
      <c r="AD126" s="227"/>
      <c r="AE126" s="228">
        <f t="shared" si="71"/>
        <v>0</v>
      </c>
      <c r="AF126" s="227">
        <v>0</v>
      </c>
      <c r="AG126" s="228">
        <f t="shared" si="87"/>
        <v>0</v>
      </c>
      <c r="AH126" s="227"/>
      <c r="AI126" s="228">
        <f t="shared" si="57"/>
        <v>0</v>
      </c>
      <c r="AJ126" s="227">
        <v>0</v>
      </c>
      <c r="AK126" s="228">
        <f t="shared" si="74"/>
        <v>0</v>
      </c>
      <c r="AL126" s="227"/>
      <c r="AM126" s="228">
        <f t="shared" si="58"/>
        <v>0</v>
      </c>
      <c r="AN126" s="227">
        <v>0</v>
      </c>
      <c r="AO126" s="228">
        <f t="shared" si="75"/>
        <v>0</v>
      </c>
      <c r="AP126" s="228"/>
      <c r="AQ126" s="228">
        <f t="shared" si="59"/>
        <v>0</v>
      </c>
      <c r="AR126" s="293"/>
      <c r="AS126" s="228"/>
      <c r="AT126" s="228"/>
      <c r="AU126" s="228">
        <f t="shared" si="60"/>
        <v>0</v>
      </c>
      <c r="AV126" s="240"/>
      <c r="AW126" s="228">
        <f t="shared" si="94"/>
        <v>0</v>
      </c>
      <c r="AX126" s="292"/>
      <c r="AY126" s="228">
        <f t="shared" si="61"/>
        <v>0</v>
      </c>
      <c r="AZ126" s="227">
        <v>0</v>
      </c>
      <c r="BA126" s="228">
        <f t="shared" si="91"/>
        <v>0</v>
      </c>
      <c r="BB126" s="292"/>
      <c r="BC126" s="228">
        <f t="shared" si="62"/>
        <v>0</v>
      </c>
      <c r="BD126" s="247"/>
      <c r="BE126" s="228">
        <f t="shared" si="95"/>
        <v>0</v>
      </c>
      <c r="BF126" s="247"/>
      <c r="BG126" s="228">
        <f t="shared" si="63"/>
        <v>0</v>
      </c>
      <c r="BH126" s="247"/>
      <c r="BI126" s="228">
        <f t="shared" si="79"/>
        <v>0</v>
      </c>
      <c r="BJ126" s="247"/>
      <c r="BK126" s="228">
        <f t="shared" si="64"/>
        <v>0</v>
      </c>
      <c r="BL126" s="280" t="s">
        <v>1457</v>
      </c>
      <c r="BM126" s="220">
        <f t="shared" si="92"/>
        <v>0</v>
      </c>
      <c r="BN126" s="256"/>
      <c r="BO126" s="220">
        <f t="shared" si="65"/>
        <v>0</v>
      </c>
      <c r="BP126" s="294">
        <f t="shared" si="96"/>
        <v>688.997</v>
      </c>
      <c r="BQ126" s="220">
        <f t="shared" si="97"/>
        <v>0</v>
      </c>
      <c r="BR126" s="294">
        <f t="shared" si="98"/>
        <v>688.997</v>
      </c>
      <c r="BS126" s="254" t="s">
        <v>39</v>
      </c>
      <c r="BT126" s="229" t="s">
        <v>39</v>
      </c>
      <c r="BU126" s="295" t="s">
        <v>520</v>
      </c>
      <c r="BV126" s="230" t="s">
        <v>511</v>
      </c>
      <c r="BW126" s="231"/>
    </row>
    <row r="127" s="209" customFormat="1" ht="36" customHeight="1" spans="1:75">
      <c r="A127" s="219">
        <v>157</v>
      </c>
      <c r="B127" s="220" t="s">
        <v>571</v>
      </c>
      <c r="C127" s="221" t="s">
        <v>443</v>
      </c>
      <c r="D127" s="221" t="s">
        <v>506</v>
      </c>
      <c r="E127" s="221" t="s">
        <v>507</v>
      </c>
      <c r="F127" s="219" t="s">
        <v>81</v>
      </c>
      <c r="G127" s="222" t="s">
        <v>374</v>
      </c>
      <c r="H127" s="233" t="s">
        <v>39</v>
      </c>
      <c r="I127" s="237" t="s">
        <v>530</v>
      </c>
      <c r="J127" s="233" t="s">
        <v>531</v>
      </c>
      <c r="K127" s="290">
        <v>4097.2</v>
      </c>
      <c r="L127" s="223"/>
      <c r="M127" s="224"/>
      <c r="N127" s="291"/>
      <c r="O127" s="226">
        <v>588000</v>
      </c>
      <c r="P127" s="277">
        <v>0.16</v>
      </c>
      <c r="Q127" s="276">
        <f t="shared" si="85"/>
        <v>655.552</v>
      </c>
      <c r="R127" s="292"/>
      <c r="S127" s="276">
        <f t="shared" si="93"/>
        <v>655.552</v>
      </c>
      <c r="T127" s="227">
        <v>0</v>
      </c>
      <c r="U127" s="228">
        <f t="shared" si="86"/>
        <v>0</v>
      </c>
      <c r="V127" s="228"/>
      <c r="W127" s="228">
        <f t="shared" si="55"/>
        <v>0</v>
      </c>
      <c r="X127" s="240"/>
      <c r="Y127" s="228">
        <f t="shared" si="70"/>
        <v>0</v>
      </c>
      <c r="Z127" s="227"/>
      <c r="AA127" s="228">
        <f t="shared" si="56"/>
        <v>0</v>
      </c>
      <c r="AB127" s="227">
        <v>0</v>
      </c>
      <c r="AC127" s="228">
        <f t="shared" si="88"/>
        <v>0</v>
      </c>
      <c r="AD127" s="227"/>
      <c r="AE127" s="228">
        <f t="shared" si="71"/>
        <v>0</v>
      </c>
      <c r="AF127" s="227">
        <v>0</v>
      </c>
      <c r="AG127" s="228">
        <f t="shared" si="87"/>
        <v>0</v>
      </c>
      <c r="AH127" s="227"/>
      <c r="AI127" s="228">
        <f t="shared" si="57"/>
        <v>0</v>
      </c>
      <c r="AJ127" s="227">
        <v>0</v>
      </c>
      <c r="AK127" s="228">
        <f t="shared" si="74"/>
        <v>0</v>
      </c>
      <c r="AL127" s="227"/>
      <c r="AM127" s="228">
        <f t="shared" si="58"/>
        <v>0</v>
      </c>
      <c r="AN127" s="227">
        <v>0</v>
      </c>
      <c r="AO127" s="228">
        <f t="shared" si="75"/>
        <v>0</v>
      </c>
      <c r="AP127" s="228"/>
      <c r="AQ127" s="228">
        <f t="shared" si="59"/>
        <v>0</v>
      </c>
      <c r="AR127" s="293"/>
      <c r="AS127" s="228"/>
      <c r="AT127" s="228"/>
      <c r="AU127" s="228">
        <f t="shared" si="60"/>
        <v>0</v>
      </c>
      <c r="AV127" s="240"/>
      <c r="AW127" s="228">
        <f t="shared" si="94"/>
        <v>0</v>
      </c>
      <c r="AX127" s="292"/>
      <c r="AY127" s="228">
        <f t="shared" si="61"/>
        <v>0</v>
      </c>
      <c r="AZ127" s="227">
        <v>0</v>
      </c>
      <c r="BA127" s="228">
        <f t="shared" si="91"/>
        <v>0</v>
      </c>
      <c r="BB127" s="292"/>
      <c r="BC127" s="228">
        <f t="shared" si="62"/>
        <v>0</v>
      </c>
      <c r="BD127" s="247"/>
      <c r="BE127" s="228">
        <f t="shared" si="95"/>
        <v>0</v>
      </c>
      <c r="BF127" s="247"/>
      <c r="BG127" s="228">
        <f t="shared" si="63"/>
        <v>0</v>
      </c>
      <c r="BH127" s="247"/>
      <c r="BI127" s="228">
        <f t="shared" si="79"/>
        <v>0</v>
      </c>
      <c r="BJ127" s="247"/>
      <c r="BK127" s="228">
        <f t="shared" si="64"/>
        <v>0</v>
      </c>
      <c r="BL127" s="280" t="s">
        <v>1457</v>
      </c>
      <c r="BM127" s="220">
        <f t="shared" si="92"/>
        <v>0</v>
      </c>
      <c r="BN127" s="256"/>
      <c r="BO127" s="220">
        <f t="shared" si="65"/>
        <v>0</v>
      </c>
      <c r="BP127" s="294">
        <f t="shared" si="96"/>
        <v>655.552</v>
      </c>
      <c r="BQ127" s="220">
        <f t="shared" si="97"/>
        <v>0</v>
      </c>
      <c r="BR127" s="294">
        <f t="shared" si="98"/>
        <v>655.552</v>
      </c>
      <c r="BS127" s="254" t="s">
        <v>39</v>
      </c>
      <c r="BT127" s="229" t="s">
        <v>39</v>
      </c>
      <c r="BU127" s="295" t="s">
        <v>510</v>
      </c>
      <c r="BV127" s="230" t="s">
        <v>511</v>
      </c>
      <c r="BW127" s="231"/>
    </row>
    <row r="128" s="209" customFormat="1" ht="36" customHeight="1" spans="1:75">
      <c r="A128" s="219">
        <v>158</v>
      </c>
      <c r="B128" s="220" t="s">
        <v>574</v>
      </c>
      <c r="C128" s="221" t="s">
        <v>443</v>
      </c>
      <c r="D128" s="221" t="s">
        <v>506</v>
      </c>
      <c r="E128" s="221" t="s">
        <v>507</v>
      </c>
      <c r="F128" s="219" t="s">
        <v>81</v>
      </c>
      <c r="G128" s="222" t="s">
        <v>374</v>
      </c>
      <c r="H128" s="233" t="s">
        <v>39</v>
      </c>
      <c r="I128" s="237" t="s">
        <v>533</v>
      </c>
      <c r="J128" s="233" t="s">
        <v>534</v>
      </c>
      <c r="K128" s="290">
        <v>2538</v>
      </c>
      <c r="L128" s="223"/>
      <c r="M128" s="224"/>
      <c r="N128" s="291"/>
      <c r="O128" s="226">
        <v>564000</v>
      </c>
      <c r="P128" s="277">
        <v>0.19</v>
      </c>
      <c r="Q128" s="276">
        <f t="shared" si="85"/>
        <v>482.22</v>
      </c>
      <c r="R128" s="292"/>
      <c r="S128" s="276">
        <f t="shared" si="93"/>
        <v>482.22</v>
      </c>
      <c r="T128" s="227">
        <v>0</v>
      </c>
      <c r="U128" s="228">
        <f t="shared" si="86"/>
        <v>0</v>
      </c>
      <c r="V128" s="228"/>
      <c r="W128" s="228">
        <f t="shared" si="55"/>
        <v>0</v>
      </c>
      <c r="X128" s="240"/>
      <c r="Y128" s="228">
        <f t="shared" si="70"/>
        <v>0</v>
      </c>
      <c r="Z128" s="227"/>
      <c r="AA128" s="228">
        <f t="shared" si="56"/>
        <v>0</v>
      </c>
      <c r="AB128" s="227">
        <v>0</v>
      </c>
      <c r="AC128" s="228">
        <f t="shared" si="88"/>
        <v>0</v>
      </c>
      <c r="AD128" s="227"/>
      <c r="AE128" s="228">
        <f t="shared" si="71"/>
        <v>0</v>
      </c>
      <c r="AF128" s="227">
        <v>0</v>
      </c>
      <c r="AG128" s="228">
        <f t="shared" si="87"/>
        <v>0</v>
      </c>
      <c r="AH128" s="227"/>
      <c r="AI128" s="228">
        <f t="shared" si="57"/>
        <v>0</v>
      </c>
      <c r="AJ128" s="227">
        <v>0</v>
      </c>
      <c r="AK128" s="228">
        <f t="shared" si="74"/>
        <v>0</v>
      </c>
      <c r="AL128" s="227"/>
      <c r="AM128" s="228">
        <f t="shared" si="58"/>
        <v>0</v>
      </c>
      <c r="AN128" s="227">
        <v>0</v>
      </c>
      <c r="AO128" s="228">
        <f t="shared" si="75"/>
        <v>0</v>
      </c>
      <c r="AP128" s="228"/>
      <c r="AQ128" s="228">
        <f t="shared" si="59"/>
        <v>0</v>
      </c>
      <c r="AR128" s="293"/>
      <c r="AS128" s="228"/>
      <c r="AT128" s="228"/>
      <c r="AU128" s="228">
        <f t="shared" si="60"/>
        <v>0</v>
      </c>
      <c r="AV128" s="240"/>
      <c r="AW128" s="228">
        <f t="shared" si="94"/>
        <v>0</v>
      </c>
      <c r="AX128" s="292"/>
      <c r="AY128" s="228">
        <f t="shared" si="61"/>
        <v>0</v>
      </c>
      <c r="AZ128" s="227">
        <v>0</v>
      </c>
      <c r="BA128" s="228">
        <f t="shared" si="91"/>
        <v>0</v>
      </c>
      <c r="BB128" s="292"/>
      <c r="BC128" s="228">
        <f t="shared" si="62"/>
        <v>0</v>
      </c>
      <c r="BD128" s="247"/>
      <c r="BE128" s="228">
        <f t="shared" si="95"/>
        <v>0</v>
      </c>
      <c r="BF128" s="247"/>
      <c r="BG128" s="228">
        <f t="shared" si="63"/>
        <v>0</v>
      </c>
      <c r="BH128" s="247"/>
      <c r="BI128" s="228">
        <f t="shared" si="79"/>
        <v>0</v>
      </c>
      <c r="BJ128" s="247"/>
      <c r="BK128" s="228">
        <f t="shared" si="64"/>
        <v>0</v>
      </c>
      <c r="BL128" s="280" t="s">
        <v>1457</v>
      </c>
      <c r="BM128" s="220">
        <f t="shared" si="92"/>
        <v>0</v>
      </c>
      <c r="BN128" s="256"/>
      <c r="BO128" s="220">
        <f t="shared" si="65"/>
        <v>0</v>
      </c>
      <c r="BP128" s="294">
        <f t="shared" si="96"/>
        <v>482.22</v>
      </c>
      <c r="BQ128" s="220">
        <f t="shared" si="97"/>
        <v>0</v>
      </c>
      <c r="BR128" s="294">
        <f t="shared" si="98"/>
        <v>482.22</v>
      </c>
      <c r="BS128" s="254" t="s">
        <v>39</v>
      </c>
      <c r="BT128" s="229" t="s">
        <v>39</v>
      </c>
      <c r="BU128" s="295" t="s">
        <v>510</v>
      </c>
      <c r="BV128" s="230" t="s">
        <v>511</v>
      </c>
      <c r="BW128" s="231"/>
    </row>
    <row r="129" s="209" customFormat="1" ht="36" customHeight="1" spans="1:75">
      <c r="A129" s="219">
        <v>159</v>
      </c>
      <c r="B129" s="220" t="s">
        <v>579</v>
      </c>
      <c r="C129" s="221" t="s">
        <v>443</v>
      </c>
      <c r="D129" s="221" t="s">
        <v>506</v>
      </c>
      <c r="E129" s="221" t="s">
        <v>507</v>
      </c>
      <c r="F129" s="219" t="s">
        <v>81</v>
      </c>
      <c r="G129" s="222" t="s">
        <v>374</v>
      </c>
      <c r="H129" s="233" t="s">
        <v>39</v>
      </c>
      <c r="I129" s="237" t="s">
        <v>536</v>
      </c>
      <c r="J129" s="233" t="s">
        <v>537</v>
      </c>
      <c r="K129" s="290">
        <v>2745.4</v>
      </c>
      <c r="L129" s="223"/>
      <c r="M129" s="224"/>
      <c r="N129" s="291"/>
      <c r="O129" s="226">
        <v>672000</v>
      </c>
      <c r="P129" s="277">
        <v>0.16</v>
      </c>
      <c r="Q129" s="276">
        <f t="shared" si="85"/>
        <v>439.264</v>
      </c>
      <c r="R129" s="292"/>
      <c r="S129" s="276">
        <f t="shared" si="93"/>
        <v>439.264</v>
      </c>
      <c r="T129" s="227">
        <v>0</v>
      </c>
      <c r="U129" s="228">
        <f t="shared" si="86"/>
        <v>0</v>
      </c>
      <c r="V129" s="228"/>
      <c r="W129" s="228">
        <f t="shared" si="55"/>
        <v>0</v>
      </c>
      <c r="X129" s="240"/>
      <c r="Y129" s="228">
        <f t="shared" si="70"/>
        <v>0</v>
      </c>
      <c r="Z129" s="227"/>
      <c r="AA129" s="228">
        <f t="shared" si="56"/>
        <v>0</v>
      </c>
      <c r="AB129" s="227">
        <v>0</v>
      </c>
      <c r="AC129" s="228">
        <f t="shared" si="88"/>
        <v>0</v>
      </c>
      <c r="AD129" s="227"/>
      <c r="AE129" s="228">
        <f t="shared" si="71"/>
        <v>0</v>
      </c>
      <c r="AF129" s="227">
        <v>0</v>
      </c>
      <c r="AG129" s="228">
        <f t="shared" si="87"/>
        <v>0</v>
      </c>
      <c r="AH129" s="227"/>
      <c r="AI129" s="228">
        <f t="shared" si="57"/>
        <v>0</v>
      </c>
      <c r="AJ129" s="227">
        <v>0</v>
      </c>
      <c r="AK129" s="228">
        <f t="shared" si="74"/>
        <v>0</v>
      </c>
      <c r="AL129" s="227"/>
      <c r="AM129" s="228">
        <f t="shared" si="58"/>
        <v>0</v>
      </c>
      <c r="AN129" s="227">
        <v>0</v>
      </c>
      <c r="AO129" s="228">
        <f t="shared" si="75"/>
        <v>0</v>
      </c>
      <c r="AP129" s="228"/>
      <c r="AQ129" s="228">
        <f t="shared" si="59"/>
        <v>0</v>
      </c>
      <c r="AR129" s="293"/>
      <c r="AS129" s="228"/>
      <c r="AT129" s="228"/>
      <c r="AU129" s="228">
        <f t="shared" si="60"/>
        <v>0</v>
      </c>
      <c r="AV129" s="240"/>
      <c r="AW129" s="228">
        <f t="shared" si="94"/>
        <v>0</v>
      </c>
      <c r="AX129" s="292"/>
      <c r="AY129" s="228">
        <f t="shared" si="61"/>
        <v>0</v>
      </c>
      <c r="AZ129" s="227">
        <v>0</v>
      </c>
      <c r="BA129" s="228">
        <f t="shared" si="91"/>
        <v>0</v>
      </c>
      <c r="BB129" s="292"/>
      <c r="BC129" s="228">
        <f t="shared" si="62"/>
        <v>0</v>
      </c>
      <c r="BD129" s="247"/>
      <c r="BE129" s="228">
        <f t="shared" si="95"/>
        <v>0</v>
      </c>
      <c r="BF129" s="247"/>
      <c r="BG129" s="228">
        <f t="shared" si="63"/>
        <v>0</v>
      </c>
      <c r="BH129" s="247"/>
      <c r="BI129" s="228">
        <f t="shared" si="79"/>
        <v>0</v>
      </c>
      <c r="BJ129" s="247"/>
      <c r="BK129" s="228">
        <f t="shared" si="64"/>
        <v>0</v>
      </c>
      <c r="BL129" s="280" t="s">
        <v>1457</v>
      </c>
      <c r="BM129" s="220">
        <f t="shared" si="92"/>
        <v>0</v>
      </c>
      <c r="BN129" s="256"/>
      <c r="BO129" s="220">
        <f t="shared" si="65"/>
        <v>0</v>
      </c>
      <c r="BP129" s="294">
        <f t="shared" si="96"/>
        <v>439.264</v>
      </c>
      <c r="BQ129" s="220">
        <f t="shared" si="97"/>
        <v>0</v>
      </c>
      <c r="BR129" s="294">
        <f t="shared" si="98"/>
        <v>439.264</v>
      </c>
      <c r="BS129" s="254" t="s">
        <v>39</v>
      </c>
      <c r="BT129" s="229" t="s">
        <v>39</v>
      </c>
      <c r="BU129" s="295" t="s">
        <v>538</v>
      </c>
      <c r="BV129" s="230" t="s">
        <v>511</v>
      </c>
      <c r="BW129" s="231"/>
    </row>
    <row r="130" s="209" customFormat="1" ht="36" customHeight="1" spans="1:75">
      <c r="A130" s="219">
        <v>160</v>
      </c>
      <c r="B130" s="220" t="s">
        <v>584</v>
      </c>
      <c r="C130" s="221" t="s">
        <v>443</v>
      </c>
      <c r="D130" s="221" t="s">
        <v>506</v>
      </c>
      <c r="E130" s="221" t="s">
        <v>507</v>
      </c>
      <c r="F130" s="219" t="s">
        <v>81</v>
      </c>
      <c r="G130" s="222" t="s">
        <v>374</v>
      </c>
      <c r="H130" s="233" t="s">
        <v>39</v>
      </c>
      <c r="I130" s="237" t="s">
        <v>459</v>
      </c>
      <c r="J130" s="233" t="s">
        <v>540</v>
      </c>
      <c r="K130" s="290">
        <v>4510.1</v>
      </c>
      <c r="L130" s="223"/>
      <c r="M130" s="224"/>
      <c r="N130" s="291"/>
      <c r="O130" s="226">
        <v>588000</v>
      </c>
      <c r="P130" s="277">
        <v>0.19</v>
      </c>
      <c r="Q130" s="276">
        <f t="shared" si="85"/>
        <v>856.919</v>
      </c>
      <c r="R130" s="292"/>
      <c r="S130" s="276">
        <f t="shared" si="93"/>
        <v>856.919</v>
      </c>
      <c r="T130" s="227">
        <v>0</v>
      </c>
      <c r="U130" s="228">
        <f t="shared" si="86"/>
        <v>0</v>
      </c>
      <c r="V130" s="228"/>
      <c r="W130" s="228">
        <f t="shared" si="55"/>
        <v>0</v>
      </c>
      <c r="X130" s="240"/>
      <c r="Y130" s="228">
        <f t="shared" si="70"/>
        <v>0</v>
      </c>
      <c r="Z130" s="227"/>
      <c r="AA130" s="228">
        <f t="shared" si="56"/>
        <v>0</v>
      </c>
      <c r="AB130" s="227">
        <v>0</v>
      </c>
      <c r="AC130" s="228">
        <f t="shared" si="88"/>
        <v>0</v>
      </c>
      <c r="AD130" s="227"/>
      <c r="AE130" s="228">
        <f t="shared" si="71"/>
        <v>0</v>
      </c>
      <c r="AF130" s="227">
        <v>0</v>
      </c>
      <c r="AG130" s="228">
        <f t="shared" si="87"/>
        <v>0</v>
      </c>
      <c r="AH130" s="227"/>
      <c r="AI130" s="228">
        <f t="shared" si="57"/>
        <v>0</v>
      </c>
      <c r="AJ130" s="227">
        <v>0</v>
      </c>
      <c r="AK130" s="228">
        <f t="shared" si="74"/>
        <v>0</v>
      </c>
      <c r="AL130" s="227"/>
      <c r="AM130" s="228">
        <f t="shared" si="58"/>
        <v>0</v>
      </c>
      <c r="AN130" s="227">
        <v>0</v>
      </c>
      <c r="AO130" s="228">
        <f t="shared" si="75"/>
        <v>0</v>
      </c>
      <c r="AP130" s="228"/>
      <c r="AQ130" s="228">
        <f t="shared" si="59"/>
        <v>0</v>
      </c>
      <c r="AR130" s="293"/>
      <c r="AS130" s="228"/>
      <c r="AT130" s="228"/>
      <c r="AU130" s="228">
        <f t="shared" si="60"/>
        <v>0</v>
      </c>
      <c r="AV130" s="240"/>
      <c r="AW130" s="228">
        <f t="shared" si="94"/>
        <v>0</v>
      </c>
      <c r="AX130" s="292"/>
      <c r="AY130" s="228">
        <f t="shared" si="61"/>
        <v>0</v>
      </c>
      <c r="AZ130" s="227">
        <v>0</v>
      </c>
      <c r="BA130" s="228">
        <f t="shared" si="91"/>
        <v>0</v>
      </c>
      <c r="BB130" s="292"/>
      <c r="BC130" s="228">
        <f t="shared" si="62"/>
        <v>0</v>
      </c>
      <c r="BD130" s="247"/>
      <c r="BE130" s="228">
        <f t="shared" si="95"/>
        <v>0</v>
      </c>
      <c r="BF130" s="247"/>
      <c r="BG130" s="228">
        <f t="shared" si="63"/>
        <v>0</v>
      </c>
      <c r="BH130" s="247"/>
      <c r="BI130" s="228">
        <f t="shared" si="79"/>
        <v>0</v>
      </c>
      <c r="BJ130" s="247"/>
      <c r="BK130" s="228">
        <f t="shared" si="64"/>
        <v>0</v>
      </c>
      <c r="BL130" s="280" t="s">
        <v>1457</v>
      </c>
      <c r="BM130" s="220">
        <f t="shared" si="92"/>
        <v>0</v>
      </c>
      <c r="BN130" s="256"/>
      <c r="BO130" s="220">
        <f t="shared" si="65"/>
        <v>0</v>
      </c>
      <c r="BP130" s="294">
        <f t="shared" si="96"/>
        <v>856.919</v>
      </c>
      <c r="BQ130" s="220">
        <f t="shared" si="97"/>
        <v>0</v>
      </c>
      <c r="BR130" s="294">
        <f t="shared" si="98"/>
        <v>856.919</v>
      </c>
      <c r="BS130" s="254" t="s">
        <v>39</v>
      </c>
      <c r="BT130" s="229" t="s">
        <v>39</v>
      </c>
      <c r="BU130" s="295" t="s">
        <v>541</v>
      </c>
      <c r="BV130" s="230" t="s">
        <v>511</v>
      </c>
      <c r="BW130" s="231"/>
    </row>
    <row r="131" s="209" customFormat="1" ht="36" customHeight="1" spans="1:75">
      <c r="A131" s="219">
        <v>161</v>
      </c>
      <c r="B131" s="220" t="s">
        <v>588</v>
      </c>
      <c r="C131" s="221" t="s">
        <v>443</v>
      </c>
      <c r="D131" s="221" t="s">
        <v>506</v>
      </c>
      <c r="E131" s="221" t="s">
        <v>507</v>
      </c>
      <c r="F131" s="219" t="s">
        <v>81</v>
      </c>
      <c r="G131" s="222" t="s">
        <v>374</v>
      </c>
      <c r="H131" s="233" t="s">
        <v>39</v>
      </c>
      <c r="I131" s="237" t="s">
        <v>98</v>
      </c>
      <c r="J131" s="233" t="s">
        <v>543</v>
      </c>
      <c r="K131" s="290">
        <v>5714.25</v>
      </c>
      <c r="L131" s="223"/>
      <c r="M131" s="224"/>
      <c r="N131" s="291"/>
      <c r="O131" s="226">
        <v>1056000</v>
      </c>
      <c r="P131" s="277">
        <v>0.16</v>
      </c>
      <c r="Q131" s="276">
        <f t="shared" si="85"/>
        <v>914.28</v>
      </c>
      <c r="R131" s="292"/>
      <c r="S131" s="276">
        <f t="shared" si="93"/>
        <v>914.28</v>
      </c>
      <c r="T131" s="227">
        <v>0</v>
      </c>
      <c r="U131" s="228">
        <f t="shared" si="86"/>
        <v>0</v>
      </c>
      <c r="V131" s="228"/>
      <c r="W131" s="228">
        <f>U131-V131</f>
        <v>0</v>
      </c>
      <c r="X131" s="240"/>
      <c r="Y131" s="228">
        <f t="shared" si="70"/>
        <v>0</v>
      </c>
      <c r="Z131" s="227"/>
      <c r="AA131" s="228">
        <f>Y131-Z131</f>
        <v>0</v>
      </c>
      <c r="AB131" s="227">
        <v>0</v>
      </c>
      <c r="AC131" s="228">
        <f t="shared" si="88"/>
        <v>0</v>
      </c>
      <c r="AD131" s="227"/>
      <c r="AE131" s="228">
        <f t="shared" si="71"/>
        <v>0</v>
      </c>
      <c r="AF131" s="227">
        <v>0</v>
      </c>
      <c r="AG131" s="228">
        <f t="shared" si="87"/>
        <v>0</v>
      </c>
      <c r="AH131" s="227"/>
      <c r="AI131" s="228">
        <f>AG131-AH131</f>
        <v>0</v>
      </c>
      <c r="AJ131" s="227">
        <v>0</v>
      </c>
      <c r="AK131" s="228">
        <f t="shared" si="74"/>
        <v>0</v>
      </c>
      <c r="AL131" s="227"/>
      <c r="AM131" s="228">
        <f>AK131-AL131</f>
        <v>0</v>
      </c>
      <c r="AN131" s="227">
        <v>0</v>
      </c>
      <c r="AO131" s="228">
        <f t="shared" si="75"/>
        <v>0</v>
      </c>
      <c r="AP131" s="228"/>
      <c r="AQ131" s="228">
        <f>AO131-AP131</f>
        <v>0</v>
      </c>
      <c r="AR131" s="293"/>
      <c r="AS131" s="228"/>
      <c r="AT131" s="228"/>
      <c r="AU131" s="228">
        <f t="shared" ref="AU131:AU137" si="99">AS131-AT131</f>
        <v>0</v>
      </c>
      <c r="AV131" s="240"/>
      <c r="AW131" s="228">
        <f t="shared" si="94"/>
        <v>0</v>
      </c>
      <c r="AX131" s="292"/>
      <c r="AY131" s="228">
        <f>AW131-AX131</f>
        <v>0</v>
      </c>
      <c r="AZ131" s="227">
        <v>0</v>
      </c>
      <c r="BA131" s="228">
        <f t="shared" si="91"/>
        <v>0</v>
      </c>
      <c r="BB131" s="292"/>
      <c r="BC131" s="228">
        <f>BA131-BB131</f>
        <v>0</v>
      </c>
      <c r="BD131" s="247"/>
      <c r="BE131" s="228">
        <f t="shared" si="95"/>
        <v>0</v>
      </c>
      <c r="BF131" s="247"/>
      <c r="BG131" s="228">
        <f>BE131-BF131</f>
        <v>0</v>
      </c>
      <c r="BH131" s="247"/>
      <c r="BI131" s="228">
        <f t="shared" si="79"/>
        <v>0</v>
      </c>
      <c r="BJ131" s="247"/>
      <c r="BK131" s="228">
        <f>BI131-BJ131</f>
        <v>0</v>
      </c>
      <c r="BL131" s="280" t="s">
        <v>1457</v>
      </c>
      <c r="BM131" s="220">
        <f t="shared" si="92"/>
        <v>0</v>
      </c>
      <c r="BN131" s="256"/>
      <c r="BO131" s="220">
        <f>BM131-BN131</f>
        <v>0</v>
      </c>
      <c r="BP131" s="294">
        <f t="shared" si="96"/>
        <v>914.28</v>
      </c>
      <c r="BQ131" s="220">
        <f t="shared" si="97"/>
        <v>0</v>
      </c>
      <c r="BR131" s="294">
        <f t="shared" si="98"/>
        <v>914.28</v>
      </c>
      <c r="BS131" s="254" t="s">
        <v>39</v>
      </c>
      <c r="BT131" s="229" t="s">
        <v>39</v>
      </c>
      <c r="BU131" s="295" t="s">
        <v>538</v>
      </c>
      <c r="BV131" s="230" t="s">
        <v>511</v>
      </c>
      <c r="BW131" s="231"/>
    </row>
    <row r="132" s="209" customFormat="1" ht="36" customHeight="1" spans="1:75">
      <c r="A132" s="219">
        <v>162</v>
      </c>
      <c r="B132" s="220" t="s">
        <v>592</v>
      </c>
      <c r="C132" s="221" t="s">
        <v>443</v>
      </c>
      <c r="D132" s="221" t="s">
        <v>506</v>
      </c>
      <c r="E132" s="221" t="s">
        <v>507</v>
      </c>
      <c r="F132" s="219" t="s">
        <v>81</v>
      </c>
      <c r="G132" s="222" t="s">
        <v>374</v>
      </c>
      <c r="H132" s="233" t="s">
        <v>39</v>
      </c>
      <c r="I132" s="237" t="s">
        <v>240</v>
      </c>
      <c r="J132" s="233" t="s">
        <v>545</v>
      </c>
      <c r="K132" s="297">
        <v>0</v>
      </c>
      <c r="L132" s="223"/>
      <c r="M132" s="224"/>
      <c r="N132" s="291"/>
      <c r="O132" s="226">
        <v>1548000</v>
      </c>
      <c r="P132" s="277">
        <v>0.16</v>
      </c>
      <c r="Q132" s="276">
        <f t="shared" si="85"/>
        <v>0</v>
      </c>
      <c r="R132" s="292"/>
      <c r="S132" s="276">
        <f t="shared" si="93"/>
        <v>0</v>
      </c>
      <c r="T132" s="227">
        <v>0</v>
      </c>
      <c r="U132" s="228">
        <f t="shared" si="86"/>
        <v>0</v>
      </c>
      <c r="V132" s="228"/>
      <c r="W132" s="228">
        <f>U132-V132</f>
        <v>0</v>
      </c>
      <c r="X132" s="240"/>
      <c r="Y132" s="228">
        <f t="shared" si="70"/>
        <v>0</v>
      </c>
      <c r="Z132" s="227"/>
      <c r="AA132" s="228">
        <f>Y132-Z132</f>
        <v>0</v>
      </c>
      <c r="AB132" s="227">
        <v>0</v>
      </c>
      <c r="AC132" s="228">
        <f t="shared" si="88"/>
        <v>0</v>
      </c>
      <c r="AD132" s="227"/>
      <c r="AE132" s="228">
        <f t="shared" si="71"/>
        <v>0</v>
      </c>
      <c r="AF132" s="227">
        <v>0</v>
      </c>
      <c r="AG132" s="228">
        <f t="shared" si="87"/>
        <v>0</v>
      </c>
      <c r="AH132" s="227"/>
      <c r="AI132" s="228">
        <f>AG132-AH132</f>
        <v>0</v>
      </c>
      <c r="AJ132" s="227">
        <v>0</v>
      </c>
      <c r="AK132" s="228">
        <f t="shared" si="74"/>
        <v>0</v>
      </c>
      <c r="AL132" s="227"/>
      <c r="AM132" s="228">
        <f>AK132-AL132</f>
        <v>0</v>
      </c>
      <c r="AN132" s="227">
        <v>0</v>
      </c>
      <c r="AO132" s="228">
        <f t="shared" si="75"/>
        <v>0</v>
      </c>
      <c r="AP132" s="228"/>
      <c r="AQ132" s="228">
        <f>AO132-AP132</f>
        <v>0</v>
      </c>
      <c r="AR132" s="293"/>
      <c r="AS132" s="228"/>
      <c r="AT132" s="228"/>
      <c r="AU132" s="228">
        <f t="shared" si="99"/>
        <v>0</v>
      </c>
      <c r="AV132" s="240"/>
      <c r="AW132" s="228">
        <f t="shared" si="94"/>
        <v>0</v>
      </c>
      <c r="AX132" s="292"/>
      <c r="AY132" s="228">
        <f>AW132-AX132</f>
        <v>0</v>
      </c>
      <c r="AZ132" s="227">
        <v>0</v>
      </c>
      <c r="BA132" s="228">
        <f t="shared" si="91"/>
        <v>0</v>
      </c>
      <c r="BB132" s="292"/>
      <c r="BC132" s="228">
        <f>BA132-BB132</f>
        <v>0</v>
      </c>
      <c r="BD132" s="247"/>
      <c r="BE132" s="228">
        <f t="shared" si="95"/>
        <v>0</v>
      </c>
      <c r="BF132" s="247"/>
      <c r="BG132" s="228">
        <f>BE132-BF132</f>
        <v>0</v>
      </c>
      <c r="BH132" s="247"/>
      <c r="BI132" s="228">
        <f t="shared" si="79"/>
        <v>0</v>
      </c>
      <c r="BJ132" s="247"/>
      <c r="BK132" s="228">
        <f>BI132-BJ132</f>
        <v>0</v>
      </c>
      <c r="BL132" s="280" t="s">
        <v>1457</v>
      </c>
      <c r="BM132" s="220">
        <f t="shared" si="92"/>
        <v>0</v>
      </c>
      <c r="BN132" s="256"/>
      <c r="BO132" s="220">
        <f>BM132-BN132</f>
        <v>0</v>
      </c>
      <c r="BP132" s="294">
        <f t="shared" si="96"/>
        <v>0</v>
      </c>
      <c r="BQ132" s="220">
        <f t="shared" si="97"/>
        <v>0</v>
      </c>
      <c r="BR132" s="294">
        <f t="shared" si="98"/>
        <v>0</v>
      </c>
      <c r="BS132" s="254" t="s">
        <v>39</v>
      </c>
      <c r="BT132" s="229" t="s">
        <v>39</v>
      </c>
      <c r="BU132" s="295" t="s">
        <v>546</v>
      </c>
      <c r="BV132" s="230" t="s">
        <v>511</v>
      </c>
      <c r="BW132" s="231"/>
    </row>
    <row r="133" s="209" customFormat="1" ht="36" customHeight="1" spans="1:75">
      <c r="A133" s="219">
        <v>163</v>
      </c>
      <c r="B133" s="220" t="s">
        <v>595</v>
      </c>
      <c r="C133" s="221" t="s">
        <v>443</v>
      </c>
      <c r="D133" s="221" t="s">
        <v>506</v>
      </c>
      <c r="E133" s="221" t="s">
        <v>507</v>
      </c>
      <c r="F133" s="219" t="s">
        <v>81</v>
      </c>
      <c r="G133" s="222" t="s">
        <v>374</v>
      </c>
      <c r="H133" s="233" t="s">
        <v>39</v>
      </c>
      <c r="I133" s="237" t="s">
        <v>548</v>
      </c>
      <c r="J133" s="233" t="s">
        <v>545</v>
      </c>
      <c r="K133" s="297">
        <v>0</v>
      </c>
      <c r="L133" s="223"/>
      <c r="M133" s="224"/>
      <c r="N133" s="291"/>
      <c r="O133" s="226">
        <v>564000</v>
      </c>
      <c r="P133" s="277">
        <v>0.15</v>
      </c>
      <c r="Q133" s="276">
        <f t="shared" si="85"/>
        <v>0</v>
      </c>
      <c r="R133" s="292"/>
      <c r="S133" s="276">
        <f t="shared" si="93"/>
        <v>0</v>
      </c>
      <c r="T133" s="227">
        <v>0</v>
      </c>
      <c r="U133" s="228">
        <f t="shared" si="86"/>
        <v>0</v>
      </c>
      <c r="V133" s="228"/>
      <c r="W133" s="228">
        <f>U133-V133</f>
        <v>0</v>
      </c>
      <c r="X133" s="240"/>
      <c r="Y133" s="228">
        <f t="shared" si="70"/>
        <v>0</v>
      </c>
      <c r="Z133" s="227"/>
      <c r="AA133" s="228">
        <f>Y133-Z133</f>
        <v>0</v>
      </c>
      <c r="AB133" s="227">
        <v>0</v>
      </c>
      <c r="AC133" s="228">
        <f t="shared" si="88"/>
        <v>0</v>
      </c>
      <c r="AD133" s="227"/>
      <c r="AE133" s="228">
        <f t="shared" si="71"/>
        <v>0</v>
      </c>
      <c r="AF133" s="227">
        <v>0</v>
      </c>
      <c r="AG133" s="228">
        <f t="shared" si="87"/>
        <v>0</v>
      </c>
      <c r="AH133" s="227"/>
      <c r="AI133" s="228">
        <f>AG133-AH133</f>
        <v>0</v>
      </c>
      <c r="AJ133" s="227">
        <v>0</v>
      </c>
      <c r="AK133" s="228">
        <f t="shared" si="74"/>
        <v>0</v>
      </c>
      <c r="AL133" s="227"/>
      <c r="AM133" s="228">
        <f>AK133-AL133</f>
        <v>0</v>
      </c>
      <c r="AN133" s="227">
        <v>0</v>
      </c>
      <c r="AO133" s="228">
        <f t="shared" si="75"/>
        <v>0</v>
      </c>
      <c r="AP133" s="228"/>
      <c r="AQ133" s="228">
        <f>AO133-AP133</f>
        <v>0</v>
      </c>
      <c r="AR133" s="293"/>
      <c r="AS133" s="228"/>
      <c r="AT133" s="228"/>
      <c r="AU133" s="228">
        <f t="shared" si="99"/>
        <v>0</v>
      </c>
      <c r="AV133" s="240"/>
      <c r="AW133" s="228">
        <f t="shared" si="94"/>
        <v>0</v>
      </c>
      <c r="AX133" s="292"/>
      <c r="AY133" s="228">
        <f>AW133-AX133</f>
        <v>0</v>
      </c>
      <c r="AZ133" s="227">
        <v>0</v>
      </c>
      <c r="BA133" s="228">
        <f t="shared" si="91"/>
        <v>0</v>
      </c>
      <c r="BB133" s="292"/>
      <c r="BC133" s="228">
        <f>BA133-BB133</f>
        <v>0</v>
      </c>
      <c r="BD133" s="247"/>
      <c r="BE133" s="228">
        <f t="shared" si="95"/>
        <v>0</v>
      </c>
      <c r="BF133" s="247"/>
      <c r="BG133" s="228">
        <f>BE133-BF133</f>
        <v>0</v>
      </c>
      <c r="BH133" s="247"/>
      <c r="BI133" s="228">
        <f t="shared" si="79"/>
        <v>0</v>
      </c>
      <c r="BJ133" s="247"/>
      <c r="BK133" s="228">
        <f>BI133-BJ133</f>
        <v>0</v>
      </c>
      <c r="BL133" s="280" t="s">
        <v>1457</v>
      </c>
      <c r="BM133" s="220">
        <f t="shared" si="92"/>
        <v>0</v>
      </c>
      <c r="BN133" s="256"/>
      <c r="BO133" s="220">
        <f>BM133-BN133</f>
        <v>0</v>
      </c>
      <c r="BP133" s="294">
        <f t="shared" si="96"/>
        <v>0</v>
      </c>
      <c r="BQ133" s="220">
        <f t="shared" si="97"/>
        <v>0</v>
      </c>
      <c r="BR133" s="294">
        <f t="shared" si="98"/>
        <v>0</v>
      </c>
      <c r="BS133" s="254" t="s">
        <v>39</v>
      </c>
      <c r="BT133" s="229" t="s">
        <v>39</v>
      </c>
      <c r="BU133" s="295" t="s">
        <v>549</v>
      </c>
      <c r="BV133" s="230" t="s">
        <v>511</v>
      </c>
      <c r="BW133" s="231"/>
    </row>
    <row r="134" s="209" customFormat="1" ht="36" customHeight="1" spans="1:75">
      <c r="A134" s="219">
        <v>164</v>
      </c>
      <c r="B134" s="220" t="s">
        <v>599</v>
      </c>
      <c r="C134" s="221" t="s">
        <v>443</v>
      </c>
      <c r="D134" s="221" t="s">
        <v>506</v>
      </c>
      <c r="E134" s="221" t="s">
        <v>507</v>
      </c>
      <c r="F134" s="219" t="s">
        <v>81</v>
      </c>
      <c r="G134" s="222" t="s">
        <v>374</v>
      </c>
      <c r="H134" s="233" t="s">
        <v>39</v>
      </c>
      <c r="I134" s="237" t="s">
        <v>551</v>
      </c>
      <c r="J134" s="233" t="s">
        <v>552</v>
      </c>
      <c r="K134" s="290">
        <v>5061.1</v>
      </c>
      <c r="L134" s="223"/>
      <c r="M134" s="224"/>
      <c r="N134" s="291"/>
      <c r="O134" s="226">
        <v>672000</v>
      </c>
      <c r="P134" s="277">
        <v>0.19</v>
      </c>
      <c r="Q134" s="276">
        <f t="shared" si="85"/>
        <v>961.609</v>
      </c>
      <c r="R134" s="292"/>
      <c r="S134" s="276">
        <f t="shared" si="93"/>
        <v>961.609</v>
      </c>
      <c r="T134" s="227">
        <v>0</v>
      </c>
      <c r="U134" s="228">
        <f t="shared" si="86"/>
        <v>0</v>
      </c>
      <c r="V134" s="228"/>
      <c r="W134" s="228">
        <f>U134-V134</f>
        <v>0</v>
      </c>
      <c r="X134" s="240"/>
      <c r="Y134" s="228">
        <f>K134*X134</f>
        <v>0</v>
      </c>
      <c r="Z134" s="227"/>
      <c r="AA134" s="228">
        <f>Y134-Z134</f>
        <v>0</v>
      </c>
      <c r="AB134" s="227">
        <v>0</v>
      </c>
      <c r="AC134" s="228">
        <f t="shared" si="88"/>
        <v>0</v>
      </c>
      <c r="AD134" s="227"/>
      <c r="AE134" s="228">
        <f>AC134-AD134</f>
        <v>0</v>
      </c>
      <c r="AF134" s="227">
        <v>0</v>
      </c>
      <c r="AG134" s="228">
        <f t="shared" si="87"/>
        <v>0</v>
      </c>
      <c r="AH134" s="227"/>
      <c r="AI134" s="228">
        <f>AG134-AH134</f>
        <v>0</v>
      </c>
      <c r="AJ134" s="227">
        <v>0</v>
      </c>
      <c r="AK134" s="228">
        <f t="shared" si="74"/>
        <v>0</v>
      </c>
      <c r="AL134" s="227"/>
      <c r="AM134" s="228">
        <f>AK134-AL134</f>
        <v>0</v>
      </c>
      <c r="AN134" s="227">
        <v>0</v>
      </c>
      <c r="AO134" s="228">
        <f t="shared" si="75"/>
        <v>0</v>
      </c>
      <c r="AP134" s="228"/>
      <c r="AQ134" s="228">
        <f>AO134-AP134</f>
        <v>0</v>
      </c>
      <c r="AR134" s="293"/>
      <c r="AS134" s="228"/>
      <c r="AT134" s="228"/>
      <c r="AU134" s="228">
        <f t="shared" si="99"/>
        <v>0</v>
      </c>
      <c r="AV134" s="240"/>
      <c r="AW134" s="228">
        <f t="shared" si="94"/>
        <v>0</v>
      </c>
      <c r="AX134" s="292"/>
      <c r="AY134" s="228">
        <f>AW134-AX134</f>
        <v>0</v>
      </c>
      <c r="AZ134" s="227">
        <v>0</v>
      </c>
      <c r="BA134" s="228">
        <f t="shared" si="91"/>
        <v>0</v>
      </c>
      <c r="BB134" s="292"/>
      <c r="BC134" s="228">
        <f>BA134-BB134</f>
        <v>0</v>
      </c>
      <c r="BD134" s="247"/>
      <c r="BE134" s="228">
        <f t="shared" si="95"/>
        <v>0</v>
      </c>
      <c r="BF134" s="247"/>
      <c r="BG134" s="228">
        <f>BE134-BF134</f>
        <v>0</v>
      </c>
      <c r="BH134" s="247"/>
      <c r="BI134" s="228">
        <f t="shared" si="79"/>
        <v>0</v>
      </c>
      <c r="BJ134" s="247"/>
      <c r="BK134" s="228">
        <f>BI134-BJ134</f>
        <v>0</v>
      </c>
      <c r="BL134" s="280" t="s">
        <v>1457</v>
      </c>
      <c r="BM134" s="220">
        <f t="shared" si="92"/>
        <v>0</v>
      </c>
      <c r="BN134" s="256"/>
      <c r="BO134" s="220">
        <f>BM134-BN134</f>
        <v>0</v>
      </c>
      <c r="BP134" s="294">
        <f t="shared" si="96"/>
        <v>961.609</v>
      </c>
      <c r="BQ134" s="220">
        <f t="shared" si="97"/>
        <v>0</v>
      </c>
      <c r="BR134" s="294">
        <f t="shared" si="98"/>
        <v>961.609</v>
      </c>
      <c r="BS134" s="254" t="s">
        <v>39</v>
      </c>
      <c r="BT134" s="229" t="s">
        <v>39</v>
      </c>
      <c r="BU134" s="295" t="s">
        <v>553</v>
      </c>
      <c r="BV134" s="230" t="s">
        <v>511</v>
      </c>
      <c r="BW134" s="231"/>
    </row>
    <row r="135" s="209" customFormat="1" ht="35.25" customHeight="1" spans="1:75">
      <c r="A135" s="219">
        <v>165</v>
      </c>
      <c r="B135" s="220" t="s">
        <v>601</v>
      </c>
      <c r="C135" s="221" t="s">
        <v>443</v>
      </c>
      <c r="D135" s="221" t="s">
        <v>506</v>
      </c>
      <c r="E135" s="221" t="s">
        <v>507</v>
      </c>
      <c r="F135" s="219" t="s">
        <v>81</v>
      </c>
      <c r="G135" s="222" t="s">
        <v>374</v>
      </c>
      <c r="H135" s="233" t="s">
        <v>39</v>
      </c>
      <c r="I135" s="237" t="s">
        <v>555</v>
      </c>
      <c r="J135" s="233" t="s">
        <v>556</v>
      </c>
      <c r="K135" s="290">
        <v>4009.4</v>
      </c>
      <c r="L135" s="223"/>
      <c r="M135" s="224"/>
      <c r="N135" s="291"/>
      <c r="O135" s="226">
        <v>660000</v>
      </c>
      <c r="P135" s="277">
        <v>0.19</v>
      </c>
      <c r="Q135" s="276">
        <f t="shared" si="85"/>
        <v>761.786</v>
      </c>
      <c r="R135" s="292"/>
      <c r="S135" s="276">
        <f t="shared" si="93"/>
        <v>761.786</v>
      </c>
      <c r="T135" s="227">
        <v>0</v>
      </c>
      <c r="U135" s="228">
        <f t="shared" si="86"/>
        <v>0</v>
      </c>
      <c r="V135" s="228"/>
      <c r="W135" s="228">
        <f>U135-V135</f>
        <v>0</v>
      </c>
      <c r="X135" s="240"/>
      <c r="Y135" s="228">
        <f>K135*X135</f>
        <v>0</v>
      </c>
      <c r="Z135" s="227"/>
      <c r="AA135" s="228">
        <f>Y135-Z135</f>
        <v>0</v>
      </c>
      <c r="AB135" s="227">
        <v>0</v>
      </c>
      <c r="AC135" s="228">
        <f t="shared" si="88"/>
        <v>0</v>
      </c>
      <c r="AD135" s="227"/>
      <c r="AE135" s="228">
        <f>AC135-AD135</f>
        <v>0</v>
      </c>
      <c r="AF135" s="227">
        <v>0</v>
      </c>
      <c r="AG135" s="228">
        <f t="shared" si="87"/>
        <v>0</v>
      </c>
      <c r="AH135" s="227"/>
      <c r="AI135" s="228">
        <f>AG135-AH135</f>
        <v>0</v>
      </c>
      <c r="AJ135" s="227">
        <v>0</v>
      </c>
      <c r="AK135" s="228">
        <f t="shared" si="74"/>
        <v>0</v>
      </c>
      <c r="AL135" s="227"/>
      <c r="AM135" s="228">
        <f>AK135-AL135</f>
        <v>0</v>
      </c>
      <c r="AN135" s="227">
        <v>0</v>
      </c>
      <c r="AO135" s="228">
        <f t="shared" si="75"/>
        <v>0</v>
      </c>
      <c r="AP135" s="228"/>
      <c r="AQ135" s="228">
        <f>AO135-AP135</f>
        <v>0</v>
      </c>
      <c r="AR135" s="293"/>
      <c r="AS135" s="228"/>
      <c r="AT135" s="228"/>
      <c r="AU135" s="228">
        <f t="shared" si="99"/>
        <v>0</v>
      </c>
      <c r="AV135" s="240"/>
      <c r="AW135" s="228">
        <f t="shared" si="94"/>
        <v>0</v>
      </c>
      <c r="AX135" s="292"/>
      <c r="AY135" s="228">
        <f>AW135-AX135</f>
        <v>0</v>
      </c>
      <c r="AZ135" s="227">
        <v>0</v>
      </c>
      <c r="BA135" s="228">
        <f t="shared" si="91"/>
        <v>0</v>
      </c>
      <c r="BB135" s="292"/>
      <c r="BC135" s="228">
        <f>BA135-BB135</f>
        <v>0</v>
      </c>
      <c r="BD135" s="247"/>
      <c r="BE135" s="228">
        <f t="shared" si="95"/>
        <v>0</v>
      </c>
      <c r="BF135" s="247"/>
      <c r="BG135" s="228">
        <f>BE135-BF135</f>
        <v>0</v>
      </c>
      <c r="BH135" s="247"/>
      <c r="BI135" s="228">
        <f t="shared" si="79"/>
        <v>0</v>
      </c>
      <c r="BJ135" s="247"/>
      <c r="BK135" s="228">
        <f>BI135-BJ135</f>
        <v>0</v>
      </c>
      <c r="BL135" s="280" t="s">
        <v>1457</v>
      </c>
      <c r="BM135" s="220">
        <f t="shared" si="92"/>
        <v>0</v>
      </c>
      <c r="BN135" s="256"/>
      <c r="BO135" s="220">
        <f>BM135-BN135</f>
        <v>0</v>
      </c>
      <c r="BP135" s="294">
        <f t="shared" si="96"/>
        <v>761.786</v>
      </c>
      <c r="BQ135" s="220">
        <f t="shared" si="97"/>
        <v>0</v>
      </c>
      <c r="BR135" s="294">
        <f t="shared" si="98"/>
        <v>761.786</v>
      </c>
      <c r="BS135" s="254" t="s">
        <v>39</v>
      </c>
      <c r="BT135" s="229" t="s">
        <v>39</v>
      </c>
      <c r="BU135" s="295" t="s">
        <v>557</v>
      </c>
      <c r="BV135" s="230" t="s">
        <v>511</v>
      </c>
      <c r="BW135" s="231"/>
    </row>
    <row r="136" s="209" customFormat="1" ht="28.5" customHeight="1" spans="1:75">
      <c r="A136" s="219">
        <v>166</v>
      </c>
      <c r="B136" s="220" t="s">
        <v>603</v>
      </c>
      <c r="C136" s="221" t="s">
        <v>443</v>
      </c>
      <c r="D136" s="221" t="s">
        <v>506</v>
      </c>
      <c r="E136" s="221" t="s">
        <v>507</v>
      </c>
      <c r="F136" s="219" t="s">
        <v>81</v>
      </c>
      <c r="G136" s="243" t="s">
        <v>374</v>
      </c>
      <c r="H136" s="233" t="s">
        <v>39</v>
      </c>
      <c r="I136" s="237" t="s">
        <v>559</v>
      </c>
      <c r="J136" s="233" t="s">
        <v>560</v>
      </c>
      <c r="K136" s="296">
        <v>0</v>
      </c>
      <c r="L136" s="223"/>
      <c r="M136" s="224"/>
      <c r="N136" s="291"/>
      <c r="O136" s="226">
        <v>660000</v>
      </c>
      <c r="P136" s="277">
        <v>0.17</v>
      </c>
      <c r="Q136" s="276">
        <f t="shared" si="85"/>
        <v>0</v>
      </c>
      <c r="R136" s="298"/>
      <c r="S136" s="276">
        <f t="shared" si="93"/>
        <v>0</v>
      </c>
      <c r="T136" s="227">
        <v>0</v>
      </c>
      <c r="U136" s="228">
        <v>0</v>
      </c>
      <c r="V136" s="228"/>
      <c r="W136" s="228">
        <v>0</v>
      </c>
      <c r="X136" s="240"/>
      <c r="Y136" s="228">
        <v>0</v>
      </c>
      <c r="Z136" s="227"/>
      <c r="AA136" s="228">
        <v>0</v>
      </c>
      <c r="AB136" s="227">
        <v>0</v>
      </c>
      <c r="AC136" s="228">
        <v>0</v>
      </c>
      <c r="AD136" s="227"/>
      <c r="AE136" s="228">
        <v>0</v>
      </c>
      <c r="AF136" s="227">
        <v>0</v>
      </c>
      <c r="AG136" s="228">
        <v>0</v>
      </c>
      <c r="AH136" s="227"/>
      <c r="AI136" s="228">
        <v>0</v>
      </c>
      <c r="AJ136" s="227">
        <v>0</v>
      </c>
      <c r="AK136" s="228">
        <v>0</v>
      </c>
      <c r="AL136" s="227"/>
      <c r="AM136" s="228">
        <v>0</v>
      </c>
      <c r="AN136" s="227">
        <v>0</v>
      </c>
      <c r="AO136" s="228">
        <v>0</v>
      </c>
      <c r="AP136" s="228"/>
      <c r="AQ136" s="228">
        <v>0</v>
      </c>
      <c r="AR136" s="293"/>
      <c r="AS136" s="228"/>
      <c r="AT136" s="228"/>
      <c r="AU136" s="228">
        <f t="shared" si="99"/>
        <v>0</v>
      </c>
      <c r="AV136" s="240"/>
      <c r="AW136" s="228">
        <v>0</v>
      </c>
      <c r="AX136" s="292"/>
      <c r="AY136" s="228">
        <v>0</v>
      </c>
      <c r="AZ136" s="227">
        <v>0</v>
      </c>
      <c r="BA136" s="228">
        <v>0</v>
      </c>
      <c r="BB136" s="292"/>
      <c r="BC136" s="228">
        <v>0</v>
      </c>
      <c r="BD136" s="247"/>
      <c r="BE136" s="228">
        <v>0</v>
      </c>
      <c r="BF136" s="247"/>
      <c r="BG136" s="228">
        <v>0</v>
      </c>
      <c r="BH136" s="247"/>
      <c r="BI136" s="228">
        <v>0</v>
      </c>
      <c r="BJ136" s="247"/>
      <c r="BK136" s="228">
        <v>0</v>
      </c>
      <c r="BL136" s="280" t="s">
        <v>1457</v>
      </c>
      <c r="BM136" s="220">
        <v>0</v>
      </c>
      <c r="BN136" s="256"/>
      <c r="BO136" s="220">
        <v>0</v>
      </c>
      <c r="BP136" s="294">
        <f t="shared" si="96"/>
        <v>0</v>
      </c>
      <c r="BQ136" s="220">
        <f t="shared" si="97"/>
        <v>0</v>
      </c>
      <c r="BR136" s="294">
        <f t="shared" si="98"/>
        <v>0</v>
      </c>
      <c r="BS136" s="254" t="s">
        <v>39</v>
      </c>
      <c r="BT136" s="229" t="s">
        <v>39</v>
      </c>
      <c r="BU136" s="295" t="s">
        <v>510</v>
      </c>
      <c r="BV136" s="230" t="s">
        <v>511</v>
      </c>
      <c r="BW136" s="231"/>
    </row>
    <row r="137" s="209" customFormat="1" ht="27.75" customHeight="1" spans="1:75">
      <c r="A137" s="219">
        <v>167</v>
      </c>
      <c r="B137" s="220" t="s">
        <v>606</v>
      </c>
      <c r="C137" s="221" t="s">
        <v>443</v>
      </c>
      <c r="D137" s="221" t="s">
        <v>506</v>
      </c>
      <c r="E137" s="221" t="s">
        <v>507</v>
      </c>
      <c r="F137" s="219" t="s">
        <v>81</v>
      </c>
      <c r="G137" s="243" t="s">
        <v>374</v>
      </c>
      <c r="H137" s="233" t="s">
        <v>39</v>
      </c>
      <c r="I137" s="237" t="s">
        <v>562</v>
      </c>
      <c r="J137" s="233" t="s">
        <v>563</v>
      </c>
      <c r="K137" s="290">
        <v>7929.73</v>
      </c>
      <c r="L137" s="223"/>
      <c r="M137" s="224"/>
      <c r="N137" s="291"/>
      <c r="O137" s="226">
        <v>2004000</v>
      </c>
      <c r="P137" s="277">
        <v>0.15</v>
      </c>
      <c r="Q137" s="276">
        <f t="shared" si="85"/>
        <v>1189.4595</v>
      </c>
      <c r="R137" s="298"/>
      <c r="S137" s="276">
        <f t="shared" si="93"/>
        <v>1189.4595</v>
      </c>
      <c r="T137" s="227">
        <v>0</v>
      </c>
      <c r="U137" s="228">
        <v>0</v>
      </c>
      <c r="V137" s="228"/>
      <c r="W137" s="228">
        <v>0</v>
      </c>
      <c r="X137" s="240"/>
      <c r="Y137" s="228">
        <v>0</v>
      </c>
      <c r="Z137" s="227"/>
      <c r="AA137" s="228">
        <v>0</v>
      </c>
      <c r="AB137" s="227">
        <v>0</v>
      </c>
      <c r="AC137" s="228">
        <v>0</v>
      </c>
      <c r="AD137" s="227"/>
      <c r="AE137" s="228">
        <v>0</v>
      </c>
      <c r="AF137" s="227">
        <v>0</v>
      </c>
      <c r="AG137" s="228">
        <v>0</v>
      </c>
      <c r="AH137" s="227"/>
      <c r="AI137" s="228">
        <v>0</v>
      </c>
      <c r="AJ137" s="227">
        <v>0</v>
      </c>
      <c r="AK137" s="228">
        <v>0</v>
      </c>
      <c r="AL137" s="227"/>
      <c r="AM137" s="228">
        <v>0</v>
      </c>
      <c r="AN137" s="227">
        <v>0</v>
      </c>
      <c r="AO137" s="228">
        <v>0</v>
      </c>
      <c r="AP137" s="228"/>
      <c r="AQ137" s="228">
        <v>0</v>
      </c>
      <c r="AR137" s="293"/>
      <c r="AS137" s="228"/>
      <c r="AT137" s="228"/>
      <c r="AU137" s="228">
        <f t="shared" si="99"/>
        <v>0</v>
      </c>
      <c r="AV137" s="240"/>
      <c r="AW137" s="228">
        <v>0</v>
      </c>
      <c r="AX137" s="292"/>
      <c r="AY137" s="228">
        <v>0</v>
      </c>
      <c r="AZ137" s="227">
        <v>0</v>
      </c>
      <c r="BA137" s="228">
        <v>0</v>
      </c>
      <c r="BB137" s="292"/>
      <c r="BC137" s="228">
        <v>0</v>
      </c>
      <c r="BD137" s="247"/>
      <c r="BE137" s="228">
        <v>0</v>
      </c>
      <c r="BF137" s="247"/>
      <c r="BG137" s="228">
        <v>0</v>
      </c>
      <c r="BH137" s="247"/>
      <c r="BI137" s="228">
        <v>0</v>
      </c>
      <c r="BJ137" s="247"/>
      <c r="BK137" s="228">
        <v>0</v>
      </c>
      <c r="BL137" s="280" t="s">
        <v>1457</v>
      </c>
      <c r="BM137" s="220">
        <v>0</v>
      </c>
      <c r="BN137" s="256"/>
      <c r="BO137" s="220">
        <v>0</v>
      </c>
      <c r="BP137" s="294">
        <f t="shared" si="96"/>
        <v>1189.4595</v>
      </c>
      <c r="BQ137" s="220">
        <f t="shared" si="97"/>
        <v>0</v>
      </c>
      <c r="BR137" s="294">
        <f t="shared" si="98"/>
        <v>1189.4595</v>
      </c>
      <c r="BS137" s="254" t="s">
        <v>39</v>
      </c>
      <c r="BT137" s="229" t="s">
        <v>39</v>
      </c>
      <c r="BU137" s="295" t="s">
        <v>564</v>
      </c>
      <c r="BV137" s="230" t="s">
        <v>511</v>
      </c>
      <c r="BW137" s="231"/>
    </row>
    <row r="138" s="209" customFormat="1" ht="36" customHeight="1" spans="1:75">
      <c r="A138" s="219">
        <v>168</v>
      </c>
      <c r="B138" s="220" t="s">
        <v>609</v>
      </c>
      <c r="C138" s="221" t="s">
        <v>443</v>
      </c>
      <c r="D138" s="221" t="s">
        <v>506</v>
      </c>
      <c r="E138" s="221" t="s">
        <v>507</v>
      </c>
      <c r="F138" s="219" t="s">
        <v>81</v>
      </c>
      <c r="G138" s="222" t="s">
        <v>374</v>
      </c>
      <c r="H138" s="233" t="s">
        <v>39</v>
      </c>
      <c r="I138" s="237" t="s">
        <v>566</v>
      </c>
      <c r="J138" s="233" t="s">
        <v>567</v>
      </c>
      <c r="K138" s="290">
        <v>0</v>
      </c>
      <c r="L138" s="223"/>
      <c r="M138" s="224"/>
      <c r="N138" s="291"/>
      <c r="O138" s="226">
        <v>348000</v>
      </c>
      <c r="P138" s="277">
        <v>0.19</v>
      </c>
      <c r="Q138" s="276">
        <f t="shared" ref="Q138:Q160" si="100">K138*P138</f>
        <v>0</v>
      </c>
      <c r="R138" s="292"/>
      <c r="S138" s="276">
        <f t="shared" si="93"/>
        <v>0</v>
      </c>
      <c r="T138" s="227">
        <v>0</v>
      </c>
      <c r="U138" s="228">
        <f t="shared" ref="U138:U173" si="101">K138*T138</f>
        <v>0</v>
      </c>
      <c r="V138" s="228"/>
      <c r="W138" s="228">
        <f t="shared" ref="W138:W194" si="102">U138-V138</f>
        <v>0</v>
      </c>
      <c r="X138" s="240"/>
      <c r="Y138" s="228">
        <f t="shared" ref="Y138:Y197" si="103">K138*X138</f>
        <v>0</v>
      </c>
      <c r="Z138" s="227"/>
      <c r="AA138" s="228">
        <f t="shared" ref="AA138:AA194" si="104">Y138-Z138</f>
        <v>0</v>
      </c>
      <c r="AB138" s="227">
        <v>0</v>
      </c>
      <c r="AC138" s="228">
        <f t="shared" ref="AC138:AC175" si="105">K138*AB138</f>
        <v>0</v>
      </c>
      <c r="AD138" s="227"/>
      <c r="AE138" s="228">
        <f t="shared" ref="AE138:AE194" si="106">AC138-AD138</f>
        <v>0</v>
      </c>
      <c r="AF138" s="227">
        <v>0</v>
      </c>
      <c r="AG138" s="228">
        <f t="shared" ref="AG138:AG173" si="107">K138*AF138</f>
        <v>0</v>
      </c>
      <c r="AH138" s="227"/>
      <c r="AI138" s="228">
        <f t="shared" ref="AI138:AI194" si="108">AG138-AH138</f>
        <v>0</v>
      </c>
      <c r="AJ138" s="227">
        <v>0</v>
      </c>
      <c r="AK138" s="228">
        <f t="shared" ref="AK138:AK145" si="109">K138*AJ138</f>
        <v>0</v>
      </c>
      <c r="AL138" s="227"/>
      <c r="AM138" s="228">
        <f t="shared" ref="AM138:AM194" si="110">AK138-AL138</f>
        <v>0</v>
      </c>
      <c r="AN138" s="227">
        <v>0</v>
      </c>
      <c r="AO138" s="228">
        <f t="shared" ref="AO138:AO145" si="111">K138*AN138</f>
        <v>0</v>
      </c>
      <c r="AP138" s="228"/>
      <c r="AQ138" s="228">
        <f t="shared" ref="AQ138:AQ194" si="112">AO138-AP138</f>
        <v>0</v>
      </c>
      <c r="AR138" s="293"/>
      <c r="AS138" s="228"/>
      <c r="AT138" s="228"/>
      <c r="AU138" s="228">
        <f t="shared" ref="AU138:AU194" si="113">AS138-AT138</f>
        <v>0</v>
      </c>
      <c r="AV138" s="240"/>
      <c r="AW138" s="228">
        <f t="shared" ref="AW138:AW162" si="114">K138*AV138</f>
        <v>0</v>
      </c>
      <c r="AX138" s="292"/>
      <c r="AY138" s="228">
        <f t="shared" ref="AY138:AY194" si="115">AW138-AX138</f>
        <v>0</v>
      </c>
      <c r="AZ138" s="227">
        <v>0</v>
      </c>
      <c r="BA138" s="228">
        <f>K138*AZ138</f>
        <v>0</v>
      </c>
      <c r="BB138" s="292"/>
      <c r="BC138" s="228">
        <f t="shared" ref="BC138:BC194" si="116">BA138-BB138</f>
        <v>0</v>
      </c>
      <c r="BD138" s="247"/>
      <c r="BE138" s="228">
        <f>K138*BD138</f>
        <v>0</v>
      </c>
      <c r="BF138" s="247"/>
      <c r="BG138" s="228">
        <f t="shared" ref="BG138:BG194" si="117">BE138-BF138</f>
        <v>0</v>
      </c>
      <c r="BH138" s="247"/>
      <c r="BI138" s="228">
        <f>K138*BH138</f>
        <v>0</v>
      </c>
      <c r="BJ138" s="247"/>
      <c r="BK138" s="228">
        <f t="shared" ref="BK138:BK194" si="118">BI138-BJ138</f>
        <v>0</v>
      </c>
      <c r="BL138" s="280" t="s">
        <v>1457</v>
      </c>
      <c r="BM138" s="220">
        <f t="shared" ref="BM138:BM184" si="119">BN138</f>
        <v>0</v>
      </c>
      <c r="BN138" s="256"/>
      <c r="BO138" s="220">
        <f t="shared" ref="BO138:BO194" si="120">BM138-BN138</f>
        <v>0</v>
      </c>
      <c r="BP138" s="294">
        <f t="shared" si="96"/>
        <v>0</v>
      </c>
      <c r="BQ138" s="220">
        <f t="shared" si="97"/>
        <v>0</v>
      </c>
      <c r="BR138" s="294">
        <f t="shared" si="98"/>
        <v>0</v>
      </c>
      <c r="BS138" s="254" t="s">
        <v>39</v>
      </c>
      <c r="BT138" s="229" t="s">
        <v>39</v>
      </c>
      <c r="BU138" s="295" t="s">
        <v>510</v>
      </c>
      <c r="BV138" s="230" t="s">
        <v>511</v>
      </c>
      <c r="BW138" s="231"/>
    </row>
    <row r="139" s="209" customFormat="1" ht="36" customHeight="1" spans="1:75">
      <c r="A139" s="219">
        <v>169</v>
      </c>
      <c r="B139" s="220" t="s">
        <v>612</v>
      </c>
      <c r="C139" s="221" t="s">
        <v>443</v>
      </c>
      <c r="D139" s="221" t="s">
        <v>506</v>
      </c>
      <c r="E139" s="221" t="s">
        <v>507</v>
      </c>
      <c r="F139" s="219" t="s">
        <v>81</v>
      </c>
      <c r="G139" s="222" t="s">
        <v>374</v>
      </c>
      <c r="H139" s="233" t="s">
        <v>39</v>
      </c>
      <c r="I139" s="237" t="s">
        <v>569</v>
      </c>
      <c r="J139" s="233" t="s">
        <v>570</v>
      </c>
      <c r="K139" s="290">
        <v>5267.1</v>
      </c>
      <c r="L139" s="223"/>
      <c r="M139" s="224"/>
      <c r="N139" s="291"/>
      <c r="O139" s="226">
        <v>1032000</v>
      </c>
      <c r="P139" s="277">
        <v>0.19</v>
      </c>
      <c r="Q139" s="276">
        <f t="shared" si="100"/>
        <v>1000.749</v>
      </c>
      <c r="R139" s="292"/>
      <c r="S139" s="276">
        <f t="shared" si="93"/>
        <v>1000.749</v>
      </c>
      <c r="T139" s="227">
        <v>0</v>
      </c>
      <c r="U139" s="228">
        <f t="shared" si="101"/>
        <v>0</v>
      </c>
      <c r="V139" s="228"/>
      <c r="W139" s="228">
        <f t="shared" si="102"/>
        <v>0</v>
      </c>
      <c r="X139" s="240"/>
      <c r="Y139" s="228">
        <f t="shared" si="103"/>
        <v>0</v>
      </c>
      <c r="Z139" s="227"/>
      <c r="AA139" s="228">
        <f t="shared" si="104"/>
        <v>0</v>
      </c>
      <c r="AB139" s="227">
        <v>0</v>
      </c>
      <c r="AC139" s="228">
        <f t="shared" si="105"/>
        <v>0</v>
      </c>
      <c r="AD139" s="227"/>
      <c r="AE139" s="228">
        <f t="shared" si="106"/>
        <v>0</v>
      </c>
      <c r="AF139" s="227">
        <v>0</v>
      </c>
      <c r="AG139" s="228">
        <f t="shared" si="107"/>
        <v>0</v>
      </c>
      <c r="AH139" s="227"/>
      <c r="AI139" s="228">
        <f t="shared" si="108"/>
        <v>0</v>
      </c>
      <c r="AJ139" s="227">
        <v>0</v>
      </c>
      <c r="AK139" s="228">
        <f t="shared" si="109"/>
        <v>0</v>
      </c>
      <c r="AL139" s="227"/>
      <c r="AM139" s="228">
        <f t="shared" si="110"/>
        <v>0</v>
      </c>
      <c r="AN139" s="227">
        <v>0</v>
      </c>
      <c r="AO139" s="228">
        <f t="shared" si="111"/>
        <v>0</v>
      </c>
      <c r="AP139" s="228"/>
      <c r="AQ139" s="228">
        <f t="shared" si="112"/>
        <v>0</v>
      </c>
      <c r="AR139" s="293"/>
      <c r="AS139" s="228"/>
      <c r="AT139" s="228"/>
      <c r="AU139" s="228">
        <f t="shared" si="113"/>
        <v>0</v>
      </c>
      <c r="AV139" s="240"/>
      <c r="AW139" s="228">
        <f t="shared" si="114"/>
        <v>0</v>
      </c>
      <c r="AX139" s="292"/>
      <c r="AY139" s="228">
        <f t="shared" si="115"/>
        <v>0</v>
      </c>
      <c r="AZ139" s="227">
        <v>0</v>
      </c>
      <c r="BA139" s="228">
        <f>K139*AZ139</f>
        <v>0</v>
      </c>
      <c r="BB139" s="292"/>
      <c r="BC139" s="228">
        <f t="shared" si="116"/>
        <v>0</v>
      </c>
      <c r="BD139" s="247"/>
      <c r="BE139" s="228">
        <f>K139*BD139</f>
        <v>0</v>
      </c>
      <c r="BF139" s="247"/>
      <c r="BG139" s="228">
        <f t="shared" si="117"/>
        <v>0</v>
      </c>
      <c r="BH139" s="247"/>
      <c r="BI139" s="228">
        <f>K139*BH139</f>
        <v>0</v>
      </c>
      <c r="BJ139" s="247"/>
      <c r="BK139" s="228">
        <f t="shared" si="118"/>
        <v>0</v>
      </c>
      <c r="BL139" s="280" t="s">
        <v>1457</v>
      </c>
      <c r="BM139" s="220">
        <f t="shared" si="119"/>
        <v>0</v>
      </c>
      <c r="BN139" s="256"/>
      <c r="BO139" s="220">
        <f t="shared" si="120"/>
        <v>0</v>
      </c>
      <c r="BP139" s="294">
        <f t="shared" si="96"/>
        <v>1000.749</v>
      </c>
      <c r="BQ139" s="220">
        <f t="shared" si="97"/>
        <v>0</v>
      </c>
      <c r="BR139" s="294">
        <f t="shared" si="98"/>
        <v>1000.749</v>
      </c>
      <c r="BS139" s="254" t="s">
        <v>39</v>
      </c>
      <c r="BT139" s="229" t="s">
        <v>39</v>
      </c>
      <c r="BU139" s="295" t="s">
        <v>510</v>
      </c>
      <c r="BV139" s="230" t="s">
        <v>511</v>
      </c>
      <c r="BW139" s="231"/>
    </row>
    <row r="140" s="209" customFormat="1" ht="36" customHeight="1" spans="1:75">
      <c r="A140" s="219">
        <v>170</v>
      </c>
      <c r="B140" s="220" t="s">
        <v>614</v>
      </c>
      <c r="C140" s="221" t="s">
        <v>443</v>
      </c>
      <c r="D140" s="221" t="s">
        <v>506</v>
      </c>
      <c r="E140" s="221" t="s">
        <v>507</v>
      </c>
      <c r="F140" s="219" t="s">
        <v>81</v>
      </c>
      <c r="G140" s="222" t="s">
        <v>374</v>
      </c>
      <c r="H140" s="233" t="s">
        <v>39</v>
      </c>
      <c r="I140" s="237" t="s">
        <v>572</v>
      </c>
      <c r="J140" s="233" t="s">
        <v>573</v>
      </c>
      <c r="K140" s="290">
        <v>5204.8</v>
      </c>
      <c r="L140" s="223"/>
      <c r="M140" s="224"/>
      <c r="N140" s="291"/>
      <c r="O140" s="226">
        <v>1128000</v>
      </c>
      <c r="P140" s="277">
        <v>0.18</v>
      </c>
      <c r="Q140" s="276">
        <f t="shared" si="100"/>
        <v>936.864</v>
      </c>
      <c r="R140" s="292"/>
      <c r="S140" s="276">
        <f t="shared" si="93"/>
        <v>936.864</v>
      </c>
      <c r="T140" s="227">
        <v>0</v>
      </c>
      <c r="U140" s="228">
        <f t="shared" si="101"/>
        <v>0</v>
      </c>
      <c r="V140" s="228"/>
      <c r="W140" s="228">
        <f t="shared" si="102"/>
        <v>0</v>
      </c>
      <c r="X140" s="240"/>
      <c r="Y140" s="228">
        <f t="shared" si="103"/>
        <v>0</v>
      </c>
      <c r="Z140" s="227"/>
      <c r="AA140" s="228">
        <f t="shared" si="104"/>
        <v>0</v>
      </c>
      <c r="AB140" s="227">
        <v>0</v>
      </c>
      <c r="AC140" s="228">
        <f t="shared" si="105"/>
        <v>0</v>
      </c>
      <c r="AD140" s="227"/>
      <c r="AE140" s="228">
        <f t="shared" si="106"/>
        <v>0</v>
      </c>
      <c r="AF140" s="227">
        <v>0</v>
      </c>
      <c r="AG140" s="228">
        <f t="shared" si="107"/>
        <v>0</v>
      </c>
      <c r="AH140" s="227"/>
      <c r="AI140" s="228">
        <f t="shared" si="108"/>
        <v>0</v>
      </c>
      <c r="AJ140" s="227">
        <v>0</v>
      </c>
      <c r="AK140" s="228">
        <f t="shared" si="109"/>
        <v>0</v>
      </c>
      <c r="AL140" s="227"/>
      <c r="AM140" s="228">
        <f t="shared" si="110"/>
        <v>0</v>
      </c>
      <c r="AN140" s="227">
        <v>0</v>
      </c>
      <c r="AO140" s="228">
        <f t="shared" si="111"/>
        <v>0</v>
      </c>
      <c r="AP140" s="228"/>
      <c r="AQ140" s="228">
        <f t="shared" si="112"/>
        <v>0</v>
      </c>
      <c r="AR140" s="293"/>
      <c r="AS140" s="228"/>
      <c r="AT140" s="228"/>
      <c r="AU140" s="228">
        <f t="shared" si="113"/>
        <v>0</v>
      </c>
      <c r="AV140" s="240"/>
      <c r="AW140" s="228">
        <f t="shared" si="114"/>
        <v>0</v>
      </c>
      <c r="AX140" s="292"/>
      <c r="AY140" s="228">
        <f t="shared" si="115"/>
        <v>0</v>
      </c>
      <c r="AZ140" s="227">
        <v>0</v>
      </c>
      <c r="BA140" s="228">
        <f>K140*AZ140</f>
        <v>0</v>
      </c>
      <c r="BB140" s="292"/>
      <c r="BC140" s="228">
        <f t="shared" si="116"/>
        <v>0</v>
      </c>
      <c r="BD140" s="247"/>
      <c r="BE140" s="228">
        <f>K140*BD140</f>
        <v>0</v>
      </c>
      <c r="BF140" s="247"/>
      <c r="BG140" s="228">
        <f t="shared" si="117"/>
        <v>0</v>
      </c>
      <c r="BH140" s="247"/>
      <c r="BI140" s="228">
        <f>K140*BH140</f>
        <v>0</v>
      </c>
      <c r="BJ140" s="247"/>
      <c r="BK140" s="228">
        <f t="shared" si="118"/>
        <v>0</v>
      </c>
      <c r="BL140" s="280" t="s">
        <v>1457</v>
      </c>
      <c r="BM140" s="220">
        <f t="shared" si="119"/>
        <v>0</v>
      </c>
      <c r="BN140" s="256"/>
      <c r="BO140" s="220">
        <f t="shared" si="120"/>
        <v>0</v>
      </c>
      <c r="BP140" s="294">
        <f t="shared" si="96"/>
        <v>936.864</v>
      </c>
      <c r="BQ140" s="220">
        <f t="shared" si="97"/>
        <v>0</v>
      </c>
      <c r="BR140" s="294">
        <f t="shared" si="98"/>
        <v>936.864</v>
      </c>
      <c r="BS140" s="254" t="s">
        <v>39</v>
      </c>
      <c r="BT140" s="229" t="s">
        <v>39</v>
      </c>
      <c r="BU140" s="295" t="s">
        <v>520</v>
      </c>
      <c r="BV140" s="230" t="s">
        <v>511</v>
      </c>
      <c r="BW140" s="231"/>
    </row>
    <row r="141" s="209" customFormat="1" ht="36" customHeight="1" spans="1:75">
      <c r="A141" s="219">
        <v>171</v>
      </c>
      <c r="B141" s="220" t="s">
        <v>617</v>
      </c>
      <c r="C141" s="221" t="s">
        <v>443</v>
      </c>
      <c r="D141" s="221" t="s">
        <v>506</v>
      </c>
      <c r="E141" s="221" t="s">
        <v>507</v>
      </c>
      <c r="F141" s="219" t="s">
        <v>81</v>
      </c>
      <c r="G141" s="222" t="s">
        <v>374</v>
      </c>
      <c r="H141" s="233" t="s">
        <v>39</v>
      </c>
      <c r="I141" s="237" t="s">
        <v>87</v>
      </c>
      <c r="J141" s="233" t="s">
        <v>575</v>
      </c>
      <c r="K141" s="290">
        <v>12185.1</v>
      </c>
      <c r="L141" s="223"/>
      <c r="M141" s="224"/>
      <c r="N141" s="291"/>
      <c r="O141" s="226">
        <v>912000</v>
      </c>
      <c r="P141" s="277">
        <v>0.19</v>
      </c>
      <c r="Q141" s="276">
        <f t="shared" si="100"/>
        <v>2315.169</v>
      </c>
      <c r="R141" s="292"/>
      <c r="S141" s="276">
        <f t="shared" si="93"/>
        <v>2315.169</v>
      </c>
      <c r="T141" s="227">
        <v>0</v>
      </c>
      <c r="U141" s="228">
        <f t="shared" si="101"/>
        <v>0</v>
      </c>
      <c r="V141" s="228"/>
      <c r="W141" s="228">
        <f t="shared" si="102"/>
        <v>0</v>
      </c>
      <c r="X141" s="240"/>
      <c r="Y141" s="228">
        <f t="shared" si="103"/>
        <v>0</v>
      </c>
      <c r="Z141" s="227"/>
      <c r="AA141" s="228">
        <f t="shared" si="104"/>
        <v>0</v>
      </c>
      <c r="AB141" s="227">
        <v>0</v>
      </c>
      <c r="AC141" s="228">
        <f t="shared" si="105"/>
        <v>0</v>
      </c>
      <c r="AD141" s="227"/>
      <c r="AE141" s="228">
        <f t="shared" si="106"/>
        <v>0</v>
      </c>
      <c r="AF141" s="227">
        <v>0</v>
      </c>
      <c r="AG141" s="228">
        <f t="shared" si="107"/>
        <v>0</v>
      </c>
      <c r="AH141" s="227"/>
      <c r="AI141" s="228">
        <f t="shared" si="108"/>
        <v>0</v>
      </c>
      <c r="AJ141" s="227">
        <v>0</v>
      </c>
      <c r="AK141" s="228">
        <f t="shared" si="109"/>
        <v>0</v>
      </c>
      <c r="AL141" s="227"/>
      <c r="AM141" s="228">
        <f t="shared" si="110"/>
        <v>0</v>
      </c>
      <c r="AN141" s="227">
        <v>0</v>
      </c>
      <c r="AO141" s="228">
        <f t="shared" si="111"/>
        <v>0</v>
      </c>
      <c r="AP141" s="228"/>
      <c r="AQ141" s="228">
        <f t="shared" si="112"/>
        <v>0</v>
      </c>
      <c r="AR141" s="293"/>
      <c r="AS141" s="228"/>
      <c r="AT141" s="228"/>
      <c r="AU141" s="228">
        <f t="shared" si="113"/>
        <v>0</v>
      </c>
      <c r="AV141" s="240"/>
      <c r="AW141" s="228">
        <f t="shared" si="114"/>
        <v>0</v>
      </c>
      <c r="AX141" s="292"/>
      <c r="AY141" s="228">
        <f t="shared" si="115"/>
        <v>0</v>
      </c>
      <c r="AZ141" s="227">
        <v>0</v>
      </c>
      <c r="BA141" s="228">
        <f>K141*AZ141</f>
        <v>0</v>
      </c>
      <c r="BB141" s="263"/>
      <c r="BC141" s="228">
        <f t="shared" si="116"/>
        <v>0</v>
      </c>
      <c r="BD141" s="247"/>
      <c r="BE141" s="228">
        <f>K141*BD141</f>
        <v>0</v>
      </c>
      <c r="BF141" s="247"/>
      <c r="BG141" s="228">
        <f t="shared" si="117"/>
        <v>0</v>
      </c>
      <c r="BH141" s="247"/>
      <c r="BI141" s="228">
        <f>K141*BH141</f>
        <v>0</v>
      </c>
      <c r="BJ141" s="247"/>
      <c r="BK141" s="228">
        <f t="shared" si="118"/>
        <v>0</v>
      </c>
      <c r="BL141" s="280" t="s">
        <v>1457</v>
      </c>
      <c r="BM141" s="220">
        <f t="shared" si="119"/>
        <v>0</v>
      </c>
      <c r="BN141" s="256"/>
      <c r="BO141" s="220">
        <f t="shared" si="120"/>
        <v>0</v>
      </c>
      <c r="BP141" s="294">
        <f t="shared" si="96"/>
        <v>2315.169</v>
      </c>
      <c r="BQ141" s="220">
        <f t="shared" si="97"/>
        <v>0</v>
      </c>
      <c r="BR141" s="294">
        <f t="shared" si="98"/>
        <v>2315.169</v>
      </c>
      <c r="BS141" s="254" t="s">
        <v>39</v>
      </c>
      <c r="BT141" s="229" t="s">
        <v>39</v>
      </c>
      <c r="BU141" s="295" t="s">
        <v>553</v>
      </c>
      <c r="BV141" s="230" t="s">
        <v>511</v>
      </c>
      <c r="BW141" s="231"/>
    </row>
    <row r="142" s="177" customFormat="1" ht="48" customHeight="1" spans="1:75">
      <c r="A142" s="299">
        <v>173</v>
      </c>
      <c r="B142" s="300" t="s">
        <v>623</v>
      </c>
      <c r="C142" s="242" t="s">
        <v>443</v>
      </c>
      <c r="D142" s="242" t="s">
        <v>576</v>
      </c>
      <c r="E142" s="242" t="s">
        <v>577</v>
      </c>
      <c r="F142" s="299" t="s">
        <v>81</v>
      </c>
      <c r="G142" s="301" t="s">
        <v>578</v>
      </c>
      <c r="H142" s="301" t="s">
        <v>60</v>
      </c>
      <c r="I142" s="302" t="s">
        <v>580</v>
      </c>
      <c r="J142" s="303" t="s">
        <v>1506</v>
      </c>
      <c r="K142" s="223" cm="1">
        <f t="array" ref="K142">_xlfn.XLOOKUP(D142&amp;E142&amp;H142&amp;I142&amp;J142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2" s="304"/>
      <c r="M142" s="305"/>
      <c r="N142" s="306">
        <v>43</v>
      </c>
      <c r="O142" s="307">
        <v>0</v>
      </c>
      <c r="P142" s="308">
        <v>0.05</v>
      </c>
      <c r="Q142" s="303">
        <f t="shared" si="100"/>
        <v>0</v>
      </c>
      <c r="R142" s="309">
        <v>140.52</v>
      </c>
      <c r="S142" s="303">
        <f t="shared" ref="S142:S194" si="121">Q142-R142</f>
        <v>-140.52</v>
      </c>
      <c r="T142" s="310">
        <v>0</v>
      </c>
      <c r="U142" s="303">
        <f t="shared" si="101"/>
        <v>0</v>
      </c>
      <c r="V142" s="311">
        <v>0</v>
      </c>
      <c r="W142" s="303">
        <f t="shared" si="102"/>
        <v>0</v>
      </c>
      <c r="X142" s="312">
        <v>0</v>
      </c>
      <c r="Y142" s="303">
        <f t="shared" si="103"/>
        <v>0</v>
      </c>
      <c r="Z142" s="311">
        <v>0</v>
      </c>
      <c r="AA142" s="303">
        <f t="shared" si="104"/>
        <v>0</v>
      </c>
      <c r="AB142" s="312">
        <v>0</v>
      </c>
      <c r="AC142" s="303">
        <f t="shared" si="105"/>
        <v>0</v>
      </c>
      <c r="AD142" s="311">
        <v>0</v>
      </c>
      <c r="AE142" s="303">
        <f t="shared" si="106"/>
        <v>0</v>
      </c>
      <c r="AF142" s="312">
        <v>0</v>
      </c>
      <c r="AG142" s="303">
        <f t="shared" si="107"/>
        <v>0</v>
      </c>
      <c r="AH142" s="311">
        <v>0</v>
      </c>
      <c r="AI142" s="303">
        <f t="shared" si="108"/>
        <v>0</v>
      </c>
      <c r="AJ142" s="312">
        <v>0</v>
      </c>
      <c r="AK142" s="303">
        <f t="shared" si="109"/>
        <v>0</v>
      </c>
      <c r="AL142" s="311">
        <v>0</v>
      </c>
      <c r="AM142" s="303">
        <f t="shared" si="110"/>
        <v>0</v>
      </c>
      <c r="AN142" s="312">
        <v>0</v>
      </c>
      <c r="AO142" s="303">
        <f t="shared" si="111"/>
        <v>0</v>
      </c>
      <c r="AP142" s="311">
        <v>0</v>
      </c>
      <c r="AQ142" s="303">
        <f t="shared" si="112"/>
        <v>0</v>
      </c>
      <c r="AR142" s="303">
        <v>0</v>
      </c>
      <c r="AS142" s="303">
        <f t="shared" ref="AS142:AS162" si="122">K142*AR142</f>
        <v>0</v>
      </c>
      <c r="AT142" s="309">
        <v>0</v>
      </c>
      <c r="AU142" s="303">
        <f t="shared" si="113"/>
        <v>0</v>
      </c>
      <c r="AV142" s="308">
        <v>0.06</v>
      </c>
      <c r="AW142" s="303">
        <f t="shared" si="114"/>
        <v>0</v>
      </c>
      <c r="AX142" s="309">
        <v>168.62</v>
      </c>
      <c r="AY142" s="303">
        <f t="shared" si="115"/>
        <v>-168.62</v>
      </c>
      <c r="AZ142" s="313" t="s">
        <v>1457</v>
      </c>
      <c r="BA142" s="303">
        <f t="shared" ref="BA142:BA205" si="123">BB142</f>
        <v>0</v>
      </c>
      <c r="BB142" s="314">
        <v>0</v>
      </c>
      <c r="BC142" s="303">
        <f t="shared" si="116"/>
        <v>0</v>
      </c>
      <c r="BD142" s="303">
        <v>30000</v>
      </c>
      <c r="BE142" s="303"/>
      <c r="BF142" s="314"/>
      <c r="BG142" s="303">
        <f t="shared" si="117"/>
        <v>0</v>
      </c>
      <c r="BH142" s="303">
        <v>0</v>
      </c>
      <c r="BI142" s="303"/>
      <c r="BJ142" s="314"/>
      <c r="BK142" s="303">
        <f t="shared" si="118"/>
        <v>0</v>
      </c>
      <c r="BL142" s="303" t="s">
        <v>1457</v>
      </c>
      <c r="BM142" s="300"/>
      <c r="BN142" s="315"/>
      <c r="BO142" s="300">
        <f t="shared" si="120"/>
        <v>0</v>
      </c>
      <c r="BP142" s="300">
        <f t="shared" ref="BP142:BP194" si="124">N142+Q142+U142+Y142+AC142+AG142+AK142+AO142+AS142+AW142+BA142+BE142+BI142+BM142</f>
        <v>43</v>
      </c>
      <c r="BQ142" s="300">
        <f t="shared" ref="BQ142:BQ194" si="125">N142+R142+V142+Z142+AD142+AH142+AL142+AP142+AT142+AX142+BB142+BF142+BJ142+BN142</f>
        <v>352.14</v>
      </c>
      <c r="BR142" s="300">
        <f t="shared" ref="BR142:BR194" si="126">BP142-BQ142</f>
        <v>-309.14</v>
      </c>
      <c r="BS142" s="316">
        <v>0.05</v>
      </c>
      <c r="BT142" s="316">
        <v>0.005</v>
      </c>
      <c r="BU142" s="317" t="s">
        <v>582</v>
      </c>
      <c r="BV142" s="317" t="s">
        <v>288</v>
      </c>
      <c r="BW142" s="318"/>
    </row>
    <row r="143" s="177" customFormat="1" ht="60" customHeight="1" spans="1:75">
      <c r="A143" s="299">
        <v>174</v>
      </c>
      <c r="B143" s="300" t="s">
        <v>627</v>
      </c>
      <c r="C143" s="242" t="s">
        <v>443</v>
      </c>
      <c r="D143" s="242" t="s">
        <v>576</v>
      </c>
      <c r="E143" s="242" t="s">
        <v>577</v>
      </c>
      <c r="F143" s="299" t="s">
        <v>81</v>
      </c>
      <c r="G143" s="301" t="s">
        <v>578</v>
      </c>
      <c r="H143" s="301" t="s">
        <v>66</v>
      </c>
      <c r="I143" s="302" t="s">
        <v>585</v>
      </c>
      <c r="J143" s="319" t="s">
        <v>586</v>
      </c>
      <c r="K143" s="223" cm="1">
        <f t="array" ref="K143">_xlfn.XLOOKUP(D143&amp;E143&amp;H143&amp;I143&amp;J143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3" s="304"/>
      <c r="M143" s="305"/>
      <c r="N143" s="306"/>
      <c r="O143" s="307">
        <v>0</v>
      </c>
      <c r="P143" s="308">
        <v>0.19</v>
      </c>
      <c r="Q143" s="303">
        <f t="shared" si="100"/>
        <v>0</v>
      </c>
      <c r="R143" s="309"/>
      <c r="S143" s="303">
        <f t="shared" si="121"/>
        <v>0</v>
      </c>
      <c r="T143" s="310">
        <v>0</v>
      </c>
      <c r="U143" s="303">
        <f t="shared" si="101"/>
        <v>0</v>
      </c>
      <c r="V143" s="311">
        <v>0</v>
      </c>
      <c r="W143" s="303">
        <f t="shared" si="102"/>
        <v>0</v>
      </c>
      <c r="X143" s="312">
        <v>0</v>
      </c>
      <c r="Y143" s="303">
        <f t="shared" si="103"/>
        <v>0</v>
      </c>
      <c r="Z143" s="311">
        <v>0</v>
      </c>
      <c r="AA143" s="303">
        <f t="shared" si="104"/>
        <v>0</v>
      </c>
      <c r="AB143" s="320">
        <v>0</v>
      </c>
      <c r="AC143" s="303">
        <f t="shared" si="105"/>
        <v>0</v>
      </c>
      <c r="AD143" s="311">
        <v>0</v>
      </c>
      <c r="AE143" s="303">
        <f t="shared" si="106"/>
        <v>0</v>
      </c>
      <c r="AF143" s="312">
        <v>0</v>
      </c>
      <c r="AG143" s="303">
        <f t="shared" si="107"/>
        <v>0</v>
      </c>
      <c r="AH143" s="311">
        <v>0</v>
      </c>
      <c r="AI143" s="303">
        <f t="shared" si="108"/>
        <v>0</v>
      </c>
      <c r="AJ143" s="312">
        <v>0</v>
      </c>
      <c r="AK143" s="303">
        <f t="shared" si="109"/>
        <v>0</v>
      </c>
      <c r="AL143" s="311">
        <v>0</v>
      </c>
      <c r="AM143" s="303">
        <f t="shared" si="110"/>
        <v>0</v>
      </c>
      <c r="AN143" s="312">
        <v>0</v>
      </c>
      <c r="AO143" s="303">
        <f t="shared" si="111"/>
        <v>0</v>
      </c>
      <c r="AP143" s="311">
        <v>0</v>
      </c>
      <c r="AQ143" s="303">
        <f t="shared" si="112"/>
        <v>0</v>
      </c>
      <c r="AR143" s="303">
        <v>0</v>
      </c>
      <c r="AS143" s="303">
        <f t="shared" si="122"/>
        <v>0</v>
      </c>
      <c r="AT143" s="309">
        <v>0</v>
      </c>
      <c r="AU143" s="303">
        <f t="shared" si="113"/>
        <v>0</v>
      </c>
      <c r="AV143" s="308">
        <v>0.06</v>
      </c>
      <c r="AW143" s="303">
        <f t="shared" si="114"/>
        <v>0</v>
      </c>
      <c r="AX143" s="309"/>
      <c r="AY143" s="303">
        <f t="shared" si="115"/>
        <v>0</v>
      </c>
      <c r="AZ143" s="312" t="s">
        <v>1457</v>
      </c>
      <c r="BA143" s="303">
        <f t="shared" si="123"/>
        <v>0</v>
      </c>
      <c r="BB143" s="314">
        <v>0</v>
      </c>
      <c r="BC143" s="303">
        <f t="shared" si="116"/>
        <v>0</v>
      </c>
      <c r="BD143" s="303">
        <v>0</v>
      </c>
      <c r="BE143" s="303">
        <f t="shared" ref="BE143:BE159" si="127">BF143</f>
        <v>0</v>
      </c>
      <c r="BF143" s="314">
        <v>0</v>
      </c>
      <c r="BG143" s="303">
        <f t="shared" si="117"/>
        <v>0</v>
      </c>
      <c r="BH143" s="303">
        <v>0</v>
      </c>
      <c r="BI143" s="303">
        <f t="shared" ref="BI143:BI159" si="128">BJ143</f>
        <v>0</v>
      </c>
      <c r="BJ143" s="314">
        <v>0</v>
      </c>
      <c r="BK143" s="303">
        <f t="shared" si="118"/>
        <v>0</v>
      </c>
      <c r="BL143" s="303" t="s">
        <v>1457</v>
      </c>
      <c r="BM143" s="300"/>
      <c r="BN143" s="315"/>
      <c r="BO143" s="300">
        <f t="shared" si="120"/>
        <v>0</v>
      </c>
      <c r="BP143" s="300">
        <f t="shared" si="124"/>
        <v>0</v>
      </c>
      <c r="BQ143" s="300">
        <f t="shared" si="125"/>
        <v>0</v>
      </c>
      <c r="BR143" s="300">
        <f t="shared" si="126"/>
        <v>0</v>
      </c>
      <c r="BS143" s="316">
        <v>0.05</v>
      </c>
      <c r="BT143" s="316">
        <v>0.005</v>
      </c>
      <c r="BU143" s="317" t="s">
        <v>587</v>
      </c>
      <c r="BV143" s="317" t="s">
        <v>288</v>
      </c>
      <c r="BW143" s="318"/>
    </row>
    <row r="144" s="177" customFormat="1" ht="36" customHeight="1" spans="1:75">
      <c r="A144" s="299">
        <v>175</v>
      </c>
      <c r="B144" s="300" t="s">
        <v>631</v>
      </c>
      <c r="C144" s="242" t="s">
        <v>443</v>
      </c>
      <c r="D144" s="242" t="s">
        <v>576</v>
      </c>
      <c r="E144" s="242" t="s">
        <v>577</v>
      </c>
      <c r="F144" s="299" t="s">
        <v>81</v>
      </c>
      <c r="G144" s="301" t="s">
        <v>578</v>
      </c>
      <c r="H144" s="301" t="s">
        <v>70</v>
      </c>
      <c r="I144" s="302" t="s">
        <v>589</v>
      </c>
      <c r="J144" s="319" t="s">
        <v>590</v>
      </c>
      <c r="K144" s="223" cm="1">
        <f t="array" ref="K144">_xlfn.XLOOKUP(D144&amp;E144&amp;H144&amp;I144&amp;J144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4" s="304"/>
      <c r="M144" s="305"/>
      <c r="N144" s="306">
        <v>43</v>
      </c>
      <c r="O144" s="307">
        <v>0</v>
      </c>
      <c r="P144" s="308">
        <v>0.165</v>
      </c>
      <c r="Q144" s="303">
        <f t="shared" si="100"/>
        <v>0</v>
      </c>
      <c r="R144" s="309">
        <v>932.91</v>
      </c>
      <c r="S144" s="303">
        <f t="shared" si="121"/>
        <v>-932.91</v>
      </c>
      <c r="T144" s="310">
        <v>0</v>
      </c>
      <c r="U144" s="303">
        <f t="shared" si="101"/>
        <v>0</v>
      </c>
      <c r="V144" s="311">
        <v>0</v>
      </c>
      <c r="W144" s="303">
        <f t="shared" si="102"/>
        <v>0</v>
      </c>
      <c r="X144" s="312">
        <v>0</v>
      </c>
      <c r="Y144" s="303">
        <f t="shared" si="103"/>
        <v>0</v>
      </c>
      <c r="Z144" s="311">
        <v>0</v>
      </c>
      <c r="AA144" s="303">
        <f t="shared" si="104"/>
        <v>0</v>
      </c>
      <c r="AB144" s="320">
        <v>0</v>
      </c>
      <c r="AC144" s="303">
        <f t="shared" si="105"/>
        <v>0</v>
      </c>
      <c r="AD144" s="311">
        <v>0</v>
      </c>
      <c r="AE144" s="303">
        <f t="shared" si="106"/>
        <v>0</v>
      </c>
      <c r="AF144" s="312">
        <v>0</v>
      </c>
      <c r="AG144" s="303">
        <f t="shared" si="107"/>
        <v>0</v>
      </c>
      <c r="AH144" s="311">
        <v>0</v>
      </c>
      <c r="AI144" s="303">
        <f t="shared" si="108"/>
        <v>0</v>
      </c>
      <c r="AJ144" s="312">
        <v>0</v>
      </c>
      <c r="AK144" s="303">
        <f t="shared" si="109"/>
        <v>0</v>
      </c>
      <c r="AL144" s="311">
        <v>0</v>
      </c>
      <c r="AM144" s="303">
        <f t="shared" si="110"/>
        <v>0</v>
      </c>
      <c r="AN144" s="312">
        <v>0</v>
      </c>
      <c r="AO144" s="303">
        <f t="shared" si="111"/>
        <v>0</v>
      </c>
      <c r="AP144" s="311">
        <v>0</v>
      </c>
      <c r="AQ144" s="303">
        <f t="shared" si="112"/>
        <v>0</v>
      </c>
      <c r="AR144" s="303">
        <v>0.035</v>
      </c>
      <c r="AS144" s="303">
        <f t="shared" si="122"/>
        <v>0</v>
      </c>
      <c r="AT144" s="309">
        <v>197.89</v>
      </c>
      <c r="AU144" s="303">
        <f t="shared" si="113"/>
        <v>-197.89</v>
      </c>
      <c r="AV144" s="308">
        <v>0.06</v>
      </c>
      <c r="AW144" s="303">
        <f t="shared" si="114"/>
        <v>0</v>
      </c>
      <c r="AX144" s="309">
        <v>339.24</v>
      </c>
      <c r="AY144" s="303">
        <f t="shared" si="115"/>
        <v>-339.24</v>
      </c>
      <c r="AZ144" s="312" t="s">
        <v>1457</v>
      </c>
      <c r="BA144" s="303">
        <f t="shared" si="123"/>
        <v>0</v>
      </c>
      <c r="BB144" s="314">
        <v>0</v>
      </c>
      <c r="BC144" s="303">
        <f t="shared" si="116"/>
        <v>0</v>
      </c>
      <c r="BD144" s="303">
        <v>0</v>
      </c>
      <c r="BE144" s="303">
        <f t="shared" si="127"/>
        <v>0</v>
      </c>
      <c r="BF144" s="314">
        <v>0</v>
      </c>
      <c r="BG144" s="303">
        <f t="shared" si="117"/>
        <v>0</v>
      </c>
      <c r="BH144" s="303">
        <v>0</v>
      </c>
      <c r="BI144" s="303"/>
      <c r="BJ144" s="314"/>
      <c r="BK144" s="303">
        <f t="shared" si="118"/>
        <v>0</v>
      </c>
      <c r="BL144" s="303" t="s">
        <v>1457</v>
      </c>
      <c r="BM144" s="300">
        <v>524.5</v>
      </c>
      <c r="BN144" s="315">
        <v>524.5</v>
      </c>
      <c r="BO144" s="300">
        <f t="shared" si="120"/>
        <v>0</v>
      </c>
      <c r="BP144" s="300">
        <f t="shared" si="124"/>
        <v>567.5</v>
      </c>
      <c r="BQ144" s="300">
        <f t="shared" si="125"/>
        <v>2037.54</v>
      </c>
      <c r="BR144" s="300">
        <f t="shared" si="126"/>
        <v>-1470.04</v>
      </c>
      <c r="BS144" s="316">
        <v>0.05</v>
      </c>
      <c r="BT144" s="316">
        <v>0.005</v>
      </c>
      <c r="BU144" s="317" t="s">
        <v>591</v>
      </c>
      <c r="BV144" s="317" t="s">
        <v>288</v>
      </c>
      <c r="BW144" s="318"/>
    </row>
    <row r="145" s="177" customFormat="1" ht="48" customHeight="1" spans="1:75">
      <c r="A145" s="299">
        <v>176</v>
      </c>
      <c r="B145" s="300" t="s">
        <v>634</v>
      </c>
      <c r="C145" s="242" t="s">
        <v>443</v>
      </c>
      <c r="D145" s="242" t="s">
        <v>576</v>
      </c>
      <c r="E145" s="242" t="s">
        <v>577</v>
      </c>
      <c r="F145" s="299" t="s">
        <v>81</v>
      </c>
      <c r="G145" s="301" t="s">
        <v>578</v>
      </c>
      <c r="H145" s="301" t="s">
        <v>74</v>
      </c>
      <c r="I145" s="302" t="s">
        <v>240</v>
      </c>
      <c r="J145" s="319" t="s">
        <v>593</v>
      </c>
      <c r="K145" s="223" cm="1">
        <f t="array" ref="K145">_xlfn.XLOOKUP(D145&amp;E145&amp;H145&amp;I145&amp;J145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5" s="304"/>
      <c r="M145" s="305"/>
      <c r="N145" s="306"/>
      <c r="O145" s="307">
        <v>0</v>
      </c>
      <c r="P145" s="308">
        <v>0.135</v>
      </c>
      <c r="Q145" s="303">
        <f t="shared" si="100"/>
        <v>0</v>
      </c>
      <c r="R145" s="309">
        <v>524.41</v>
      </c>
      <c r="S145" s="303">
        <f t="shared" si="121"/>
        <v>-524.41</v>
      </c>
      <c r="T145" s="310">
        <v>0</v>
      </c>
      <c r="U145" s="303">
        <f t="shared" si="101"/>
        <v>0</v>
      </c>
      <c r="V145" s="311">
        <v>0</v>
      </c>
      <c r="W145" s="303">
        <f t="shared" si="102"/>
        <v>0</v>
      </c>
      <c r="X145" s="312">
        <v>0</v>
      </c>
      <c r="Y145" s="303">
        <f t="shared" si="103"/>
        <v>0</v>
      </c>
      <c r="Z145" s="311">
        <v>0</v>
      </c>
      <c r="AA145" s="303">
        <f t="shared" si="104"/>
        <v>0</v>
      </c>
      <c r="AB145" s="320">
        <v>0</v>
      </c>
      <c r="AC145" s="303">
        <f t="shared" si="105"/>
        <v>0</v>
      </c>
      <c r="AD145" s="311">
        <v>0</v>
      </c>
      <c r="AE145" s="303">
        <f t="shared" si="106"/>
        <v>0</v>
      </c>
      <c r="AF145" s="312">
        <v>0</v>
      </c>
      <c r="AG145" s="303">
        <f t="shared" si="107"/>
        <v>0</v>
      </c>
      <c r="AH145" s="311">
        <v>0</v>
      </c>
      <c r="AI145" s="303">
        <f t="shared" si="108"/>
        <v>0</v>
      </c>
      <c r="AJ145" s="312">
        <v>0</v>
      </c>
      <c r="AK145" s="303">
        <f t="shared" si="109"/>
        <v>0</v>
      </c>
      <c r="AL145" s="311">
        <v>0</v>
      </c>
      <c r="AM145" s="303">
        <f t="shared" si="110"/>
        <v>0</v>
      </c>
      <c r="AN145" s="312">
        <v>0</v>
      </c>
      <c r="AO145" s="303">
        <f t="shared" si="111"/>
        <v>0</v>
      </c>
      <c r="AP145" s="311">
        <v>0</v>
      </c>
      <c r="AQ145" s="303">
        <f t="shared" si="112"/>
        <v>0</v>
      </c>
      <c r="AR145" s="303">
        <v>0.035</v>
      </c>
      <c r="AS145" s="303">
        <f t="shared" si="122"/>
        <v>0</v>
      </c>
      <c r="AT145" s="309">
        <v>135.96</v>
      </c>
      <c r="AU145" s="303">
        <f t="shared" si="113"/>
        <v>-135.96</v>
      </c>
      <c r="AV145" s="308">
        <v>0.06</v>
      </c>
      <c r="AW145" s="303">
        <f t="shared" si="114"/>
        <v>0</v>
      </c>
      <c r="AX145" s="309">
        <v>233.07</v>
      </c>
      <c r="AY145" s="303">
        <f t="shared" si="115"/>
        <v>-233.07</v>
      </c>
      <c r="AZ145" s="312" t="s">
        <v>1457</v>
      </c>
      <c r="BA145" s="303">
        <v>57.05</v>
      </c>
      <c r="BB145" s="314">
        <v>57.05</v>
      </c>
      <c r="BC145" s="303">
        <f t="shared" si="116"/>
        <v>0</v>
      </c>
      <c r="BD145" s="303">
        <v>0</v>
      </c>
      <c r="BE145" s="303">
        <v>0</v>
      </c>
      <c r="BF145" s="314">
        <v>0</v>
      </c>
      <c r="BG145" s="303">
        <f t="shared" si="117"/>
        <v>0</v>
      </c>
      <c r="BH145" s="303">
        <v>0</v>
      </c>
      <c r="BI145" s="303"/>
      <c r="BJ145" s="314"/>
      <c r="BK145" s="303">
        <f t="shared" si="118"/>
        <v>0</v>
      </c>
      <c r="BL145" s="303" t="s">
        <v>1457</v>
      </c>
      <c r="BM145" s="300">
        <v>583.1</v>
      </c>
      <c r="BN145" s="315">
        <v>583.1</v>
      </c>
      <c r="BO145" s="300">
        <f t="shared" si="120"/>
        <v>0</v>
      </c>
      <c r="BP145" s="300">
        <f t="shared" si="124"/>
        <v>640.15</v>
      </c>
      <c r="BQ145" s="300">
        <f t="shared" si="125"/>
        <v>1533.59</v>
      </c>
      <c r="BR145" s="300">
        <f t="shared" si="126"/>
        <v>-893.44</v>
      </c>
      <c r="BS145" s="316">
        <v>0.05</v>
      </c>
      <c r="BT145" s="316">
        <v>0.005</v>
      </c>
      <c r="BU145" s="317" t="s">
        <v>594</v>
      </c>
      <c r="BV145" s="317" t="s">
        <v>288</v>
      </c>
      <c r="BW145" s="318"/>
    </row>
    <row r="146" s="177" customFormat="1" ht="48" customHeight="1" spans="1:75">
      <c r="A146" s="299">
        <v>177</v>
      </c>
      <c r="B146" s="300" t="s">
        <v>638</v>
      </c>
      <c r="C146" s="242" t="s">
        <v>443</v>
      </c>
      <c r="D146" s="242" t="s">
        <v>576</v>
      </c>
      <c r="E146" s="242" t="s">
        <v>577</v>
      </c>
      <c r="F146" s="299" t="s">
        <v>81</v>
      </c>
      <c r="G146" s="301" t="s">
        <v>578</v>
      </c>
      <c r="H146" s="301" t="s">
        <v>265</v>
      </c>
      <c r="I146" s="302" t="s">
        <v>596</v>
      </c>
      <c r="J146" s="319" t="s">
        <v>597</v>
      </c>
      <c r="K146" s="223" cm="1">
        <f t="array" ref="K146">_xlfn.XLOOKUP(D146&amp;E146&amp;H146&amp;I146&amp;J146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6" s="304"/>
      <c r="M146" s="305"/>
      <c r="N146" s="306">
        <v>4987.6</v>
      </c>
      <c r="O146" s="307">
        <v>0</v>
      </c>
      <c r="P146" s="308">
        <v>0.155</v>
      </c>
      <c r="Q146" s="303">
        <f t="shared" si="100"/>
        <v>0</v>
      </c>
      <c r="R146" s="309">
        <v>708.04</v>
      </c>
      <c r="S146" s="303">
        <f t="shared" si="121"/>
        <v>-708.04</v>
      </c>
      <c r="T146" s="310">
        <v>0</v>
      </c>
      <c r="U146" s="303">
        <f t="shared" si="101"/>
        <v>0</v>
      </c>
      <c r="V146" s="311">
        <v>0</v>
      </c>
      <c r="W146" s="303">
        <f t="shared" si="102"/>
        <v>0</v>
      </c>
      <c r="X146" s="312">
        <v>0</v>
      </c>
      <c r="Y146" s="303">
        <f t="shared" si="103"/>
        <v>0</v>
      </c>
      <c r="Z146" s="311">
        <v>0</v>
      </c>
      <c r="AA146" s="303">
        <f t="shared" si="104"/>
        <v>0</v>
      </c>
      <c r="AB146" s="320">
        <v>0</v>
      </c>
      <c r="AC146" s="303">
        <f t="shared" si="105"/>
        <v>0</v>
      </c>
      <c r="AD146" s="311">
        <v>0</v>
      </c>
      <c r="AE146" s="303">
        <f t="shared" si="106"/>
        <v>0</v>
      </c>
      <c r="AF146" s="312">
        <v>0</v>
      </c>
      <c r="AG146" s="303">
        <f t="shared" si="107"/>
        <v>0</v>
      </c>
      <c r="AH146" s="311">
        <v>0</v>
      </c>
      <c r="AI146" s="303">
        <f t="shared" si="108"/>
        <v>0</v>
      </c>
      <c r="AJ146" s="312">
        <v>0</v>
      </c>
      <c r="AK146" s="303">
        <f t="shared" ref="AK146:AK209" si="129">K146*AJ146</f>
        <v>0</v>
      </c>
      <c r="AL146" s="311">
        <v>0</v>
      </c>
      <c r="AM146" s="303">
        <f t="shared" si="110"/>
        <v>0</v>
      </c>
      <c r="AN146" s="312">
        <v>0</v>
      </c>
      <c r="AO146" s="303">
        <f t="shared" ref="AO146:AO209" si="130">K146*AN146</f>
        <v>0</v>
      </c>
      <c r="AP146" s="311">
        <v>0</v>
      </c>
      <c r="AQ146" s="303">
        <f t="shared" si="112"/>
        <v>0</v>
      </c>
      <c r="AR146" s="303">
        <v>0.035</v>
      </c>
      <c r="AS146" s="303">
        <f t="shared" si="122"/>
        <v>0</v>
      </c>
      <c r="AT146" s="309">
        <v>159.88</v>
      </c>
      <c r="AU146" s="303">
        <f t="shared" si="113"/>
        <v>-159.88</v>
      </c>
      <c r="AV146" s="308">
        <v>0.06</v>
      </c>
      <c r="AW146" s="303">
        <f t="shared" si="114"/>
        <v>0</v>
      </c>
      <c r="AX146" s="309">
        <v>274.08</v>
      </c>
      <c r="AY146" s="303">
        <f t="shared" si="115"/>
        <v>-274.08</v>
      </c>
      <c r="AZ146" s="312" t="s">
        <v>1457</v>
      </c>
      <c r="BA146" s="303"/>
      <c r="BB146" s="314"/>
      <c r="BC146" s="303">
        <f t="shared" si="116"/>
        <v>0</v>
      </c>
      <c r="BD146" s="303">
        <v>0</v>
      </c>
      <c r="BE146" s="303">
        <f t="shared" si="127"/>
        <v>0</v>
      </c>
      <c r="BF146" s="314">
        <v>0</v>
      </c>
      <c r="BG146" s="303">
        <f t="shared" si="117"/>
        <v>0</v>
      </c>
      <c r="BH146" s="303">
        <v>0</v>
      </c>
      <c r="BI146" s="303">
        <f t="shared" si="128"/>
        <v>0</v>
      </c>
      <c r="BJ146" s="314">
        <v>0</v>
      </c>
      <c r="BK146" s="303">
        <f t="shared" si="118"/>
        <v>0</v>
      </c>
      <c r="BL146" s="303" t="s">
        <v>1457</v>
      </c>
      <c r="BM146" s="300">
        <v>172.8</v>
      </c>
      <c r="BN146" s="315">
        <v>172.8</v>
      </c>
      <c r="BO146" s="300">
        <f t="shared" si="120"/>
        <v>0</v>
      </c>
      <c r="BP146" s="300">
        <f t="shared" si="124"/>
        <v>5160.4</v>
      </c>
      <c r="BQ146" s="300">
        <f t="shared" si="125"/>
        <v>6302.4</v>
      </c>
      <c r="BR146" s="300">
        <f t="shared" si="126"/>
        <v>-1142</v>
      </c>
      <c r="BS146" s="316">
        <v>0.05</v>
      </c>
      <c r="BT146" s="316">
        <v>0.005</v>
      </c>
      <c r="BU146" s="317" t="s">
        <v>598</v>
      </c>
      <c r="BV146" s="317" t="s">
        <v>288</v>
      </c>
      <c r="BW146" s="318"/>
    </row>
    <row r="147" s="177" customFormat="1" ht="36" customHeight="1" spans="1:75">
      <c r="A147" s="299">
        <v>178</v>
      </c>
      <c r="B147" s="300" t="s">
        <v>641</v>
      </c>
      <c r="C147" s="242" t="s">
        <v>443</v>
      </c>
      <c r="D147" s="242" t="s">
        <v>576</v>
      </c>
      <c r="E147" s="242" t="s">
        <v>577</v>
      </c>
      <c r="F147" s="299" t="s">
        <v>81</v>
      </c>
      <c r="G147" s="301" t="s">
        <v>578</v>
      </c>
      <c r="H147" s="301" t="s">
        <v>86</v>
      </c>
      <c r="I147" s="302" t="s">
        <v>419</v>
      </c>
      <c r="J147" s="303" t="s">
        <v>1507</v>
      </c>
      <c r="K147" s="223" cm="1">
        <f t="array" ref="K147">_xlfn.XLOOKUP(D147&amp;E147&amp;H147&amp;I147&amp;J147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7" s="304"/>
      <c r="M147" s="305"/>
      <c r="N147" s="306">
        <v>28</v>
      </c>
      <c r="O147" s="307">
        <v>0</v>
      </c>
      <c r="P147" s="308">
        <v>0.155</v>
      </c>
      <c r="Q147" s="303">
        <f t="shared" si="100"/>
        <v>0</v>
      </c>
      <c r="R147" s="309">
        <v>77.81</v>
      </c>
      <c r="S147" s="303">
        <f t="shared" si="121"/>
        <v>-77.81</v>
      </c>
      <c r="T147" s="310">
        <v>0</v>
      </c>
      <c r="U147" s="303">
        <f t="shared" si="101"/>
        <v>0</v>
      </c>
      <c r="V147" s="311">
        <v>0</v>
      </c>
      <c r="W147" s="303">
        <f t="shared" si="102"/>
        <v>0</v>
      </c>
      <c r="X147" s="312">
        <v>0</v>
      </c>
      <c r="Y147" s="303">
        <f t="shared" si="103"/>
        <v>0</v>
      </c>
      <c r="Z147" s="311">
        <v>0</v>
      </c>
      <c r="AA147" s="303">
        <f t="shared" si="104"/>
        <v>0</v>
      </c>
      <c r="AB147" s="320">
        <v>0</v>
      </c>
      <c r="AC147" s="303">
        <f t="shared" si="105"/>
        <v>0</v>
      </c>
      <c r="AD147" s="311">
        <v>0</v>
      </c>
      <c r="AE147" s="303">
        <f t="shared" si="106"/>
        <v>0</v>
      </c>
      <c r="AF147" s="312">
        <v>0</v>
      </c>
      <c r="AG147" s="303">
        <f t="shared" si="107"/>
        <v>0</v>
      </c>
      <c r="AH147" s="311">
        <v>0</v>
      </c>
      <c r="AI147" s="303">
        <f t="shared" si="108"/>
        <v>0</v>
      </c>
      <c r="AJ147" s="312">
        <v>0</v>
      </c>
      <c r="AK147" s="303">
        <f t="shared" si="129"/>
        <v>0</v>
      </c>
      <c r="AL147" s="311">
        <v>0</v>
      </c>
      <c r="AM147" s="303">
        <f t="shared" si="110"/>
        <v>0</v>
      </c>
      <c r="AN147" s="312">
        <v>0</v>
      </c>
      <c r="AO147" s="303">
        <f t="shared" si="130"/>
        <v>0</v>
      </c>
      <c r="AP147" s="311">
        <v>0</v>
      </c>
      <c r="AQ147" s="303">
        <f t="shared" si="112"/>
        <v>0</v>
      </c>
      <c r="AR147" s="303">
        <v>0.035</v>
      </c>
      <c r="AS147" s="303">
        <f t="shared" si="122"/>
        <v>0</v>
      </c>
      <c r="AT147" s="309">
        <v>17.57</v>
      </c>
      <c r="AU147" s="303">
        <f t="shared" si="113"/>
        <v>-17.57</v>
      </c>
      <c r="AV147" s="308">
        <v>0.06</v>
      </c>
      <c r="AW147" s="303">
        <f t="shared" si="114"/>
        <v>0</v>
      </c>
      <c r="AX147" s="309">
        <v>30.12</v>
      </c>
      <c r="AY147" s="303">
        <f t="shared" si="115"/>
        <v>-30.12</v>
      </c>
      <c r="AZ147" s="312" t="s">
        <v>1457</v>
      </c>
      <c r="BA147" s="303">
        <f t="shared" si="123"/>
        <v>0</v>
      </c>
      <c r="BB147" s="314">
        <v>0</v>
      </c>
      <c r="BC147" s="303">
        <f t="shared" si="116"/>
        <v>0</v>
      </c>
      <c r="BD147" s="303">
        <v>0</v>
      </c>
      <c r="BE147" s="303">
        <f t="shared" si="127"/>
        <v>0</v>
      </c>
      <c r="BF147" s="314">
        <v>0</v>
      </c>
      <c r="BG147" s="303">
        <f t="shared" si="117"/>
        <v>0</v>
      </c>
      <c r="BH147" s="303">
        <v>0</v>
      </c>
      <c r="BI147" s="303">
        <f t="shared" si="128"/>
        <v>0</v>
      </c>
      <c r="BJ147" s="314">
        <v>0</v>
      </c>
      <c r="BK147" s="303">
        <f t="shared" si="118"/>
        <v>0</v>
      </c>
      <c r="BL147" s="303" t="s">
        <v>1457</v>
      </c>
      <c r="BM147" s="300"/>
      <c r="BN147" s="315"/>
      <c r="BO147" s="300">
        <f t="shared" si="120"/>
        <v>0</v>
      </c>
      <c r="BP147" s="300">
        <f t="shared" si="124"/>
        <v>28</v>
      </c>
      <c r="BQ147" s="300">
        <f t="shared" si="125"/>
        <v>153.5</v>
      </c>
      <c r="BR147" s="300">
        <f t="shared" si="126"/>
        <v>-125.5</v>
      </c>
      <c r="BS147" s="316">
        <v>0.05</v>
      </c>
      <c r="BT147" s="316">
        <v>0.005</v>
      </c>
      <c r="BU147" s="317" t="s">
        <v>591</v>
      </c>
      <c r="BV147" s="317" t="s">
        <v>288</v>
      </c>
      <c r="BW147" s="318"/>
    </row>
    <row r="148" s="177" customFormat="1" ht="36" customHeight="1" spans="1:75">
      <c r="A148" s="299">
        <v>179</v>
      </c>
      <c r="B148" s="300" t="s">
        <v>646</v>
      </c>
      <c r="C148" s="242" t="s">
        <v>443</v>
      </c>
      <c r="D148" s="242" t="s">
        <v>576</v>
      </c>
      <c r="E148" s="242" t="s">
        <v>577</v>
      </c>
      <c r="F148" s="299" t="s">
        <v>81</v>
      </c>
      <c r="G148" s="301" t="s">
        <v>578</v>
      </c>
      <c r="H148" s="301" t="s">
        <v>272</v>
      </c>
      <c r="I148" s="302" t="s">
        <v>459</v>
      </c>
      <c r="J148" s="319" t="s">
        <v>602</v>
      </c>
      <c r="K148" s="223" cm="1">
        <f t="array" ref="K148">_xlfn.XLOOKUP(D148&amp;E148&amp;H148&amp;I148&amp;J148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8" s="304"/>
      <c r="M148" s="305"/>
      <c r="N148" s="306"/>
      <c r="O148" s="307">
        <v>0</v>
      </c>
      <c r="P148" s="308">
        <v>0.185</v>
      </c>
      <c r="Q148" s="303">
        <f t="shared" si="100"/>
        <v>0</v>
      </c>
      <c r="R148" s="309"/>
      <c r="S148" s="303">
        <f t="shared" si="121"/>
        <v>0</v>
      </c>
      <c r="T148" s="310">
        <v>0</v>
      </c>
      <c r="U148" s="303">
        <f t="shared" si="101"/>
        <v>0</v>
      </c>
      <c r="V148" s="311">
        <v>0</v>
      </c>
      <c r="W148" s="303">
        <f t="shared" si="102"/>
        <v>0</v>
      </c>
      <c r="X148" s="312">
        <v>0</v>
      </c>
      <c r="Y148" s="303">
        <f t="shared" si="103"/>
        <v>0</v>
      </c>
      <c r="Z148" s="311">
        <v>0</v>
      </c>
      <c r="AA148" s="303">
        <f t="shared" si="104"/>
        <v>0</v>
      </c>
      <c r="AB148" s="320">
        <v>0</v>
      </c>
      <c r="AC148" s="303">
        <f t="shared" si="105"/>
        <v>0</v>
      </c>
      <c r="AD148" s="311">
        <v>0</v>
      </c>
      <c r="AE148" s="303">
        <f t="shared" si="106"/>
        <v>0</v>
      </c>
      <c r="AF148" s="312">
        <v>0</v>
      </c>
      <c r="AG148" s="303">
        <f t="shared" si="107"/>
        <v>0</v>
      </c>
      <c r="AH148" s="311">
        <v>0</v>
      </c>
      <c r="AI148" s="303">
        <f t="shared" si="108"/>
        <v>0</v>
      </c>
      <c r="AJ148" s="312">
        <v>0</v>
      </c>
      <c r="AK148" s="303">
        <f t="shared" si="129"/>
        <v>0</v>
      </c>
      <c r="AL148" s="311">
        <v>0</v>
      </c>
      <c r="AM148" s="303">
        <f t="shared" si="110"/>
        <v>0</v>
      </c>
      <c r="AN148" s="312">
        <v>0</v>
      </c>
      <c r="AO148" s="303">
        <f t="shared" si="130"/>
        <v>0</v>
      </c>
      <c r="AP148" s="311">
        <v>0</v>
      </c>
      <c r="AQ148" s="303">
        <f t="shared" si="112"/>
        <v>0</v>
      </c>
      <c r="AR148" s="303">
        <v>0.035</v>
      </c>
      <c r="AS148" s="303">
        <f t="shared" si="122"/>
        <v>0</v>
      </c>
      <c r="AT148" s="309"/>
      <c r="AU148" s="303">
        <f t="shared" si="113"/>
        <v>0</v>
      </c>
      <c r="AV148" s="308">
        <v>0.06</v>
      </c>
      <c r="AW148" s="303">
        <f t="shared" si="114"/>
        <v>0</v>
      </c>
      <c r="AX148" s="309"/>
      <c r="AY148" s="303">
        <f t="shared" si="115"/>
        <v>0</v>
      </c>
      <c r="AZ148" s="312" t="s">
        <v>1457</v>
      </c>
      <c r="BA148" s="303">
        <f t="shared" si="123"/>
        <v>0</v>
      </c>
      <c r="BB148" s="314">
        <v>0</v>
      </c>
      <c r="BC148" s="303">
        <f t="shared" si="116"/>
        <v>0</v>
      </c>
      <c r="BD148" s="303">
        <v>0</v>
      </c>
      <c r="BE148" s="303">
        <f t="shared" si="127"/>
        <v>0</v>
      </c>
      <c r="BF148" s="314">
        <v>0</v>
      </c>
      <c r="BG148" s="303">
        <f t="shared" si="117"/>
        <v>0</v>
      </c>
      <c r="BH148" s="303">
        <v>0</v>
      </c>
      <c r="BI148" s="303">
        <f t="shared" si="128"/>
        <v>0</v>
      </c>
      <c r="BJ148" s="314">
        <v>0</v>
      </c>
      <c r="BK148" s="303">
        <f t="shared" si="118"/>
        <v>0</v>
      </c>
      <c r="BL148" s="303" t="s">
        <v>1457</v>
      </c>
      <c r="BM148" s="300"/>
      <c r="BN148" s="315"/>
      <c r="BO148" s="300">
        <f t="shared" si="120"/>
        <v>0</v>
      </c>
      <c r="BP148" s="300">
        <f t="shared" si="124"/>
        <v>0</v>
      </c>
      <c r="BQ148" s="300">
        <f t="shared" si="125"/>
        <v>0</v>
      </c>
      <c r="BR148" s="300">
        <f t="shared" si="126"/>
        <v>0</v>
      </c>
      <c r="BS148" s="316">
        <v>0.05</v>
      </c>
      <c r="BT148" s="316">
        <v>0.005</v>
      </c>
      <c r="BU148" s="317" t="s">
        <v>591</v>
      </c>
      <c r="BV148" s="317" t="s">
        <v>288</v>
      </c>
      <c r="BW148" s="318"/>
    </row>
    <row r="149" s="177" customFormat="1" ht="36" customHeight="1" spans="1:75">
      <c r="A149" s="299">
        <v>180</v>
      </c>
      <c r="B149" s="300" t="s">
        <v>652</v>
      </c>
      <c r="C149" s="242" t="s">
        <v>443</v>
      </c>
      <c r="D149" s="242" t="s">
        <v>576</v>
      </c>
      <c r="E149" s="242" t="s">
        <v>577</v>
      </c>
      <c r="F149" s="299" t="s">
        <v>81</v>
      </c>
      <c r="G149" s="301" t="s">
        <v>578</v>
      </c>
      <c r="H149" s="301" t="s">
        <v>276</v>
      </c>
      <c r="I149" s="302" t="s">
        <v>604</v>
      </c>
      <c r="J149" s="303" t="s">
        <v>1474</v>
      </c>
      <c r="K149" s="223" cm="1">
        <f t="array" ref="K149">_xlfn.XLOOKUP(D149&amp;E149&amp;H149&amp;I149&amp;J149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9" s="304"/>
      <c r="M149" s="305"/>
      <c r="N149" s="306"/>
      <c r="O149" s="307">
        <v>0</v>
      </c>
      <c r="P149" s="308">
        <v>0.185</v>
      </c>
      <c r="Q149" s="303">
        <f t="shared" si="100"/>
        <v>0</v>
      </c>
      <c r="R149" s="309"/>
      <c r="S149" s="303">
        <f t="shared" si="121"/>
        <v>0</v>
      </c>
      <c r="T149" s="310">
        <v>0</v>
      </c>
      <c r="U149" s="303">
        <f t="shared" si="101"/>
        <v>0</v>
      </c>
      <c r="V149" s="311">
        <v>0</v>
      </c>
      <c r="W149" s="303">
        <f t="shared" si="102"/>
        <v>0</v>
      </c>
      <c r="X149" s="312">
        <v>0</v>
      </c>
      <c r="Y149" s="303">
        <f t="shared" si="103"/>
        <v>0</v>
      </c>
      <c r="Z149" s="311">
        <v>0</v>
      </c>
      <c r="AA149" s="303">
        <f t="shared" si="104"/>
        <v>0</v>
      </c>
      <c r="AB149" s="320">
        <v>0</v>
      </c>
      <c r="AC149" s="303">
        <f t="shared" si="105"/>
        <v>0</v>
      </c>
      <c r="AD149" s="311">
        <v>0</v>
      </c>
      <c r="AE149" s="303">
        <f t="shared" si="106"/>
        <v>0</v>
      </c>
      <c r="AF149" s="312">
        <v>0</v>
      </c>
      <c r="AG149" s="303">
        <f t="shared" si="107"/>
        <v>0</v>
      </c>
      <c r="AH149" s="311">
        <v>0</v>
      </c>
      <c r="AI149" s="303">
        <f t="shared" si="108"/>
        <v>0</v>
      </c>
      <c r="AJ149" s="312">
        <v>0</v>
      </c>
      <c r="AK149" s="303">
        <f t="shared" si="129"/>
        <v>0</v>
      </c>
      <c r="AL149" s="311">
        <v>0</v>
      </c>
      <c r="AM149" s="303">
        <f t="shared" si="110"/>
        <v>0</v>
      </c>
      <c r="AN149" s="312">
        <v>0</v>
      </c>
      <c r="AO149" s="303">
        <f t="shared" si="130"/>
        <v>0</v>
      </c>
      <c r="AP149" s="311">
        <v>0</v>
      </c>
      <c r="AQ149" s="303">
        <f t="shared" si="112"/>
        <v>0</v>
      </c>
      <c r="AR149" s="303">
        <v>0.035</v>
      </c>
      <c r="AS149" s="303">
        <f t="shared" si="122"/>
        <v>0</v>
      </c>
      <c r="AT149" s="309"/>
      <c r="AU149" s="303">
        <f t="shared" si="113"/>
        <v>0</v>
      </c>
      <c r="AV149" s="308">
        <v>0.06</v>
      </c>
      <c r="AW149" s="303">
        <f t="shared" si="114"/>
        <v>0</v>
      </c>
      <c r="AX149" s="309"/>
      <c r="AY149" s="303">
        <f t="shared" si="115"/>
        <v>0</v>
      </c>
      <c r="AZ149" s="312" t="s">
        <v>1457</v>
      </c>
      <c r="BA149" s="303">
        <f t="shared" si="123"/>
        <v>0</v>
      </c>
      <c r="BB149" s="314">
        <v>0</v>
      </c>
      <c r="BC149" s="303">
        <f t="shared" si="116"/>
        <v>0</v>
      </c>
      <c r="BD149" s="303">
        <v>0</v>
      </c>
      <c r="BE149" s="303">
        <f t="shared" si="127"/>
        <v>0</v>
      </c>
      <c r="BF149" s="314">
        <v>0</v>
      </c>
      <c r="BG149" s="303">
        <f t="shared" si="117"/>
        <v>0</v>
      </c>
      <c r="BH149" s="303">
        <v>0</v>
      </c>
      <c r="BI149" s="303">
        <f t="shared" si="128"/>
        <v>0</v>
      </c>
      <c r="BJ149" s="314">
        <v>0</v>
      </c>
      <c r="BK149" s="303">
        <f t="shared" si="118"/>
        <v>0</v>
      </c>
      <c r="BL149" s="303" t="s">
        <v>1457</v>
      </c>
      <c r="BM149" s="300"/>
      <c r="BN149" s="315"/>
      <c r="BO149" s="300">
        <f t="shared" si="120"/>
        <v>0</v>
      </c>
      <c r="BP149" s="300">
        <f t="shared" si="124"/>
        <v>0</v>
      </c>
      <c r="BQ149" s="300">
        <f t="shared" si="125"/>
        <v>0</v>
      </c>
      <c r="BR149" s="300">
        <f t="shared" si="126"/>
        <v>0</v>
      </c>
      <c r="BS149" s="316">
        <v>0.05</v>
      </c>
      <c r="BT149" s="316">
        <v>0.005</v>
      </c>
      <c r="BU149" s="317" t="s">
        <v>591</v>
      </c>
      <c r="BV149" s="317" t="s">
        <v>288</v>
      </c>
      <c r="BW149" s="318"/>
    </row>
    <row r="150" s="177" customFormat="1" ht="36" customHeight="1" spans="1:75">
      <c r="A150" s="299">
        <v>181</v>
      </c>
      <c r="B150" s="300" t="s">
        <v>655</v>
      </c>
      <c r="C150" s="242" t="s">
        <v>443</v>
      </c>
      <c r="D150" s="242" t="s">
        <v>576</v>
      </c>
      <c r="E150" s="242" t="s">
        <v>577</v>
      </c>
      <c r="F150" s="299" t="s">
        <v>81</v>
      </c>
      <c r="G150" s="301" t="s">
        <v>578</v>
      </c>
      <c r="H150" s="301" t="s">
        <v>280</v>
      </c>
      <c r="I150" s="302" t="s">
        <v>607</v>
      </c>
      <c r="J150" s="319" t="s">
        <v>608</v>
      </c>
      <c r="K150" s="223" cm="1">
        <f t="array" ref="K150">_xlfn.XLOOKUP(D150&amp;E150&amp;H150&amp;I150&amp;J150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0" s="304"/>
      <c r="M150" s="305"/>
      <c r="N150" s="306">
        <v>43</v>
      </c>
      <c r="O150" s="307">
        <v>0</v>
      </c>
      <c r="P150" s="308">
        <v>0.175</v>
      </c>
      <c r="Q150" s="303">
        <f t="shared" si="100"/>
        <v>0</v>
      </c>
      <c r="R150" s="309">
        <v>595.18</v>
      </c>
      <c r="S150" s="303">
        <f t="shared" si="121"/>
        <v>-595.18</v>
      </c>
      <c r="T150" s="310">
        <v>0</v>
      </c>
      <c r="U150" s="303">
        <f t="shared" si="101"/>
        <v>0</v>
      </c>
      <c r="V150" s="311">
        <v>0</v>
      </c>
      <c r="W150" s="303">
        <f t="shared" si="102"/>
        <v>0</v>
      </c>
      <c r="X150" s="312">
        <v>0</v>
      </c>
      <c r="Y150" s="303">
        <f t="shared" si="103"/>
        <v>0</v>
      </c>
      <c r="Z150" s="311">
        <v>0</v>
      </c>
      <c r="AA150" s="303">
        <f t="shared" si="104"/>
        <v>0</v>
      </c>
      <c r="AB150" s="320">
        <v>0</v>
      </c>
      <c r="AC150" s="303">
        <f t="shared" si="105"/>
        <v>0</v>
      </c>
      <c r="AD150" s="311">
        <v>0</v>
      </c>
      <c r="AE150" s="303">
        <f t="shared" si="106"/>
        <v>0</v>
      </c>
      <c r="AF150" s="312">
        <v>0</v>
      </c>
      <c r="AG150" s="303">
        <f t="shared" si="107"/>
        <v>0</v>
      </c>
      <c r="AH150" s="311">
        <v>0</v>
      </c>
      <c r="AI150" s="303">
        <f t="shared" si="108"/>
        <v>0</v>
      </c>
      <c r="AJ150" s="312">
        <v>0</v>
      </c>
      <c r="AK150" s="303">
        <f t="shared" si="129"/>
        <v>0</v>
      </c>
      <c r="AL150" s="311">
        <v>0</v>
      </c>
      <c r="AM150" s="303">
        <f t="shared" si="110"/>
        <v>0</v>
      </c>
      <c r="AN150" s="312">
        <v>0</v>
      </c>
      <c r="AO150" s="303">
        <f t="shared" si="130"/>
        <v>0</v>
      </c>
      <c r="AP150" s="311">
        <v>0</v>
      </c>
      <c r="AQ150" s="303">
        <f t="shared" si="112"/>
        <v>0</v>
      </c>
      <c r="AR150" s="303">
        <v>0.035</v>
      </c>
      <c r="AS150" s="303">
        <f t="shared" si="122"/>
        <v>0</v>
      </c>
      <c r="AT150" s="309">
        <v>119.04</v>
      </c>
      <c r="AU150" s="303">
        <f t="shared" si="113"/>
        <v>-119.04</v>
      </c>
      <c r="AV150" s="308">
        <v>0.06</v>
      </c>
      <c r="AW150" s="303">
        <f t="shared" si="114"/>
        <v>0</v>
      </c>
      <c r="AX150" s="309">
        <v>204.06</v>
      </c>
      <c r="AY150" s="303">
        <f t="shared" si="115"/>
        <v>-204.06</v>
      </c>
      <c r="AZ150" s="312" t="s">
        <v>1457</v>
      </c>
      <c r="BA150" s="303">
        <f t="shared" si="123"/>
        <v>0</v>
      </c>
      <c r="BB150" s="314">
        <v>0</v>
      </c>
      <c r="BC150" s="303">
        <f t="shared" si="116"/>
        <v>0</v>
      </c>
      <c r="BD150" s="303">
        <v>0</v>
      </c>
      <c r="BE150" s="303">
        <f t="shared" si="127"/>
        <v>0</v>
      </c>
      <c r="BF150" s="314">
        <v>0</v>
      </c>
      <c r="BG150" s="303">
        <f t="shared" si="117"/>
        <v>0</v>
      </c>
      <c r="BH150" s="303">
        <v>0</v>
      </c>
      <c r="BI150" s="303">
        <f t="shared" si="128"/>
        <v>0</v>
      </c>
      <c r="BJ150" s="314">
        <v>0</v>
      </c>
      <c r="BK150" s="303">
        <f t="shared" si="118"/>
        <v>0</v>
      </c>
      <c r="BL150" s="303" t="s">
        <v>1457</v>
      </c>
      <c r="BM150" s="300">
        <v>257.34</v>
      </c>
      <c r="BN150" s="315">
        <v>257.34</v>
      </c>
      <c r="BO150" s="300">
        <f t="shared" si="120"/>
        <v>0</v>
      </c>
      <c r="BP150" s="300">
        <f t="shared" si="124"/>
        <v>300.34</v>
      </c>
      <c r="BQ150" s="300">
        <f t="shared" si="125"/>
        <v>1218.62</v>
      </c>
      <c r="BR150" s="300">
        <f t="shared" si="126"/>
        <v>-918.28</v>
      </c>
      <c r="BS150" s="316">
        <v>0.05</v>
      </c>
      <c r="BT150" s="316">
        <v>0.005</v>
      </c>
      <c r="BU150" s="317" t="s">
        <v>591</v>
      </c>
      <c r="BV150" s="317" t="s">
        <v>288</v>
      </c>
      <c r="BW150" s="318"/>
    </row>
    <row r="151" s="177" customFormat="1" ht="48" customHeight="1" spans="1:75">
      <c r="A151" s="299">
        <v>182</v>
      </c>
      <c r="B151" s="300" t="s">
        <v>658</v>
      </c>
      <c r="C151" s="242" t="s">
        <v>443</v>
      </c>
      <c r="D151" s="242" t="s">
        <v>576</v>
      </c>
      <c r="E151" s="242" t="s">
        <v>577</v>
      </c>
      <c r="F151" s="299" t="s">
        <v>81</v>
      </c>
      <c r="G151" s="301" t="s">
        <v>578</v>
      </c>
      <c r="H151" s="301" t="s">
        <v>284</v>
      </c>
      <c r="I151" s="302" t="s">
        <v>488</v>
      </c>
      <c r="J151" s="303" t="s">
        <v>1508</v>
      </c>
      <c r="K151" s="223" cm="1">
        <f t="array" ref="K151">_xlfn.XLOOKUP(D151&amp;E151&amp;H151&amp;I151&amp;J151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1" s="304"/>
      <c r="M151" s="305"/>
      <c r="N151" s="306">
        <v>28</v>
      </c>
      <c r="O151" s="307">
        <v>0</v>
      </c>
      <c r="P151" s="308">
        <v>0.19</v>
      </c>
      <c r="Q151" s="303">
        <f t="shared" si="100"/>
        <v>0</v>
      </c>
      <c r="R151" s="309">
        <v>120.1</v>
      </c>
      <c r="S151" s="303">
        <f t="shared" si="121"/>
        <v>-120.1</v>
      </c>
      <c r="T151" s="310">
        <v>0</v>
      </c>
      <c r="U151" s="303">
        <f t="shared" si="101"/>
        <v>0</v>
      </c>
      <c r="V151" s="311">
        <v>0</v>
      </c>
      <c r="W151" s="303">
        <f t="shared" si="102"/>
        <v>0</v>
      </c>
      <c r="X151" s="312">
        <v>0</v>
      </c>
      <c r="Y151" s="303">
        <f t="shared" si="103"/>
        <v>0</v>
      </c>
      <c r="Z151" s="311">
        <v>0</v>
      </c>
      <c r="AA151" s="303">
        <f t="shared" si="104"/>
        <v>0</v>
      </c>
      <c r="AB151" s="320">
        <v>0</v>
      </c>
      <c r="AC151" s="303">
        <f t="shared" si="105"/>
        <v>0</v>
      </c>
      <c r="AD151" s="311">
        <v>0</v>
      </c>
      <c r="AE151" s="303">
        <f t="shared" si="106"/>
        <v>0</v>
      </c>
      <c r="AF151" s="312">
        <v>0</v>
      </c>
      <c r="AG151" s="303">
        <f t="shared" si="107"/>
        <v>0</v>
      </c>
      <c r="AH151" s="311">
        <v>0</v>
      </c>
      <c r="AI151" s="303">
        <f t="shared" si="108"/>
        <v>0</v>
      </c>
      <c r="AJ151" s="312">
        <v>0</v>
      </c>
      <c r="AK151" s="303">
        <f t="shared" si="129"/>
        <v>0</v>
      </c>
      <c r="AL151" s="311">
        <v>0</v>
      </c>
      <c r="AM151" s="303">
        <f t="shared" si="110"/>
        <v>0</v>
      </c>
      <c r="AN151" s="312">
        <v>0</v>
      </c>
      <c r="AO151" s="303">
        <f t="shared" si="130"/>
        <v>0</v>
      </c>
      <c r="AP151" s="311">
        <v>0</v>
      </c>
      <c r="AQ151" s="303">
        <f t="shared" si="112"/>
        <v>0</v>
      </c>
      <c r="AR151" s="303">
        <v>0</v>
      </c>
      <c r="AS151" s="303">
        <f t="shared" si="122"/>
        <v>0</v>
      </c>
      <c r="AT151" s="309">
        <v>0</v>
      </c>
      <c r="AU151" s="303">
        <f t="shared" si="113"/>
        <v>0</v>
      </c>
      <c r="AV151" s="308">
        <v>0.06</v>
      </c>
      <c r="AW151" s="303">
        <f t="shared" si="114"/>
        <v>0</v>
      </c>
      <c r="AX151" s="309">
        <v>37.93</v>
      </c>
      <c r="AY151" s="303">
        <f t="shared" si="115"/>
        <v>-37.93</v>
      </c>
      <c r="AZ151" s="312" t="s">
        <v>1457</v>
      </c>
      <c r="BA151" s="303">
        <f t="shared" si="123"/>
        <v>0</v>
      </c>
      <c r="BB151" s="314">
        <v>0</v>
      </c>
      <c r="BC151" s="303">
        <f t="shared" si="116"/>
        <v>0</v>
      </c>
      <c r="BD151" s="303">
        <v>0</v>
      </c>
      <c r="BE151" s="303">
        <f t="shared" si="127"/>
        <v>0</v>
      </c>
      <c r="BF151" s="314">
        <v>0</v>
      </c>
      <c r="BG151" s="303">
        <f t="shared" si="117"/>
        <v>0</v>
      </c>
      <c r="BH151" s="303">
        <v>0</v>
      </c>
      <c r="BI151" s="303">
        <f t="shared" si="128"/>
        <v>0</v>
      </c>
      <c r="BJ151" s="314">
        <v>0</v>
      </c>
      <c r="BK151" s="303">
        <f t="shared" si="118"/>
        <v>0</v>
      </c>
      <c r="BL151" s="303" t="s">
        <v>1457</v>
      </c>
      <c r="BM151" s="300"/>
      <c r="BN151" s="315"/>
      <c r="BO151" s="300">
        <f t="shared" si="120"/>
        <v>0</v>
      </c>
      <c r="BP151" s="300">
        <f t="shared" si="124"/>
        <v>28</v>
      </c>
      <c r="BQ151" s="300">
        <f t="shared" si="125"/>
        <v>186.03</v>
      </c>
      <c r="BR151" s="300">
        <f t="shared" si="126"/>
        <v>-158.03</v>
      </c>
      <c r="BS151" s="316">
        <v>0.05</v>
      </c>
      <c r="BT151" s="316">
        <v>0.005</v>
      </c>
      <c r="BU151" s="317" t="s">
        <v>611</v>
      </c>
      <c r="BV151" s="317" t="s">
        <v>288</v>
      </c>
      <c r="BW151" s="318"/>
    </row>
    <row r="152" s="177" customFormat="1" ht="36" customHeight="1" spans="1:75">
      <c r="A152" s="299">
        <v>183</v>
      </c>
      <c r="B152" s="300" t="s">
        <v>661</v>
      </c>
      <c r="C152" s="242" t="s">
        <v>443</v>
      </c>
      <c r="D152" s="242" t="s">
        <v>576</v>
      </c>
      <c r="E152" s="242" t="s">
        <v>577</v>
      </c>
      <c r="F152" s="299" t="s">
        <v>81</v>
      </c>
      <c r="G152" s="301" t="s">
        <v>578</v>
      </c>
      <c r="H152" s="301" t="s">
        <v>322</v>
      </c>
      <c r="I152" s="302" t="s">
        <v>186</v>
      </c>
      <c r="J152" s="319" t="s">
        <v>613</v>
      </c>
      <c r="K152" s="223" cm="1">
        <f t="array" ref="K152">_xlfn.XLOOKUP(D152&amp;E152&amp;H152&amp;I152&amp;J152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2" s="304"/>
      <c r="M152" s="305"/>
      <c r="N152" s="306">
        <v>43</v>
      </c>
      <c r="O152" s="307">
        <v>0</v>
      </c>
      <c r="P152" s="308">
        <v>0.145</v>
      </c>
      <c r="Q152" s="303">
        <f t="shared" si="100"/>
        <v>0</v>
      </c>
      <c r="R152" s="309"/>
      <c r="S152" s="303">
        <f t="shared" si="121"/>
        <v>0</v>
      </c>
      <c r="T152" s="310">
        <v>0</v>
      </c>
      <c r="U152" s="303">
        <f t="shared" si="101"/>
        <v>0</v>
      </c>
      <c r="V152" s="311">
        <v>0</v>
      </c>
      <c r="W152" s="303">
        <f t="shared" si="102"/>
        <v>0</v>
      </c>
      <c r="X152" s="312">
        <v>0</v>
      </c>
      <c r="Y152" s="303">
        <f t="shared" si="103"/>
        <v>0</v>
      </c>
      <c r="Z152" s="311">
        <v>0</v>
      </c>
      <c r="AA152" s="303">
        <f t="shared" si="104"/>
        <v>0</v>
      </c>
      <c r="AB152" s="320">
        <v>0</v>
      </c>
      <c r="AC152" s="303">
        <f t="shared" si="105"/>
        <v>0</v>
      </c>
      <c r="AD152" s="311">
        <v>0</v>
      </c>
      <c r="AE152" s="303">
        <f t="shared" si="106"/>
        <v>0</v>
      </c>
      <c r="AF152" s="312">
        <v>0</v>
      </c>
      <c r="AG152" s="303">
        <f t="shared" si="107"/>
        <v>0</v>
      </c>
      <c r="AH152" s="311">
        <v>0</v>
      </c>
      <c r="AI152" s="303">
        <f t="shared" si="108"/>
        <v>0</v>
      </c>
      <c r="AJ152" s="312">
        <v>0</v>
      </c>
      <c r="AK152" s="303">
        <f t="shared" si="129"/>
        <v>0</v>
      </c>
      <c r="AL152" s="311">
        <v>0</v>
      </c>
      <c r="AM152" s="303">
        <f t="shared" si="110"/>
        <v>0</v>
      </c>
      <c r="AN152" s="312">
        <v>0</v>
      </c>
      <c r="AO152" s="303">
        <f t="shared" si="130"/>
        <v>0</v>
      </c>
      <c r="AP152" s="311">
        <v>0</v>
      </c>
      <c r="AQ152" s="303">
        <f t="shared" si="112"/>
        <v>0</v>
      </c>
      <c r="AR152" s="303">
        <v>0.035</v>
      </c>
      <c r="AS152" s="303">
        <f t="shared" si="122"/>
        <v>0</v>
      </c>
      <c r="AT152" s="309"/>
      <c r="AU152" s="303">
        <f t="shared" si="113"/>
        <v>0</v>
      </c>
      <c r="AV152" s="308">
        <v>0.06</v>
      </c>
      <c r="AW152" s="303">
        <f t="shared" si="114"/>
        <v>0</v>
      </c>
      <c r="AX152" s="309"/>
      <c r="AY152" s="303">
        <f t="shared" si="115"/>
        <v>0</v>
      </c>
      <c r="AZ152" s="312" t="s">
        <v>1457</v>
      </c>
      <c r="BA152" s="303">
        <f t="shared" si="123"/>
        <v>0</v>
      </c>
      <c r="BB152" s="314">
        <v>0</v>
      </c>
      <c r="BC152" s="303">
        <f t="shared" si="116"/>
        <v>0</v>
      </c>
      <c r="BD152" s="303">
        <v>0</v>
      </c>
      <c r="BE152" s="303">
        <f t="shared" si="127"/>
        <v>0</v>
      </c>
      <c r="BF152" s="314">
        <v>0</v>
      </c>
      <c r="BG152" s="303">
        <f t="shared" si="117"/>
        <v>0</v>
      </c>
      <c r="BH152" s="303">
        <v>0</v>
      </c>
      <c r="BI152" s="303">
        <f t="shared" si="128"/>
        <v>0</v>
      </c>
      <c r="BJ152" s="314">
        <v>0</v>
      </c>
      <c r="BK152" s="303">
        <f t="shared" si="118"/>
        <v>0</v>
      </c>
      <c r="BL152" s="303" t="s">
        <v>1457</v>
      </c>
      <c r="BM152" s="300"/>
      <c r="BN152" s="315"/>
      <c r="BO152" s="300">
        <f t="shared" si="120"/>
        <v>0</v>
      </c>
      <c r="BP152" s="300">
        <f t="shared" si="124"/>
        <v>43</v>
      </c>
      <c r="BQ152" s="300">
        <f t="shared" si="125"/>
        <v>43</v>
      </c>
      <c r="BR152" s="300">
        <f t="shared" si="126"/>
        <v>0</v>
      </c>
      <c r="BS152" s="316">
        <v>0.05</v>
      </c>
      <c r="BT152" s="316">
        <v>0.005</v>
      </c>
      <c r="BU152" s="317" t="s">
        <v>591</v>
      </c>
      <c r="BV152" s="317" t="s">
        <v>288</v>
      </c>
      <c r="BW152" s="318"/>
    </row>
    <row r="153" s="177" customFormat="1" ht="36" customHeight="1" spans="1:75">
      <c r="A153" s="299">
        <v>184</v>
      </c>
      <c r="B153" s="300" t="s">
        <v>664</v>
      </c>
      <c r="C153" s="242" t="s">
        <v>443</v>
      </c>
      <c r="D153" s="242" t="s">
        <v>576</v>
      </c>
      <c r="E153" s="242" t="s">
        <v>577</v>
      </c>
      <c r="F153" s="299" t="s">
        <v>81</v>
      </c>
      <c r="G153" s="301" t="s">
        <v>578</v>
      </c>
      <c r="H153" s="301" t="s">
        <v>329</v>
      </c>
      <c r="I153" s="302" t="s">
        <v>615</v>
      </c>
      <c r="J153" s="319" t="s">
        <v>616</v>
      </c>
      <c r="K153" s="223" cm="1">
        <f t="array" ref="K153">_xlfn.XLOOKUP(D153&amp;E153&amp;H153&amp;I153&amp;J153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3" s="304"/>
      <c r="M153" s="305"/>
      <c r="N153" s="306">
        <v>43</v>
      </c>
      <c r="O153" s="307">
        <v>0</v>
      </c>
      <c r="P153" s="308">
        <v>0.145</v>
      </c>
      <c r="Q153" s="303">
        <f t="shared" si="100"/>
        <v>0</v>
      </c>
      <c r="R153" s="309">
        <v>1242.72</v>
      </c>
      <c r="S153" s="303">
        <f t="shared" si="121"/>
        <v>-1242.72</v>
      </c>
      <c r="T153" s="310">
        <v>0</v>
      </c>
      <c r="U153" s="303">
        <f t="shared" si="101"/>
        <v>0</v>
      </c>
      <c r="V153" s="311">
        <v>0</v>
      </c>
      <c r="W153" s="303">
        <f t="shared" si="102"/>
        <v>0</v>
      </c>
      <c r="X153" s="312">
        <v>0</v>
      </c>
      <c r="Y153" s="303">
        <f t="shared" si="103"/>
        <v>0</v>
      </c>
      <c r="Z153" s="311">
        <v>0</v>
      </c>
      <c r="AA153" s="303">
        <f t="shared" si="104"/>
        <v>0</v>
      </c>
      <c r="AB153" s="320">
        <v>0</v>
      </c>
      <c r="AC153" s="303">
        <f t="shared" si="105"/>
        <v>0</v>
      </c>
      <c r="AD153" s="311">
        <v>0</v>
      </c>
      <c r="AE153" s="303">
        <f t="shared" si="106"/>
        <v>0</v>
      </c>
      <c r="AF153" s="312">
        <v>0</v>
      </c>
      <c r="AG153" s="303">
        <f t="shared" si="107"/>
        <v>0</v>
      </c>
      <c r="AH153" s="311">
        <v>0</v>
      </c>
      <c r="AI153" s="303">
        <f t="shared" si="108"/>
        <v>0</v>
      </c>
      <c r="AJ153" s="312">
        <v>0</v>
      </c>
      <c r="AK153" s="303">
        <f t="shared" si="129"/>
        <v>0</v>
      </c>
      <c r="AL153" s="311">
        <v>0</v>
      </c>
      <c r="AM153" s="303">
        <f t="shared" si="110"/>
        <v>0</v>
      </c>
      <c r="AN153" s="312">
        <v>0</v>
      </c>
      <c r="AO153" s="303">
        <f t="shared" si="130"/>
        <v>0</v>
      </c>
      <c r="AP153" s="311">
        <v>0</v>
      </c>
      <c r="AQ153" s="303">
        <f t="shared" si="112"/>
        <v>0</v>
      </c>
      <c r="AR153" s="303">
        <v>0.035</v>
      </c>
      <c r="AS153" s="303">
        <f t="shared" si="122"/>
        <v>0</v>
      </c>
      <c r="AT153" s="309">
        <v>299.97</v>
      </c>
      <c r="AU153" s="303">
        <f t="shared" si="113"/>
        <v>-299.97</v>
      </c>
      <c r="AV153" s="308">
        <v>0.06</v>
      </c>
      <c r="AW153" s="303">
        <f t="shared" si="114"/>
        <v>0</v>
      </c>
      <c r="AX153" s="309">
        <v>514.23</v>
      </c>
      <c r="AY153" s="303">
        <f t="shared" si="115"/>
        <v>-514.23</v>
      </c>
      <c r="AZ153" s="312" t="s">
        <v>1457</v>
      </c>
      <c r="BA153" s="303">
        <f t="shared" si="123"/>
        <v>0</v>
      </c>
      <c r="BB153" s="314">
        <v>0</v>
      </c>
      <c r="BC153" s="303">
        <f t="shared" si="116"/>
        <v>0</v>
      </c>
      <c r="BD153" s="303">
        <v>0</v>
      </c>
      <c r="BE153" s="303">
        <f t="shared" si="127"/>
        <v>0</v>
      </c>
      <c r="BF153" s="314">
        <v>0</v>
      </c>
      <c r="BG153" s="303">
        <f t="shared" si="117"/>
        <v>0</v>
      </c>
      <c r="BH153" s="303">
        <v>0</v>
      </c>
      <c r="BI153" s="303">
        <f t="shared" si="128"/>
        <v>0</v>
      </c>
      <c r="BJ153" s="314">
        <v>0</v>
      </c>
      <c r="BK153" s="303">
        <f t="shared" si="118"/>
        <v>0</v>
      </c>
      <c r="BL153" s="303" t="s">
        <v>1457</v>
      </c>
      <c r="BM153" s="300">
        <v>575</v>
      </c>
      <c r="BN153" s="315">
        <v>575</v>
      </c>
      <c r="BO153" s="300">
        <f t="shared" si="120"/>
        <v>0</v>
      </c>
      <c r="BP153" s="300">
        <f t="shared" si="124"/>
        <v>618</v>
      </c>
      <c r="BQ153" s="300">
        <f t="shared" si="125"/>
        <v>2674.92</v>
      </c>
      <c r="BR153" s="300">
        <f t="shared" si="126"/>
        <v>-2056.92</v>
      </c>
      <c r="BS153" s="316">
        <v>0.05</v>
      </c>
      <c r="BT153" s="316">
        <v>0.005</v>
      </c>
      <c r="BU153" s="317" t="s">
        <v>591</v>
      </c>
      <c r="BV153" s="317" t="s">
        <v>288</v>
      </c>
      <c r="BW153" s="318"/>
    </row>
    <row r="154" s="177" customFormat="1" ht="36" customHeight="1" spans="1:75">
      <c r="A154" s="299">
        <v>185</v>
      </c>
      <c r="B154" s="300" t="s">
        <v>667</v>
      </c>
      <c r="C154" s="242" t="s">
        <v>443</v>
      </c>
      <c r="D154" s="242" t="s">
        <v>576</v>
      </c>
      <c r="E154" s="242" t="s">
        <v>577</v>
      </c>
      <c r="F154" s="299" t="s">
        <v>81</v>
      </c>
      <c r="G154" s="301" t="s">
        <v>578</v>
      </c>
      <c r="H154" s="301" t="s">
        <v>333</v>
      </c>
      <c r="I154" s="302" t="s">
        <v>618</v>
      </c>
      <c r="J154" s="319" t="s">
        <v>619</v>
      </c>
      <c r="K154" s="223" cm="1">
        <f t="array" ref="K154">_xlfn.XLOOKUP(D154&amp;E154&amp;H154&amp;I154&amp;J154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4" s="304"/>
      <c r="M154" s="305"/>
      <c r="N154" s="306">
        <v>1698.59</v>
      </c>
      <c r="O154" s="307">
        <v>0</v>
      </c>
      <c r="P154" s="308">
        <v>0.145</v>
      </c>
      <c r="Q154" s="303">
        <f t="shared" si="100"/>
        <v>0</v>
      </c>
      <c r="R154" s="309">
        <v>729.79</v>
      </c>
      <c r="S154" s="303">
        <f t="shared" si="121"/>
        <v>-729.79</v>
      </c>
      <c r="T154" s="310">
        <v>0</v>
      </c>
      <c r="U154" s="303">
        <f t="shared" si="101"/>
        <v>0</v>
      </c>
      <c r="V154" s="311">
        <v>0</v>
      </c>
      <c r="W154" s="303">
        <f t="shared" si="102"/>
        <v>0</v>
      </c>
      <c r="X154" s="312">
        <v>0</v>
      </c>
      <c r="Y154" s="303">
        <f t="shared" si="103"/>
        <v>0</v>
      </c>
      <c r="Z154" s="311">
        <v>0</v>
      </c>
      <c r="AA154" s="303">
        <f t="shared" si="104"/>
        <v>0</v>
      </c>
      <c r="AB154" s="320">
        <v>0</v>
      </c>
      <c r="AC154" s="303">
        <f t="shared" si="105"/>
        <v>0</v>
      </c>
      <c r="AD154" s="311">
        <v>0</v>
      </c>
      <c r="AE154" s="303">
        <f t="shared" si="106"/>
        <v>0</v>
      </c>
      <c r="AF154" s="312">
        <v>0</v>
      </c>
      <c r="AG154" s="303">
        <f t="shared" si="107"/>
        <v>0</v>
      </c>
      <c r="AH154" s="311">
        <v>0</v>
      </c>
      <c r="AI154" s="303">
        <f t="shared" si="108"/>
        <v>0</v>
      </c>
      <c r="AJ154" s="312">
        <v>0</v>
      </c>
      <c r="AK154" s="303">
        <f t="shared" si="129"/>
        <v>0</v>
      </c>
      <c r="AL154" s="311">
        <v>0</v>
      </c>
      <c r="AM154" s="303">
        <f t="shared" si="110"/>
        <v>0</v>
      </c>
      <c r="AN154" s="312">
        <v>0</v>
      </c>
      <c r="AO154" s="303">
        <f t="shared" si="130"/>
        <v>0</v>
      </c>
      <c r="AP154" s="311">
        <v>0</v>
      </c>
      <c r="AQ154" s="303">
        <f t="shared" si="112"/>
        <v>0</v>
      </c>
      <c r="AR154" s="303">
        <v>0.035</v>
      </c>
      <c r="AS154" s="303">
        <f t="shared" si="122"/>
        <v>0</v>
      </c>
      <c r="AT154" s="309">
        <v>176.16</v>
      </c>
      <c r="AU154" s="303">
        <f t="shared" si="113"/>
        <v>-176.16</v>
      </c>
      <c r="AV154" s="308">
        <v>0.06</v>
      </c>
      <c r="AW154" s="303">
        <f t="shared" si="114"/>
        <v>0</v>
      </c>
      <c r="AX154" s="309">
        <v>301.98</v>
      </c>
      <c r="AY154" s="303">
        <f t="shared" si="115"/>
        <v>-301.98</v>
      </c>
      <c r="AZ154" s="312" t="s">
        <v>1457</v>
      </c>
      <c r="BA154" s="303">
        <f t="shared" si="123"/>
        <v>0</v>
      </c>
      <c r="BB154" s="314">
        <v>0</v>
      </c>
      <c r="BC154" s="303">
        <f t="shared" si="116"/>
        <v>0</v>
      </c>
      <c r="BD154" s="303">
        <v>0</v>
      </c>
      <c r="BE154" s="303">
        <f t="shared" si="127"/>
        <v>0</v>
      </c>
      <c r="BF154" s="314">
        <v>0</v>
      </c>
      <c r="BG154" s="303">
        <f t="shared" si="117"/>
        <v>0</v>
      </c>
      <c r="BH154" s="303">
        <v>0</v>
      </c>
      <c r="BI154" s="303">
        <f t="shared" si="128"/>
        <v>0</v>
      </c>
      <c r="BJ154" s="314">
        <v>0</v>
      </c>
      <c r="BK154" s="303">
        <f t="shared" si="118"/>
        <v>0</v>
      </c>
      <c r="BL154" s="303" t="s">
        <v>1457</v>
      </c>
      <c r="BM154" s="300">
        <v>425</v>
      </c>
      <c r="BN154" s="315">
        <v>425</v>
      </c>
      <c r="BO154" s="300">
        <f t="shared" si="120"/>
        <v>0</v>
      </c>
      <c r="BP154" s="300">
        <f t="shared" si="124"/>
        <v>2123.59</v>
      </c>
      <c r="BQ154" s="300">
        <f t="shared" si="125"/>
        <v>3331.52</v>
      </c>
      <c r="BR154" s="300">
        <f t="shared" si="126"/>
        <v>-1207.93</v>
      </c>
      <c r="BS154" s="316">
        <v>0.05</v>
      </c>
      <c r="BT154" s="316">
        <v>0.005</v>
      </c>
      <c r="BU154" s="317" t="s">
        <v>591</v>
      </c>
      <c r="BV154" s="317" t="s">
        <v>288</v>
      </c>
      <c r="BW154" s="318"/>
    </row>
    <row r="155" s="177" customFormat="1" ht="36" customHeight="1" spans="1:75">
      <c r="A155" s="299">
        <v>186</v>
      </c>
      <c r="B155" s="300" t="s">
        <v>669</v>
      </c>
      <c r="C155" s="242" t="s">
        <v>443</v>
      </c>
      <c r="D155" s="242" t="s">
        <v>576</v>
      </c>
      <c r="E155" s="242" t="s">
        <v>577</v>
      </c>
      <c r="F155" s="299" t="s">
        <v>81</v>
      </c>
      <c r="G155" s="301" t="s">
        <v>578</v>
      </c>
      <c r="H155" s="301" t="s">
        <v>621</v>
      </c>
      <c r="I155" s="302" t="s">
        <v>485</v>
      </c>
      <c r="J155" s="319" t="s">
        <v>622</v>
      </c>
      <c r="K155" s="223" cm="1">
        <f t="array" ref="K155">_xlfn.XLOOKUP(D155&amp;E155&amp;H155&amp;I155&amp;J155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5" s="304"/>
      <c r="M155" s="305"/>
      <c r="N155" s="306">
        <v>43</v>
      </c>
      <c r="O155" s="307">
        <v>0</v>
      </c>
      <c r="P155" s="308">
        <v>0.165</v>
      </c>
      <c r="Q155" s="303">
        <f t="shared" si="100"/>
        <v>0</v>
      </c>
      <c r="R155" s="309">
        <v>378.68</v>
      </c>
      <c r="S155" s="303">
        <f t="shared" si="121"/>
        <v>-378.68</v>
      </c>
      <c r="T155" s="310">
        <v>0</v>
      </c>
      <c r="U155" s="303">
        <f t="shared" si="101"/>
        <v>0</v>
      </c>
      <c r="V155" s="311">
        <v>0</v>
      </c>
      <c r="W155" s="303">
        <f t="shared" si="102"/>
        <v>0</v>
      </c>
      <c r="X155" s="312">
        <v>0</v>
      </c>
      <c r="Y155" s="303">
        <f t="shared" si="103"/>
        <v>0</v>
      </c>
      <c r="Z155" s="311">
        <v>0</v>
      </c>
      <c r="AA155" s="303">
        <f t="shared" si="104"/>
        <v>0</v>
      </c>
      <c r="AB155" s="320">
        <v>0</v>
      </c>
      <c r="AC155" s="303">
        <f t="shared" si="105"/>
        <v>0</v>
      </c>
      <c r="AD155" s="311">
        <v>0</v>
      </c>
      <c r="AE155" s="303">
        <f t="shared" si="106"/>
        <v>0</v>
      </c>
      <c r="AF155" s="312">
        <v>0</v>
      </c>
      <c r="AG155" s="303">
        <f t="shared" si="107"/>
        <v>0</v>
      </c>
      <c r="AH155" s="311">
        <v>0</v>
      </c>
      <c r="AI155" s="303">
        <f t="shared" si="108"/>
        <v>0</v>
      </c>
      <c r="AJ155" s="312">
        <v>0</v>
      </c>
      <c r="AK155" s="303">
        <f t="shared" si="129"/>
        <v>0</v>
      </c>
      <c r="AL155" s="311">
        <v>0</v>
      </c>
      <c r="AM155" s="303">
        <f t="shared" si="110"/>
        <v>0</v>
      </c>
      <c r="AN155" s="312">
        <v>0</v>
      </c>
      <c r="AO155" s="303">
        <f t="shared" si="130"/>
        <v>0</v>
      </c>
      <c r="AP155" s="311">
        <v>0</v>
      </c>
      <c r="AQ155" s="303">
        <f t="shared" si="112"/>
        <v>0</v>
      </c>
      <c r="AR155" s="303">
        <v>0.035</v>
      </c>
      <c r="AS155" s="303">
        <f t="shared" si="122"/>
        <v>0</v>
      </c>
      <c r="AT155" s="309">
        <v>80.33</v>
      </c>
      <c r="AU155" s="303">
        <f t="shared" si="113"/>
        <v>-80.33</v>
      </c>
      <c r="AV155" s="308">
        <v>0.06</v>
      </c>
      <c r="AW155" s="303">
        <f t="shared" si="114"/>
        <v>0</v>
      </c>
      <c r="AX155" s="309">
        <v>137.7</v>
      </c>
      <c r="AY155" s="303">
        <f t="shared" si="115"/>
        <v>-137.7</v>
      </c>
      <c r="AZ155" s="312" t="s">
        <v>1457</v>
      </c>
      <c r="BA155" s="303">
        <f t="shared" si="123"/>
        <v>0</v>
      </c>
      <c r="BB155" s="314">
        <v>0</v>
      </c>
      <c r="BC155" s="303">
        <f t="shared" si="116"/>
        <v>0</v>
      </c>
      <c r="BD155" s="303">
        <v>0</v>
      </c>
      <c r="BE155" s="303">
        <f t="shared" si="127"/>
        <v>0</v>
      </c>
      <c r="BF155" s="314">
        <v>0</v>
      </c>
      <c r="BG155" s="303">
        <f t="shared" si="117"/>
        <v>0</v>
      </c>
      <c r="BH155" s="303">
        <v>0</v>
      </c>
      <c r="BI155" s="303"/>
      <c r="BJ155" s="314"/>
      <c r="BK155" s="303">
        <f t="shared" si="118"/>
        <v>0</v>
      </c>
      <c r="BL155" s="303" t="s">
        <v>1457</v>
      </c>
      <c r="BM155" s="300">
        <v>38.4</v>
      </c>
      <c r="BN155" s="315">
        <v>38.4</v>
      </c>
      <c r="BO155" s="300">
        <f t="shared" si="120"/>
        <v>0</v>
      </c>
      <c r="BP155" s="300">
        <f t="shared" si="124"/>
        <v>81.4</v>
      </c>
      <c r="BQ155" s="300">
        <f t="shared" si="125"/>
        <v>678.11</v>
      </c>
      <c r="BR155" s="300">
        <f t="shared" si="126"/>
        <v>-596.71</v>
      </c>
      <c r="BS155" s="316">
        <v>0.05</v>
      </c>
      <c r="BT155" s="316">
        <v>0.005</v>
      </c>
      <c r="BU155" s="317" t="s">
        <v>591</v>
      </c>
      <c r="BV155" s="317" t="s">
        <v>288</v>
      </c>
      <c r="BW155" s="318"/>
    </row>
    <row r="156" s="177" customFormat="1" ht="36" customHeight="1" spans="1:75">
      <c r="A156" s="299">
        <v>187</v>
      </c>
      <c r="B156" s="300" t="s">
        <v>672</v>
      </c>
      <c r="C156" s="242" t="s">
        <v>443</v>
      </c>
      <c r="D156" s="242" t="s">
        <v>576</v>
      </c>
      <c r="E156" s="242" t="s">
        <v>577</v>
      </c>
      <c r="F156" s="299" t="s">
        <v>81</v>
      </c>
      <c r="G156" s="301" t="s">
        <v>578</v>
      </c>
      <c r="H156" s="301" t="s">
        <v>624</v>
      </c>
      <c r="I156" s="302" t="s">
        <v>625</v>
      </c>
      <c r="J156" s="319" t="s">
        <v>626</v>
      </c>
      <c r="K156" s="223" cm="1">
        <f t="array" ref="K156">_xlfn.XLOOKUP(D156&amp;E156&amp;H156&amp;I156&amp;J156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6" s="304"/>
      <c r="M156" s="305"/>
      <c r="N156" s="306"/>
      <c r="O156" s="307">
        <v>0</v>
      </c>
      <c r="P156" s="308">
        <v>0.165</v>
      </c>
      <c r="Q156" s="303">
        <f t="shared" si="100"/>
        <v>0</v>
      </c>
      <c r="R156" s="309"/>
      <c r="S156" s="303">
        <f t="shared" si="121"/>
        <v>0</v>
      </c>
      <c r="T156" s="310">
        <v>0</v>
      </c>
      <c r="U156" s="303">
        <f t="shared" si="101"/>
        <v>0</v>
      </c>
      <c r="V156" s="311">
        <v>0</v>
      </c>
      <c r="W156" s="303">
        <f t="shared" si="102"/>
        <v>0</v>
      </c>
      <c r="X156" s="312">
        <v>0</v>
      </c>
      <c r="Y156" s="303">
        <f t="shared" si="103"/>
        <v>0</v>
      </c>
      <c r="Z156" s="311">
        <v>0</v>
      </c>
      <c r="AA156" s="303">
        <f t="shared" si="104"/>
        <v>0</v>
      </c>
      <c r="AB156" s="320">
        <v>0</v>
      </c>
      <c r="AC156" s="303">
        <f t="shared" si="105"/>
        <v>0</v>
      </c>
      <c r="AD156" s="311">
        <v>0</v>
      </c>
      <c r="AE156" s="303">
        <f t="shared" si="106"/>
        <v>0</v>
      </c>
      <c r="AF156" s="312">
        <v>0</v>
      </c>
      <c r="AG156" s="303">
        <f t="shared" si="107"/>
        <v>0</v>
      </c>
      <c r="AH156" s="311">
        <v>0</v>
      </c>
      <c r="AI156" s="303">
        <f t="shared" si="108"/>
        <v>0</v>
      </c>
      <c r="AJ156" s="312">
        <v>0</v>
      </c>
      <c r="AK156" s="303">
        <f t="shared" si="129"/>
        <v>0</v>
      </c>
      <c r="AL156" s="311">
        <v>0</v>
      </c>
      <c r="AM156" s="303">
        <f t="shared" si="110"/>
        <v>0</v>
      </c>
      <c r="AN156" s="312">
        <v>0</v>
      </c>
      <c r="AO156" s="303">
        <f t="shared" si="130"/>
        <v>0</v>
      </c>
      <c r="AP156" s="311">
        <v>0</v>
      </c>
      <c r="AQ156" s="303">
        <f t="shared" si="112"/>
        <v>0</v>
      </c>
      <c r="AR156" s="303">
        <v>0.035</v>
      </c>
      <c r="AS156" s="303">
        <f t="shared" si="122"/>
        <v>0</v>
      </c>
      <c r="AT156" s="309"/>
      <c r="AU156" s="303">
        <f t="shared" si="113"/>
        <v>0</v>
      </c>
      <c r="AV156" s="308">
        <v>0.06</v>
      </c>
      <c r="AW156" s="303">
        <f t="shared" si="114"/>
        <v>0</v>
      </c>
      <c r="AX156" s="309">
        <v>0</v>
      </c>
      <c r="AY156" s="303">
        <f t="shared" si="115"/>
        <v>0</v>
      </c>
      <c r="AZ156" s="312" t="s">
        <v>1457</v>
      </c>
      <c r="BA156" s="303">
        <f t="shared" si="123"/>
        <v>0</v>
      </c>
      <c r="BB156" s="314">
        <v>0</v>
      </c>
      <c r="BC156" s="303">
        <f t="shared" si="116"/>
        <v>0</v>
      </c>
      <c r="BD156" s="303">
        <v>0</v>
      </c>
      <c r="BE156" s="303">
        <f t="shared" si="127"/>
        <v>0</v>
      </c>
      <c r="BF156" s="314">
        <v>0</v>
      </c>
      <c r="BG156" s="303">
        <f t="shared" si="117"/>
        <v>0</v>
      </c>
      <c r="BH156" s="303">
        <v>0</v>
      </c>
      <c r="BI156" s="303">
        <f t="shared" si="128"/>
        <v>0</v>
      </c>
      <c r="BJ156" s="314">
        <v>0</v>
      </c>
      <c r="BK156" s="303">
        <f t="shared" si="118"/>
        <v>0</v>
      </c>
      <c r="BL156" s="303" t="s">
        <v>1457</v>
      </c>
      <c r="BM156" s="300"/>
      <c r="BN156" s="315"/>
      <c r="BO156" s="300">
        <f t="shared" si="120"/>
        <v>0</v>
      </c>
      <c r="BP156" s="300">
        <f t="shared" si="124"/>
        <v>0</v>
      </c>
      <c r="BQ156" s="300">
        <f t="shared" si="125"/>
        <v>0</v>
      </c>
      <c r="BR156" s="300">
        <f t="shared" si="126"/>
        <v>0</v>
      </c>
      <c r="BS156" s="316">
        <v>0.05</v>
      </c>
      <c r="BT156" s="316">
        <v>0.005</v>
      </c>
      <c r="BU156" s="317" t="s">
        <v>591</v>
      </c>
      <c r="BV156" s="317" t="s">
        <v>288</v>
      </c>
      <c r="BW156" s="318"/>
    </row>
    <row r="157" s="177" customFormat="1" ht="48" customHeight="1" spans="1:75">
      <c r="A157" s="299">
        <v>188</v>
      </c>
      <c r="B157" s="300" t="s">
        <v>675</v>
      </c>
      <c r="C157" s="242" t="s">
        <v>443</v>
      </c>
      <c r="D157" s="242" t="s">
        <v>576</v>
      </c>
      <c r="E157" s="242" t="s">
        <v>577</v>
      </c>
      <c r="F157" s="299" t="s">
        <v>81</v>
      </c>
      <c r="G157" s="301" t="s">
        <v>578</v>
      </c>
      <c r="H157" s="301" t="s">
        <v>628</v>
      </c>
      <c r="I157" s="302" t="s">
        <v>144</v>
      </c>
      <c r="J157" s="303" t="s">
        <v>479</v>
      </c>
      <c r="K157" s="223" cm="1">
        <f t="array" ref="K157">_xlfn.XLOOKUP(D157&amp;E157&amp;H157&amp;I157&amp;J157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7" s="304"/>
      <c r="M157" s="305"/>
      <c r="N157" s="306"/>
      <c r="O157" s="307">
        <v>0</v>
      </c>
      <c r="P157" s="308">
        <v>0.155</v>
      </c>
      <c r="Q157" s="303">
        <f t="shared" si="100"/>
        <v>0</v>
      </c>
      <c r="R157" s="309"/>
      <c r="S157" s="303">
        <f t="shared" si="121"/>
        <v>0</v>
      </c>
      <c r="T157" s="310">
        <v>0</v>
      </c>
      <c r="U157" s="303">
        <f t="shared" si="101"/>
        <v>0</v>
      </c>
      <c r="V157" s="311">
        <v>0</v>
      </c>
      <c r="W157" s="303">
        <f t="shared" si="102"/>
        <v>0</v>
      </c>
      <c r="X157" s="312">
        <v>0</v>
      </c>
      <c r="Y157" s="303">
        <f t="shared" si="103"/>
        <v>0</v>
      </c>
      <c r="Z157" s="311">
        <v>0</v>
      </c>
      <c r="AA157" s="303">
        <f t="shared" si="104"/>
        <v>0</v>
      </c>
      <c r="AB157" s="320">
        <v>0</v>
      </c>
      <c r="AC157" s="303">
        <f t="shared" si="105"/>
        <v>0</v>
      </c>
      <c r="AD157" s="311">
        <v>0</v>
      </c>
      <c r="AE157" s="303">
        <f t="shared" si="106"/>
        <v>0</v>
      </c>
      <c r="AF157" s="312">
        <v>0</v>
      </c>
      <c r="AG157" s="303">
        <f t="shared" si="107"/>
        <v>0</v>
      </c>
      <c r="AH157" s="311">
        <v>0</v>
      </c>
      <c r="AI157" s="303">
        <f t="shared" si="108"/>
        <v>0</v>
      </c>
      <c r="AJ157" s="312">
        <v>0</v>
      </c>
      <c r="AK157" s="303">
        <f t="shared" si="129"/>
        <v>0</v>
      </c>
      <c r="AL157" s="311">
        <v>0</v>
      </c>
      <c r="AM157" s="303">
        <f t="shared" si="110"/>
        <v>0</v>
      </c>
      <c r="AN157" s="312">
        <v>0</v>
      </c>
      <c r="AO157" s="303">
        <f t="shared" si="130"/>
        <v>0</v>
      </c>
      <c r="AP157" s="311">
        <v>0</v>
      </c>
      <c r="AQ157" s="303">
        <f t="shared" si="112"/>
        <v>0</v>
      </c>
      <c r="AR157" s="303">
        <v>0.035</v>
      </c>
      <c r="AS157" s="303">
        <f t="shared" si="122"/>
        <v>0</v>
      </c>
      <c r="AT157" s="309"/>
      <c r="AU157" s="303">
        <f t="shared" si="113"/>
        <v>0</v>
      </c>
      <c r="AV157" s="308">
        <v>0.06</v>
      </c>
      <c r="AW157" s="303">
        <f t="shared" si="114"/>
        <v>0</v>
      </c>
      <c r="AX157" s="309">
        <v>0</v>
      </c>
      <c r="AY157" s="303">
        <f t="shared" si="115"/>
        <v>0</v>
      </c>
      <c r="AZ157" s="312" t="s">
        <v>1457</v>
      </c>
      <c r="BA157" s="303"/>
      <c r="BB157" s="314"/>
      <c r="BC157" s="303">
        <f t="shared" si="116"/>
        <v>0</v>
      </c>
      <c r="BD157" s="303">
        <v>0</v>
      </c>
      <c r="BE157" s="303">
        <f t="shared" si="127"/>
        <v>0</v>
      </c>
      <c r="BF157" s="314">
        <v>0</v>
      </c>
      <c r="BG157" s="303">
        <f t="shared" si="117"/>
        <v>0</v>
      </c>
      <c r="BH157" s="303">
        <v>0</v>
      </c>
      <c r="BI157" s="303">
        <f t="shared" si="128"/>
        <v>0</v>
      </c>
      <c r="BJ157" s="314">
        <v>0</v>
      </c>
      <c r="BK157" s="303">
        <f t="shared" si="118"/>
        <v>0</v>
      </c>
      <c r="BL157" s="303" t="s">
        <v>1457</v>
      </c>
      <c r="BM157" s="300"/>
      <c r="BN157" s="315"/>
      <c r="BO157" s="300">
        <f t="shared" si="120"/>
        <v>0</v>
      </c>
      <c r="BP157" s="300">
        <f t="shared" si="124"/>
        <v>0</v>
      </c>
      <c r="BQ157" s="300">
        <f t="shared" si="125"/>
        <v>0</v>
      </c>
      <c r="BR157" s="300">
        <f t="shared" si="126"/>
        <v>0</v>
      </c>
      <c r="BS157" s="316">
        <v>0.05</v>
      </c>
      <c r="BT157" s="316">
        <v>0.005</v>
      </c>
      <c r="BU157" s="317" t="s">
        <v>630</v>
      </c>
      <c r="BV157" s="317" t="s">
        <v>288</v>
      </c>
      <c r="BW157" s="318"/>
    </row>
    <row r="158" s="177" customFormat="1" ht="36" customHeight="1" spans="1:75">
      <c r="A158" s="299">
        <v>189</v>
      </c>
      <c r="B158" s="300" t="s">
        <v>678</v>
      </c>
      <c r="C158" s="242" t="s">
        <v>443</v>
      </c>
      <c r="D158" s="242" t="s">
        <v>576</v>
      </c>
      <c r="E158" s="242" t="s">
        <v>577</v>
      </c>
      <c r="F158" s="299" t="s">
        <v>81</v>
      </c>
      <c r="G158" s="301" t="s">
        <v>578</v>
      </c>
      <c r="H158" s="301" t="s">
        <v>632</v>
      </c>
      <c r="I158" s="302" t="s">
        <v>214</v>
      </c>
      <c r="J158" s="303" t="s">
        <v>1509</v>
      </c>
      <c r="K158" s="223" cm="1">
        <f t="array" ref="K158">_xlfn.XLOOKUP(D158&amp;E158&amp;H158&amp;I158&amp;J158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8" s="304"/>
      <c r="M158" s="305"/>
      <c r="N158" s="306"/>
      <c r="O158" s="307">
        <v>0</v>
      </c>
      <c r="P158" s="308">
        <v>0.155</v>
      </c>
      <c r="Q158" s="303">
        <f t="shared" si="100"/>
        <v>0</v>
      </c>
      <c r="R158" s="309"/>
      <c r="S158" s="303">
        <f t="shared" si="121"/>
        <v>0</v>
      </c>
      <c r="T158" s="310">
        <v>0</v>
      </c>
      <c r="U158" s="303">
        <f t="shared" si="101"/>
        <v>0</v>
      </c>
      <c r="V158" s="311">
        <v>0</v>
      </c>
      <c r="W158" s="303">
        <f t="shared" si="102"/>
        <v>0</v>
      </c>
      <c r="X158" s="312">
        <v>0</v>
      </c>
      <c r="Y158" s="303">
        <f t="shared" si="103"/>
        <v>0</v>
      </c>
      <c r="Z158" s="311">
        <v>0</v>
      </c>
      <c r="AA158" s="303">
        <f t="shared" si="104"/>
        <v>0</v>
      </c>
      <c r="AB158" s="320">
        <v>0</v>
      </c>
      <c r="AC158" s="303">
        <f t="shared" si="105"/>
        <v>0</v>
      </c>
      <c r="AD158" s="311">
        <v>0</v>
      </c>
      <c r="AE158" s="303">
        <f t="shared" si="106"/>
        <v>0</v>
      </c>
      <c r="AF158" s="312">
        <v>0</v>
      </c>
      <c r="AG158" s="303">
        <f t="shared" si="107"/>
        <v>0</v>
      </c>
      <c r="AH158" s="311">
        <v>0</v>
      </c>
      <c r="AI158" s="303">
        <f t="shared" si="108"/>
        <v>0</v>
      </c>
      <c r="AJ158" s="312">
        <v>0</v>
      </c>
      <c r="AK158" s="303">
        <f t="shared" si="129"/>
        <v>0</v>
      </c>
      <c r="AL158" s="311">
        <v>0</v>
      </c>
      <c r="AM158" s="303">
        <f t="shared" si="110"/>
        <v>0</v>
      </c>
      <c r="AN158" s="312">
        <v>0</v>
      </c>
      <c r="AO158" s="303">
        <f t="shared" si="130"/>
        <v>0</v>
      </c>
      <c r="AP158" s="311">
        <v>0</v>
      </c>
      <c r="AQ158" s="303">
        <f t="shared" si="112"/>
        <v>0</v>
      </c>
      <c r="AR158" s="303">
        <v>0.035</v>
      </c>
      <c r="AS158" s="303">
        <f t="shared" si="122"/>
        <v>0</v>
      </c>
      <c r="AT158" s="309"/>
      <c r="AU158" s="303">
        <f t="shared" si="113"/>
        <v>0</v>
      </c>
      <c r="AV158" s="308">
        <v>0.06</v>
      </c>
      <c r="AW158" s="303">
        <f t="shared" si="114"/>
        <v>0</v>
      </c>
      <c r="AX158" s="309">
        <v>0</v>
      </c>
      <c r="AY158" s="303">
        <f t="shared" si="115"/>
        <v>0</v>
      </c>
      <c r="AZ158" s="312" t="s">
        <v>1457</v>
      </c>
      <c r="BA158" s="303">
        <f t="shared" si="123"/>
        <v>0</v>
      </c>
      <c r="BB158" s="314">
        <v>0</v>
      </c>
      <c r="BC158" s="303">
        <f t="shared" si="116"/>
        <v>0</v>
      </c>
      <c r="BD158" s="303">
        <v>0</v>
      </c>
      <c r="BE158" s="303">
        <f t="shared" si="127"/>
        <v>0</v>
      </c>
      <c r="BF158" s="314">
        <v>0</v>
      </c>
      <c r="BG158" s="303">
        <f t="shared" si="117"/>
        <v>0</v>
      </c>
      <c r="BH158" s="303">
        <v>0</v>
      </c>
      <c r="BI158" s="303">
        <f t="shared" si="128"/>
        <v>0</v>
      </c>
      <c r="BJ158" s="314">
        <v>0</v>
      </c>
      <c r="BK158" s="303">
        <f t="shared" si="118"/>
        <v>0</v>
      </c>
      <c r="BL158" s="303" t="s">
        <v>1457</v>
      </c>
      <c r="BM158" s="300"/>
      <c r="BN158" s="315"/>
      <c r="BO158" s="300">
        <f t="shared" si="120"/>
        <v>0</v>
      </c>
      <c r="BP158" s="300">
        <f t="shared" si="124"/>
        <v>0</v>
      </c>
      <c r="BQ158" s="300">
        <f t="shared" si="125"/>
        <v>0</v>
      </c>
      <c r="BR158" s="300">
        <f t="shared" si="126"/>
        <v>0</v>
      </c>
      <c r="BS158" s="316">
        <v>0.05</v>
      </c>
      <c r="BT158" s="316">
        <v>0.005</v>
      </c>
      <c r="BU158" s="317" t="s">
        <v>591</v>
      </c>
      <c r="BV158" s="317" t="s">
        <v>288</v>
      </c>
      <c r="BW158" s="318"/>
    </row>
    <row r="159" s="177" customFormat="1" ht="36" customHeight="1" spans="1:75">
      <c r="A159" s="299">
        <v>190</v>
      </c>
      <c r="B159" s="300" t="s">
        <v>681</v>
      </c>
      <c r="C159" s="242" t="s">
        <v>443</v>
      </c>
      <c r="D159" s="242" t="s">
        <v>576</v>
      </c>
      <c r="E159" s="242" t="s">
        <v>577</v>
      </c>
      <c r="F159" s="299" t="s">
        <v>81</v>
      </c>
      <c r="G159" s="301" t="s">
        <v>578</v>
      </c>
      <c r="H159" s="301" t="s">
        <v>635</v>
      </c>
      <c r="I159" s="302" t="s">
        <v>636</v>
      </c>
      <c r="J159" s="303" t="s">
        <v>1510</v>
      </c>
      <c r="K159" s="223" cm="1">
        <f t="array" ref="K159">_xlfn.XLOOKUP(D159&amp;E159&amp;H159&amp;I159&amp;J159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9" s="304"/>
      <c r="M159" s="305"/>
      <c r="N159" s="306"/>
      <c r="O159" s="307">
        <v>0</v>
      </c>
      <c r="P159" s="308">
        <v>0.135</v>
      </c>
      <c r="Q159" s="303">
        <f t="shared" si="100"/>
        <v>0</v>
      </c>
      <c r="R159" s="309"/>
      <c r="S159" s="303">
        <f t="shared" si="121"/>
        <v>0</v>
      </c>
      <c r="T159" s="310">
        <v>0</v>
      </c>
      <c r="U159" s="303">
        <f t="shared" si="101"/>
        <v>0</v>
      </c>
      <c r="V159" s="311">
        <v>0</v>
      </c>
      <c r="W159" s="303">
        <f t="shared" si="102"/>
        <v>0</v>
      </c>
      <c r="X159" s="312">
        <v>0</v>
      </c>
      <c r="Y159" s="303">
        <f t="shared" si="103"/>
        <v>0</v>
      </c>
      <c r="Z159" s="311">
        <v>0</v>
      </c>
      <c r="AA159" s="303">
        <f t="shared" si="104"/>
        <v>0</v>
      </c>
      <c r="AB159" s="320">
        <v>0</v>
      </c>
      <c r="AC159" s="303">
        <f t="shared" si="105"/>
        <v>0</v>
      </c>
      <c r="AD159" s="311">
        <v>0</v>
      </c>
      <c r="AE159" s="303">
        <f t="shared" si="106"/>
        <v>0</v>
      </c>
      <c r="AF159" s="312">
        <v>0</v>
      </c>
      <c r="AG159" s="303">
        <f t="shared" si="107"/>
        <v>0</v>
      </c>
      <c r="AH159" s="311">
        <v>0</v>
      </c>
      <c r="AI159" s="303">
        <f t="shared" si="108"/>
        <v>0</v>
      </c>
      <c r="AJ159" s="312">
        <v>0</v>
      </c>
      <c r="AK159" s="303">
        <f t="shared" si="129"/>
        <v>0</v>
      </c>
      <c r="AL159" s="311">
        <v>0</v>
      </c>
      <c r="AM159" s="303">
        <f t="shared" si="110"/>
        <v>0</v>
      </c>
      <c r="AN159" s="312">
        <v>0</v>
      </c>
      <c r="AO159" s="303">
        <f t="shared" si="130"/>
        <v>0</v>
      </c>
      <c r="AP159" s="311">
        <v>0</v>
      </c>
      <c r="AQ159" s="303">
        <f t="shared" si="112"/>
        <v>0</v>
      </c>
      <c r="AR159" s="303">
        <v>0.035</v>
      </c>
      <c r="AS159" s="303">
        <f t="shared" si="122"/>
        <v>0</v>
      </c>
      <c r="AT159" s="309"/>
      <c r="AU159" s="303">
        <f t="shared" si="113"/>
        <v>0</v>
      </c>
      <c r="AV159" s="308">
        <v>0.06</v>
      </c>
      <c r="AW159" s="303">
        <f t="shared" si="114"/>
        <v>0</v>
      </c>
      <c r="AX159" s="309">
        <v>0</v>
      </c>
      <c r="AY159" s="303">
        <f t="shared" si="115"/>
        <v>0</v>
      </c>
      <c r="AZ159" s="312" t="s">
        <v>1457</v>
      </c>
      <c r="BA159" s="303">
        <f t="shared" si="123"/>
        <v>0</v>
      </c>
      <c r="BB159" s="314">
        <v>0</v>
      </c>
      <c r="BC159" s="303">
        <f t="shared" si="116"/>
        <v>0</v>
      </c>
      <c r="BD159" s="303">
        <v>0</v>
      </c>
      <c r="BE159" s="303">
        <f t="shared" si="127"/>
        <v>0</v>
      </c>
      <c r="BF159" s="314">
        <v>0</v>
      </c>
      <c r="BG159" s="303">
        <f t="shared" si="117"/>
        <v>0</v>
      </c>
      <c r="BH159" s="303">
        <v>0</v>
      </c>
      <c r="BI159" s="303">
        <f t="shared" si="128"/>
        <v>0</v>
      </c>
      <c r="BJ159" s="314">
        <v>0</v>
      </c>
      <c r="BK159" s="303">
        <f t="shared" si="118"/>
        <v>0</v>
      </c>
      <c r="BL159" s="303" t="s">
        <v>1457</v>
      </c>
      <c r="BM159" s="300"/>
      <c r="BN159" s="315"/>
      <c r="BO159" s="300">
        <f t="shared" si="120"/>
        <v>0</v>
      </c>
      <c r="BP159" s="300">
        <f t="shared" si="124"/>
        <v>0</v>
      </c>
      <c r="BQ159" s="300">
        <f t="shared" si="125"/>
        <v>0</v>
      </c>
      <c r="BR159" s="300">
        <f t="shared" si="126"/>
        <v>0</v>
      </c>
      <c r="BS159" s="316">
        <v>0.05</v>
      </c>
      <c r="BT159" s="316">
        <v>0.005</v>
      </c>
      <c r="BU159" s="317" t="s">
        <v>591</v>
      </c>
      <c r="BV159" s="317" t="s">
        <v>288</v>
      </c>
      <c r="BW159" s="318"/>
    </row>
    <row r="160" s="209" customFormat="1" ht="24" customHeight="1" spans="1:75">
      <c r="A160" s="219">
        <v>192</v>
      </c>
      <c r="B160" s="220" t="s">
        <v>685</v>
      </c>
      <c r="C160" s="221" t="s">
        <v>443</v>
      </c>
      <c r="D160" s="221" t="s">
        <v>639</v>
      </c>
      <c r="E160" s="221" t="s">
        <v>640</v>
      </c>
      <c r="F160" s="219" t="s">
        <v>81</v>
      </c>
      <c r="G160" s="222" t="s">
        <v>1462</v>
      </c>
      <c r="H160" s="233" t="s">
        <v>39</v>
      </c>
      <c r="I160" s="237" t="s">
        <v>589</v>
      </c>
      <c r="J160" s="222" t="s">
        <v>642</v>
      </c>
      <c r="K160" s="223" cm="1">
        <f t="array" ref="K160">_xlfn.XLOOKUP(D160&amp;E160&amp;H160&amp;I160&amp;J160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10205.25</v>
      </c>
      <c r="L160" s="223"/>
      <c r="M160" s="224"/>
      <c r="N160" s="253">
        <v>109975.79</v>
      </c>
      <c r="O160" s="226">
        <v>2352000</v>
      </c>
      <c r="P160" s="251">
        <v>0.15</v>
      </c>
      <c r="Q160" s="228">
        <f t="shared" si="100"/>
        <v>1530.7875</v>
      </c>
      <c r="R160" s="228"/>
      <c r="S160" s="228">
        <f t="shared" si="121"/>
        <v>1530.7875</v>
      </c>
      <c r="T160" s="235">
        <v>0.01</v>
      </c>
      <c r="U160" s="228">
        <f t="shared" si="101"/>
        <v>102.0525</v>
      </c>
      <c r="V160" s="228"/>
      <c r="W160" s="228">
        <f t="shared" si="102"/>
        <v>102.0525</v>
      </c>
      <c r="X160" s="235">
        <v>0</v>
      </c>
      <c r="Y160" s="228">
        <f t="shared" si="103"/>
        <v>0</v>
      </c>
      <c r="Z160" s="228"/>
      <c r="AA160" s="228">
        <f t="shared" si="104"/>
        <v>0</v>
      </c>
      <c r="AB160" s="235">
        <v>0.04</v>
      </c>
      <c r="AC160" s="228">
        <f t="shared" si="105"/>
        <v>408.21</v>
      </c>
      <c r="AD160" s="228"/>
      <c r="AE160" s="228">
        <f t="shared" si="106"/>
        <v>408.21</v>
      </c>
      <c r="AF160" s="235">
        <v>0.03</v>
      </c>
      <c r="AG160" s="228">
        <f t="shared" si="107"/>
        <v>306.1575</v>
      </c>
      <c r="AH160" s="228"/>
      <c r="AI160" s="228">
        <f t="shared" si="108"/>
        <v>306.1575</v>
      </c>
      <c r="AJ160" s="235">
        <v>0.01</v>
      </c>
      <c r="AK160" s="228">
        <f t="shared" si="129"/>
        <v>102.0525</v>
      </c>
      <c r="AL160" s="228"/>
      <c r="AM160" s="228">
        <f t="shared" si="110"/>
        <v>102.0525</v>
      </c>
      <c r="AN160" s="235">
        <v>0.01</v>
      </c>
      <c r="AO160" s="228">
        <f t="shared" si="130"/>
        <v>102.0525</v>
      </c>
      <c r="AP160" s="228"/>
      <c r="AQ160" s="228">
        <f t="shared" si="112"/>
        <v>102.0525</v>
      </c>
      <c r="AR160" s="228">
        <v>0</v>
      </c>
      <c r="AS160" s="228">
        <f t="shared" si="122"/>
        <v>0</v>
      </c>
      <c r="AT160" s="228"/>
      <c r="AU160" s="228">
        <f t="shared" si="113"/>
        <v>0</v>
      </c>
      <c r="AV160" s="228">
        <v>0</v>
      </c>
      <c r="AW160" s="228">
        <f t="shared" si="114"/>
        <v>0</v>
      </c>
      <c r="AX160" s="228"/>
      <c r="AY160" s="228">
        <f t="shared" si="115"/>
        <v>0</v>
      </c>
      <c r="AZ160" s="228" t="s">
        <v>1457</v>
      </c>
      <c r="BA160" s="228">
        <f t="shared" si="123"/>
        <v>0</v>
      </c>
      <c r="BB160" s="228"/>
      <c r="BC160" s="228">
        <f t="shared" si="116"/>
        <v>0</v>
      </c>
      <c r="BD160" s="228">
        <v>0</v>
      </c>
      <c r="BE160" s="228">
        <f t="shared" ref="BE160:BE197" si="131">K160*BD160</f>
        <v>0</v>
      </c>
      <c r="BF160" s="228"/>
      <c r="BG160" s="228">
        <f t="shared" si="117"/>
        <v>0</v>
      </c>
      <c r="BH160" s="228">
        <v>0</v>
      </c>
      <c r="BI160" s="228">
        <f t="shared" ref="BI160:BI215" si="132">K160*BH160</f>
        <v>0</v>
      </c>
      <c r="BJ160" s="228"/>
      <c r="BK160" s="228">
        <f t="shared" si="118"/>
        <v>0</v>
      </c>
      <c r="BL160" s="228" t="s">
        <v>1457</v>
      </c>
      <c r="BM160" s="220">
        <f t="shared" si="119"/>
        <v>147162.42</v>
      </c>
      <c r="BN160" s="220">
        <v>147162.42</v>
      </c>
      <c r="BO160" s="220">
        <f t="shared" si="120"/>
        <v>0</v>
      </c>
      <c r="BP160" s="220">
        <f t="shared" si="124"/>
        <v>259689.5225</v>
      </c>
      <c r="BQ160" s="220">
        <f t="shared" si="125"/>
        <v>257138.21</v>
      </c>
      <c r="BR160" s="220">
        <f t="shared" si="126"/>
        <v>2551.31250000003</v>
      </c>
      <c r="BS160" s="229" t="s">
        <v>39</v>
      </c>
      <c r="BT160" s="229" t="s">
        <v>39</v>
      </c>
      <c r="BU160" s="230" t="s">
        <v>643</v>
      </c>
      <c r="BV160" s="230" t="s">
        <v>644</v>
      </c>
      <c r="BW160" s="231"/>
    </row>
    <row r="161" s="209" customFormat="1" ht="36" customHeight="1" spans="1:75">
      <c r="A161" s="219">
        <v>193</v>
      </c>
      <c r="B161" s="220" t="s">
        <v>688</v>
      </c>
      <c r="C161" s="221" t="s">
        <v>443</v>
      </c>
      <c r="D161" s="221" t="s">
        <v>639</v>
      </c>
      <c r="E161" s="221" t="s">
        <v>640</v>
      </c>
      <c r="F161" s="219" t="s">
        <v>81</v>
      </c>
      <c r="G161" s="222" t="s">
        <v>1462</v>
      </c>
      <c r="H161" s="233" t="s">
        <v>39</v>
      </c>
      <c r="I161" s="237" t="s">
        <v>647</v>
      </c>
      <c r="J161" s="222" t="s">
        <v>648</v>
      </c>
      <c r="K161" s="223" cm="1">
        <f t="array" ref="K161">_xlfn.XLOOKUP(D161&amp;E161&amp;H161&amp;I161&amp;J161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25265.21</v>
      </c>
      <c r="L161" s="223"/>
      <c r="M161" s="224"/>
      <c r="N161" s="253"/>
      <c r="O161" s="226">
        <v>2280000</v>
      </c>
      <c r="P161" s="235" t="s">
        <v>1511</v>
      </c>
      <c r="Q161" s="228">
        <f>K161*17%</f>
        <v>4295.0857</v>
      </c>
      <c r="R161" s="228"/>
      <c r="S161" s="228">
        <f t="shared" si="121"/>
        <v>4295.0857</v>
      </c>
      <c r="T161" s="235">
        <v>0.01</v>
      </c>
      <c r="U161" s="228">
        <f t="shared" si="101"/>
        <v>252.6521</v>
      </c>
      <c r="V161" s="228"/>
      <c r="W161" s="228">
        <f t="shared" si="102"/>
        <v>252.6521</v>
      </c>
      <c r="X161" s="235">
        <v>0</v>
      </c>
      <c r="Y161" s="228">
        <f t="shared" si="103"/>
        <v>0</v>
      </c>
      <c r="Z161" s="228"/>
      <c r="AA161" s="228">
        <f t="shared" si="104"/>
        <v>0</v>
      </c>
      <c r="AB161" s="235">
        <v>0.04</v>
      </c>
      <c r="AC161" s="228">
        <f t="shared" si="105"/>
        <v>1010.6084</v>
      </c>
      <c r="AD161" s="228"/>
      <c r="AE161" s="228">
        <f t="shared" si="106"/>
        <v>1010.6084</v>
      </c>
      <c r="AF161" s="235">
        <v>0.03</v>
      </c>
      <c r="AG161" s="228">
        <f t="shared" si="107"/>
        <v>757.9563</v>
      </c>
      <c r="AH161" s="228"/>
      <c r="AI161" s="228">
        <f t="shared" si="108"/>
        <v>757.9563</v>
      </c>
      <c r="AJ161" s="235">
        <v>0.01</v>
      </c>
      <c r="AK161" s="228">
        <f t="shared" si="129"/>
        <v>252.6521</v>
      </c>
      <c r="AL161" s="228"/>
      <c r="AM161" s="228">
        <f t="shared" si="110"/>
        <v>252.6521</v>
      </c>
      <c r="AN161" s="235">
        <v>0.01</v>
      </c>
      <c r="AO161" s="228">
        <f t="shared" si="130"/>
        <v>252.6521</v>
      </c>
      <c r="AP161" s="228"/>
      <c r="AQ161" s="228">
        <f t="shared" si="112"/>
        <v>252.6521</v>
      </c>
      <c r="AR161" s="228">
        <v>0</v>
      </c>
      <c r="AS161" s="228">
        <f t="shared" si="122"/>
        <v>0</v>
      </c>
      <c r="AT161" s="228"/>
      <c r="AU161" s="228">
        <f t="shared" si="113"/>
        <v>0</v>
      </c>
      <c r="AV161" s="228">
        <v>0</v>
      </c>
      <c r="AW161" s="228">
        <f t="shared" si="114"/>
        <v>0</v>
      </c>
      <c r="AX161" s="228"/>
      <c r="AY161" s="228">
        <f t="shared" si="115"/>
        <v>0</v>
      </c>
      <c r="AZ161" s="228" t="s">
        <v>1457</v>
      </c>
      <c r="BA161" s="228">
        <f t="shared" si="123"/>
        <v>0</v>
      </c>
      <c r="BB161" s="228"/>
      <c r="BC161" s="228">
        <f t="shared" si="116"/>
        <v>0</v>
      </c>
      <c r="BD161" s="228">
        <v>0</v>
      </c>
      <c r="BE161" s="228">
        <f t="shared" si="131"/>
        <v>0</v>
      </c>
      <c r="BF161" s="228"/>
      <c r="BG161" s="228">
        <f t="shared" si="117"/>
        <v>0</v>
      </c>
      <c r="BH161" s="228">
        <v>0</v>
      </c>
      <c r="BI161" s="228">
        <f t="shared" si="132"/>
        <v>0</v>
      </c>
      <c r="BJ161" s="228"/>
      <c r="BK161" s="228">
        <f t="shared" si="118"/>
        <v>0</v>
      </c>
      <c r="BL161" s="228" t="s">
        <v>1457</v>
      </c>
      <c r="BM161" s="220">
        <f t="shared" si="119"/>
        <v>0</v>
      </c>
      <c r="BN161" s="220"/>
      <c r="BO161" s="220">
        <f t="shared" si="120"/>
        <v>0</v>
      </c>
      <c r="BP161" s="220">
        <f t="shared" si="124"/>
        <v>6821.6067</v>
      </c>
      <c r="BQ161" s="220">
        <f t="shared" si="125"/>
        <v>0</v>
      </c>
      <c r="BR161" s="220">
        <f t="shared" si="126"/>
        <v>6821.6067</v>
      </c>
      <c r="BS161" s="229" t="s">
        <v>39</v>
      </c>
      <c r="BT161" s="229" t="s">
        <v>39</v>
      </c>
      <c r="BU161" s="230" t="s">
        <v>650</v>
      </c>
      <c r="BV161" s="230" t="s">
        <v>651</v>
      </c>
      <c r="BW161" s="231"/>
    </row>
    <row r="162" s="209" customFormat="1" ht="36" customHeight="1" spans="1:75">
      <c r="A162" s="219">
        <v>194</v>
      </c>
      <c r="B162" s="220" t="s">
        <v>691</v>
      </c>
      <c r="C162" s="221" t="s">
        <v>443</v>
      </c>
      <c r="D162" s="221" t="s">
        <v>639</v>
      </c>
      <c r="E162" s="221" t="s">
        <v>640</v>
      </c>
      <c r="F162" s="219" t="s">
        <v>81</v>
      </c>
      <c r="G162" s="222" t="s">
        <v>1462</v>
      </c>
      <c r="H162" s="233" t="s">
        <v>39</v>
      </c>
      <c r="I162" s="237" t="s">
        <v>653</v>
      </c>
      <c r="J162" s="222" t="s">
        <v>654</v>
      </c>
      <c r="K162" s="223" cm="1">
        <f t="array" ref="K162">_xlfn.XLOOKUP(D162&amp;E162&amp;H162&amp;I162&amp;J162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3904</v>
      </c>
      <c r="L162" s="223"/>
      <c r="M162" s="224"/>
      <c r="N162" s="253"/>
      <c r="O162" s="226">
        <v>816000</v>
      </c>
      <c r="P162" s="235" t="s">
        <v>1511</v>
      </c>
      <c r="Q162" s="228">
        <f>K162*17%</f>
        <v>663.68</v>
      </c>
      <c r="R162" s="228">
        <v>97042.54</v>
      </c>
      <c r="S162" s="228">
        <f t="shared" si="121"/>
        <v>-96378.86</v>
      </c>
      <c r="T162" s="235">
        <v>0.01</v>
      </c>
      <c r="U162" s="228">
        <f t="shared" si="101"/>
        <v>39.04</v>
      </c>
      <c r="V162" s="228">
        <v>8649.02</v>
      </c>
      <c r="W162" s="228">
        <f t="shared" si="102"/>
        <v>-8609.98</v>
      </c>
      <c r="X162" s="235">
        <v>0</v>
      </c>
      <c r="Y162" s="228">
        <f t="shared" si="103"/>
        <v>0</v>
      </c>
      <c r="Z162" s="228"/>
      <c r="AA162" s="228">
        <f t="shared" si="104"/>
        <v>0</v>
      </c>
      <c r="AB162" s="235">
        <v>0.04</v>
      </c>
      <c r="AC162" s="228">
        <f t="shared" si="105"/>
        <v>156.16</v>
      </c>
      <c r="AD162" s="228">
        <v>34596.07</v>
      </c>
      <c r="AE162" s="228">
        <f t="shared" si="106"/>
        <v>-34439.91</v>
      </c>
      <c r="AF162" s="235">
        <v>0.03</v>
      </c>
      <c r="AG162" s="228">
        <f t="shared" si="107"/>
        <v>117.12</v>
      </c>
      <c r="AH162" s="228">
        <v>25947.05</v>
      </c>
      <c r="AI162" s="228">
        <f t="shared" si="108"/>
        <v>-25829.93</v>
      </c>
      <c r="AJ162" s="235">
        <v>0.01</v>
      </c>
      <c r="AK162" s="228">
        <f t="shared" si="129"/>
        <v>39.04</v>
      </c>
      <c r="AL162" s="228">
        <v>8649.02</v>
      </c>
      <c r="AM162" s="228">
        <f t="shared" si="110"/>
        <v>-8609.98</v>
      </c>
      <c r="AN162" s="235">
        <v>0.01</v>
      </c>
      <c r="AO162" s="228">
        <f t="shared" si="130"/>
        <v>39.04</v>
      </c>
      <c r="AP162" s="228">
        <v>8649.02</v>
      </c>
      <c r="AQ162" s="228">
        <f t="shared" si="112"/>
        <v>-8609.98</v>
      </c>
      <c r="AR162" s="228">
        <v>0</v>
      </c>
      <c r="AS162" s="228">
        <f t="shared" si="122"/>
        <v>0</v>
      </c>
      <c r="AT162" s="228"/>
      <c r="AU162" s="228">
        <f t="shared" si="113"/>
        <v>0</v>
      </c>
      <c r="AV162" s="228">
        <v>0</v>
      </c>
      <c r="AW162" s="228">
        <f t="shared" si="114"/>
        <v>0</v>
      </c>
      <c r="AX162" s="228"/>
      <c r="AY162" s="228">
        <f t="shared" si="115"/>
        <v>0</v>
      </c>
      <c r="AZ162" s="228" t="s">
        <v>1457</v>
      </c>
      <c r="BA162" s="228">
        <f t="shared" si="123"/>
        <v>0</v>
      </c>
      <c r="BB162" s="228"/>
      <c r="BC162" s="228">
        <f t="shared" si="116"/>
        <v>0</v>
      </c>
      <c r="BD162" s="228">
        <v>0</v>
      </c>
      <c r="BE162" s="228">
        <f t="shared" si="131"/>
        <v>0</v>
      </c>
      <c r="BF162" s="228"/>
      <c r="BG162" s="228">
        <f t="shared" si="117"/>
        <v>0</v>
      </c>
      <c r="BH162" s="228">
        <v>0</v>
      </c>
      <c r="BI162" s="228">
        <f t="shared" si="132"/>
        <v>0</v>
      </c>
      <c r="BJ162" s="228"/>
      <c r="BK162" s="228">
        <f t="shared" si="118"/>
        <v>0</v>
      </c>
      <c r="BL162" s="228" t="s">
        <v>1457</v>
      </c>
      <c r="BM162" s="220">
        <f t="shared" si="119"/>
        <v>0</v>
      </c>
      <c r="BN162" s="220"/>
      <c r="BO162" s="220">
        <f t="shared" si="120"/>
        <v>0</v>
      </c>
      <c r="BP162" s="220">
        <f t="shared" si="124"/>
        <v>1054.08</v>
      </c>
      <c r="BQ162" s="220">
        <f t="shared" si="125"/>
        <v>183532.72</v>
      </c>
      <c r="BR162" s="220">
        <f t="shared" si="126"/>
        <v>-182478.64</v>
      </c>
      <c r="BS162" s="229" t="s">
        <v>39</v>
      </c>
      <c r="BT162" s="229" t="s">
        <v>39</v>
      </c>
      <c r="BU162" s="230" t="s">
        <v>650</v>
      </c>
      <c r="BV162" s="230" t="s">
        <v>651</v>
      </c>
      <c r="BW162" s="231"/>
    </row>
    <row r="163" s="209" customFormat="1" ht="24" customHeight="1" spans="1:75">
      <c r="A163" s="219">
        <v>195</v>
      </c>
      <c r="B163" s="220" t="s">
        <v>694</v>
      </c>
      <c r="C163" s="221" t="s">
        <v>443</v>
      </c>
      <c r="D163" s="221" t="s">
        <v>639</v>
      </c>
      <c r="E163" s="221" t="s">
        <v>640</v>
      </c>
      <c r="F163" s="219" t="s">
        <v>81</v>
      </c>
      <c r="G163" s="222" t="s">
        <v>1462</v>
      </c>
      <c r="H163" s="233" t="s">
        <v>39</v>
      </c>
      <c r="I163" s="237" t="s">
        <v>656</v>
      </c>
      <c r="J163" s="222" t="s">
        <v>657</v>
      </c>
      <c r="K163" s="223" cm="1">
        <f t="array" ref="K163">_xlfn.XLOOKUP(D163&amp;E163&amp;H163&amp;I163&amp;J163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63" s="223"/>
      <c r="M163" s="224"/>
      <c r="N163" s="253"/>
      <c r="O163" s="226">
        <v>700800</v>
      </c>
      <c r="P163" s="235">
        <v>0.1</v>
      </c>
      <c r="Q163" s="228">
        <f t="shared" ref="Q163:Q201" si="133">K163*P163</f>
        <v>0</v>
      </c>
      <c r="R163" s="228"/>
      <c r="S163" s="228">
        <f t="shared" si="121"/>
        <v>0</v>
      </c>
      <c r="T163" s="235">
        <v>0.01</v>
      </c>
      <c r="U163" s="228">
        <f t="shared" si="101"/>
        <v>0</v>
      </c>
      <c r="V163" s="228"/>
      <c r="W163" s="228">
        <f t="shared" si="102"/>
        <v>0</v>
      </c>
      <c r="X163" s="235">
        <v>0</v>
      </c>
      <c r="Y163" s="228">
        <f t="shared" si="103"/>
        <v>0</v>
      </c>
      <c r="Z163" s="228"/>
      <c r="AA163" s="228">
        <f t="shared" si="104"/>
        <v>0</v>
      </c>
      <c r="AB163" s="235">
        <v>0.04</v>
      </c>
      <c r="AC163" s="228">
        <f t="shared" si="105"/>
        <v>0</v>
      </c>
      <c r="AD163" s="228"/>
      <c r="AE163" s="228">
        <f t="shared" si="106"/>
        <v>0</v>
      </c>
      <c r="AF163" s="235">
        <v>0.03</v>
      </c>
      <c r="AG163" s="228">
        <f t="shared" si="107"/>
        <v>0</v>
      </c>
      <c r="AH163" s="228"/>
      <c r="AI163" s="228">
        <f t="shared" si="108"/>
        <v>0</v>
      </c>
      <c r="AJ163" s="235">
        <v>0.01</v>
      </c>
      <c r="AK163" s="228">
        <f t="shared" si="129"/>
        <v>0</v>
      </c>
      <c r="AL163" s="228"/>
      <c r="AM163" s="228">
        <f t="shared" si="110"/>
        <v>0</v>
      </c>
      <c r="AN163" s="235">
        <v>0.01</v>
      </c>
      <c r="AO163" s="228">
        <f t="shared" si="130"/>
        <v>0</v>
      </c>
      <c r="AP163" s="228"/>
      <c r="AQ163" s="228">
        <f t="shared" si="112"/>
        <v>0</v>
      </c>
      <c r="AR163" s="228" t="s">
        <v>1457</v>
      </c>
      <c r="AS163" s="228">
        <f t="shared" ref="AS163:AS198" si="134">AT163</f>
        <v>37276.9</v>
      </c>
      <c r="AT163" s="265">
        <v>37276.9</v>
      </c>
      <c r="AU163" s="228">
        <f t="shared" si="113"/>
        <v>0</v>
      </c>
      <c r="AV163" s="228" t="s">
        <v>1457</v>
      </c>
      <c r="AW163" s="228">
        <f t="shared" ref="AW163:AW198" si="135">AX163</f>
        <v>39996.86</v>
      </c>
      <c r="AX163" s="265">
        <v>39996.86</v>
      </c>
      <c r="AY163" s="228">
        <f t="shared" si="115"/>
        <v>0</v>
      </c>
      <c r="AZ163" s="228" t="s">
        <v>1457</v>
      </c>
      <c r="BA163" s="228">
        <f t="shared" si="123"/>
        <v>-16.5</v>
      </c>
      <c r="BB163" s="228">
        <v>-16.5</v>
      </c>
      <c r="BC163" s="228">
        <f t="shared" si="116"/>
        <v>0</v>
      </c>
      <c r="BD163" s="228">
        <v>0</v>
      </c>
      <c r="BE163" s="228">
        <f t="shared" si="131"/>
        <v>0</v>
      </c>
      <c r="BF163" s="228"/>
      <c r="BG163" s="228">
        <f t="shared" si="117"/>
        <v>0</v>
      </c>
      <c r="BH163" s="228">
        <v>0</v>
      </c>
      <c r="BI163" s="228">
        <f t="shared" si="132"/>
        <v>0</v>
      </c>
      <c r="BJ163" s="228"/>
      <c r="BK163" s="228">
        <f t="shared" si="118"/>
        <v>0</v>
      </c>
      <c r="BL163" s="228" t="s">
        <v>1457</v>
      </c>
      <c r="BM163" s="220">
        <f t="shared" si="119"/>
        <v>0</v>
      </c>
      <c r="BN163" s="220"/>
      <c r="BO163" s="220">
        <f t="shared" si="120"/>
        <v>0</v>
      </c>
      <c r="BP163" s="220">
        <f t="shared" si="124"/>
        <v>77257.26</v>
      </c>
      <c r="BQ163" s="220">
        <f t="shared" si="125"/>
        <v>77257.26</v>
      </c>
      <c r="BR163" s="220">
        <f t="shared" si="126"/>
        <v>0</v>
      </c>
      <c r="BS163" s="229" t="s">
        <v>39</v>
      </c>
      <c r="BT163" s="229" t="s">
        <v>39</v>
      </c>
      <c r="BU163" s="230" t="s">
        <v>643</v>
      </c>
      <c r="BV163" s="230" t="s">
        <v>644</v>
      </c>
      <c r="BW163" s="231"/>
    </row>
    <row r="164" s="209" customFormat="1" ht="24" customHeight="1" spans="1:75">
      <c r="A164" s="219">
        <v>196</v>
      </c>
      <c r="B164" s="220" t="s">
        <v>697</v>
      </c>
      <c r="C164" s="221" t="s">
        <v>443</v>
      </c>
      <c r="D164" s="221" t="s">
        <v>639</v>
      </c>
      <c r="E164" s="221" t="s">
        <v>640</v>
      </c>
      <c r="F164" s="219" t="s">
        <v>81</v>
      </c>
      <c r="G164" s="222" t="s">
        <v>1462</v>
      </c>
      <c r="H164" s="233" t="s">
        <v>39</v>
      </c>
      <c r="I164" s="237" t="s">
        <v>659</v>
      </c>
      <c r="J164" s="222" t="s">
        <v>660</v>
      </c>
      <c r="K164" s="223" cm="1">
        <f t="array" ref="K164">_xlfn.XLOOKUP(D164&amp;E164&amp;H164&amp;I164&amp;J164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3258.8</v>
      </c>
      <c r="L164" s="223"/>
      <c r="M164" s="224"/>
      <c r="N164" s="253"/>
      <c r="O164" s="226">
        <v>720000</v>
      </c>
      <c r="P164" s="251">
        <v>0.1</v>
      </c>
      <c r="Q164" s="228">
        <f t="shared" si="133"/>
        <v>325.88</v>
      </c>
      <c r="R164" s="228"/>
      <c r="S164" s="228">
        <f t="shared" si="121"/>
        <v>325.88</v>
      </c>
      <c r="T164" s="235">
        <v>0.01</v>
      </c>
      <c r="U164" s="228">
        <f t="shared" si="101"/>
        <v>32.588</v>
      </c>
      <c r="V164" s="228"/>
      <c r="W164" s="228">
        <f t="shared" si="102"/>
        <v>32.588</v>
      </c>
      <c r="X164" s="235">
        <v>0</v>
      </c>
      <c r="Y164" s="228">
        <f t="shared" si="103"/>
        <v>0</v>
      </c>
      <c r="Z164" s="228"/>
      <c r="AA164" s="228">
        <f t="shared" si="104"/>
        <v>0</v>
      </c>
      <c r="AB164" s="235">
        <v>0.04</v>
      </c>
      <c r="AC164" s="228">
        <f t="shared" si="105"/>
        <v>130.352</v>
      </c>
      <c r="AD164" s="228"/>
      <c r="AE164" s="228">
        <f t="shared" si="106"/>
        <v>130.352</v>
      </c>
      <c r="AF164" s="235">
        <v>0.03</v>
      </c>
      <c r="AG164" s="228">
        <f t="shared" si="107"/>
        <v>97.764</v>
      </c>
      <c r="AH164" s="228"/>
      <c r="AI164" s="228">
        <f t="shared" si="108"/>
        <v>97.764</v>
      </c>
      <c r="AJ164" s="235">
        <v>0.01</v>
      </c>
      <c r="AK164" s="228">
        <f t="shared" si="129"/>
        <v>32.588</v>
      </c>
      <c r="AL164" s="228"/>
      <c r="AM164" s="228">
        <f t="shared" si="110"/>
        <v>32.588</v>
      </c>
      <c r="AN164" s="235">
        <v>0.01</v>
      </c>
      <c r="AO164" s="228">
        <f t="shared" si="130"/>
        <v>32.588</v>
      </c>
      <c r="AP164" s="228"/>
      <c r="AQ164" s="228">
        <f t="shared" si="112"/>
        <v>32.588</v>
      </c>
      <c r="AR164" s="228" t="s">
        <v>1457</v>
      </c>
      <c r="AS164" s="228">
        <f t="shared" si="134"/>
        <v>0</v>
      </c>
      <c r="AT164" s="228"/>
      <c r="AU164" s="228">
        <f t="shared" si="113"/>
        <v>0</v>
      </c>
      <c r="AV164" s="228" t="s">
        <v>1457</v>
      </c>
      <c r="AW164" s="228">
        <f t="shared" si="135"/>
        <v>0</v>
      </c>
      <c r="AX164" s="228"/>
      <c r="AY164" s="228">
        <f t="shared" si="115"/>
        <v>0</v>
      </c>
      <c r="AZ164" s="228" t="s">
        <v>1457</v>
      </c>
      <c r="BA164" s="228">
        <f t="shared" si="123"/>
        <v>0</v>
      </c>
      <c r="BB164" s="228"/>
      <c r="BC164" s="228">
        <f t="shared" si="116"/>
        <v>0</v>
      </c>
      <c r="BD164" s="228">
        <v>0</v>
      </c>
      <c r="BE164" s="228">
        <f t="shared" si="131"/>
        <v>0</v>
      </c>
      <c r="BF164" s="228"/>
      <c r="BG164" s="228">
        <f t="shared" si="117"/>
        <v>0</v>
      </c>
      <c r="BH164" s="228">
        <v>0</v>
      </c>
      <c r="BI164" s="228">
        <f t="shared" si="132"/>
        <v>0</v>
      </c>
      <c r="BJ164" s="228"/>
      <c r="BK164" s="228">
        <f t="shared" si="118"/>
        <v>0</v>
      </c>
      <c r="BL164" s="228" t="s">
        <v>1457</v>
      </c>
      <c r="BM164" s="220">
        <f t="shared" si="119"/>
        <v>0</v>
      </c>
      <c r="BN164" s="220"/>
      <c r="BO164" s="220">
        <f t="shared" si="120"/>
        <v>0</v>
      </c>
      <c r="BP164" s="220">
        <f t="shared" si="124"/>
        <v>651.76</v>
      </c>
      <c r="BQ164" s="220">
        <f t="shared" si="125"/>
        <v>0</v>
      </c>
      <c r="BR164" s="220">
        <f t="shared" si="126"/>
        <v>651.76</v>
      </c>
      <c r="BS164" s="229" t="s">
        <v>39</v>
      </c>
      <c r="BT164" s="229" t="s">
        <v>39</v>
      </c>
      <c r="BU164" s="230" t="s">
        <v>643</v>
      </c>
      <c r="BV164" s="230" t="s">
        <v>644</v>
      </c>
      <c r="BW164" s="231"/>
    </row>
    <row r="165" s="209" customFormat="1" ht="24" customHeight="1" spans="1:75">
      <c r="A165" s="219">
        <v>197</v>
      </c>
      <c r="B165" s="220" t="s">
        <v>699</v>
      </c>
      <c r="C165" s="221" t="s">
        <v>443</v>
      </c>
      <c r="D165" s="221" t="s">
        <v>639</v>
      </c>
      <c r="E165" s="221" t="s">
        <v>640</v>
      </c>
      <c r="F165" s="219" t="s">
        <v>81</v>
      </c>
      <c r="G165" s="222" t="s">
        <v>1462</v>
      </c>
      <c r="H165" s="233" t="s">
        <v>39</v>
      </c>
      <c r="I165" s="237" t="s">
        <v>662</v>
      </c>
      <c r="J165" s="222" t="s">
        <v>663</v>
      </c>
      <c r="K165" s="223" cm="1">
        <f t="array" ref="K165">_xlfn.XLOOKUP(D165&amp;E165&amp;H165&amp;I165&amp;J165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4560.5</v>
      </c>
      <c r="L165" s="223"/>
      <c r="M165" s="224"/>
      <c r="N165" s="253"/>
      <c r="O165" s="226">
        <v>960000</v>
      </c>
      <c r="P165" s="251">
        <v>0.1</v>
      </c>
      <c r="Q165" s="228">
        <f t="shared" si="133"/>
        <v>456.05</v>
      </c>
      <c r="R165" s="228"/>
      <c r="S165" s="228">
        <f t="shared" si="121"/>
        <v>456.05</v>
      </c>
      <c r="T165" s="235">
        <v>0.01</v>
      </c>
      <c r="U165" s="228">
        <f t="shared" si="101"/>
        <v>45.605</v>
      </c>
      <c r="V165" s="228"/>
      <c r="W165" s="228">
        <f t="shared" si="102"/>
        <v>45.605</v>
      </c>
      <c r="X165" s="235">
        <v>0</v>
      </c>
      <c r="Y165" s="228">
        <f t="shared" si="103"/>
        <v>0</v>
      </c>
      <c r="Z165" s="228"/>
      <c r="AA165" s="228">
        <f t="shared" si="104"/>
        <v>0</v>
      </c>
      <c r="AB165" s="235">
        <v>0.04</v>
      </c>
      <c r="AC165" s="228">
        <f t="shared" si="105"/>
        <v>182.42</v>
      </c>
      <c r="AD165" s="228"/>
      <c r="AE165" s="228">
        <f t="shared" si="106"/>
        <v>182.42</v>
      </c>
      <c r="AF165" s="235">
        <v>0.03</v>
      </c>
      <c r="AG165" s="228">
        <f t="shared" si="107"/>
        <v>136.815</v>
      </c>
      <c r="AH165" s="228"/>
      <c r="AI165" s="228">
        <f t="shared" si="108"/>
        <v>136.815</v>
      </c>
      <c r="AJ165" s="235">
        <v>0.01</v>
      </c>
      <c r="AK165" s="228">
        <f t="shared" si="129"/>
        <v>45.605</v>
      </c>
      <c r="AL165" s="228"/>
      <c r="AM165" s="228">
        <f t="shared" si="110"/>
        <v>45.605</v>
      </c>
      <c r="AN165" s="235">
        <v>0.01</v>
      </c>
      <c r="AO165" s="228">
        <f t="shared" si="130"/>
        <v>45.605</v>
      </c>
      <c r="AP165" s="228"/>
      <c r="AQ165" s="228">
        <f t="shared" si="112"/>
        <v>45.605</v>
      </c>
      <c r="AR165" s="228" t="s">
        <v>1457</v>
      </c>
      <c r="AS165" s="228">
        <f t="shared" si="134"/>
        <v>0</v>
      </c>
      <c r="AT165" s="228"/>
      <c r="AU165" s="228">
        <f t="shared" si="113"/>
        <v>0</v>
      </c>
      <c r="AV165" s="228" t="s">
        <v>1457</v>
      </c>
      <c r="AW165" s="228">
        <f t="shared" si="135"/>
        <v>0</v>
      </c>
      <c r="AX165" s="228"/>
      <c r="AY165" s="228">
        <f t="shared" si="115"/>
        <v>0</v>
      </c>
      <c r="AZ165" s="228" t="s">
        <v>1457</v>
      </c>
      <c r="BA165" s="228">
        <f t="shared" si="123"/>
        <v>0</v>
      </c>
      <c r="BB165" s="228"/>
      <c r="BC165" s="228">
        <f t="shared" si="116"/>
        <v>0</v>
      </c>
      <c r="BD165" s="228">
        <v>0</v>
      </c>
      <c r="BE165" s="228">
        <f t="shared" si="131"/>
        <v>0</v>
      </c>
      <c r="BF165" s="228"/>
      <c r="BG165" s="228">
        <f t="shared" si="117"/>
        <v>0</v>
      </c>
      <c r="BH165" s="228">
        <v>0</v>
      </c>
      <c r="BI165" s="228">
        <f t="shared" si="132"/>
        <v>0</v>
      </c>
      <c r="BJ165" s="235"/>
      <c r="BK165" s="228">
        <f t="shared" si="118"/>
        <v>0</v>
      </c>
      <c r="BL165" s="235" t="s">
        <v>1457</v>
      </c>
      <c r="BM165" s="220">
        <f t="shared" si="119"/>
        <v>0</v>
      </c>
      <c r="BN165" s="220"/>
      <c r="BO165" s="220">
        <f t="shared" si="120"/>
        <v>0</v>
      </c>
      <c r="BP165" s="220">
        <f t="shared" si="124"/>
        <v>912.1</v>
      </c>
      <c r="BQ165" s="220">
        <f t="shared" si="125"/>
        <v>0</v>
      </c>
      <c r="BR165" s="220">
        <f t="shared" si="126"/>
        <v>912.1</v>
      </c>
      <c r="BS165" s="229" t="s">
        <v>39</v>
      </c>
      <c r="BT165" s="229" t="s">
        <v>39</v>
      </c>
      <c r="BU165" s="230" t="s">
        <v>643</v>
      </c>
      <c r="BV165" s="230" t="s">
        <v>644</v>
      </c>
      <c r="BW165" s="231"/>
    </row>
    <row r="166" s="209" customFormat="1" ht="24" customHeight="1" spans="1:75">
      <c r="A166" s="219">
        <v>198</v>
      </c>
      <c r="B166" s="220" t="s">
        <v>702</v>
      </c>
      <c r="C166" s="221" t="s">
        <v>443</v>
      </c>
      <c r="D166" s="221" t="s">
        <v>639</v>
      </c>
      <c r="E166" s="221" t="s">
        <v>640</v>
      </c>
      <c r="F166" s="219" t="s">
        <v>81</v>
      </c>
      <c r="G166" s="222" t="s">
        <v>1462</v>
      </c>
      <c r="H166" s="233" t="s">
        <v>39</v>
      </c>
      <c r="I166" s="237" t="s">
        <v>665</v>
      </c>
      <c r="J166" s="222" t="s">
        <v>666</v>
      </c>
      <c r="K166" s="223" cm="1">
        <f t="array" ref="K166">_xlfn.XLOOKUP(D166&amp;E166&amp;H166&amp;I166&amp;J166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3492.1</v>
      </c>
      <c r="L166" s="223"/>
      <c r="M166" s="224"/>
      <c r="N166" s="253"/>
      <c r="O166" s="226">
        <v>1032000</v>
      </c>
      <c r="P166" s="247">
        <v>0.1</v>
      </c>
      <c r="Q166" s="228">
        <f t="shared" si="133"/>
        <v>349.21</v>
      </c>
      <c r="R166" s="228"/>
      <c r="S166" s="228">
        <f t="shared" si="121"/>
        <v>349.21</v>
      </c>
      <c r="T166" s="235">
        <v>0.01</v>
      </c>
      <c r="U166" s="228">
        <f t="shared" si="101"/>
        <v>34.921</v>
      </c>
      <c r="V166" s="228"/>
      <c r="W166" s="228">
        <f t="shared" si="102"/>
        <v>34.921</v>
      </c>
      <c r="X166" s="228">
        <v>0</v>
      </c>
      <c r="Y166" s="228">
        <f t="shared" si="103"/>
        <v>0</v>
      </c>
      <c r="Z166" s="228"/>
      <c r="AA166" s="228">
        <f t="shared" si="104"/>
        <v>0</v>
      </c>
      <c r="AB166" s="235">
        <v>0.04</v>
      </c>
      <c r="AC166" s="228">
        <f t="shared" si="105"/>
        <v>139.684</v>
      </c>
      <c r="AD166" s="228"/>
      <c r="AE166" s="228">
        <f t="shared" si="106"/>
        <v>139.684</v>
      </c>
      <c r="AF166" s="235">
        <v>0.03</v>
      </c>
      <c r="AG166" s="228">
        <f t="shared" si="107"/>
        <v>104.763</v>
      </c>
      <c r="AH166" s="228"/>
      <c r="AI166" s="228">
        <f t="shared" si="108"/>
        <v>104.763</v>
      </c>
      <c r="AJ166" s="235">
        <v>0.01</v>
      </c>
      <c r="AK166" s="228">
        <f t="shared" si="129"/>
        <v>34.921</v>
      </c>
      <c r="AL166" s="228"/>
      <c r="AM166" s="228">
        <f t="shared" si="110"/>
        <v>34.921</v>
      </c>
      <c r="AN166" s="235">
        <v>0.01</v>
      </c>
      <c r="AO166" s="228">
        <f t="shared" si="130"/>
        <v>34.921</v>
      </c>
      <c r="AP166" s="228"/>
      <c r="AQ166" s="228">
        <f t="shared" si="112"/>
        <v>34.921</v>
      </c>
      <c r="AR166" s="228" t="s">
        <v>1457</v>
      </c>
      <c r="AS166" s="228">
        <f t="shared" si="134"/>
        <v>0</v>
      </c>
      <c r="AT166" s="228"/>
      <c r="AU166" s="228">
        <f t="shared" si="113"/>
        <v>0</v>
      </c>
      <c r="AV166" s="228" t="s">
        <v>1457</v>
      </c>
      <c r="AW166" s="228">
        <f t="shared" si="135"/>
        <v>0</v>
      </c>
      <c r="AX166" s="228"/>
      <c r="AY166" s="228">
        <f t="shared" si="115"/>
        <v>0</v>
      </c>
      <c r="AZ166" s="228" t="s">
        <v>1457</v>
      </c>
      <c r="BA166" s="228">
        <f t="shared" si="123"/>
        <v>0</v>
      </c>
      <c r="BB166" s="228"/>
      <c r="BC166" s="228">
        <f t="shared" si="116"/>
        <v>0</v>
      </c>
      <c r="BD166" s="228">
        <v>0</v>
      </c>
      <c r="BE166" s="228">
        <f t="shared" si="131"/>
        <v>0</v>
      </c>
      <c r="BF166" s="228"/>
      <c r="BG166" s="228">
        <f t="shared" si="117"/>
        <v>0</v>
      </c>
      <c r="BH166" s="228">
        <v>0</v>
      </c>
      <c r="BI166" s="228">
        <f t="shared" si="132"/>
        <v>0</v>
      </c>
      <c r="BJ166" s="228"/>
      <c r="BK166" s="228">
        <f t="shared" si="118"/>
        <v>0</v>
      </c>
      <c r="BL166" s="228" t="s">
        <v>1457</v>
      </c>
      <c r="BM166" s="220">
        <f t="shared" si="119"/>
        <v>0</v>
      </c>
      <c r="BN166" s="220"/>
      <c r="BO166" s="220">
        <f t="shared" si="120"/>
        <v>0</v>
      </c>
      <c r="BP166" s="220">
        <f t="shared" si="124"/>
        <v>698.42</v>
      </c>
      <c r="BQ166" s="220">
        <f t="shared" si="125"/>
        <v>0</v>
      </c>
      <c r="BR166" s="220">
        <f t="shared" si="126"/>
        <v>698.42</v>
      </c>
      <c r="BS166" s="229" t="s">
        <v>39</v>
      </c>
      <c r="BT166" s="229" t="s">
        <v>39</v>
      </c>
      <c r="BU166" s="230" t="s">
        <v>643</v>
      </c>
      <c r="BV166" s="230" t="s">
        <v>644</v>
      </c>
      <c r="BW166" s="231"/>
    </row>
    <row r="167" s="209" customFormat="1" ht="24" customHeight="1" spans="1:75">
      <c r="A167" s="219">
        <v>199</v>
      </c>
      <c r="B167" s="220" t="s">
        <v>705</v>
      </c>
      <c r="C167" s="221" t="s">
        <v>443</v>
      </c>
      <c r="D167" s="221" t="s">
        <v>639</v>
      </c>
      <c r="E167" s="221" t="s">
        <v>640</v>
      </c>
      <c r="F167" s="219" t="s">
        <v>81</v>
      </c>
      <c r="G167" s="222" t="s">
        <v>1462</v>
      </c>
      <c r="H167" s="233" t="s">
        <v>39</v>
      </c>
      <c r="I167" s="237" t="s">
        <v>530</v>
      </c>
      <c r="J167" s="222" t="s">
        <v>668</v>
      </c>
      <c r="K167" s="223" cm="1">
        <f t="array" ref="K167">_xlfn.XLOOKUP(D167&amp;E167&amp;H167&amp;I167&amp;J167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5192.4</v>
      </c>
      <c r="L167" s="223"/>
      <c r="M167" s="224"/>
      <c r="N167" s="253"/>
      <c r="O167" s="226">
        <v>912000</v>
      </c>
      <c r="P167" s="247">
        <v>0.1</v>
      </c>
      <c r="Q167" s="228">
        <f t="shared" si="133"/>
        <v>519.24</v>
      </c>
      <c r="R167" s="228"/>
      <c r="S167" s="228">
        <f t="shared" si="121"/>
        <v>519.24</v>
      </c>
      <c r="T167" s="235">
        <v>0.01</v>
      </c>
      <c r="U167" s="228">
        <f t="shared" si="101"/>
        <v>51.924</v>
      </c>
      <c r="V167" s="228"/>
      <c r="W167" s="228">
        <f t="shared" si="102"/>
        <v>51.924</v>
      </c>
      <c r="X167" s="228">
        <v>0</v>
      </c>
      <c r="Y167" s="228">
        <f t="shared" si="103"/>
        <v>0</v>
      </c>
      <c r="Z167" s="228"/>
      <c r="AA167" s="228">
        <f t="shared" si="104"/>
        <v>0</v>
      </c>
      <c r="AB167" s="235">
        <v>0.04</v>
      </c>
      <c r="AC167" s="228">
        <f t="shared" si="105"/>
        <v>207.696</v>
      </c>
      <c r="AD167" s="228"/>
      <c r="AE167" s="228">
        <f t="shared" si="106"/>
        <v>207.696</v>
      </c>
      <c r="AF167" s="235">
        <v>0.03</v>
      </c>
      <c r="AG167" s="228">
        <f t="shared" si="107"/>
        <v>155.772</v>
      </c>
      <c r="AH167" s="228"/>
      <c r="AI167" s="228">
        <f t="shared" si="108"/>
        <v>155.772</v>
      </c>
      <c r="AJ167" s="235">
        <v>0.01</v>
      </c>
      <c r="AK167" s="228">
        <f t="shared" si="129"/>
        <v>51.924</v>
      </c>
      <c r="AL167" s="228"/>
      <c r="AM167" s="228">
        <f t="shared" si="110"/>
        <v>51.924</v>
      </c>
      <c r="AN167" s="235">
        <v>0.01</v>
      </c>
      <c r="AO167" s="228">
        <f t="shared" si="130"/>
        <v>51.924</v>
      </c>
      <c r="AP167" s="228"/>
      <c r="AQ167" s="228">
        <f t="shared" si="112"/>
        <v>51.924</v>
      </c>
      <c r="AR167" s="228" t="s">
        <v>1457</v>
      </c>
      <c r="AS167" s="228">
        <f t="shared" si="134"/>
        <v>0</v>
      </c>
      <c r="AT167" s="228"/>
      <c r="AU167" s="228">
        <f t="shared" si="113"/>
        <v>0</v>
      </c>
      <c r="AV167" s="228" t="s">
        <v>1457</v>
      </c>
      <c r="AW167" s="228">
        <f t="shared" si="135"/>
        <v>0</v>
      </c>
      <c r="AX167" s="228"/>
      <c r="AY167" s="228">
        <f t="shared" si="115"/>
        <v>0</v>
      </c>
      <c r="AZ167" s="228" t="s">
        <v>1457</v>
      </c>
      <c r="BA167" s="228">
        <f t="shared" si="123"/>
        <v>0</v>
      </c>
      <c r="BB167" s="228"/>
      <c r="BC167" s="228">
        <f t="shared" si="116"/>
        <v>0</v>
      </c>
      <c r="BD167" s="228">
        <v>0</v>
      </c>
      <c r="BE167" s="228">
        <f t="shared" si="131"/>
        <v>0</v>
      </c>
      <c r="BF167" s="228"/>
      <c r="BG167" s="228">
        <f t="shared" si="117"/>
        <v>0</v>
      </c>
      <c r="BH167" s="228">
        <v>0</v>
      </c>
      <c r="BI167" s="228">
        <f t="shared" si="132"/>
        <v>0</v>
      </c>
      <c r="BJ167" s="228"/>
      <c r="BK167" s="228">
        <f t="shared" si="118"/>
        <v>0</v>
      </c>
      <c r="BL167" s="228" t="s">
        <v>1457</v>
      </c>
      <c r="BM167" s="220">
        <f t="shared" si="119"/>
        <v>0</v>
      </c>
      <c r="BN167" s="220"/>
      <c r="BO167" s="220">
        <f t="shared" si="120"/>
        <v>0</v>
      </c>
      <c r="BP167" s="220">
        <f t="shared" si="124"/>
        <v>1038.48</v>
      </c>
      <c r="BQ167" s="220">
        <f t="shared" si="125"/>
        <v>0</v>
      </c>
      <c r="BR167" s="220">
        <f t="shared" si="126"/>
        <v>1038.48</v>
      </c>
      <c r="BS167" s="229" t="s">
        <v>39</v>
      </c>
      <c r="BT167" s="229" t="s">
        <v>39</v>
      </c>
      <c r="BU167" s="230" t="s">
        <v>643</v>
      </c>
      <c r="BV167" s="230" t="s">
        <v>644</v>
      </c>
      <c r="BW167" s="231"/>
    </row>
    <row r="168" s="209" customFormat="1" ht="24" customHeight="1" spans="1:75">
      <c r="A168" s="219">
        <v>200</v>
      </c>
      <c r="B168" s="220" t="s">
        <v>708</v>
      </c>
      <c r="C168" s="221" t="s">
        <v>443</v>
      </c>
      <c r="D168" s="221" t="s">
        <v>639</v>
      </c>
      <c r="E168" s="221" t="s">
        <v>640</v>
      </c>
      <c r="F168" s="219" t="s">
        <v>81</v>
      </c>
      <c r="G168" s="222" t="s">
        <v>1462</v>
      </c>
      <c r="H168" s="233" t="s">
        <v>39</v>
      </c>
      <c r="I168" s="237" t="s">
        <v>670</v>
      </c>
      <c r="J168" s="222" t="s">
        <v>671</v>
      </c>
      <c r="K168" s="223" cm="1">
        <f t="array" ref="K168">_xlfn.XLOOKUP(D168&amp;E168&amp;H168&amp;I168&amp;J168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5328.51</v>
      </c>
      <c r="L168" s="223"/>
      <c r="M168" s="224"/>
      <c r="N168" s="253"/>
      <c r="O168" s="226">
        <v>792000</v>
      </c>
      <c r="P168" s="247">
        <v>0.1</v>
      </c>
      <c r="Q168" s="228">
        <f t="shared" si="133"/>
        <v>532.851</v>
      </c>
      <c r="R168" s="228"/>
      <c r="S168" s="228">
        <f t="shared" si="121"/>
        <v>532.851</v>
      </c>
      <c r="T168" s="235">
        <v>0.01</v>
      </c>
      <c r="U168" s="228">
        <f t="shared" si="101"/>
        <v>53.2851</v>
      </c>
      <c r="V168" s="228"/>
      <c r="W168" s="228">
        <f t="shared" si="102"/>
        <v>53.2851</v>
      </c>
      <c r="X168" s="228">
        <v>0</v>
      </c>
      <c r="Y168" s="228">
        <f t="shared" si="103"/>
        <v>0</v>
      </c>
      <c r="Z168" s="228"/>
      <c r="AA168" s="228">
        <f t="shared" si="104"/>
        <v>0</v>
      </c>
      <c r="AB168" s="235">
        <v>0.04</v>
      </c>
      <c r="AC168" s="228">
        <f t="shared" si="105"/>
        <v>213.1404</v>
      </c>
      <c r="AD168" s="228"/>
      <c r="AE168" s="228">
        <f t="shared" si="106"/>
        <v>213.1404</v>
      </c>
      <c r="AF168" s="235">
        <v>0.03</v>
      </c>
      <c r="AG168" s="228">
        <f t="shared" si="107"/>
        <v>159.8553</v>
      </c>
      <c r="AH168" s="228"/>
      <c r="AI168" s="228">
        <f t="shared" si="108"/>
        <v>159.8553</v>
      </c>
      <c r="AJ168" s="235">
        <v>0.01</v>
      </c>
      <c r="AK168" s="228">
        <f t="shared" si="129"/>
        <v>53.2851</v>
      </c>
      <c r="AL168" s="228"/>
      <c r="AM168" s="228">
        <f t="shared" si="110"/>
        <v>53.2851</v>
      </c>
      <c r="AN168" s="235">
        <v>0.01</v>
      </c>
      <c r="AO168" s="228">
        <f t="shared" si="130"/>
        <v>53.2851</v>
      </c>
      <c r="AP168" s="228"/>
      <c r="AQ168" s="228">
        <f t="shared" si="112"/>
        <v>53.2851</v>
      </c>
      <c r="AR168" s="228" t="s">
        <v>1457</v>
      </c>
      <c r="AS168" s="228">
        <f t="shared" si="134"/>
        <v>0</v>
      </c>
      <c r="AT168" s="228"/>
      <c r="AU168" s="228">
        <f t="shared" si="113"/>
        <v>0</v>
      </c>
      <c r="AV168" s="228" t="s">
        <v>1457</v>
      </c>
      <c r="AW168" s="228">
        <f t="shared" si="135"/>
        <v>0</v>
      </c>
      <c r="AX168" s="228"/>
      <c r="AY168" s="228">
        <f t="shared" si="115"/>
        <v>0</v>
      </c>
      <c r="AZ168" s="228" t="s">
        <v>1457</v>
      </c>
      <c r="BA168" s="228">
        <f t="shared" si="123"/>
        <v>0</v>
      </c>
      <c r="BB168" s="228"/>
      <c r="BC168" s="228">
        <f t="shared" si="116"/>
        <v>0</v>
      </c>
      <c r="BD168" s="228">
        <v>0</v>
      </c>
      <c r="BE168" s="228">
        <f t="shared" si="131"/>
        <v>0</v>
      </c>
      <c r="BF168" s="228"/>
      <c r="BG168" s="228">
        <f t="shared" si="117"/>
        <v>0</v>
      </c>
      <c r="BH168" s="228">
        <v>0</v>
      </c>
      <c r="BI168" s="228">
        <f t="shared" si="132"/>
        <v>0</v>
      </c>
      <c r="BJ168" s="228"/>
      <c r="BK168" s="228">
        <f t="shared" si="118"/>
        <v>0</v>
      </c>
      <c r="BL168" s="228" t="s">
        <v>1457</v>
      </c>
      <c r="BM168" s="220">
        <f t="shared" si="119"/>
        <v>0</v>
      </c>
      <c r="BN168" s="220"/>
      <c r="BO168" s="220">
        <f t="shared" si="120"/>
        <v>0</v>
      </c>
      <c r="BP168" s="220">
        <f t="shared" si="124"/>
        <v>1065.702</v>
      </c>
      <c r="BQ168" s="220">
        <f t="shared" si="125"/>
        <v>0</v>
      </c>
      <c r="BR168" s="220">
        <f t="shared" si="126"/>
        <v>1065.702</v>
      </c>
      <c r="BS168" s="229" t="s">
        <v>39</v>
      </c>
      <c r="BT168" s="229" t="s">
        <v>39</v>
      </c>
      <c r="BU168" s="230" t="s">
        <v>643</v>
      </c>
      <c r="BV168" s="230" t="s">
        <v>644</v>
      </c>
      <c r="BW168" s="231"/>
    </row>
    <row r="169" s="209" customFormat="1" ht="24" customHeight="1" spans="1:75">
      <c r="A169" s="219">
        <v>201</v>
      </c>
      <c r="B169" s="220" t="s">
        <v>711</v>
      </c>
      <c r="C169" s="221" t="s">
        <v>443</v>
      </c>
      <c r="D169" s="221" t="s">
        <v>639</v>
      </c>
      <c r="E169" s="221" t="s">
        <v>640</v>
      </c>
      <c r="F169" s="219" t="s">
        <v>81</v>
      </c>
      <c r="G169" s="222" t="s">
        <v>1462</v>
      </c>
      <c r="H169" s="233" t="s">
        <v>39</v>
      </c>
      <c r="I169" s="237" t="s">
        <v>673</v>
      </c>
      <c r="J169" s="222" t="s">
        <v>674</v>
      </c>
      <c r="K169" s="223" cm="1">
        <f t="array" ref="K169">_xlfn.XLOOKUP(D169&amp;E169&amp;H169&amp;I169&amp;J169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69" s="223"/>
      <c r="M169" s="224"/>
      <c r="N169" s="253"/>
      <c r="O169" s="226">
        <v>840000</v>
      </c>
      <c r="P169" s="247">
        <v>0.1</v>
      </c>
      <c r="Q169" s="228">
        <f t="shared" si="133"/>
        <v>0</v>
      </c>
      <c r="R169" s="228"/>
      <c r="S169" s="228">
        <f t="shared" si="121"/>
        <v>0</v>
      </c>
      <c r="T169" s="235">
        <v>0.01</v>
      </c>
      <c r="U169" s="228">
        <f t="shared" si="101"/>
        <v>0</v>
      </c>
      <c r="V169" s="228"/>
      <c r="W169" s="228">
        <f t="shared" si="102"/>
        <v>0</v>
      </c>
      <c r="X169" s="228">
        <v>0</v>
      </c>
      <c r="Y169" s="228">
        <f t="shared" si="103"/>
        <v>0</v>
      </c>
      <c r="Z169" s="228"/>
      <c r="AA169" s="228">
        <f t="shared" si="104"/>
        <v>0</v>
      </c>
      <c r="AB169" s="235">
        <v>0.04</v>
      </c>
      <c r="AC169" s="228">
        <f t="shared" si="105"/>
        <v>0</v>
      </c>
      <c r="AD169" s="228"/>
      <c r="AE169" s="228">
        <f t="shared" si="106"/>
        <v>0</v>
      </c>
      <c r="AF169" s="235">
        <v>0.03</v>
      </c>
      <c r="AG169" s="228">
        <f t="shared" si="107"/>
        <v>0</v>
      </c>
      <c r="AH169" s="228"/>
      <c r="AI169" s="228">
        <f t="shared" si="108"/>
        <v>0</v>
      </c>
      <c r="AJ169" s="235">
        <v>0.01</v>
      </c>
      <c r="AK169" s="228">
        <f t="shared" si="129"/>
        <v>0</v>
      </c>
      <c r="AL169" s="228"/>
      <c r="AM169" s="228">
        <f t="shared" si="110"/>
        <v>0</v>
      </c>
      <c r="AN169" s="235">
        <v>0.01</v>
      </c>
      <c r="AO169" s="228">
        <f t="shared" si="130"/>
        <v>0</v>
      </c>
      <c r="AP169" s="228"/>
      <c r="AQ169" s="228">
        <f t="shared" si="112"/>
        <v>0</v>
      </c>
      <c r="AR169" s="228" t="s">
        <v>1457</v>
      </c>
      <c r="AS169" s="228">
        <f t="shared" si="134"/>
        <v>0</v>
      </c>
      <c r="AT169" s="228"/>
      <c r="AU169" s="228">
        <f t="shared" si="113"/>
        <v>0</v>
      </c>
      <c r="AV169" s="228" t="s">
        <v>1457</v>
      </c>
      <c r="AW169" s="228">
        <f t="shared" si="135"/>
        <v>0</v>
      </c>
      <c r="AX169" s="228"/>
      <c r="AY169" s="228">
        <f t="shared" si="115"/>
        <v>0</v>
      </c>
      <c r="AZ169" s="228" t="s">
        <v>1457</v>
      </c>
      <c r="BA169" s="228">
        <f t="shared" si="123"/>
        <v>0</v>
      </c>
      <c r="BB169" s="228"/>
      <c r="BC169" s="228">
        <f t="shared" si="116"/>
        <v>0</v>
      </c>
      <c r="BD169" s="228">
        <v>0</v>
      </c>
      <c r="BE169" s="228">
        <f t="shared" si="131"/>
        <v>0</v>
      </c>
      <c r="BF169" s="228"/>
      <c r="BG169" s="228">
        <f t="shared" si="117"/>
        <v>0</v>
      </c>
      <c r="BH169" s="228">
        <v>0</v>
      </c>
      <c r="BI169" s="228">
        <f t="shared" si="132"/>
        <v>0</v>
      </c>
      <c r="BJ169" s="228"/>
      <c r="BK169" s="228">
        <f t="shared" si="118"/>
        <v>0</v>
      </c>
      <c r="BL169" s="228" t="s">
        <v>1457</v>
      </c>
      <c r="BM169" s="220">
        <f t="shared" si="119"/>
        <v>0</v>
      </c>
      <c r="BN169" s="220"/>
      <c r="BO169" s="220">
        <f t="shared" si="120"/>
        <v>0</v>
      </c>
      <c r="BP169" s="220">
        <f t="shared" si="124"/>
        <v>0</v>
      </c>
      <c r="BQ169" s="220">
        <f t="shared" si="125"/>
        <v>0</v>
      </c>
      <c r="BR169" s="220">
        <f t="shared" si="126"/>
        <v>0</v>
      </c>
      <c r="BS169" s="229" t="s">
        <v>39</v>
      </c>
      <c r="BT169" s="229" t="s">
        <v>39</v>
      </c>
      <c r="BU169" s="230" t="s">
        <v>643</v>
      </c>
      <c r="BV169" s="230" t="s">
        <v>644</v>
      </c>
      <c r="BW169" s="231"/>
    </row>
    <row r="170" s="209" customFormat="1" ht="24" customHeight="1" spans="1:75">
      <c r="A170" s="219">
        <v>202</v>
      </c>
      <c r="B170" s="220" t="s">
        <v>713</v>
      </c>
      <c r="C170" s="221" t="s">
        <v>443</v>
      </c>
      <c r="D170" s="221" t="s">
        <v>639</v>
      </c>
      <c r="E170" s="221" t="s">
        <v>640</v>
      </c>
      <c r="F170" s="219" t="s">
        <v>81</v>
      </c>
      <c r="G170" s="222" t="s">
        <v>1462</v>
      </c>
      <c r="H170" s="233" t="s">
        <v>39</v>
      </c>
      <c r="I170" s="237" t="s">
        <v>676</v>
      </c>
      <c r="J170" s="222" t="s">
        <v>677</v>
      </c>
      <c r="K170" s="223" cm="1">
        <f t="array" ref="K170">_xlfn.XLOOKUP(D170&amp;E170&amp;H170&amp;I170&amp;J170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5714.2</v>
      </c>
      <c r="L170" s="223"/>
      <c r="M170" s="224"/>
      <c r="N170" s="253"/>
      <c r="O170" s="226">
        <v>912000</v>
      </c>
      <c r="P170" s="247">
        <v>0.1</v>
      </c>
      <c r="Q170" s="228">
        <f t="shared" si="133"/>
        <v>571.42</v>
      </c>
      <c r="R170" s="228"/>
      <c r="S170" s="228">
        <f t="shared" si="121"/>
        <v>571.42</v>
      </c>
      <c r="T170" s="235">
        <v>0.01</v>
      </c>
      <c r="U170" s="228">
        <f t="shared" si="101"/>
        <v>57.142</v>
      </c>
      <c r="V170" s="228"/>
      <c r="W170" s="228">
        <f t="shared" si="102"/>
        <v>57.142</v>
      </c>
      <c r="X170" s="228">
        <v>0</v>
      </c>
      <c r="Y170" s="228">
        <f t="shared" si="103"/>
        <v>0</v>
      </c>
      <c r="Z170" s="228"/>
      <c r="AA170" s="228">
        <f t="shared" si="104"/>
        <v>0</v>
      </c>
      <c r="AB170" s="235">
        <v>0.04</v>
      </c>
      <c r="AC170" s="228">
        <f t="shared" si="105"/>
        <v>228.568</v>
      </c>
      <c r="AD170" s="228"/>
      <c r="AE170" s="228">
        <f t="shared" si="106"/>
        <v>228.568</v>
      </c>
      <c r="AF170" s="235">
        <v>0.03</v>
      </c>
      <c r="AG170" s="228">
        <f t="shared" si="107"/>
        <v>171.426</v>
      </c>
      <c r="AH170" s="228"/>
      <c r="AI170" s="228">
        <f t="shared" si="108"/>
        <v>171.426</v>
      </c>
      <c r="AJ170" s="235">
        <v>0.01</v>
      </c>
      <c r="AK170" s="228">
        <f t="shared" si="129"/>
        <v>57.142</v>
      </c>
      <c r="AL170" s="228"/>
      <c r="AM170" s="228">
        <f t="shared" si="110"/>
        <v>57.142</v>
      </c>
      <c r="AN170" s="235">
        <v>0.01</v>
      </c>
      <c r="AO170" s="228">
        <f t="shared" si="130"/>
        <v>57.142</v>
      </c>
      <c r="AP170" s="228"/>
      <c r="AQ170" s="228">
        <f t="shared" si="112"/>
        <v>57.142</v>
      </c>
      <c r="AR170" s="228" t="s">
        <v>1457</v>
      </c>
      <c r="AS170" s="228">
        <f t="shared" si="134"/>
        <v>0</v>
      </c>
      <c r="AT170" s="228"/>
      <c r="AU170" s="228">
        <f t="shared" si="113"/>
        <v>0</v>
      </c>
      <c r="AV170" s="228" t="s">
        <v>1457</v>
      </c>
      <c r="AW170" s="228">
        <f t="shared" si="135"/>
        <v>0</v>
      </c>
      <c r="AX170" s="228"/>
      <c r="AY170" s="228">
        <f t="shared" si="115"/>
        <v>0</v>
      </c>
      <c r="AZ170" s="228" t="s">
        <v>1457</v>
      </c>
      <c r="BA170" s="228">
        <f t="shared" si="123"/>
        <v>0</v>
      </c>
      <c r="BB170" s="228"/>
      <c r="BC170" s="228">
        <f t="shared" si="116"/>
        <v>0</v>
      </c>
      <c r="BD170" s="228">
        <v>0</v>
      </c>
      <c r="BE170" s="228">
        <f t="shared" si="131"/>
        <v>0</v>
      </c>
      <c r="BF170" s="228"/>
      <c r="BG170" s="228">
        <f t="shared" si="117"/>
        <v>0</v>
      </c>
      <c r="BH170" s="228">
        <v>0</v>
      </c>
      <c r="BI170" s="228">
        <f t="shared" si="132"/>
        <v>0</v>
      </c>
      <c r="BJ170" s="228"/>
      <c r="BK170" s="228">
        <f t="shared" si="118"/>
        <v>0</v>
      </c>
      <c r="BL170" s="228" t="s">
        <v>1457</v>
      </c>
      <c r="BM170" s="220">
        <f t="shared" si="119"/>
        <v>0</v>
      </c>
      <c r="BN170" s="220"/>
      <c r="BO170" s="220">
        <f t="shared" si="120"/>
        <v>0</v>
      </c>
      <c r="BP170" s="220">
        <f t="shared" si="124"/>
        <v>1142.84</v>
      </c>
      <c r="BQ170" s="220">
        <f t="shared" si="125"/>
        <v>0</v>
      </c>
      <c r="BR170" s="220">
        <f t="shared" si="126"/>
        <v>1142.84</v>
      </c>
      <c r="BS170" s="229" t="s">
        <v>39</v>
      </c>
      <c r="BT170" s="229" t="s">
        <v>39</v>
      </c>
      <c r="BU170" s="230" t="s">
        <v>643</v>
      </c>
      <c r="BV170" s="230" t="s">
        <v>644</v>
      </c>
      <c r="BW170" s="231"/>
    </row>
    <row r="171" s="209" customFormat="1" ht="24" customHeight="1" spans="1:75">
      <c r="A171" s="219">
        <v>203</v>
      </c>
      <c r="B171" s="220" t="s">
        <v>716</v>
      </c>
      <c r="C171" s="221" t="s">
        <v>443</v>
      </c>
      <c r="D171" s="221" t="s">
        <v>639</v>
      </c>
      <c r="E171" s="221" t="s">
        <v>640</v>
      </c>
      <c r="F171" s="219" t="s">
        <v>81</v>
      </c>
      <c r="G171" s="222" t="s">
        <v>1462</v>
      </c>
      <c r="H171" s="233" t="s">
        <v>39</v>
      </c>
      <c r="I171" s="237" t="s">
        <v>679</v>
      </c>
      <c r="J171" s="222" t="s">
        <v>680</v>
      </c>
      <c r="K171" s="223" cm="1">
        <f t="array" ref="K171">_xlfn.XLOOKUP(D171&amp;E171&amp;H171&amp;I171&amp;J171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3369.58</v>
      </c>
      <c r="L171" s="223"/>
      <c r="M171" s="224"/>
      <c r="N171" s="253"/>
      <c r="O171" s="226">
        <v>1020000</v>
      </c>
      <c r="P171" s="247">
        <v>0.1</v>
      </c>
      <c r="Q171" s="228">
        <f t="shared" si="133"/>
        <v>336.958</v>
      </c>
      <c r="R171" s="228"/>
      <c r="S171" s="228">
        <f t="shared" si="121"/>
        <v>336.958</v>
      </c>
      <c r="T171" s="235">
        <v>0.01</v>
      </c>
      <c r="U171" s="228">
        <f t="shared" si="101"/>
        <v>33.6958</v>
      </c>
      <c r="V171" s="228"/>
      <c r="W171" s="228">
        <f t="shared" si="102"/>
        <v>33.6958</v>
      </c>
      <c r="X171" s="228">
        <v>0</v>
      </c>
      <c r="Y171" s="228">
        <f t="shared" si="103"/>
        <v>0</v>
      </c>
      <c r="Z171" s="228"/>
      <c r="AA171" s="228">
        <f t="shared" si="104"/>
        <v>0</v>
      </c>
      <c r="AB171" s="235">
        <v>0.04</v>
      </c>
      <c r="AC171" s="228">
        <f t="shared" si="105"/>
        <v>134.7832</v>
      </c>
      <c r="AD171" s="228"/>
      <c r="AE171" s="228">
        <f t="shared" si="106"/>
        <v>134.7832</v>
      </c>
      <c r="AF171" s="235">
        <v>0.03</v>
      </c>
      <c r="AG171" s="228">
        <f t="shared" si="107"/>
        <v>101.0874</v>
      </c>
      <c r="AH171" s="228"/>
      <c r="AI171" s="228">
        <f t="shared" si="108"/>
        <v>101.0874</v>
      </c>
      <c r="AJ171" s="235">
        <v>0.01</v>
      </c>
      <c r="AK171" s="228">
        <f t="shared" si="129"/>
        <v>33.6958</v>
      </c>
      <c r="AL171" s="228"/>
      <c r="AM171" s="228">
        <f t="shared" si="110"/>
        <v>33.6958</v>
      </c>
      <c r="AN171" s="235">
        <v>0.01</v>
      </c>
      <c r="AO171" s="228">
        <f t="shared" si="130"/>
        <v>33.6958</v>
      </c>
      <c r="AP171" s="228"/>
      <c r="AQ171" s="228">
        <f t="shared" si="112"/>
        <v>33.6958</v>
      </c>
      <c r="AR171" s="228" t="s">
        <v>1457</v>
      </c>
      <c r="AS171" s="228">
        <f t="shared" si="134"/>
        <v>0</v>
      </c>
      <c r="AT171" s="228"/>
      <c r="AU171" s="228">
        <f t="shared" si="113"/>
        <v>0</v>
      </c>
      <c r="AV171" s="228" t="s">
        <v>1457</v>
      </c>
      <c r="AW171" s="228">
        <f t="shared" si="135"/>
        <v>0</v>
      </c>
      <c r="AX171" s="228"/>
      <c r="AY171" s="228">
        <f t="shared" si="115"/>
        <v>0</v>
      </c>
      <c r="AZ171" s="228" t="s">
        <v>1457</v>
      </c>
      <c r="BA171" s="228">
        <f t="shared" si="123"/>
        <v>0</v>
      </c>
      <c r="BB171" s="228"/>
      <c r="BC171" s="228">
        <f t="shared" si="116"/>
        <v>0</v>
      </c>
      <c r="BD171" s="228">
        <v>0</v>
      </c>
      <c r="BE171" s="228">
        <f t="shared" si="131"/>
        <v>0</v>
      </c>
      <c r="BF171" s="228"/>
      <c r="BG171" s="228">
        <f t="shared" si="117"/>
        <v>0</v>
      </c>
      <c r="BH171" s="228">
        <v>0</v>
      </c>
      <c r="BI171" s="228">
        <f t="shared" si="132"/>
        <v>0</v>
      </c>
      <c r="BJ171" s="228"/>
      <c r="BK171" s="228">
        <f t="shared" si="118"/>
        <v>0</v>
      </c>
      <c r="BL171" s="228" t="s">
        <v>1457</v>
      </c>
      <c r="BM171" s="220">
        <f t="shared" si="119"/>
        <v>0</v>
      </c>
      <c r="BN171" s="220"/>
      <c r="BO171" s="220">
        <f t="shared" si="120"/>
        <v>0</v>
      </c>
      <c r="BP171" s="220">
        <f t="shared" si="124"/>
        <v>673.916</v>
      </c>
      <c r="BQ171" s="220">
        <f t="shared" si="125"/>
        <v>0</v>
      </c>
      <c r="BR171" s="220">
        <f t="shared" si="126"/>
        <v>673.916</v>
      </c>
      <c r="BS171" s="229" t="s">
        <v>39</v>
      </c>
      <c r="BT171" s="229" t="s">
        <v>39</v>
      </c>
      <c r="BU171" s="230" t="s">
        <v>643</v>
      </c>
      <c r="BV171" s="230" t="s">
        <v>644</v>
      </c>
      <c r="BW171" s="231"/>
    </row>
    <row r="172" s="209" customFormat="1" ht="24" customHeight="1" spans="1:75">
      <c r="A172" s="219">
        <v>204</v>
      </c>
      <c r="B172" s="220" t="s">
        <v>719</v>
      </c>
      <c r="C172" s="221" t="s">
        <v>443</v>
      </c>
      <c r="D172" s="221" t="s">
        <v>639</v>
      </c>
      <c r="E172" s="221" t="s">
        <v>640</v>
      </c>
      <c r="F172" s="219" t="s">
        <v>81</v>
      </c>
      <c r="G172" s="222" t="s">
        <v>1462</v>
      </c>
      <c r="H172" s="233" t="s">
        <v>39</v>
      </c>
      <c r="I172" s="237" t="s">
        <v>618</v>
      </c>
      <c r="J172" s="222" t="s">
        <v>668</v>
      </c>
      <c r="K172" s="223" cm="1">
        <f t="array" ref="K172">_xlfn.XLOOKUP(D172&amp;E172&amp;H172&amp;I172&amp;J172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6394.4</v>
      </c>
      <c r="L172" s="223"/>
      <c r="M172" s="224"/>
      <c r="N172" s="253"/>
      <c r="O172" s="226">
        <v>736800</v>
      </c>
      <c r="P172" s="247">
        <v>0.1</v>
      </c>
      <c r="Q172" s="228">
        <f t="shared" si="133"/>
        <v>639.44</v>
      </c>
      <c r="R172" s="228"/>
      <c r="S172" s="228">
        <f t="shared" si="121"/>
        <v>639.44</v>
      </c>
      <c r="T172" s="235">
        <v>0.01</v>
      </c>
      <c r="U172" s="228">
        <f t="shared" si="101"/>
        <v>63.944</v>
      </c>
      <c r="V172" s="228"/>
      <c r="W172" s="228">
        <f t="shared" si="102"/>
        <v>63.944</v>
      </c>
      <c r="X172" s="228">
        <v>0</v>
      </c>
      <c r="Y172" s="228">
        <f t="shared" si="103"/>
        <v>0</v>
      </c>
      <c r="Z172" s="228"/>
      <c r="AA172" s="228">
        <f t="shared" si="104"/>
        <v>0</v>
      </c>
      <c r="AB172" s="235">
        <v>0.04</v>
      </c>
      <c r="AC172" s="228">
        <f t="shared" si="105"/>
        <v>255.776</v>
      </c>
      <c r="AD172" s="228"/>
      <c r="AE172" s="228">
        <f t="shared" si="106"/>
        <v>255.776</v>
      </c>
      <c r="AF172" s="235">
        <v>0.03</v>
      </c>
      <c r="AG172" s="228">
        <f t="shared" si="107"/>
        <v>191.832</v>
      </c>
      <c r="AH172" s="228"/>
      <c r="AI172" s="228">
        <f t="shared" si="108"/>
        <v>191.832</v>
      </c>
      <c r="AJ172" s="235">
        <v>0.01</v>
      </c>
      <c r="AK172" s="228">
        <f t="shared" si="129"/>
        <v>63.944</v>
      </c>
      <c r="AL172" s="228"/>
      <c r="AM172" s="228">
        <f t="shared" si="110"/>
        <v>63.944</v>
      </c>
      <c r="AN172" s="235">
        <v>0.01</v>
      </c>
      <c r="AO172" s="228">
        <f t="shared" si="130"/>
        <v>63.944</v>
      </c>
      <c r="AP172" s="228"/>
      <c r="AQ172" s="228">
        <f t="shared" si="112"/>
        <v>63.944</v>
      </c>
      <c r="AR172" s="228" t="s">
        <v>1457</v>
      </c>
      <c r="AS172" s="228">
        <f t="shared" si="134"/>
        <v>0</v>
      </c>
      <c r="AT172" s="228"/>
      <c r="AU172" s="228">
        <f t="shared" si="113"/>
        <v>0</v>
      </c>
      <c r="AV172" s="228" t="s">
        <v>1457</v>
      </c>
      <c r="AW172" s="228">
        <f t="shared" si="135"/>
        <v>0</v>
      </c>
      <c r="AX172" s="228"/>
      <c r="AY172" s="228">
        <f t="shared" si="115"/>
        <v>0</v>
      </c>
      <c r="AZ172" s="228" t="s">
        <v>1457</v>
      </c>
      <c r="BA172" s="228">
        <f t="shared" si="123"/>
        <v>0</v>
      </c>
      <c r="BB172" s="228"/>
      <c r="BC172" s="228">
        <f t="shared" si="116"/>
        <v>0</v>
      </c>
      <c r="BD172" s="228">
        <v>0</v>
      </c>
      <c r="BE172" s="228">
        <f t="shared" si="131"/>
        <v>0</v>
      </c>
      <c r="BF172" s="228"/>
      <c r="BG172" s="228">
        <f t="shared" si="117"/>
        <v>0</v>
      </c>
      <c r="BH172" s="228">
        <v>0</v>
      </c>
      <c r="BI172" s="228">
        <f t="shared" si="132"/>
        <v>0</v>
      </c>
      <c r="BJ172" s="228"/>
      <c r="BK172" s="228">
        <f t="shared" si="118"/>
        <v>0</v>
      </c>
      <c r="BL172" s="228" t="s">
        <v>1457</v>
      </c>
      <c r="BM172" s="220">
        <f t="shared" si="119"/>
        <v>0</v>
      </c>
      <c r="BN172" s="220"/>
      <c r="BO172" s="220">
        <f t="shared" si="120"/>
        <v>0</v>
      </c>
      <c r="BP172" s="220">
        <f t="shared" si="124"/>
        <v>1278.88</v>
      </c>
      <c r="BQ172" s="220">
        <f t="shared" si="125"/>
        <v>0</v>
      </c>
      <c r="BR172" s="220">
        <f t="shared" si="126"/>
        <v>1278.88</v>
      </c>
      <c r="BS172" s="229" t="s">
        <v>39</v>
      </c>
      <c r="BT172" s="229" t="s">
        <v>39</v>
      </c>
      <c r="BU172" s="230" t="s">
        <v>643</v>
      </c>
      <c r="BV172" s="230" t="s">
        <v>644</v>
      </c>
      <c r="BW172" s="231"/>
    </row>
    <row r="173" s="209" customFormat="1" ht="24" customHeight="1" spans="1:75">
      <c r="A173" s="219">
        <v>205</v>
      </c>
      <c r="B173" s="220" t="s">
        <v>722</v>
      </c>
      <c r="C173" s="221" t="s">
        <v>443</v>
      </c>
      <c r="D173" s="221" t="s">
        <v>639</v>
      </c>
      <c r="E173" s="221" t="s">
        <v>640</v>
      </c>
      <c r="F173" s="219" t="s">
        <v>81</v>
      </c>
      <c r="G173" s="222" t="s">
        <v>1462</v>
      </c>
      <c r="H173" s="233" t="s">
        <v>39</v>
      </c>
      <c r="I173" s="237" t="s">
        <v>683</v>
      </c>
      <c r="J173" s="222" t="s">
        <v>684</v>
      </c>
      <c r="K173" s="223" cm="1">
        <f t="array" ref="K173">_xlfn.XLOOKUP(D173&amp;E173&amp;H173&amp;I173&amp;J173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5952</v>
      </c>
      <c r="L173" s="223"/>
      <c r="M173" s="224"/>
      <c r="N173" s="253"/>
      <c r="O173" s="226">
        <v>948000</v>
      </c>
      <c r="P173" s="247">
        <v>0.1</v>
      </c>
      <c r="Q173" s="228">
        <f t="shared" si="133"/>
        <v>595.2</v>
      </c>
      <c r="R173" s="228"/>
      <c r="S173" s="228">
        <f t="shared" si="121"/>
        <v>595.2</v>
      </c>
      <c r="T173" s="235">
        <v>0.01</v>
      </c>
      <c r="U173" s="228">
        <f t="shared" si="101"/>
        <v>59.52</v>
      </c>
      <c r="V173" s="228"/>
      <c r="W173" s="228">
        <f t="shared" si="102"/>
        <v>59.52</v>
      </c>
      <c r="X173" s="228">
        <v>0</v>
      </c>
      <c r="Y173" s="228">
        <f t="shared" si="103"/>
        <v>0</v>
      </c>
      <c r="Z173" s="228"/>
      <c r="AA173" s="228">
        <f t="shared" si="104"/>
        <v>0</v>
      </c>
      <c r="AB173" s="235">
        <v>0.04</v>
      </c>
      <c r="AC173" s="228">
        <f t="shared" si="105"/>
        <v>238.08</v>
      </c>
      <c r="AD173" s="228"/>
      <c r="AE173" s="228">
        <f t="shared" si="106"/>
        <v>238.08</v>
      </c>
      <c r="AF173" s="235">
        <v>0.03</v>
      </c>
      <c r="AG173" s="228">
        <f t="shared" si="107"/>
        <v>178.56</v>
      </c>
      <c r="AH173" s="228"/>
      <c r="AI173" s="228">
        <f t="shared" si="108"/>
        <v>178.56</v>
      </c>
      <c r="AJ173" s="235">
        <v>0.01</v>
      </c>
      <c r="AK173" s="228">
        <f t="shared" si="129"/>
        <v>59.52</v>
      </c>
      <c r="AL173" s="228"/>
      <c r="AM173" s="228">
        <f t="shared" si="110"/>
        <v>59.52</v>
      </c>
      <c r="AN173" s="235">
        <v>0.01</v>
      </c>
      <c r="AO173" s="228">
        <f t="shared" si="130"/>
        <v>59.52</v>
      </c>
      <c r="AP173" s="228"/>
      <c r="AQ173" s="228">
        <f t="shared" si="112"/>
        <v>59.52</v>
      </c>
      <c r="AR173" s="228" t="s">
        <v>1457</v>
      </c>
      <c r="AS173" s="228">
        <f t="shared" si="134"/>
        <v>0</v>
      </c>
      <c r="AT173" s="228"/>
      <c r="AU173" s="228">
        <f t="shared" si="113"/>
        <v>0</v>
      </c>
      <c r="AV173" s="228" t="s">
        <v>1457</v>
      </c>
      <c r="AW173" s="228">
        <f t="shared" si="135"/>
        <v>0</v>
      </c>
      <c r="AX173" s="228"/>
      <c r="AY173" s="228">
        <f t="shared" si="115"/>
        <v>0</v>
      </c>
      <c r="AZ173" s="228" t="s">
        <v>1457</v>
      </c>
      <c r="BA173" s="228">
        <f t="shared" si="123"/>
        <v>0</v>
      </c>
      <c r="BB173" s="228"/>
      <c r="BC173" s="228">
        <f t="shared" si="116"/>
        <v>0</v>
      </c>
      <c r="BD173" s="228">
        <v>0</v>
      </c>
      <c r="BE173" s="228">
        <f t="shared" si="131"/>
        <v>0</v>
      </c>
      <c r="BF173" s="228"/>
      <c r="BG173" s="228">
        <f t="shared" si="117"/>
        <v>0</v>
      </c>
      <c r="BH173" s="228">
        <v>0</v>
      </c>
      <c r="BI173" s="228">
        <f t="shared" si="132"/>
        <v>0</v>
      </c>
      <c r="BJ173" s="228"/>
      <c r="BK173" s="228">
        <f t="shared" si="118"/>
        <v>0</v>
      </c>
      <c r="BL173" s="228" t="s">
        <v>1457</v>
      </c>
      <c r="BM173" s="220">
        <f t="shared" si="119"/>
        <v>0</v>
      </c>
      <c r="BN173" s="220"/>
      <c r="BO173" s="220">
        <f t="shared" si="120"/>
        <v>0</v>
      </c>
      <c r="BP173" s="220">
        <f t="shared" si="124"/>
        <v>1190.4</v>
      </c>
      <c r="BQ173" s="220">
        <f t="shared" si="125"/>
        <v>0</v>
      </c>
      <c r="BR173" s="220">
        <f t="shared" si="126"/>
        <v>1190.4</v>
      </c>
      <c r="BS173" s="229" t="s">
        <v>39</v>
      </c>
      <c r="BT173" s="229" t="s">
        <v>39</v>
      </c>
      <c r="BU173" s="230" t="s">
        <v>643</v>
      </c>
      <c r="BV173" s="230" t="s">
        <v>644</v>
      </c>
      <c r="BW173" s="231"/>
    </row>
    <row r="174" s="209" customFormat="1" ht="24" customHeight="1" spans="1:75">
      <c r="A174" s="219">
        <v>206</v>
      </c>
      <c r="B174" s="220" t="s">
        <v>725</v>
      </c>
      <c r="C174" s="221" t="s">
        <v>443</v>
      </c>
      <c r="D174" s="221" t="s">
        <v>639</v>
      </c>
      <c r="E174" s="221" t="s">
        <v>640</v>
      </c>
      <c r="F174" s="219" t="s">
        <v>81</v>
      </c>
      <c r="G174" s="222" t="s">
        <v>1462</v>
      </c>
      <c r="H174" s="233" t="s">
        <v>39</v>
      </c>
      <c r="I174" s="237" t="s">
        <v>686</v>
      </c>
      <c r="J174" s="222" t="s">
        <v>687</v>
      </c>
      <c r="K174" s="223" cm="1">
        <f t="array" ref="K174">_xlfn.XLOOKUP(D174&amp;E174&amp;H174&amp;I174&amp;J174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9199.94</v>
      </c>
      <c r="L174" s="223"/>
      <c r="M174" s="224"/>
      <c r="N174" s="253"/>
      <c r="O174" s="226">
        <v>1464000</v>
      </c>
      <c r="P174" s="247">
        <v>0.1</v>
      </c>
      <c r="Q174" s="228">
        <f t="shared" si="133"/>
        <v>919.994</v>
      </c>
      <c r="R174" s="228"/>
      <c r="S174" s="228">
        <f t="shared" si="121"/>
        <v>919.994</v>
      </c>
      <c r="T174" s="235">
        <v>0.01</v>
      </c>
      <c r="U174" s="228">
        <f t="shared" ref="U174:U237" si="136">K174*T174</f>
        <v>91.9994</v>
      </c>
      <c r="V174" s="228"/>
      <c r="W174" s="228">
        <f t="shared" si="102"/>
        <v>91.9994</v>
      </c>
      <c r="X174" s="228">
        <v>0</v>
      </c>
      <c r="Y174" s="228">
        <f t="shared" si="103"/>
        <v>0</v>
      </c>
      <c r="Z174" s="228"/>
      <c r="AA174" s="228">
        <f t="shared" si="104"/>
        <v>0</v>
      </c>
      <c r="AB174" s="235">
        <v>0.04</v>
      </c>
      <c r="AC174" s="228">
        <f t="shared" si="105"/>
        <v>367.9976</v>
      </c>
      <c r="AD174" s="228"/>
      <c r="AE174" s="228">
        <f t="shared" si="106"/>
        <v>367.9976</v>
      </c>
      <c r="AF174" s="235">
        <v>0.03</v>
      </c>
      <c r="AG174" s="228">
        <f t="shared" ref="AG174:AG237" si="137">K174*AF174</f>
        <v>275.9982</v>
      </c>
      <c r="AH174" s="228"/>
      <c r="AI174" s="228">
        <f t="shared" si="108"/>
        <v>275.9982</v>
      </c>
      <c r="AJ174" s="235">
        <v>0.01</v>
      </c>
      <c r="AK174" s="228">
        <f t="shared" si="129"/>
        <v>91.9994</v>
      </c>
      <c r="AL174" s="228"/>
      <c r="AM174" s="228">
        <f t="shared" si="110"/>
        <v>91.9994</v>
      </c>
      <c r="AN174" s="235">
        <v>0.01</v>
      </c>
      <c r="AO174" s="228">
        <f t="shared" si="130"/>
        <v>91.9994</v>
      </c>
      <c r="AP174" s="228"/>
      <c r="AQ174" s="228">
        <f t="shared" si="112"/>
        <v>91.9994</v>
      </c>
      <c r="AR174" s="228" t="s">
        <v>1457</v>
      </c>
      <c r="AS174" s="228">
        <f t="shared" si="134"/>
        <v>0</v>
      </c>
      <c r="AT174" s="228"/>
      <c r="AU174" s="228">
        <f t="shared" si="113"/>
        <v>0</v>
      </c>
      <c r="AV174" s="228" t="s">
        <v>1457</v>
      </c>
      <c r="AW174" s="228">
        <f t="shared" si="135"/>
        <v>0</v>
      </c>
      <c r="AX174" s="228"/>
      <c r="AY174" s="228">
        <f t="shared" si="115"/>
        <v>0</v>
      </c>
      <c r="AZ174" s="228" t="s">
        <v>1457</v>
      </c>
      <c r="BA174" s="228">
        <f t="shared" si="123"/>
        <v>0</v>
      </c>
      <c r="BB174" s="228"/>
      <c r="BC174" s="228">
        <f t="shared" si="116"/>
        <v>0</v>
      </c>
      <c r="BD174" s="228">
        <v>0</v>
      </c>
      <c r="BE174" s="228">
        <f t="shared" si="131"/>
        <v>0</v>
      </c>
      <c r="BF174" s="228"/>
      <c r="BG174" s="228">
        <f t="shared" si="117"/>
        <v>0</v>
      </c>
      <c r="BH174" s="228">
        <v>0</v>
      </c>
      <c r="BI174" s="228">
        <f t="shared" si="132"/>
        <v>0</v>
      </c>
      <c r="BJ174" s="228"/>
      <c r="BK174" s="228">
        <f t="shared" si="118"/>
        <v>0</v>
      </c>
      <c r="BL174" s="228" t="s">
        <v>1457</v>
      </c>
      <c r="BM174" s="220">
        <f t="shared" si="119"/>
        <v>0</v>
      </c>
      <c r="BN174" s="220"/>
      <c r="BO174" s="220">
        <f t="shared" si="120"/>
        <v>0</v>
      </c>
      <c r="BP174" s="220">
        <f t="shared" si="124"/>
        <v>1839.988</v>
      </c>
      <c r="BQ174" s="220">
        <f t="shared" si="125"/>
        <v>0</v>
      </c>
      <c r="BR174" s="220">
        <f t="shared" si="126"/>
        <v>1839.988</v>
      </c>
      <c r="BS174" s="229" t="s">
        <v>39</v>
      </c>
      <c r="BT174" s="229" t="s">
        <v>39</v>
      </c>
      <c r="BU174" s="230" t="s">
        <v>643</v>
      </c>
      <c r="BV174" s="230" t="s">
        <v>644</v>
      </c>
      <c r="BW174" s="231"/>
    </row>
    <row r="175" s="209" customFormat="1" ht="24" customHeight="1" spans="1:75">
      <c r="A175" s="219">
        <v>207</v>
      </c>
      <c r="B175" s="220" t="s">
        <v>728</v>
      </c>
      <c r="C175" s="221" t="s">
        <v>443</v>
      </c>
      <c r="D175" s="221" t="s">
        <v>639</v>
      </c>
      <c r="E175" s="221" t="s">
        <v>640</v>
      </c>
      <c r="F175" s="219" t="s">
        <v>81</v>
      </c>
      <c r="G175" s="222" t="s">
        <v>1462</v>
      </c>
      <c r="H175" s="233" t="s">
        <v>39</v>
      </c>
      <c r="I175" s="237" t="s">
        <v>689</v>
      </c>
      <c r="J175" s="222" t="s">
        <v>690</v>
      </c>
      <c r="K175" s="223" cm="1">
        <f t="array" ref="K175">_xlfn.XLOOKUP(D175&amp;E175&amp;H175&amp;I175&amp;J175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3055.11</v>
      </c>
      <c r="L175" s="223"/>
      <c r="M175" s="224"/>
      <c r="N175" s="253"/>
      <c r="O175" s="226">
        <v>465600</v>
      </c>
      <c r="P175" s="247">
        <v>0.1</v>
      </c>
      <c r="Q175" s="228">
        <f t="shared" si="133"/>
        <v>305.511</v>
      </c>
      <c r="R175" s="228"/>
      <c r="S175" s="228">
        <f t="shared" si="121"/>
        <v>305.511</v>
      </c>
      <c r="T175" s="235">
        <v>0.01</v>
      </c>
      <c r="U175" s="228">
        <f t="shared" si="136"/>
        <v>30.5511</v>
      </c>
      <c r="V175" s="228"/>
      <c r="W175" s="228">
        <f t="shared" si="102"/>
        <v>30.5511</v>
      </c>
      <c r="X175" s="228">
        <v>0</v>
      </c>
      <c r="Y175" s="228">
        <f t="shared" si="103"/>
        <v>0</v>
      </c>
      <c r="Z175" s="228"/>
      <c r="AA175" s="228">
        <f t="shared" si="104"/>
        <v>0</v>
      </c>
      <c r="AB175" s="235">
        <v>0.04</v>
      </c>
      <c r="AC175" s="228">
        <f t="shared" si="105"/>
        <v>122.2044</v>
      </c>
      <c r="AD175" s="228"/>
      <c r="AE175" s="228">
        <f t="shared" si="106"/>
        <v>122.2044</v>
      </c>
      <c r="AF175" s="235">
        <v>0.03</v>
      </c>
      <c r="AG175" s="228">
        <f t="shared" si="137"/>
        <v>91.6533</v>
      </c>
      <c r="AH175" s="228"/>
      <c r="AI175" s="228">
        <f t="shared" si="108"/>
        <v>91.6533</v>
      </c>
      <c r="AJ175" s="235">
        <v>0.01</v>
      </c>
      <c r="AK175" s="228">
        <f t="shared" si="129"/>
        <v>30.5511</v>
      </c>
      <c r="AL175" s="228"/>
      <c r="AM175" s="228">
        <f t="shared" si="110"/>
        <v>30.5511</v>
      </c>
      <c r="AN175" s="235">
        <v>0.01</v>
      </c>
      <c r="AO175" s="228">
        <f t="shared" si="130"/>
        <v>30.5511</v>
      </c>
      <c r="AP175" s="228"/>
      <c r="AQ175" s="228">
        <f t="shared" si="112"/>
        <v>30.5511</v>
      </c>
      <c r="AR175" s="228" t="s">
        <v>1457</v>
      </c>
      <c r="AS175" s="228">
        <f t="shared" si="134"/>
        <v>0</v>
      </c>
      <c r="AT175" s="228"/>
      <c r="AU175" s="228">
        <f t="shared" si="113"/>
        <v>0</v>
      </c>
      <c r="AV175" s="228" t="s">
        <v>1457</v>
      </c>
      <c r="AW175" s="228">
        <f t="shared" si="135"/>
        <v>0</v>
      </c>
      <c r="AX175" s="228"/>
      <c r="AY175" s="228">
        <f t="shared" si="115"/>
        <v>0</v>
      </c>
      <c r="AZ175" s="228" t="s">
        <v>1457</v>
      </c>
      <c r="BA175" s="228">
        <f t="shared" si="123"/>
        <v>0</v>
      </c>
      <c r="BB175" s="228"/>
      <c r="BC175" s="228">
        <f t="shared" si="116"/>
        <v>0</v>
      </c>
      <c r="BD175" s="228">
        <v>0</v>
      </c>
      <c r="BE175" s="228">
        <f t="shared" si="131"/>
        <v>0</v>
      </c>
      <c r="BF175" s="228"/>
      <c r="BG175" s="228">
        <f t="shared" si="117"/>
        <v>0</v>
      </c>
      <c r="BH175" s="228">
        <v>0</v>
      </c>
      <c r="BI175" s="228">
        <f t="shared" si="132"/>
        <v>0</v>
      </c>
      <c r="BJ175" s="228"/>
      <c r="BK175" s="228">
        <f t="shared" si="118"/>
        <v>0</v>
      </c>
      <c r="BL175" s="228" t="s">
        <v>1457</v>
      </c>
      <c r="BM175" s="220">
        <f t="shared" si="119"/>
        <v>0</v>
      </c>
      <c r="BN175" s="220"/>
      <c r="BO175" s="220">
        <f t="shared" si="120"/>
        <v>0</v>
      </c>
      <c r="BP175" s="220">
        <f t="shared" si="124"/>
        <v>611.022</v>
      </c>
      <c r="BQ175" s="220">
        <f t="shared" si="125"/>
        <v>0</v>
      </c>
      <c r="BR175" s="220">
        <f t="shared" si="126"/>
        <v>611.022</v>
      </c>
      <c r="BS175" s="229" t="s">
        <v>39</v>
      </c>
      <c r="BT175" s="229" t="s">
        <v>39</v>
      </c>
      <c r="BU175" s="230" t="s">
        <v>643</v>
      </c>
      <c r="BV175" s="230" t="s">
        <v>644</v>
      </c>
      <c r="BW175" s="231"/>
    </row>
    <row r="176" s="209" customFormat="1" spans="1:75">
      <c r="A176" s="219">
        <v>208</v>
      </c>
      <c r="B176" s="220" t="s">
        <v>730</v>
      </c>
      <c r="C176" s="221" t="s">
        <v>443</v>
      </c>
      <c r="D176" s="221" t="s">
        <v>639</v>
      </c>
      <c r="E176" s="221" t="s">
        <v>640</v>
      </c>
      <c r="F176" s="239" t="s">
        <v>81</v>
      </c>
      <c r="G176" s="222" t="s">
        <v>1462</v>
      </c>
      <c r="H176" s="233" t="s">
        <v>39</v>
      </c>
      <c r="I176" s="321" t="s">
        <v>217</v>
      </c>
      <c r="J176" s="222" t="s">
        <v>1512</v>
      </c>
      <c r="K176" s="223" cm="1">
        <f t="array" ref="K176">_xlfn.XLOOKUP(D176&amp;E176&amp;H176&amp;I176&amp;J176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1938.7</v>
      </c>
      <c r="L176" s="223"/>
      <c r="M176" s="224"/>
      <c r="N176" s="253"/>
      <c r="O176" s="226"/>
      <c r="P176" s="247">
        <v>0.1</v>
      </c>
      <c r="Q176" s="228">
        <f t="shared" si="133"/>
        <v>193.87</v>
      </c>
      <c r="R176" s="228"/>
      <c r="S176" s="228">
        <f t="shared" si="121"/>
        <v>193.87</v>
      </c>
      <c r="T176" s="235">
        <v>0.01</v>
      </c>
      <c r="U176" s="228">
        <f t="shared" si="136"/>
        <v>19.387</v>
      </c>
      <c r="V176" s="228"/>
      <c r="W176" s="228">
        <f t="shared" si="102"/>
        <v>19.387</v>
      </c>
      <c r="X176" s="228">
        <v>0</v>
      </c>
      <c r="Y176" s="228">
        <f t="shared" si="103"/>
        <v>0</v>
      </c>
      <c r="Z176" s="228"/>
      <c r="AA176" s="228">
        <f t="shared" si="104"/>
        <v>0</v>
      </c>
      <c r="AB176" s="235">
        <v>0.04</v>
      </c>
      <c r="AC176" s="228">
        <f t="shared" ref="AC176:AC239" si="138">K176*AB176</f>
        <v>77.548</v>
      </c>
      <c r="AD176" s="228"/>
      <c r="AE176" s="228">
        <f t="shared" si="106"/>
        <v>77.548</v>
      </c>
      <c r="AF176" s="235">
        <v>0.03</v>
      </c>
      <c r="AG176" s="228">
        <f t="shared" si="137"/>
        <v>58.161</v>
      </c>
      <c r="AH176" s="228"/>
      <c r="AI176" s="228">
        <f t="shared" si="108"/>
        <v>58.161</v>
      </c>
      <c r="AJ176" s="235">
        <v>0.01</v>
      </c>
      <c r="AK176" s="228">
        <f t="shared" si="129"/>
        <v>19.387</v>
      </c>
      <c r="AL176" s="228"/>
      <c r="AM176" s="228">
        <f t="shared" si="110"/>
        <v>19.387</v>
      </c>
      <c r="AN176" s="235">
        <v>0.01</v>
      </c>
      <c r="AO176" s="228">
        <f t="shared" si="130"/>
        <v>19.387</v>
      </c>
      <c r="AP176" s="228"/>
      <c r="AQ176" s="228">
        <f t="shared" si="112"/>
        <v>19.387</v>
      </c>
      <c r="AR176" s="228" t="s">
        <v>1457</v>
      </c>
      <c r="AS176" s="228">
        <f t="shared" si="134"/>
        <v>0</v>
      </c>
      <c r="AT176" s="228"/>
      <c r="AU176" s="228">
        <f t="shared" si="113"/>
        <v>0</v>
      </c>
      <c r="AV176" s="228" t="s">
        <v>1457</v>
      </c>
      <c r="AW176" s="228">
        <f t="shared" si="135"/>
        <v>0</v>
      </c>
      <c r="AX176" s="228"/>
      <c r="AY176" s="228">
        <f t="shared" si="115"/>
        <v>0</v>
      </c>
      <c r="AZ176" s="228" t="s">
        <v>1457</v>
      </c>
      <c r="BA176" s="228">
        <f t="shared" si="123"/>
        <v>0</v>
      </c>
      <c r="BB176" s="228"/>
      <c r="BC176" s="228">
        <f t="shared" si="116"/>
        <v>0</v>
      </c>
      <c r="BD176" s="228">
        <v>0</v>
      </c>
      <c r="BE176" s="228">
        <f t="shared" si="131"/>
        <v>0</v>
      </c>
      <c r="BF176" s="228"/>
      <c r="BG176" s="228">
        <f t="shared" si="117"/>
        <v>0</v>
      </c>
      <c r="BH176" s="228">
        <v>0</v>
      </c>
      <c r="BI176" s="228">
        <f t="shared" si="132"/>
        <v>0</v>
      </c>
      <c r="BJ176" s="228"/>
      <c r="BK176" s="228">
        <f t="shared" si="118"/>
        <v>0</v>
      </c>
      <c r="BL176" s="228" t="s">
        <v>1457</v>
      </c>
      <c r="BM176" s="220">
        <f t="shared" si="119"/>
        <v>0</v>
      </c>
      <c r="BN176" s="220"/>
      <c r="BO176" s="220">
        <f t="shared" si="120"/>
        <v>0</v>
      </c>
      <c r="BP176" s="220">
        <f t="shared" si="124"/>
        <v>387.74</v>
      </c>
      <c r="BQ176" s="220">
        <f t="shared" si="125"/>
        <v>0</v>
      </c>
      <c r="BR176" s="220">
        <f t="shared" si="126"/>
        <v>387.74</v>
      </c>
      <c r="BS176" s="229"/>
      <c r="BT176" s="229"/>
      <c r="BU176" s="230"/>
      <c r="BV176" s="230"/>
      <c r="BW176" s="231"/>
    </row>
    <row r="177" s="209" customFormat="1" ht="24" customHeight="1" spans="1:75">
      <c r="A177" s="219">
        <v>209</v>
      </c>
      <c r="B177" s="220" t="s">
        <v>735</v>
      </c>
      <c r="C177" s="221" t="s">
        <v>443</v>
      </c>
      <c r="D177" s="221" t="s">
        <v>639</v>
      </c>
      <c r="E177" s="221" t="s">
        <v>640</v>
      </c>
      <c r="F177" s="219" t="s">
        <v>81</v>
      </c>
      <c r="G177" s="222" t="s">
        <v>1462</v>
      </c>
      <c r="H177" s="233" t="s">
        <v>39</v>
      </c>
      <c r="I177" s="237" t="s">
        <v>692</v>
      </c>
      <c r="J177" s="222" t="s">
        <v>693</v>
      </c>
      <c r="K177" s="223" cm="1">
        <f t="array" ref="K177">_xlfn.XLOOKUP(D177&amp;E177&amp;H177&amp;I177&amp;J177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77" s="223"/>
      <c r="M177" s="224"/>
      <c r="N177" s="253"/>
      <c r="O177" s="226">
        <v>686400</v>
      </c>
      <c r="P177" s="247">
        <v>0.1</v>
      </c>
      <c r="Q177" s="228">
        <f t="shared" si="133"/>
        <v>0</v>
      </c>
      <c r="R177" s="228"/>
      <c r="S177" s="228">
        <f t="shared" si="121"/>
        <v>0</v>
      </c>
      <c r="T177" s="235">
        <v>0.01</v>
      </c>
      <c r="U177" s="228">
        <f t="shared" si="136"/>
        <v>0</v>
      </c>
      <c r="V177" s="228"/>
      <c r="W177" s="228">
        <f t="shared" si="102"/>
        <v>0</v>
      </c>
      <c r="X177" s="228">
        <v>0</v>
      </c>
      <c r="Y177" s="228">
        <f t="shared" si="103"/>
        <v>0</v>
      </c>
      <c r="Z177" s="228"/>
      <c r="AA177" s="228">
        <f t="shared" si="104"/>
        <v>0</v>
      </c>
      <c r="AB177" s="235">
        <v>0.04</v>
      </c>
      <c r="AC177" s="228">
        <f t="shared" si="138"/>
        <v>0</v>
      </c>
      <c r="AD177" s="228"/>
      <c r="AE177" s="228">
        <f t="shared" si="106"/>
        <v>0</v>
      </c>
      <c r="AF177" s="235">
        <v>0.03</v>
      </c>
      <c r="AG177" s="228">
        <f t="shared" si="137"/>
        <v>0</v>
      </c>
      <c r="AH177" s="228"/>
      <c r="AI177" s="228">
        <f t="shared" si="108"/>
        <v>0</v>
      </c>
      <c r="AJ177" s="235">
        <v>0.01</v>
      </c>
      <c r="AK177" s="228">
        <f t="shared" si="129"/>
        <v>0</v>
      </c>
      <c r="AL177" s="228"/>
      <c r="AM177" s="228">
        <f t="shared" si="110"/>
        <v>0</v>
      </c>
      <c r="AN177" s="235">
        <v>0.01</v>
      </c>
      <c r="AO177" s="228">
        <f t="shared" si="130"/>
        <v>0</v>
      </c>
      <c r="AP177" s="228"/>
      <c r="AQ177" s="228">
        <f t="shared" si="112"/>
        <v>0</v>
      </c>
      <c r="AR177" s="228" t="s">
        <v>1457</v>
      </c>
      <c r="AS177" s="228">
        <f t="shared" si="134"/>
        <v>0</v>
      </c>
      <c r="AT177" s="228"/>
      <c r="AU177" s="228">
        <f t="shared" si="113"/>
        <v>0</v>
      </c>
      <c r="AV177" s="228" t="s">
        <v>1457</v>
      </c>
      <c r="AW177" s="228">
        <f t="shared" si="135"/>
        <v>0</v>
      </c>
      <c r="AX177" s="228"/>
      <c r="AY177" s="228">
        <f t="shared" si="115"/>
        <v>0</v>
      </c>
      <c r="AZ177" s="228" t="s">
        <v>1457</v>
      </c>
      <c r="BA177" s="228">
        <f t="shared" si="123"/>
        <v>0</v>
      </c>
      <c r="BB177" s="228"/>
      <c r="BC177" s="228">
        <f t="shared" si="116"/>
        <v>0</v>
      </c>
      <c r="BD177" s="228">
        <v>0</v>
      </c>
      <c r="BE177" s="228">
        <f t="shared" si="131"/>
        <v>0</v>
      </c>
      <c r="BF177" s="228"/>
      <c r="BG177" s="228">
        <f t="shared" si="117"/>
        <v>0</v>
      </c>
      <c r="BH177" s="228">
        <v>0</v>
      </c>
      <c r="BI177" s="228">
        <f t="shared" si="132"/>
        <v>0</v>
      </c>
      <c r="BJ177" s="228"/>
      <c r="BK177" s="228">
        <f t="shared" si="118"/>
        <v>0</v>
      </c>
      <c r="BL177" s="228" t="s">
        <v>1457</v>
      </c>
      <c r="BM177" s="220">
        <f t="shared" si="119"/>
        <v>0</v>
      </c>
      <c r="BN177" s="220"/>
      <c r="BO177" s="220">
        <f t="shared" si="120"/>
        <v>0</v>
      </c>
      <c r="BP177" s="220">
        <f t="shared" si="124"/>
        <v>0</v>
      </c>
      <c r="BQ177" s="220">
        <f t="shared" si="125"/>
        <v>0</v>
      </c>
      <c r="BR177" s="220">
        <f t="shared" si="126"/>
        <v>0</v>
      </c>
      <c r="BS177" s="229" t="s">
        <v>39</v>
      </c>
      <c r="BT177" s="229" t="s">
        <v>39</v>
      </c>
      <c r="BU177" s="230" t="s">
        <v>643</v>
      </c>
      <c r="BV177" s="230" t="s">
        <v>644</v>
      </c>
      <c r="BW177" s="231"/>
    </row>
    <row r="178" s="209" customFormat="1" ht="24" customHeight="1" spans="1:75">
      <c r="A178" s="219">
        <v>210</v>
      </c>
      <c r="B178" s="220" t="s">
        <v>741</v>
      </c>
      <c r="C178" s="221" t="s">
        <v>443</v>
      </c>
      <c r="D178" s="221" t="s">
        <v>639</v>
      </c>
      <c r="E178" s="221" t="s">
        <v>640</v>
      </c>
      <c r="F178" s="219" t="s">
        <v>81</v>
      </c>
      <c r="G178" s="222" t="s">
        <v>1462</v>
      </c>
      <c r="H178" s="233" t="s">
        <v>39</v>
      </c>
      <c r="I178" s="237" t="s">
        <v>695</v>
      </c>
      <c r="J178" s="222" t="s">
        <v>696</v>
      </c>
      <c r="K178" s="223" cm="1">
        <f t="array" ref="K178">_xlfn.XLOOKUP(D178&amp;E178&amp;H178&amp;I178&amp;J178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78" s="223"/>
      <c r="M178" s="224"/>
      <c r="N178" s="253"/>
      <c r="O178" s="226">
        <v>720000</v>
      </c>
      <c r="P178" s="247">
        <v>0.1</v>
      </c>
      <c r="Q178" s="228">
        <f t="shared" si="133"/>
        <v>0</v>
      </c>
      <c r="R178" s="228"/>
      <c r="S178" s="228">
        <f t="shared" si="121"/>
        <v>0</v>
      </c>
      <c r="T178" s="235">
        <v>0.01</v>
      </c>
      <c r="U178" s="228">
        <f t="shared" si="136"/>
        <v>0</v>
      </c>
      <c r="V178" s="228"/>
      <c r="W178" s="228">
        <f t="shared" si="102"/>
        <v>0</v>
      </c>
      <c r="X178" s="228">
        <v>0</v>
      </c>
      <c r="Y178" s="228">
        <f t="shared" si="103"/>
        <v>0</v>
      </c>
      <c r="Z178" s="228"/>
      <c r="AA178" s="228">
        <f t="shared" si="104"/>
        <v>0</v>
      </c>
      <c r="AB178" s="235">
        <v>0.04</v>
      </c>
      <c r="AC178" s="228">
        <f t="shared" si="138"/>
        <v>0</v>
      </c>
      <c r="AD178" s="228"/>
      <c r="AE178" s="228">
        <f t="shared" si="106"/>
        <v>0</v>
      </c>
      <c r="AF178" s="235">
        <v>0.03</v>
      </c>
      <c r="AG178" s="228">
        <f t="shared" si="137"/>
        <v>0</v>
      </c>
      <c r="AH178" s="228"/>
      <c r="AI178" s="228">
        <f t="shared" si="108"/>
        <v>0</v>
      </c>
      <c r="AJ178" s="235">
        <v>0.01</v>
      </c>
      <c r="AK178" s="228">
        <f t="shared" si="129"/>
        <v>0</v>
      </c>
      <c r="AL178" s="228"/>
      <c r="AM178" s="228">
        <f t="shared" si="110"/>
        <v>0</v>
      </c>
      <c r="AN178" s="235">
        <v>0.01</v>
      </c>
      <c r="AO178" s="228">
        <f t="shared" si="130"/>
        <v>0</v>
      </c>
      <c r="AP178" s="228"/>
      <c r="AQ178" s="228">
        <f t="shared" si="112"/>
        <v>0</v>
      </c>
      <c r="AR178" s="228" t="s">
        <v>1457</v>
      </c>
      <c r="AS178" s="228">
        <f t="shared" si="134"/>
        <v>0</v>
      </c>
      <c r="AT178" s="228"/>
      <c r="AU178" s="228">
        <f t="shared" si="113"/>
        <v>0</v>
      </c>
      <c r="AV178" s="228" t="s">
        <v>1457</v>
      </c>
      <c r="AW178" s="228">
        <f t="shared" si="135"/>
        <v>0</v>
      </c>
      <c r="AX178" s="228"/>
      <c r="AY178" s="228">
        <f t="shared" si="115"/>
        <v>0</v>
      </c>
      <c r="AZ178" s="228" t="s">
        <v>1457</v>
      </c>
      <c r="BA178" s="228">
        <f t="shared" si="123"/>
        <v>0</v>
      </c>
      <c r="BB178" s="228"/>
      <c r="BC178" s="228">
        <f t="shared" si="116"/>
        <v>0</v>
      </c>
      <c r="BD178" s="228">
        <v>0</v>
      </c>
      <c r="BE178" s="228">
        <f t="shared" si="131"/>
        <v>0</v>
      </c>
      <c r="BF178" s="228"/>
      <c r="BG178" s="228">
        <f t="shared" si="117"/>
        <v>0</v>
      </c>
      <c r="BH178" s="228">
        <v>0</v>
      </c>
      <c r="BI178" s="228">
        <f t="shared" si="132"/>
        <v>0</v>
      </c>
      <c r="BJ178" s="228"/>
      <c r="BK178" s="228">
        <f t="shared" si="118"/>
        <v>0</v>
      </c>
      <c r="BL178" s="228" t="s">
        <v>1457</v>
      </c>
      <c r="BM178" s="220">
        <f t="shared" si="119"/>
        <v>0</v>
      </c>
      <c r="BN178" s="220"/>
      <c r="BO178" s="220">
        <f t="shared" si="120"/>
        <v>0</v>
      </c>
      <c r="BP178" s="220">
        <f t="shared" si="124"/>
        <v>0</v>
      </c>
      <c r="BQ178" s="220">
        <f t="shared" si="125"/>
        <v>0</v>
      </c>
      <c r="BR178" s="220">
        <f t="shared" si="126"/>
        <v>0</v>
      </c>
      <c r="BS178" s="229" t="s">
        <v>39</v>
      </c>
      <c r="BT178" s="229" t="s">
        <v>39</v>
      </c>
      <c r="BU178" s="230" t="s">
        <v>643</v>
      </c>
      <c r="BV178" s="230" t="s">
        <v>644</v>
      </c>
      <c r="BW178" s="231"/>
    </row>
    <row r="179" s="209" customFormat="1" ht="24" customHeight="1" spans="1:75">
      <c r="A179" s="219">
        <v>211</v>
      </c>
      <c r="B179" s="220" t="s">
        <v>744</v>
      </c>
      <c r="C179" s="221" t="s">
        <v>443</v>
      </c>
      <c r="D179" s="221" t="s">
        <v>639</v>
      </c>
      <c r="E179" s="221" t="s">
        <v>640</v>
      </c>
      <c r="F179" s="219" t="s">
        <v>81</v>
      </c>
      <c r="G179" s="222" t="s">
        <v>1462</v>
      </c>
      <c r="H179" s="233" t="s">
        <v>39</v>
      </c>
      <c r="I179" s="237" t="s">
        <v>319</v>
      </c>
      <c r="J179" s="222" t="s">
        <v>698</v>
      </c>
      <c r="K179" s="223" cm="1">
        <f t="array" ref="K179">_xlfn.XLOOKUP(D179&amp;E179&amp;H179&amp;I179&amp;J179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6771</v>
      </c>
      <c r="L179" s="223"/>
      <c r="M179" s="224"/>
      <c r="N179" s="253"/>
      <c r="O179" s="226">
        <v>1128000</v>
      </c>
      <c r="P179" s="247">
        <v>0.1</v>
      </c>
      <c r="Q179" s="228">
        <f t="shared" si="133"/>
        <v>677.1</v>
      </c>
      <c r="R179" s="228"/>
      <c r="S179" s="228">
        <f t="shared" si="121"/>
        <v>677.1</v>
      </c>
      <c r="T179" s="235">
        <v>0.01</v>
      </c>
      <c r="U179" s="228">
        <f t="shared" si="136"/>
        <v>67.71</v>
      </c>
      <c r="V179" s="228"/>
      <c r="W179" s="228">
        <f t="shared" si="102"/>
        <v>67.71</v>
      </c>
      <c r="X179" s="228">
        <v>0</v>
      </c>
      <c r="Y179" s="228">
        <f t="shared" si="103"/>
        <v>0</v>
      </c>
      <c r="Z179" s="228"/>
      <c r="AA179" s="228">
        <f t="shared" si="104"/>
        <v>0</v>
      </c>
      <c r="AB179" s="235">
        <v>0.04</v>
      </c>
      <c r="AC179" s="228">
        <f t="shared" si="138"/>
        <v>270.84</v>
      </c>
      <c r="AD179" s="228"/>
      <c r="AE179" s="228">
        <f t="shared" si="106"/>
        <v>270.84</v>
      </c>
      <c r="AF179" s="235">
        <v>0.03</v>
      </c>
      <c r="AG179" s="228">
        <f t="shared" si="137"/>
        <v>203.13</v>
      </c>
      <c r="AH179" s="228"/>
      <c r="AI179" s="228">
        <f t="shared" si="108"/>
        <v>203.13</v>
      </c>
      <c r="AJ179" s="235">
        <v>0.01</v>
      </c>
      <c r="AK179" s="228">
        <f t="shared" si="129"/>
        <v>67.71</v>
      </c>
      <c r="AL179" s="228"/>
      <c r="AM179" s="228">
        <f t="shared" si="110"/>
        <v>67.71</v>
      </c>
      <c r="AN179" s="235">
        <v>0.01</v>
      </c>
      <c r="AO179" s="228">
        <f t="shared" si="130"/>
        <v>67.71</v>
      </c>
      <c r="AP179" s="228"/>
      <c r="AQ179" s="228">
        <f t="shared" si="112"/>
        <v>67.71</v>
      </c>
      <c r="AR179" s="228" t="s">
        <v>1457</v>
      </c>
      <c r="AS179" s="228">
        <f t="shared" si="134"/>
        <v>0</v>
      </c>
      <c r="AT179" s="228"/>
      <c r="AU179" s="228">
        <f t="shared" si="113"/>
        <v>0</v>
      </c>
      <c r="AV179" s="228" t="s">
        <v>1457</v>
      </c>
      <c r="AW179" s="228">
        <f t="shared" si="135"/>
        <v>0</v>
      </c>
      <c r="AX179" s="228"/>
      <c r="AY179" s="228">
        <f t="shared" si="115"/>
        <v>0</v>
      </c>
      <c r="AZ179" s="228" t="s">
        <v>1457</v>
      </c>
      <c r="BA179" s="228">
        <f t="shared" si="123"/>
        <v>0</v>
      </c>
      <c r="BB179" s="228"/>
      <c r="BC179" s="228">
        <f t="shared" si="116"/>
        <v>0</v>
      </c>
      <c r="BD179" s="228">
        <v>0</v>
      </c>
      <c r="BE179" s="228">
        <f t="shared" si="131"/>
        <v>0</v>
      </c>
      <c r="BF179" s="228"/>
      <c r="BG179" s="228">
        <f t="shared" si="117"/>
        <v>0</v>
      </c>
      <c r="BH179" s="228">
        <v>0</v>
      </c>
      <c r="BI179" s="228">
        <f t="shared" si="132"/>
        <v>0</v>
      </c>
      <c r="BJ179" s="228"/>
      <c r="BK179" s="228">
        <f t="shared" si="118"/>
        <v>0</v>
      </c>
      <c r="BL179" s="228" t="s">
        <v>1457</v>
      </c>
      <c r="BM179" s="220">
        <f t="shared" si="119"/>
        <v>0</v>
      </c>
      <c r="BN179" s="220"/>
      <c r="BO179" s="220">
        <f t="shared" si="120"/>
        <v>0</v>
      </c>
      <c r="BP179" s="220">
        <f t="shared" si="124"/>
        <v>1354.2</v>
      </c>
      <c r="BQ179" s="220">
        <f t="shared" si="125"/>
        <v>0</v>
      </c>
      <c r="BR179" s="220">
        <f t="shared" si="126"/>
        <v>1354.2</v>
      </c>
      <c r="BS179" s="229" t="s">
        <v>39</v>
      </c>
      <c r="BT179" s="229" t="s">
        <v>39</v>
      </c>
      <c r="BU179" s="230" t="s">
        <v>643</v>
      </c>
      <c r="BV179" s="230" t="s">
        <v>644</v>
      </c>
      <c r="BW179" s="231"/>
    </row>
    <row r="180" s="209" customFormat="1" ht="24" customHeight="1" spans="1:75">
      <c r="A180" s="219">
        <v>212</v>
      </c>
      <c r="B180" s="220" t="s">
        <v>747</v>
      </c>
      <c r="C180" s="221" t="s">
        <v>443</v>
      </c>
      <c r="D180" s="221" t="s">
        <v>639</v>
      </c>
      <c r="E180" s="221" t="s">
        <v>640</v>
      </c>
      <c r="F180" s="219" t="s">
        <v>81</v>
      </c>
      <c r="G180" s="222" t="s">
        <v>1462</v>
      </c>
      <c r="H180" s="233" t="s">
        <v>39</v>
      </c>
      <c r="I180" s="237" t="s">
        <v>700</v>
      </c>
      <c r="J180" s="222" t="s">
        <v>701</v>
      </c>
      <c r="K180" s="223" cm="1">
        <f t="array" ref="K180">_xlfn.XLOOKUP(D180&amp;E180&amp;H180&amp;I180&amp;J180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18864.5</v>
      </c>
      <c r="L180" s="223"/>
      <c r="M180" s="224"/>
      <c r="N180" s="253"/>
      <c r="O180" s="226">
        <v>2244000</v>
      </c>
      <c r="P180" s="247">
        <v>0.1</v>
      </c>
      <c r="Q180" s="228">
        <f t="shared" si="133"/>
        <v>1886.45</v>
      </c>
      <c r="R180" s="228"/>
      <c r="S180" s="228">
        <f t="shared" si="121"/>
        <v>1886.45</v>
      </c>
      <c r="T180" s="235">
        <v>0.01</v>
      </c>
      <c r="U180" s="228">
        <f t="shared" si="136"/>
        <v>188.645</v>
      </c>
      <c r="V180" s="228"/>
      <c r="W180" s="228">
        <f t="shared" si="102"/>
        <v>188.645</v>
      </c>
      <c r="X180" s="228">
        <v>0</v>
      </c>
      <c r="Y180" s="228">
        <f t="shared" si="103"/>
        <v>0</v>
      </c>
      <c r="Z180" s="228"/>
      <c r="AA180" s="228">
        <f t="shared" si="104"/>
        <v>0</v>
      </c>
      <c r="AB180" s="235">
        <v>0.04</v>
      </c>
      <c r="AC180" s="228">
        <f t="shared" si="138"/>
        <v>754.58</v>
      </c>
      <c r="AD180" s="228"/>
      <c r="AE180" s="228">
        <f t="shared" si="106"/>
        <v>754.58</v>
      </c>
      <c r="AF180" s="235">
        <v>0.03</v>
      </c>
      <c r="AG180" s="228">
        <f t="shared" si="137"/>
        <v>565.935</v>
      </c>
      <c r="AH180" s="228"/>
      <c r="AI180" s="228">
        <f t="shared" si="108"/>
        <v>565.935</v>
      </c>
      <c r="AJ180" s="235">
        <v>0.01</v>
      </c>
      <c r="AK180" s="228">
        <f t="shared" si="129"/>
        <v>188.645</v>
      </c>
      <c r="AL180" s="228"/>
      <c r="AM180" s="228">
        <f t="shared" si="110"/>
        <v>188.645</v>
      </c>
      <c r="AN180" s="235">
        <v>0.01</v>
      </c>
      <c r="AO180" s="228">
        <f t="shared" si="130"/>
        <v>188.645</v>
      </c>
      <c r="AP180" s="228"/>
      <c r="AQ180" s="228">
        <f t="shared" si="112"/>
        <v>188.645</v>
      </c>
      <c r="AR180" s="228" t="s">
        <v>1457</v>
      </c>
      <c r="AS180" s="228">
        <f t="shared" si="134"/>
        <v>0</v>
      </c>
      <c r="AT180" s="228"/>
      <c r="AU180" s="228">
        <f t="shared" si="113"/>
        <v>0</v>
      </c>
      <c r="AV180" s="228" t="s">
        <v>1457</v>
      </c>
      <c r="AW180" s="228">
        <f t="shared" si="135"/>
        <v>0</v>
      </c>
      <c r="AX180" s="228"/>
      <c r="AY180" s="228">
        <f t="shared" si="115"/>
        <v>0</v>
      </c>
      <c r="AZ180" s="228" t="s">
        <v>1457</v>
      </c>
      <c r="BA180" s="228">
        <f t="shared" si="123"/>
        <v>0</v>
      </c>
      <c r="BB180" s="228"/>
      <c r="BC180" s="228">
        <f t="shared" si="116"/>
        <v>0</v>
      </c>
      <c r="BD180" s="228">
        <v>0</v>
      </c>
      <c r="BE180" s="228">
        <f t="shared" si="131"/>
        <v>0</v>
      </c>
      <c r="BF180" s="228"/>
      <c r="BG180" s="228">
        <f t="shared" si="117"/>
        <v>0</v>
      </c>
      <c r="BH180" s="228">
        <v>0</v>
      </c>
      <c r="BI180" s="228">
        <f t="shared" si="132"/>
        <v>0</v>
      </c>
      <c r="BJ180" s="228"/>
      <c r="BK180" s="228">
        <f t="shared" si="118"/>
        <v>0</v>
      </c>
      <c r="BL180" s="228" t="s">
        <v>1457</v>
      </c>
      <c r="BM180" s="220">
        <f t="shared" si="119"/>
        <v>0</v>
      </c>
      <c r="BN180" s="220"/>
      <c r="BO180" s="220">
        <f t="shared" si="120"/>
        <v>0</v>
      </c>
      <c r="BP180" s="220">
        <f t="shared" si="124"/>
        <v>3772.9</v>
      </c>
      <c r="BQ180" s="220">
        <f t="shared" si="125"/>
        <v>0</v>
      </c>
      <c r="BR180" s="220">
        <f t="shared" si="126"/>
        <v>3772.9</v>
      </c>
      <c r="BS180" s="229" t="s">
        <v>39</v>
      </c>
      <c r="BT180" s="229" t="s">
        <v>39</v>
      </c>
      <c r="BU180" s="230" t="s">
        <v>643</v>
      </c>
      <c r="BV180" s="230" t="s">
        <v>644</v>
      </c>
      <c r="BW180" s="231"/>
    </row>
    <row r="181" s="209" customFormat="1" ht="24" customHeight="1" spans="1:75">
      <c r="A181" s="219">
        <v>213</v>
      </c>
      <c r="B181" s="220" t="s">
        <v>750</v>
      </c>
      <c r="C181" s="221" t="s">
        <v>443</v>
      </c>
      <c r="D181" s="221" t="s">
        <v>639</v>
      </c>
      <c r="E181" s="221" t="s">
        <v>640</v>
      </c>
      <c r="F181" s="219" t="s">
        <v>81</v>
      </c>
      <c r="G181" s="222" t="s">
        <v>1462</v>
      </c>
      <c r="H181" s="233" t="s">
        <v>39</v>
      </c>
      <c r="I181" s="237" t="s">
        <v>703</v>
      </c>
      <c r="J181" s="222" t="s">
        <v>704</v>
      </c>
      <c r="K181" s="223" cm="1">
        <f t="array" ref="K181">_xlfn.XLOOKUP(D181&amp;E181&amp;H181&amp;I181&amp;J181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4043.4</v>
      </c>
      <c r="L181" s="223"/>
      <c r="M181" s="224"/>
      <c r="N181" s="253"/>
      <c r="O181" s="226">
        <v>684000</v>
      </c>
      <c r="P181" s="247">
        <v>0.1</v>
      </c>
      <c r="Q181" s="228">
        <f t="shared" si="133"/>
        <v>404.34</v>
      </c>
      <c r="R181" s="228"/>
      <c r="S181" s="228">
        <f t="shared" si="121"/>
        <v>404.34</v>
      </c>
      <c r="T181" s="235">
        <v>0.01</v>
      </c>
      <c r="U181" s="228">
        <f t="shared" si="136"/>
        <v>40.434</v>
      </c>
      <c r="V181" s="228"/>
      <c r="W181" s="228">
        <f t="shared" si="102"/>
        <v>40.434</v>
      </c>
      <c r="X181" s="228">
        <v>0</v>
      </c>
      <c r="Y181" s="228">
        <f t="shared" si="103"/>
        <v>0</v>
      </c>
      <c r="Z181" s="228"/>
      <c r="AA181" s="228">
        <f t="shared" si="104"/>
        <v>0</v>
      </c>
      <c r="AB181" s="235">
        <v>0.04</v>
      </c>
      <c r="AC181" s="228">
        <f t="shared" si="138"/>
        <v>161.736</v>
      </c>
      <c r="AD181" s="228"/>
      <c r="AE181" s="228">
        <f t="shared" si="106"/>
        <v>161.736</v>
      </c>
      <c r="AF181" s="235">
        <v>0.03</v>
      </c>
      <c r="AG181" s="228">
        <f t="shared" si="137"/>
        <v>121.302</v>
      </c>
      <c r="AH181" s="228"/>
      <c r="AI181" s="228">
        <f t="shared" si="108"/>
        <v>121.302</v>
      </c>
      <c r="AJ181" s="235">
        <v>0.01</v>
      </c>
      <c r="AK181" s="228">
        <f t="shared" si="129"/>
        <v>40.434</v>
      </c>
      <c r="AL181" s="228"/>
      <c r="AM181" s="228">
        <f t="shared" si="110"/>
        <v>40.434</v>
      </c>
      <c r="AN181" s="235">
        <v>0.01</v>
      </c>
      <c r="AO181" s="228">
        <f t="shared" si="130"/>
        <v>40.434</v>
      </c>
      <c r="AP181" s="228"/>
      <c r="AQ181" s="228">
        <f t="shared" si="112"/>
        <v>40.434</v>
      </c>
      <c r="AR181" s="228" t="s">
        <v>1457</v>
      </c>
      <c r="AS181" s="228">
        <f t="shared" si="134"/>
        <v>0</v>
      </c>
      <c r="AT181" s="228"/>
      <c r="AU181" s="228">
        <f t="shared" si="113"/>
        <v>0</v>
      </c>
      <c r="AV181" s="228" t="s">
        <v>1457</v>
      </c>
      <c r="AW181" s="228">
        <f t="shared" si="135"/>
        <v>0</v>
      </c>
      <c r="AX181" s="228"/>
      <c r="AY181" s="228">
        <f t="shared" si="115"/>
        <v>0</v>
      </c>
      <c r="AZ181" s="228" t="s">
        <v>1457</v>
      </c>
      <c r="BA181" s="228">
        <f t="shared" si="123"/>
        <v>0</v>
      </c>
      <c r="BB181" s="228"/>
      <c r="BC181" s="228">
        <f t="shared" si="116"/>
        <v>0</v>
      </c>
      <c r="BD181" s="228">
        <v>0</v>
      </c>
      <c r="BE181" s="228">
        <f t="shared" si="131"/>
        <v>0</v>
      </c>
      <c r="BF181" s="228"/>
      <c r="BG181" s="228">
        <f t="shared" si="117"/>
        <v>0</v>
      </c>
      <c r="BH181" s="228">
        <v>0</v>
      </c>
      <c r="BI181" s="228">
        <f t="shared" si="132"/>
        <v>0</v>
      </c>
      <c r="BJ181" s="228"/>
      <c r="BK181" s="228">
        <f t="shared" si="118"/>
        <v>0</v>
      </c>
      <c r="BL181" s="228" t="s">
        <v>1457</v>
      </c>
      <c r="BM181" s="220">
        <f t="shared" si="119"/>
        <v>0</v>
      </c>
      <c r="BN181" s="220"/>
      <c r="BO181" s="220">
        <f t="shared" si="120"/>
        <v>0</v>
      </c>
      <c r="BP181" s="220">
        <f t="shared" si="124"/>
        <v>808.68</v>
      </c>
      <c r="BQ181" s="220">
        <f t="shared" si="125"/>
        <v>0</v>
      </c>
      <c r="BR181" s="220">
        <f t="shared" si="126"/>
        <v>808.68</v>
      </c>
      <c r="BS181" s="229" t="s">
        <v>39</v>
      </c>
      <c r="BT181" s="229" t="s">
        <v>39</v>
      </c>
      <c r="BU181" s="230" t="s">
        <v>643</v>
      </c>
      <c r="BV181" s="230" t="s">
        <v>644</v>
      </c>
      <c r="BW181" s="231"/>
    </row>
    <row r="182" s="209" customFormat="1" ht="24" customHeight="1" spans="1:75">
      <c r="A182" s="219">
        <v>214</v>
      </c>
      <c r="B182" s="220" t="s">
        <v>756</v>
      </c>
      <c r="C182" s="221" t="s">
        <v>443</v>
      </c>
      <c r="D182" s="221" t="s">
        <v>639</v>
      </c>
      <c r="E182" s="221" t="s">
        <v>640</v>
      </c>
      <c r="F182" s="219" t="s">
        <v>81</v>
      </c>
      <c r="G182" s="222" t="s">
        <v>1462</v>
      </c>
      <c r="H182" s="233" t="s">
        <v>39</v>
      </c>
      <c r="I182" s="237" t="s">
        <v>706</v>
      </c>
      <c r="J182" s="222" t="s">
        <v>707</v>
      </c>
      <c r="K182" s="223" cm="1">
        <f t="array" ref="K182">_xlfn.XLOOKUP(D182&amp;E182&amp;H182&amp;I182&amp;J182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82" s="223"/>
      <c r="M182" s="224"/>
      <c r="N182" s="253"/>
      <c r="O182" s="226">
        <v>816000</v>
      </c>
      <c r="P182" s="247">
        <v>0.1</v>
      </c>
      <c r="Q182" s="228">
        <f t="shared" si="133"/>
        <v>0</v>
      </c>
      <c r="R182" s="228"/>
      <c r="S182" s="228">
        <f t="shared" si="121"/>
        <v>0</v>
      </c>
      <c r="T182" s="235">
        <v>0.01</v>
      </c>
      <c r="U182" s="228">
        <f t="shared" si="136"/>
        <v>0</v>
      </c>
      <c r="V182" s="228"/>
      <c r="W182" s="228">
        <f t="shared" si="102"/>
        <v>0</v>
      </c>
      <c r="X182" s="228">
        <v>0</v>
      </c>
      <c r="Y182" s="228">
        <f t="shared" si="103"/>
        <v>0</v>
      </c>
      <c r="Z182" s="228"/>
      <c r="AA182" s="228">
        <f t="shared" si="104"/>
        <v>0</v>
      </c>
      <c r="AB182" s="235">
        <v>0.04</v>
      </c>
      <c r="AC182" s="228">
        <f t="shared" si="138"/>
        <v>0</v>
      </c>
      <c r="AD182" s="228"/>
      <c r="AE182" s="228">
        <f t="shared" si="106"/>
        <v>0</v>
      </c>
      <c r="AF182" s="235">
        <v>0.03</v>
      </c>
      <c r="AG182" s="228">
        <f t="shared" si="137"/>
        <v>0</v>
      </c>
      <c r="AH182" s="228"/>
      <c r="AI182" s="228">
        <f t="shared" si="108"/>
        <v>0</v>
      </c>
      <c r="AJ182" s="235">
        <v>0.01</v>
      </c>
      <c r="AK182" s="228">
        <f t="shared" si="129"/>
        <v>0</v>
      </c>
      <c r="AL182" s="228"/>
      <c r="AM182" s="228">
        <f t="shared" si="110"/>
        <v>0</v>
      </c>
      <c r="AN182" s="235">
        <v>0.01</v>
      </c>
      <c r="AO182" s="228">
        <f t="shared" si="130"/>
        <v>0</v>
      </c>
      <c r="AP182" s="228"/>
      <c r="AQ182" s="228">
        <f t="shared" si="112"/>
        <v>0</v>
      </c>
      <c r="AR182" s="228" t="s">
        <v>1457</v>
      </c>
      <c r="AS182" s="228">
        <f t="shared" si="134"/>
        <v>0</v>
      </c>
      <c r="AT182" s="228"/>
      <c r="AU182" s="228">
        <f t="shared" si="113"/>
        <v>0</v>
      </c>
      <c r="AV182" s="228" t="s">
        <v>1457</v>
      </c>
      <c r="AW182" s="228">
        <f t="shared" si="135"/>
        <v>0</v>
      </c>
      <c r="AX182" s="228"/>
      <c r="AY182" s="228">
        <f t="shared" si="115"/>
        <v>0</v>
      </c>
      <c r="AZ182" s="228" t="s">
        <v>1457</v>
      </c>
      <c r="BA182" s="228">
        <f t="shared" si="123"/>
        <v>0</v>
      </c>
      <c r="BB182" s="228"/>
      <c r="BC182" s="228">
        <f t="shared" si="116"/>
        <v>0</v>
      </c>
      <c r="BD182" s="228">
        <v>0</v>
      </c>
      <c r="BE182" s="228">
        <f t="shared" si="131"/>
        <v>0</v>
      </c>
      <c r="BF182" s="228"/>
      <c r="BG182" s="228">
        <f t="shared" si="117"/>
        <v>0</v>
      </c>
      <c r="BH182" s="228">
        <v>0</v>
      </c>
      <c r="BI182" s="228">
        <f t="shared" si="132"/>
        <v>0</v>
      </c>
      <c r="BJ182" s="228"/>
      <c r="BK182" s="228">
        <f t="shared" si="118"/>
        <v>0</v>
      </c>
      <c r="BL182" s="228" t="s">
        <v>1457</v>
      </c>
      <c r="BM182" s="220">
        <f t="shared" si="119"/>
        <v>0</v>
      </c>
      <c r="BN182" s="220"/>
      <c r="BO182" s="220">
        <f t="shared" si="120"/>
        <v>0</v>
      </c>
      <c r="BP182" s="220">
        <f t="shared" si="124"/>
        <v>0</v>
      </c>
      <c r="BQ182" s="220">
        <f t="shared" si="125"/>
        <v>0</v>
      </c>
      <c r="BR182" s="220">
        <f t="shared" si="126"/>
        <v>0</v>
      </c>
      <c r="BS182" s="229" t="s">
        <v>39</v>
      </c>
      <c r="BT182" s="229" t="s">
        <v>39</v>
      </c>
      <c r="BU182" s="230" t="s">
        <v>643</v>
      </c>
      <c r="BV182" s="230" t="s">
        <v>644</v>
      </c>
      <c r="BW182" s="231"/>
    </row>
    <row r="183" s="209" customFormat="1" ht="12" customHeight="1" spans="1:75">
      <c r="A183" s="219">
        <v>215</v>
      </c>
      <c r="B183" s="220" t="s">
        <v>764</v>
      </c>
      <c r="C183" s="221" t="s">
        <v>443</v>
      </c>
      <c r="D183" s="221" t="s">
        <v>639</v>
      </c>
      <c r="E183" s="221" t="s">
        <v>640</v>
      </c>
      <c r="F183" s="239" t="s">
        <v>81</v>
      </c>
      <c r="G183" s="222" t="s">
        <v>1462</v>
      </c>
      <c r="H183" s="228" t="s">
        <v>39</v>
      </c>
      <c r="I183" s="237" t="s">
        <v>1513</v>
      </c>
      <c r="J183" s="222" t="s">
        <v>1514</v>
      </c>
      <c r="K183" s="223" cm="1">
        <f t="array" ref="K183">_xlfn.XLOOKUP(D183&amp;E183&amp;H183&amp;I183&amp;J183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83" s="223"/>
      <c r="M183" s="224"/>
      <c r="N183" s="253"/>
      <c r="O183" s="226"/>
      <c r="P183" s="247">
        <v>0.1</v>
      </c>
      <c r="Q183" s="228">
        <f t="shared" si="133"/>
        <v>0</v>
      </c>
      <c r="R183" s="228"/>
      <c r="S183" s="228">
        <f t="shared" si="121"/>
        <v>0</v>
      </c>
      <c r="T183" s="235">
        <v>0.01</v>
      </c>
      <c r="U183" s="228">
        <f t="shared" si="136"/>
        <v>0</v>
      </c>
      <c r="V183" s="228"/>
      <c r="W183" s="228">
        <f t="shared" si="102"/>
        <v>0</v>
      </c>
      <c r="X183" s="228">
        <v>0</v>
      </c>
      <c r="Y183" s="228">
        <f t="shared" si="103"/>
        <v>0</v>
      </c>
      <c r="Z183" s="228"/>
      <c r="AA183" s="228">
        <f t="shared" si="104"/>
        <v>0</v>
      </c>
      <c r="AB183" s="235">
        <v>0.04</v>
      </c>
      <c r="AC183" s="228">
        <f t="shared" si="138"/>
        <v>0</v>
      </c>
      <c r="AD183" s="228"/>
      <c r="AE183" s="228">
        <f t="shared" si="106"/>
        <v>0</v>
      </c>
      <c r="AF183" s="235">
        <v>0.03</v>
      </c>
      <c r="AG183" s="228">
        <f t="shared" si="137"/>
        <v>0</v>
      </c>
      <c r="AH183" s="228"/>
      <c r="AI183" s="228">
        <f t="shared" si="108"/>
        <v>0</v>
      </c>
      <c r="AJ183" s="235">
        <v>0.01</v>
      </c>
      <c r="AK183" s="228">
        <f t="shared" si="129"/>
        <v>0</v>
      </c>
      <c r="AL183" s="228"/>
      <c r="AM183" s="228">
        <f t="shared" si="110"/>
        <v>0</v>
      </c>
      <c r="AN183" s="235">
        <v>0.01</v>
      </c>
      <c r="AO183" s="228">
        <f t="shared" si="130"/>
        <v>0</v>
      </c>
      <c r="AP183" s="228"/>
      <c r="AQ183" s="228">
        <f t="shared" si="112"/>
        <v>0</v>
      </c>
      <c r="AR183" s="228" t="s">
        <v>1457</v>
      </c>
      <c r="AS183" s="228">
        <f t="shared" si="134"/>
        <v>0</v>
      </c>
      <c r="AT183" s="228"/>
      <c r="AU183" s="228">
        <f t="shared" si="113"/>
        <v>0</v>
      </c>
      <c r="AV183" s="228" t="s">
        <v>1457</v>
      </c>
      <c r="AW183" s="228">
        <f t="shared" si="135"/>
        <v>0</v>
      </c>
      <c r="AX183" s="228"/>
      <c r="AY183" s="228">
        <f t="shared" si="115"/>
        <v>0</v>
      </c>
      <c r="AZ183" s="228" t="s">
        <v>1457</v>
      </c>
      <c r="BA183" s="228">
        <f t="shared" si="123"/>
        <v>0</v>
      </c>
      <c r="BB183" s="228"/>
      <c r="BC183" s="228">
        <f t="shared" si="116"/>
        <v>0</v>
      </c>
      <c r="BD183" s="228">
        <v>0</v>
      </c>
      <c r="BE183" s="228">
        <f t="shared" si="131"/>
        <v>0</v>
      </c>
      <c r="BF183" s="228"/>
      <c r="BG183" s="228">
        <f t="shared" si="117"/>
        <v>0</v>
      </c>
      <c r="BH183" s="228">
        <v>0</v>
      </c>
      <c r="BI183" s="228">
        <f t="shared" si="132"/>
        <v>0</v>
      </c>
      <c r="BJ183" s="228"/>
      <c r="BK183" s="228">
        <f t="shared" si="118"/>
        <v>0</v>
      </c>
      <c r="BL183" s="228" t="s">
        <v>1457</v>
      </c>
      <c r="BM183" s="220">
        <f t="shared" si="119"/>
        <v>0</v>
      </c>
      <c r="BN183" s="220"/>
      <c r="BO183" s="220">
        <f t="shared" si="120"/>
        <v>0</v>
      </c>
      <c r="BP183" s="220">
        <f t="shared" si="124"/>
        <v>0</v>
      </c>
      <c r="BQ183" s="220">
        <f t="shared" si="125"/>
        <v>0</v>
      </c>
      <c r="BR183" s="220">
        <f t="shared" si="126"/>
        <v>0</v>
      </c>
      <c r="BS183" s="229"/>
      <c r="BT183" s="229"/>
      <c r="BU183" s="230"/>
      <c r="BV183" s="230"/>
      <c r="BW183" s="231"/>
    </row>
    <row r="184" s="209" customFormat="1" ht="24" customHeight="1" spans="1:75">
      <c r="A184" s="219">
        <v>216</v>
      </c>
      <c r="B184" s="220" t="s">
        <v>770</v>
      </c>
      <c r="C184" s="221" t="s">
        <v>443</v>
      </c>
      <c r="D184" s="221" t="s">
        <v>639</v>
      </c>
      <c r="E184" s="221" t="s">
        <v>640</v>
      </c>
      <c r="F184" s="219" t="s">
        <v>81</v>
      </c>
      <c r="G184" s="222" t="s">
        <v>1462</v>
      </c>
      <c r="H184" s="233" t="s">
        <v>39</v>
      </c>
      <c r="I184" s="237" t="s">
        <v>709</v>
      </c>
      <c r="J184" s="222" t="s">
        <v>710</v>
      </c>
      <c r="K184" s="223" cm="1">
        <f t="array" ref="K184">_xlfn.XLOOKUP(D184&amp;E184&amp;H184&amp;I184&amp;J184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8232.8</v>
      </c>
      <c r="L184" s="223"/>
      <c r="M184" s="224"/>
      <c r="N184" s="253"/>
      <c r="O184" s="226">
        <v>1015200</v>
      </c>
      <c r="P184" s="247">
        <v>0.1</v>
      </c>
      <c r="Q184" s="228">
        <f t="shared" si="133"/>
        <v>823.28</v>
      </c>
      <c r="R184" s="228"/>
      <c r="S184" s="228">
        <f t="shared" si="121"/>
        <v>823.28</v>
      </c>
      <c r="T184" s="235">
        <v>0.01</v>
      </c>
      <c r="U184" s="228">
        <f t="shared" si="136"/>
        <v>82.328</v>
      </c>
      <c r="V184" s="228"/>
      <c r="W184" s="228">
        <f t="shared" si="102"/>
        <v>82.328</v>
      </c>
      <c r="X184" s="228">
        <v>0</v>
      </c>
      <c r="Y184" s="228">
        <f t="shared" si="103"/>
        <v>0</v>
      </c>
      <c r="Z184" s="228"/>
      <c r="AA184" s="228">
        <f t="shared" si="104"/>
        <v>0</v>
      </c>
      <c r="AB184" s="235">
        <v>0.04</v>
      </c>
      <c r="AC184" s="228">
        <f t="shared" si="138"/>
        <v>329.312</v>
      </c>
      <c r="AD184" s="228"/>
      <c r="AE184" s="228">
        <f t="shared" si="106"/>
        <v>329.312</v>
      </c>
      <c r="AF184" s="235">
        <v>0.03</v>
      </c>
      <c r="AG184" s="228">
        <f t="shared" si="137"/>
        <v>246.984</v>
      </c>
      <c r="AH184" s="228"/>
      <c r="AI184" s="228">
        <f t="shared" si="108"/>
        <v>246.984</v>
      </c>
      <c r="AJ184" s="235">
        <v>0.01</v>
      </c>
      <c r="AK184" s="228">
        <f t="shared" si="129"/>
        <v>82.328</v>
      </c>
      <c r="AL184" s="228"/>
      <c r="AM184" s="228">
        <f t="shared" si="110"/>
        <v>82.328</v>
      </c>
      <c r="AN184" s="235">
        <v>0.01</v>
      </c>
      <c r="AO184" s="228">
        <f t="shared" si="130"/>
        <v>82.328</v>
      </c>
      <c r="AP184" s="228"/>
      <c r="AQ184" s="228">
        <f t="shared" si="112"/>
        <v>82.328</v>
      </c>
      <c r="AR184" s="228" t="s">
        <v>1457</v>
      </c>
      <c r="AS184" s="228">
        <f t="shared" si="134"/>
        <v>0</v>
      </c>
      <c r="AT184" s="228"/>
      <c r="AU184" s="228">
        <f t="shared" si="113"/>
        <v>0</v>
      </c>
      <c r="AV184" s="228" t="s">
        <v>1457</v>
      </c>
      <c r="AW184" s="228">
        <f t="shared" si="135"/>
        <v>0</v>
      </c>
      <c r="AX184" s="228"/>
      <c r="AY184" s="228">
        <f t="shared" si="115"/>
        <v>0</v>
      </c>
      <c r="AZ184" s="228" t="s">
        <v>1457</v>
      </c>
      <c r="BA184" s="228">
        <f t="shared" si="123"/>
        <v>0</v>
      </c>
      <c r="BB184" s="228"/>
      <c r="BC184" s="228">
        <f t="shared" si="116"/>
        <v>0</v>
      </c>
      <c r="BD184" s="228">
        <v>0</v>
      </c>
      <c r="BE184" s="228">
        <f t="shared" si="131"/>
        <v>0</v>
      </c>
      <c r="BF184" s="228"/>
      <c r="BG184" s="228">
        <f t="shared" si="117"/>
        <v>0</v>
      </c>
      <c r="BH184" s="228">
        <v>0</v>
      </c>
      <c r="BI184" s="228">
        <f t="shared" si="132"/>
        <v>0</v>
      </c>
      <c r="BJ184" s="228"/>
      <c r="BK184" s="228">
        <f t="shared" si="118"/>
        <v>0</v>
      </c>
      <c r="BL184" s="228" t="s">
        <v>1457</v>
      </c>
      <c r="BM184" s="220">
        <f t="shared" si="119"/>
        <v>0</v>
      </c>
      <c r="BN184" s="220"/>
      <c r="BO184" s="220">
        <f t="shared" si="120"/>
        <v>0</v>
      </c>
      <c r="BP184" s="220">
        <f t="shared" si="124"/>
        <v>1646.56</v>
      </c>
      <c r="BQ184" s="220">
        <f t="shared" si="125"/>
        <v>0</v>
      </c>
      <c r="BR184" s="220">
        <f t="shared" si="126"/>
        <v>1646.56</v>
      </c>
      <c r="BS184" s="229" t="s">
        <v>39</v>
      </c>
      <c r="BT184" s="229" t="s">
        <v>39</v>
      </c>
      <c r="BU184" s="230" t="s">
        <v>643</v>
      </c>
      <c r="BV184" s="230" t="s">
        <v>644</v>
      </c>
      <c r="BW184" s="231"/>
    </row>
    <row r="185" s="209" customFormat="1" ht="24" customHeight="1" spans="1:75">
      <c r="A185" s="219">
        <v>217</v>
      </c>
      <c r="B185" s="220" t="s">
        <v>774</v>
      </c>
      <c r="C185" s="221" t="s">
        <v>443</v>
      </c>
      <c r="D185" s="221" t="s">
        <v>639</v>
      </c>
      <c r="E185" s="221" t="s">
        <v>640</v>
      </c>
      <c r="F185" s="219" t="s">
        <v>81</v>
      </c>
      <c r="G185" s="222" t="s">
        <v>1462</v>
      </c>
      <c r="H185" s="233" t="s">
        <v>39</v>
      </c>
      <c r="I185" s="237" t="s">
        <v>485</v>
      </c>
      <c r="J185" s="222" t="s">
        <v>712</v>
      </c>
      <c r="K185" s="223" cm="1">
        <f t="array" ref="K185">_xlfn.XLOOKUP(D185&amp;E185&amp;H185&amp;I185&amp;J185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12957</v>
      </c>
      <c r="L185" s="223"/>
      <c r="M185" s="224"/>
      <c r="N185" s="253"/>
      <c r="O185" s="226">
        <v>1363200</v>
      </c>
      <c r="P185" s="247">
        <v>0.1</v>
      </c>
      <c r="Q185" s="228">
        <f t="shared" si="133"/>
        <v>1295.7</v>
      </c>
      <c r="R185" s="228"/>
      <c r="S185" s="228">
        <f t="shared" si="121"/>
        <v>1295.7</v>
      </c>
      <c r="T185" s="235">
        <v>0.01</v>
      </c>
      <c r="U185" s="228">
        <f t="shared" si="136"/>
        <v>129.57</v>
      </c>
      <c r="V185" s="228"/>
      <c r="W185" s="228">
        <f t="shared" si="102"/>
        <v>129.57</v>
      </c>
      <c r="X185" s="228">
        <v>0</v>
      </c>
      <c r="Y185" s="228">
        <f t="shared" si="103"/>
        <v>0</v>
      </c>
      <c r="Z185" s="228"/>
      <c r="AA185" s="228">
        <f t="shared" si="104"/>
        <v>0</v>
      </c>
      <c r="AB185" s="235">
        <v>0.04</v>
      </c>
      <c r="AC185" s="228">
        <f t="shared" si="138"/>
        <v>518.28</v>
      </c>
      <c r="AD185" s="228"/>
      <c r="AE185" s="228">
        <f t="shared" si="106"/>
        <v>518.28</v>
      </c>
      <c r="AF185" s="235">
        <v>0.03</v>
      </c>
      <c r="AG185" s="228">
        <f t="shared" si="137"/>
        <v>388.71</v>
      </c>
      <c r="AH185" s="228"/>
      <c r="AI185" s="228">
        <f t="shared" si="108"/>
        <v>388.71</v>
      </c>
      <c r="AJ185" s="235">
        <v>0.01</v>
      </c>
      <c r="AK185" s="228">
        <f t="shared" si="129"/>
        <v>129.57</v>
      </c>
      <c r="AL185" s="228"/>
      <c r="AM185" s="228">
        <f t="shared" si="110"/>
        <v>129.57</v>
      </c>
      <c r="AN185" s="235">
        <v>0.01</v>
      </c>
      <c r="AO185" s="228">
        <f t="shared" si="130"/>
        <v>129.57</v>
      </c>
      <c r="AP185" s="228"/>
      <c r="AQ185" s="228">
        <f t="shared" si="112"/>
        <v>129.57</v>
      </c>
      <c r="AR185" s="228" t="s">
        <v>1457</v>
      </c>
      <c r="AS185" s="228">
        <f t="shared" si="134"/>
        <v>0</v>
      </c>
      <c r="AT185" s="228"/>
      <c r="AU185" s="228">
        <f t="shared" si="113"/>
        <v>0</v>
      </c>
      <c r="AV185" s="228" t="s">
        <v>1457</v>
      </c>
      <c r="AW185" s="228">
        <f t="shared" si="135"/>
        <v>0</v>
      </c>
      <c r="AX185" s="228"/>
      <c r="AY185" s="228">
        <f t="shared" si="115"/>
        <v>0</v>
      </c>
      <c r="AZ185" s="228" t="s">
        <v>1457</v>
      </c>
      <c r="BA185" s="228">
        <f t="shared" si="123"/>
        <v>0</v>
      </c>
      <c r="BB185" s="228"/>
      <c r="BC185" s="228">
        <f t="shared" si="116"/>
        <v>0</v>
      </c>
      <c r="BD185" s="228">
        <v>0</v>
      </c>
      <c r="BE185" s="228">
        <f t="shared" si="131"/>
        <v>0</v>
      </c>
      <c r="BF185" s="228"/>
      <c r="BG185" s="228">
        <f t="shared" si="117"/>
        <v>0</v>
      </c>
      <c r="BH185" s="228">
        <v>0</v>
      </c>
      <c r="BI185" s="228">
        <f t="shared" si="132"/>
        <v>0</v>
      </c>
      <c r="BJ185" s="228"/>
      <c r="BK185" s="228">
        <f t="shared" si="118"/>
        <v>0</v>
      </c>
      <c r="BL185" s="228" t="s">
        <v>1457</v>
      </c>
      <c r="BM185" s="220">
        <f t="shared" ref="BM185:BM233" si="139">BN185</f>
        <v>0</v>
      </c>
      <c r="BN185" s="220"/>
      <c r="BO185" s="220">
        <f t="shared" si="120"/>
        <v>0</v>
      </c>
      <c r="BP185" s="220">
        <f t="shared" si="124"/>
        <v>2591.4</v>
      </c>
      <c r="BQ185" s="220">
        <f t="shared" si="125"/>
        <v>0</v>
      </c>
      <c r="BR185" s="220">
        <f t="shared" si="126"/>
        <v>2591.4</v>
      </c>
      <c r="BS185" s="229" t="s">
        <v>39</v>
      </c>
      <c r="BT185" s="229" t="s">
        <v>39</v>
      </c>
      <c r="BU185" s="230" t="s">
        <v>643</v>
      </c>
      <c r="BV185" s="230" t="s">
        <v>644</v>
      </c>
      <c r="BW185" s="231"/>
    </row>
    <row r="186" s="209" customFormat="1" ht="24" customHeight="1" spans="1:75">
      <c r="A186" s="219">
        <v>218</v>
      </c>
      <c r="B186" s="220" t="s">
        <v>775</v>
      </c>
      <c r="C186" s="221" t="s">
        <v>443</v>
      </c>
      <c r="D186" s="221" t="s">
        <v>639</v>
      </c>
      <c r="E186" s="221" t="s">
        <v>640</v>
      </c>
      <c r="F186" s="219" t="s">
        <v>81</v>
      </c>
      <c r="G186" s="222" t="s">
        <v>1462</v>
      </c>
      <c r="H186" s="233" t="s">
        <v>39</v>
      </c>
      <c r="I186" s="237" t="s">
        <v>714</v>
      </c>
      <c r="J186" s="222" t="s">
        <v>715</v>
      </c>
      <c r="K186" s="223" cm="1">
        <f t="array" ref="K186">_xlfn.XLOOKUP(D186&amp;E186&amp;H186&amp;I186&amp;J186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4964</v>
      </c>
      <c r="L186" s="223"/>
      <c r="M186" s="224"/>
      <c r="N186" s="253"/>
      <c r="O186" s="226">
        <v>847200</v>
      </c>
      <c r="P186" s="247">
        <v>0.1</v>
      </c>
      <c r="Q186" s="228">
        <f t="shared" si="133"/>
        <v>496.4</v>
      </c>
      <c r="R186" s="228"/>
      <c r="S186" s="228">
        <f t="shared" si="121"/>
        <v>496.4</v>
      </c>
      <c r="T186" s="235">
        <v>0.01</v>
      </c>
      <c r="U186" s="228">
        <f t="shared" si="136"/>
        <v>49.64</v>
      </c>
      <c r="V186" s="228"/>
      <c r="W186" s="228">
        <f t="shared" si="102"/>
        <v>49.64</v>
      </c>
      <c r="X186" s="228">
        <v>0</v>
      </c>
      <c r="Y186" s="228">
        <f t="shared" si="103"/>
        <v>0</v>
      </c>
      <c r="Z186" s="228"/>
      <c r="AA186" s="228">
        <f t="shared" si="104"/>
        <v>0</v>
      </c>
      <c r="AB186" s="235">
        <v>0.04</v>
      </c>
      <c r="AC186" s="228">
        <f t="shared" si="138"/>
        <v>198.56</v>
      </c>
      <c r="AD186" s="228"/>
      <c r="AE186" s="228">
        <f t="shared" si="106"/>
        <v>198.56</v>
      </c>
      <c r="AF186" s="235">
        <v>0.03</v>
      </c>
      <c r="AG186" s="228">
        <f t="shared" si="137"/>
        <v>148.92</v>
      </c>
      <c r="AH186" s="228"/>
      <c r="AI186" s="228">
        <f t="shared" si="108"/>
        <v>148.92</v>
      </c>
      <c r="AJ186" s="235">
        <v>0.01</v>
      </c>
      <c r="AK186" s="228">
        <f t="shared" si="129"/>
        <v>49.64</v>
      </c>
      <c r="AL186" s="228"/>
      <c r="AM186" s="228">
        <f t="shared" si="110"/>
        <v>49.64</v>
      </c>
      <c r="AN186" s="235">
        <v>0.01</v>
      </c>
      <c r="AO186" s="228">
        <f t="shared" si="130"/>
        <v>49.64</v>
      </c>
      <c r="AP186" s="228"/>
      <c r="AQ186" s="228">
        <f t="shared" si="112"/>
        <v>49.64</v>
      </c>
      <c r="AR186" s="228" t="s">
        <v>1457</v>
      </c>
      <c r="AS186" s="228">
        <f t="shared" si="134"/>
        <v>0</v>
      </c>
      <c r="AT186" s="228"/>
      <c r="AU186" s="228">
        <f t="shared" si="113"/>
        <v>0</v>
      </c>
      <c r="AV186" s="228" t="s">
        <v>1457</v>
      </c>
      <c r="AW186" s="228">
        <f t="shared" si="135"/>
        <v>0</v>
      </c>
      <c r="AX186" s="228"/>
      <c r="AY186" s="228">
        <f t="shared" si="115"/>
        <v>0</v>
      </c>
      <c r="AZ186" s="228" t="s">
        <v>1457</v>
      </c>
      <c r="BA186" s="228">
        <f t="shared" si="123"/>
        <v>0</v>
      </c>
      <c r="BB186" s="228"/>
      <c r="BC186" s="228">
        <f t="shared" si="116"/>
        <v>0</v>
      </c>
      <c r="BD186" s="228">
        <v>0</v>
      </c>
      <c r="BE186" s="228">
        <f t="shared" si="131"/>
        <v>0</v>
      </c>
      <c r="BF186" s="228"/>
      <c r="BG186" s="228">
        <f t="shared" si="117"/>
        <v>0</v>
      </c>
      <c r="BH186" s="228">
        <v>0</v>
      </c>
      <c r="BI186" s="228">
        <f t="shared" si="132"/>
        <v>0</v>
      </c>
      <c r="BJ186" s="228"/>
      <c r="BK186" s="228">
        <f t="shared" si="118"/>
        <v>0</v>
      </c>
      <c r="BL186" s="228" t="s">
        <v>1457</v>
      </c>
      <c r="BM186" s="220">
        <f t="shared" si="139"/>
        <v>0</v>
      </c>
      <c r="BN186" s="220"/>
      <c r="BO186" s="220">
        <f t="shared" si="120"/>
        <v>0</v>
      </c>
      <c r="BP186" s="220">
        <f t="shared" si="124"/>
        <v>992.8</v>
      </c>
      <c r="BQ186" s="220">
        <f t="shared" si="125"/>
        <v>0</v>
      </c>
      <c r="BR186" s="220">
        <f t="shared" si="126"/>
        <v>992.8</v>
      </c>
      <c r="BS186" s="229" t="s">
        <v>39</v>
      </c>
      <c r="BT186" s="229" t="s">
        <v>39</v>
      </c>
      <c r="BU186" s="230" t="s">
        <v>643</v>
      </c>
      <c r="BV186" s="230" t="s">
        <v>644</v>
      </c>
      <c r="BW186" s="231"/>
    </row>
    <row r="187" s="209" customFormat="1" ht="24" customHeight="1" spans="1:75">
      <c r="A187" s="219">
        <v>219</v>
      </c>
      <c r="B187" s="220" t="s">
        <v>777</v>
      </c>
      <c r="C187" s="221" t="s">
        <v>443</v>
      </c>
      <c r="D187" s="221" t="s">
        <v>639</v>
      </c>
      <c r="E187" s="221" t="s">
        <v>640</v>
      </c>
      <c r="F187" s="219" t="s">
        <v>81</v>
      </c>
      <c r="G187" s="222" t="s">
        <v>1462</v>
      </c>
      <c r="H187" s="233" t="s">
        <v>39</v>
      </c>
      <c r="I187" s="237" t="s">
        <v>717</v>
      </c>
      <c r="J187" s="222" t="s">
        <v>718</v>
      </c>
      <c r="K187" s="223" cm="1">
        <f t="array" ref="K187">_xlfn.XLOOKUP(D187&amp;E187&amp;H187&amp;I187&amp;J187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6714</v>
      </c>
      <c r="L187" s="223"/>
      <c r="M187" s="224"/>
      <c r="N187" s="253"/>
      <c r="O187" s="226">
        <v>936000</v>
      </c>
      <c r="P187" s="251">
        <v>0.1</v>
      </c>
      <c r="Q187" s="228">
        <f t="shared" si="133"/>
        <v>671.4</v>
      </c>
      <c r="R187" s="228"/>
      <c r="S187" s="228">
        <f t="shared" si="121"/>
        <v>671.4</v>
      </c>
      <c r="T187" s="235">
        <v>0.01</v>
      </c>
      <c r="U187" s="228">
        <f t="shared" si="136"/>
        <v>67.14</v>
      </c>
      <c r="V187" s="228"/>
      <c r="W187" s="228">
        <f t="shared" si="102"/>
        <v>67.14</v>
      </c>
      <c r="X187" s="235">
        <v>0</v>
      </c>
      <c r="Y187" s="228">
        <f t="shared" si="103"/>
        <v>0</v>
      </c>
      <c r="Z187" s="228"/>
      <c r="AA187" s="228">
        <f t="shared" si="104"/>
        <v>0</v>
      </c>
      <c r="AB187" s="235">
        <v>0.04</v>
      </c>
      <c r="AC187" s="228">
        <f t="shared" si="138"/>
        <v>268.56</v>
      </c>
      <c r="AD187" s="228"/>
      <c r="AE187" s="228">
        <f t="shared" si="106"/>
        <v>268.56</v>
      </c>
      <c r="AF187" s="235">
        <v>0.03</v>
      </c>
      <c r="AG187" s="228">
        <f t="shared" si="137"/>
        <v>201.42</v>
      </c>
      <c r="AH187" s="228"/>
      <c r="AI187" s="228">
        <f t="shared" si="108"/>
        <v>201.42</v>
      </c>
      <c r="AJ187" s="235">
        <v>0.01</v>
      </c>
      <c r="AK187" s="228">
        <f t="shared" si="129"/>
        <v>67.14</v>
      </c>
      <c r="AL187" s="228"/>
      <c r="AM187" s="228">
        <f t="shared" si="110"/>
        <v>67.14</v>
      </c>
      <c r="AN187" s="235">
        <v>0.01</v>
      </c>
      <c r="AO187" s="228">
        <f t="shared" si="130"/>
        <v>67.14</v>
      </c>
      <c r="AP187" s="228"/>
      <c r="AQ187" s="228">
        <f t="shared" si="112"/>
        <v>67.14</v>
      </c>
      <c r="AR187" s="228" t="s">
        <v>1457</v>
      </c>
      <c r="AS187" s="228">
        <f t="shared" si="134"/>
        <v>0</v>
      </c>
      <c r="AT187" s="228"/>
      <c r="AU187" s="228">
        <f t="shared" si="113"/>
        <v>0</v>
      </c>
      <c r="AV187" s="228" t="s">
        <v>1457</v>
      </c>
      <c r="AW187" s="228">
        <f t="shared" si="135"/>
        <v>0</v>
      </c>
      <c r="AX187" s="228"/>
      <c r="AY187" s="228">
        <f t="shared" si="115"/>
        <v>0</v>
      </c>
      <c r="AZ187" s="228" t="s">
        <v>1457</v>
      </c>
      <c r="BA187" s="228">
        <f t="shared" si="123"/>
        <v>0</v>
      </c>
      <c r="BB187" s="228"/>
      <c r="BC187" s="228">
        <f t="shared" si="116"/>
        <v>0</v>
      </c>
      <c r="BD187" s="228">
        <v>0</v>
      </c>
      <c r="BE187" s="228">
        <f t="shared" si="131"/>
        <v>0</v>
      </c>
      <c r="BF187" s="228"/>
      <c r="BG187" s="228">
        <f t="shared" si="117"/>
        <v>0</v>
      </c>
      <c r="BH187" s="228">
        <v>0</v>
      </c>
      <c r="BI187" s="228">
        <f t="shared" si="132"/>
        <v>0</v>
      </c>
      <c r="BJ187" s="228"/>
      <c r="BK187" s="228">
        <f t="shared" si="118"/>
        <v>0</v>
      </c>
      <c r="BL187" s="228" t="s">
        <v>1457</v>
      </c>
      <c r="BM187" s="220">
        <f t="shared" si="139"/>
        <v>0</v>
      </c>
      <c r="BN187" s="220"/>
      <c r="BO187" s="220">
        <f t="shared" si="120"/>
        <v>0</v>
      </c>
      <c r="BP187" s="220">
        <f t="shared" si="124"/>
        <v>1342.8</v>
      </c>
      <c r="BQ187" s="220">
        <f t="shared" si="125"/>
        <v>0</v>
      </c>
      <c r="BR187" s="220">
        <f t="shared" si="126"/>
        <v>1342.8</v>
      </c>
      <c r="BS187" s="229" t="s">
        <v>39</v>
      </c>
      <c r="BT187" s="229" t="s">
        <v>39</v>
      </c>
      <c r="BU187" s="230" t="s">
        <v>643</v>
      </c>
      <c r="BV187" s="230" t="s">
        <v>644</v>
      </c>
      <c r="BW187" s="231"/>
    </row>
    <row r="188" s="209" customFormat="1" ht="24" customHeight="1" spans="1:75">
      <c r="A188" s="219">
        <v>220</v>
      </c>
      <c r="B188" s="220" t="s">
        <v>778</v>
      </c>
      <c r="C188" s="221" t="s">
        <v>443</v>
      </c>
      <c r="D188" s="221" t="s">
        <v>639</v>
      </c>
      <c r="E188" s="221" t="s">
        <v>640</v>
      </c>
      <c r="F188" s="219" t="s">
        <v>81</v>
      </c>
      <c r="G188" s="222" t="s">
        <v>1462</v>
      </c>
      <c r="H188" s="233" t="s">
        <v>39</v>
      </c>
      <c r="I188" s="237" t="s">
        <v>720</v>
      </c>
      <c r="J188" s="222" t="s">
        <v>721</v>
      </c>
      <c r="K188" s="223" cm="1">
        <f t="array" ref="K188">_xlfn.XLOOKUP(D188&amp;E188&amp;H188&amp;I188&amp;J188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3402.31</v>
      </c>
      <c r="L188" s="223"/>
      <c r="M188" s="224"/>
      <c r="N188" s="253"/>
      <c r="O188" s="226">
        <v>456000</v>
      </c>
      <c r="P188" s="251">
        <v>0.1</v>
      </c>
      <c r="Q188" s="228">
        <f t="shared" si="133"/>
        <v>340.231</v>
      </c>
      <c r="R188" s="228"/>
      <c r="S188" s="228">
        <f t="shared" si="121"/>
        <v>340.231</v>
      </c>
      <c r="T188" s="235">
        <v>0.01</v>
      </c>
      <c r="U188" s="228">
        <f t="shared" si="136"/>
        <v>34.0231</v>
      </c>
      <c r="V188" s="228"/>
      <c r="W188" s="228">
        <f t="shared" si="102"/>
        <v>34.0231</v>
      </c>
      <c r="X188" s="235">
        <v>0</v>
      </c>
      <c r="Y188" s="228">
        <f t="shared" si="103"/>
        <v>0</v>
      </c>
      <c r="Z188" s="228"/>
      <c r="AA188" s="228">
        <f t="shared" si="104"/>
        <v>0</v>
      </c>
      <c r="AB188" s="235">
        <v>0.04</v>
      </c>
      <c r="AC188" s="228">
        <f t="shared" si="138"/>
        <v>136.0924</v>
      </c>
      <c r="AD188" s="228"/>
      <c r="AE188" s="228">
        <f t="shared" si="106"/>
        <v>136.0924</v>
      </c>
      <c r="AF188" s="235">
        <v>0.03</v>
      </c>
      <c r="AG188" s="228">
        <f t="shared" si="137"/>
        <v>102.0693</v>
      </c>
      <c r="AH188" s="228"/>
      <c r="AI188" s="228">
        <f t="shared" si="108"/>
        <v>102.0693</v>
      </c>
      <c r="AJ188" s="235">
        <v>0.01</v>
      </c>
      <c r="AK188" s="228">
        <f t="shared" si="129"/>
        <v>34.0231</v>
      </c>
      <c r="AL188" s="228"/>
      <c r="AM188" s="228">
        <f t="shared" si="110"/>
        <v>34.0231</v>
      </c>
      <c r="AN188" s="235">
        <v>0.01</v>
      </c>
      <c r="AO188" s="228">
        <f t="shared" si="130"/>
        <v>34.0231</v>
      </c>
      <c r="AP188" s="228"/>
      <c r="AQ188" s="228">
        <f t="shared" si="112"/>
        <v>34.0231</v>
      </c>
      <c r="AR188" s="228" t="s">
        <v>1457</v>
      </c>
      <c r="AS188" s="228">
        <f t="shared" si="134"/>
        <v>0</v>
      </c>
      <c r="AT188" s="228"/>
      <c r="AU188" s="228">
        <f t="shared" si="113"/>
        <v>0</v>
      </c>
      <c r="AV188" s="228" t="s">
        <v>1457</v>
      </c>
      <c r="AW188" s="228">
        <f t="shared" si="135"/>
        <v>0</v>
      </c>
      <c r="AX188" s="228"/>
      <c r="AY188" s="228">
        <f t="shared" si="115"/>
        <v>0</v>
      </c>
      <c r="AZ188" s="228" t="s">
        <v>1457</v>
      </c>
      <c r="BA188" s="228">
        <f t="shared" si="123"/>
        <v>0</v>
      </c>
      <c r="BB188" s="228"/>
      <c r="BC188" s="228">
        <f t="shared" si="116"/>
        <v>0</v>
      </c>
      <c r="BD188" s="228">
        <v>0</v>
      </c>
      <c r="BE188" s="228">
        <f t="shared" si="131"/>
        <v>0</v>
      </c>
      <c r="BF188" s="228"/>
      <c r="BG188" s="228">
        <f t="shared" si="117"/>
        <v>0</v>
      </c>
      <c r="BH188" s="228">
        <v>0</v>
      </c>
      <c r="BI188" s="228">
        <f t="shared" si="132"/>
        <v>0</v>
      </c>
      <c r="BJ188" s="228"/>
      <c r="BK188" s="228">
        <f t="shared" si="118"/>
        <v>0</v>
      </c>
      <c r="BL188" s="228" t="s">
        <v>1457</v>
      </c>
      <c r="BM188" s="220">
        <f t="shared" si="139"/>
        <v>0</v>
      </c>
      <c r="BN188" s="220"/>
      <c r="BO188" s="220">
        <f t="shared" si="120"/>
        <v>0</v>
      </c>
      <c r="BP188" s="220">
        <f t="shared" si="124"/>
        <v>680.462</v>
      </c>
      <c r="BQ188" s="220">
        <f t="shared" si="125"/>
        <v>0</v>
      </c>
      <c r="BR188" s="220">
        <f t="shared" si="126"/>
        <v>680.462</v>
      </c>
      <c r="BS188" s="229" t="s">
        <v>39</v>
      </c>
      <c r="BT188" s="229" t="s">
        <v>39</v>
      </c>
      <c r="BU188" s="230" t="s">
        <v>643</v>
      </c>
      <c r="BV188" s="230" t="s">
        <v>644</v>
      </c>
      <c r="BW188" s="231"/>
    </row>
    <row r="189" s="209" customFormat="1" ht="24" customHeight="1" spans="1:75">
      <c r="A189" s="219">
        <v>221</v>
      </c>
      <c r="B189" s="220" t="s">
        <v>781</v>
      </c>
      <c r="C189" s="221" t="s">
        <v>443</v>
      </c>
      <c r="D189" s="221" t="s">
        <v>639</v>
      </c>
      <c r="E189" s="221" t="s">
        <v>640</v>
      </c>
      <c r="F189" s="219" t="s">
        <v>81</v>
      </c>
      <c r="G189" s="222" t="s">
        <v>1462</v>
      </c>
      <c r="H189" s="233" t="s">
        <v>39</v>
      </c>
      <c r="I189" s="237" t="s">
        <v>723</v>
      </c>
      <c r="J189" s="222" t="s">
        <v>724</v>
      </c>
      <c r="K189" s="223" cm="1">
        <f t="array" ref="K189">_xlfn.XLOOKUP(D189&amp;E189&amp;H189&amp;I189&amp;J189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2697.2</v>
      </c>
      <c r="L189" s="223"/>
      <c r="M189" s="224"/>
      <c r="N189" s="253"/>
      <c r="O189" s="226">
        <v>676800</v>
      </c>
      <c r="P189" s="251">
        <v>0.1</v>
      </c>
      <c r="Q189" s="228">
        <f t="shared" si="133"/>
        <v>269.72</v>
      </c>
      <c r="R189" s="228"/>
      <c r="S189" s="228">
        <f t="shared" si="121"/>
        <v>269.72</v>
      </c>
      <c r="T189" s="235">
        <v>0.01</v>
      </c>
      <c r="U189" s="228">
        <f t="shared" si="136"/>
        <v>26.972</v>
      </c>
      <c r="V189" s="228"/>
      <c r="W189" s="228">
        <f t="shared" si="102"/>
        <v>26.972</v>
      </c>
      <c r="X189" s="235">
        <v>0</v>
      </c>
      <c r="Y189" s="228">
        <f t="shared" si="103"/>
        <v>0</v>
      </c>
      <c r="Z189" s="228"/>
      <c r="AA189" s="228">
        <f t="shared" si="104"/>
        <v>0</v>
      </c>
      <c r="AB189" s="235">
        <v>0.04</v>
      </c>
      <c r="AC189" s="228">
        <f t="shared" si="138"/>
        <v>107.888</v>
      </c>
      <c r="AD189" s="228"/>
      <c r="AE189" s="228">
        <f t="shared" si="106"/>
        <v>107.888</v>
      </c>
      <c r="AF189" s="235">
        <v>0.03</v>
      </c>
      <c r="AG189" s="228">
        <f t="shared" si="137"/>
        <v>80.916</v>
      </c>
      <c r="AH189" s="228"/>
      <c r="AI189" s="228">
        <f t="shared" si="108"/>
        <v>80.916</v>
      </c>
      <c r="AJ189" s="235">
        <v>0.01</v>
      </c>
      <c r="AK189" s="228">
        <f t="shared" si="129"/>
        <v>26.972</v>
      </c>
      <c r="AL189" s="228"/>
      <c r="AM189" s="228">
        <f t="shared" si="110"/>
        <v>26.972</v>
      </c>
      <c r="AN189" s="235">
        <v>0.01</v>
      </c>
      <c r="AO189" s="228">
        <f t="shared" si="130"/>
        <v>26.972</v>
      </c>
      <c r="AP189" s="228"/>
      <c r="AQ189" s="228">
        <f t="shared" si="112"/>
        <v>26.972</v>
      </c>
      <c r="AR189" s="228" t="s">
        <v>1457</v>
      </c>
      <c r="AS189" s="228">
        <f t="shared" si="134"/>
        <v>0</v>
      </c>
      <c r="AT189" s="228"/>
      <c r="AU189" s="228">
        <f t="shared" si="113"/>
        <v>0</v>
      </c>
      <c r="AV189" s="228" t="s">
        <v>1457</v>
      </c>
      <c r="AW189" s="228">
        <f t="shared" si="135"/>
        <v>0</v>
      </c>
      <c r="AX189" s="228"/>
      <c r="AY189" s="228">
        <f t="shared" si="115"/>
        <v>0</v>
      </c>
      <c r="AZ189" s="228" t="s">
        <v>1457</v>
      </c>
      <c r="BA189" s="228">
        <f t="shared" si="123"/>
        <v>0</v>
      </c>
      <c r="BB189" s="228"/>
      <c r="BC189" s="228">
        <f t="shared" si="116"/>
        <v>0</v>
      </c>
      <c r="BD189" s="228">
        <v>0</v>
      </c>
      <c r="BE189" s="228">
        <f t="shared" si="131"/>
        <v>0</v>
      </c>
      <c r="BF189" s="228"/>
      <c r="BG189" s="228">
        <f t="shared" si="117"/>
        <v>0</v>
      </c>
      <c r="BH189" s="228">
        <v>0</v>
      </c>
      <c r="BI189" s="228">
        <f t="shared" si="132"/>
        <v>0</v>
      </c>
      <c r="BJ189" s="228"/>
      <c r="BK189" s="228">
        <f t="shared" si="118"/>
        <v>0</v>
      </c>
      <c r="BL189" s="228" t="s">
        <v>1457</v>
      </c>
      <c r="BM189" s="220">
        <f t="shared" si="139"/>
        <v>0</v>
      </c>
      <c r="BN189" s="220"/>
      <c r="BO189" s="220">
        <f t="shared" si="120"/>
        <v>0</v>
      </c>
      <c r="BP189" s="220">
        <f t="shared" si="124"/>
        <v>539.44</v>
      </c>
      <c r="BQ189" s="220">
        <f t="shared" si="125"/>
        <v>0</v>
      </c>
      <c r="BR189" s="220">
        <f t="shared" si="126"/>
        <v>539.44</v>
      </c>
      <c r="BS189" s="229" t="s">
        <v>39</v>
      </c>
      <c r="BT189" s="229" t="s">
        <v>39</v>
      </c>
      <c r="BU189" s="230" t="s">
        <v>643</v>
      </c>
      <c r="BV189" s="230" t="s">
        <v>644</v>
      </c>
      <c r="BW189" s="231"/>
    </row>
    <row r="190" s="209" customFormat="1" ht="24" customHeight="1" spans="1:75">
      <c r="A190" s="219">
        <v>222</v>
      </c>
      <c r="B190" s="220" t="s">
        <v>784</v>
      </c>
      <c r="C190" s="221" t="s">
        <v>443</v>
      </c>
      <c r="D190" s="221" t="s">
        <v>639</v>
      </c>
      <c r="E190" s="221" t="s">
        <v>640</v>
      </c>
      <c r="F190" s="219" t="s">
        <v>81</v>
      </c>
      <c r="G190" s="222" t="s">
        <v>1462</v>
      </c>
      <c r="H190" s="233" t="s">
        <v>39</v>
      </c>
      <c r="I190" s="237" t="s">
        <v>726</v>
      </c>
      <c r="J190" s="222" t="s">
        <v>727</v>
      </c>
      <c r="K190" s="223" cm="1">
        <f t="array" ref="K190">_xlfn.XLOOKUP(D190&amp;E190&amp;H190&amp;I190&amp;J190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1772</v>
      </c>
      <c r="L190" s="223"/>
      <c r="M190" s="224"/>
      <c r="N190" s="253"/>
      <c r="O190" s="226">
        <v>468000</v>
      </c>
      <c r="P190" s="247">
        <v>0.1</v>
      </c>
      <c r="Q190" s="228">
        <f t="shared" si="133"/>
        <v>177.2</v>
      </c>
      <c r="R190" s="228"/>
      <c r="S190" s="228">
        <f t="shared" si="121"/>
        <v>177.2</v>
      </c>
      <c r="T190" s="235">
        <v>0.01</v>
      </c>
      <c r="U190" s="228">
        <f t="shared" si="136"/>
        <v>17.72</v>
      </c>
      <c r="V190" s="228"/>
      <c r="W190" s="228">
        <f t="shared" si="102"/>
        <v>17.72</v>
      </c>
      <c r="X190" s="228">
        <v>0</v>
      </c>
      <c r="Y190" s="228">
        <f t="shared" si="103"/>
        <v>0</v>
      </c>
      <c r="Z190" s="228"/>
      <c r="AA190" s="228">
        <f t="shared" si="104"/>
        <v>0</v>
      </c>
      <c r="AB190" s="235">
        <v>0.04</v>
      </c>
      <c r="AC190" s="228">
        <f t="shared" si="138"/>
        <v>70.88</v>
      </c>
      <c r="AD190" s="228"/>
      <c r="AE190" s="228">
        <f t="shared" si="106"/>
        <v>70.88</v>
      </c>
      <c r="AF190" s="235">
        <v>0.03</v>
      </c>
      <c r="AG190" s="228">
        <f t="shared" si="137"/>
        <v>53.16</v>
      </c>
      <c r="AH190" s="228"/>
      <c r="AI190" s="228">
        <f t="shared" si="108"/>
        <v>53.16</v>
      </c>
      <c r="AJ190" s="235">
        <v>0.01</v>
      </c>
      <c r="AK190" s="228">
        <f t="shared" si="129"/>
        <v>17.72</v>
      </c>
      <c r="AL190" s="228"/>
      <c r="AM190" s="228">
        <f t="shared" si="110"/>
        <v>17.72</v>
      </c>
      <c r="AN190" s="235">
        <v>0.01</v>
      </c>
      <c r="AO190" s="228">
        <f t="shared" si="130"/>
        <v>17.72</v>
      </c>
      <c r="AP190" s="228"/>
      <c r="AQ190" s="228">
        <f t="shared" si="112"/>
        <v>17.72</v>
      </c>
      <c r="AR190" s="228" t="s">
        <v>1457</v>
      </c>
      <c r="AS190" s="228">
        <f t="shared" si="134"/>
        <v>0</v>
      </c>
      <c r="AT190" s="228"/>
      <c r="AU190" s="228">
        <f t="shared" si="113"/>
        <v>0</v>
      </c>
      <c r="AV190" s="228" t="s">
        <v>1457</v>
      </c>
      <c r="AW190" s="228">
        <f t="shared" si="135"/>
        <v>0</v>
      </c>
      <c r="AX190" s="228"/>
      <c r="AY190" s="228">
        <f t="shared" si="115"/>
        <v>0</v>
      </c>
      <c r="AZ190" s="228" t="s">
        <v>1457</v>
      </c>
      <c r="BA190" s="228">
        <f t="shared" si="123"/>
        <v>0</v>
      </c>
      <c r="BB190" s="228"/>
      <c r="BC190" s="228">
        <f t="shared" si="116"/>
        <v>0</v>
      </c>
      <c r="BD190" s="228">
        <v>0</v>
      </c>
      <c r="BE190" s="228">
        <f t="shared" si="131"/>
        <v>0</v>
      </c>
      <c r="BF190" s="228"/>
      <c r="BG190" s="228">
        <f t="shared" si="117"/>
        <v>0</v>
      </c>
      <c r="BH190" s="228">
        <v>0</v>
      </c>
      <c r="BI190" s="228">
        <f t="shared" si="132"/>
        <v>0</v>
      </c>
      <c r="BJ190" s="228"/>
      <c r="BK190" s="228">
        <f t="shared" si="118"/>
        <v>0</v>
      </c>
      <c r="BL190" s="228" t="s">
        <v>1457</v>
      </c>
      <c r="BM190" s="220">
        <f t="shared" si="139"/>
        <v>0</v>
      </c>
      <c r="BN190" s="220"/>
      <c r="BO190" s="220">
        <f t="shared" si="120"/>
        <v>0</v>
      </c>
      <c r="BP190" s="220">
        <f t="shared" si="124"/>
        <v>354.4</v>
      </c>
      <c r="BQ190" s="220">
        <f t="shared" si="125"/>
        <v>0</v>
      </c>
      <c r="BR190" s="220">
        <f t="shared" si="126"/>
        <v>354.4</v>
      </c>
      <c r="BS190" s="229" t="s">
        <v>39</v>
      </c>
      <c r="BT190" s="229" t="s">
        <v>39</v>
      </c>
      <c r="BU190" s="230" t="s">
        <v>643</v>
      </c>
      <c r="BV190" s="230" t="s">
        <v>644</v>
      </c>
      <c r="BW190" s="231"/>
    </row>
    <row r="191" s="209" customFormat="1" ht="24" customHeight="1" spans="1:75">
      <c r="A191" s="219">
        <v>223</v>
      </c>
      <c r="B191" s="220" t="s">
        <v>787</v>
      </c>
      <c r="C191" s="221" t="s">
        <v>443</v>
      </c>
      <c r="D191" s="221" t="s">
        <v>639</v>
      </c>
      <c r="E191" s="221" t="s">
        <v>640</v>
      </c>
      <c r="F191" s="219" t="s">
        <v>81</v>
      </c>
      <c r="G191" s="222" t="s">
        <v>1462</v>
      </c>
      <c r="H191" s="233" t="s">
        <v>39</v>
      </c>
      <c r="I191" s="237" t="s">
        <v>459</v>
      </c>
      <c r="J191" s="222" t="s">
        <v>729</v>
      </c>
      <c r="K191" s="223" cm="1">
        <f t="array" ref="K191">_xlfn.XLOOKUP(D191&amp;E191&amp;H191&amp;I191&amp;J191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1353</v>
      </c>
      <c r="L191" s="223"/>
      <c r="M191" s="224"/>
      <c r="N191" s="253"/>
      <c r="O191" s="226">
        <v>460800</v>
      </c>
      <c r="P191" s="247">
        <v>0.1</v>
      </c>
      <c r="Q191" s="228">
        <f t="shared" si="133"/>
        <v>135.3</v>
      </c>
      <c r="R191" s="228"/>
      <c r="S191" s="228">
        <f t="shared" si="121"/>
        <v>135.3</v>
      </c>
      <c r="T191" s="235">
        <v>0.01</v>
      </c>
      <c r="U191" s="228">
        <f t="shared" si="136"/>
        <v>13.53</v>
      </c>
      <c r="V191" s="228"/>
      <c r="W191" s="228">
        <f t="shared" si="102"/>
        <v>13.53</v>
      </c>
      <c r="X191" s="228">
        <v>0</v>
      </c>
      <c r="Y191" s="228">
        <f t="shared" si="103"/>
        <v>0</v>
      </c>
      <c r="Z191" s="228"/>
      <c r="AA191" s="228">
        <f t="shared" si="104"/>
        <v>0</v>
      </c>
      <c r="AB191" s="235">
        <v>0.04</v>
      </c>
      <c r="AC191" s="228">
        <f t="shared" si="138"/>
        <v>54.12</v>
      </c>
      <c r="AD191" s="228"/>
      <c r="AE191" s="228">
        <f t="shared" si="106"/>
        <v>54.12</v>
      </c>
      <c r="AF191" s="235">
        <v>0.03</v>
      </c>
      <c r="AG191" s="228">
        <f t="shared" si="137"/>
        <v>40.59</v>
      </c>
      <c r="AH191" s="228"/>
      <c r="AI191" s="228">
        <f t="shared" si="108"/>
        <v>40.59</v>
      </c>
      <c r="AJ191" s="235">
        <v>0.01</v>
      </c>
      <c r="AK191" s="228">
        <f t="shared" si="129"/>
        <v>13.53</v>
      </c>
      <c r="AL191" s="228"/>
      <c r="AM191" s="228">
        <f t="shared" si="110"/>
        <v>13.53</v>
      </c>
      <c r="AN191" s="235">
        <v>0.01</v>
      </c>
      <c r="AO191" s="228">
        <f t="shared" si="130"/>
        <v>13.53</v>
      </c>
      <c r="AP191" s="228"/>
      <c r="AQ191" s="228">
        <f t="shared" si="112"/>
        <v>13.53</v>
      </c>
      <c r="AR191" s="228" t="s">
        <v>1457</v>
      </c>
      <c r="AS191" s="228">
        <f t="shared" si="134"/>
        <v>0</v>
      </c>
      <c r="AT191" s="228"/>
      <c r="AU191" s="228">
        <f t="shared" si="113"/>
        <v>0</v>
      </c>
      <c r="AV191" s="228" t="s">
        <v>1457</v>
      </c>
      <c r="AW191" s="228">
        <f t="shared" si="135"/>
        <v>0</v>
      </c>
      <c r="AX191" s="228"/>
      <c r="AY191" s="228">
        <f t="shared" si="115"/>
        <v>0</v>
      </c>
      <c r="AZ191" s="228" t="s">
        <v>1457</v>
      </c>
      <c r="BA191" s="228">
        <f t="shared" si="123"/>
        <v>0</v>
      </c>
      <c r="BB191" s="228"/>
      <c r="BC191" s="228">
        <f t="shared" si="116"/>
        <v>0</v>
      </c>
      <c r="BD191" s="228">
        <v>0</v>
      </c>
      <c r="BE191" s="228">
        <f t="shared" si="131"/>
        <v>0</v>
      </c>
      <c r="BF191" s="228"/>
      <c r="BG191" s="228">
        <f t="shared" si="117"/>
        <v>0</v>
      </c>
      <c r="BH191" s="228">
        <v>0</v>
      </c>
      <c r="BI191" s="228">
        <f t="shared" si="132"/>
        <v>0</v>
      </c>
      <c r="BJ191" s="228"/>
      <c r="BK191" s="228">
        <f t="shared" si="118"/>
        <v>0</v>
      </c>
      <c r="BL191" s="228" t="s">
        <v>1457</v>
      </c>
      <c r="BM191" s="220">
        <f t="shared" si="139"/>
        <v>0</v>
      </c>
      <c r="BN191" s="220"/>
      <c r="BO191" s="220">
        <f t="shared" si="120"/>
        <v>0</v>
      </c>
      <c r="BP191" s="220">
        <f t="shared" si="124"/>
        <v>270.6</v>
      </c>
      <c r="BQ191" s="220">
        <f t="shared" si="125"/>
        <v>0</v>
      </c>
      <c r="BR191" s="220">
        <f t="shared" si="126"/>
        <v>270.6</v>
      </c>
      <c r="BS191" s="229" t="s">
        <v>39</v>
      </c>
      <c r="BT191" s="229" t="s">
        <v>39</v>
      </c>
      <c r="BU191" s="230" t="s">
        <v>643</v>
      </c>
      <c r="BV191" s="230" t="s">
        <v>644</v>
      </c>
      <c r="BW191" s="231"/>
    </row>
    <row r="192" s="209" customFormat="1" ht="24" customHeight="1" spans="1:75">
      <c r="A192" s="219">
        <v>224</v>
      </c>
      <c r="B192" s="220" t="s">
        <v>790</v>
      </c>
      <c r="C192" s="221" t="s">
        <v>443</v>
      </c>
      <c r="D192" s="221" t="s">
        <v>639</v>
      </c>
      <c r="E192" s="221" t="s">
        <v>640</v>
      </c>
      <c r="F192" s="219" t="s">
        <v>81</v>
      </c>
      <c r="G192" s="222" t="s">
        <v>1462</v>
      </c>
      <c r="H192" s="233" t="s">
        <v>39</v>
      </c>
      <c r="I192" s="237" t="s">
        <v>731</v>
      </c>
      <c r="J192" s="222" t="s">
        <v>732</v>
      </c>
      <c r="K192" s="223" cm="1">
        <f t="array" ref="K192">_xlfn.XLOOKUP(D192&amp;E192&amp;H192&amp;I192&amp;J192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3517.2</v>
      </c>
      <c r="L192" s="223"/>
      <c r="M192" s="224"/>
      <c r="N192" s="253"/>
      <c r="O192" s="226">
        <v>1363200</v>
      </c>
      <c r="P192" s="247">
        <v>0.06</v>
      </c>
      <c r="Q192" s="228">
        <f t="shared" si="133"/>
        <v>211.032</v>
      </c>
      <c r="R192" s="228"/>
      <c r="S192" s="228">
        <f t="shared" si="121"/>
        <v>211.032</v>
      </c>
      <c r="T192" s="235">
        <v>0.01</v>
      </c>
      <c r="U192" s="228">
        <f t="shared" si="136"/>
        <v>35.172</v>
      </c>
      <c r="V192" s="228"/>
      <c r="W192" s="228">
        <f t="shared" si="102"/>
        <v>35.172</v>
      </c>
      <c r="X192" s="228">
        <v>0</v>
      </c>
      <c r="Y192" s="228">
        <f t="shared" si="103"/>
        <v>0</v>
      </c>
      <c r="Z192" s="228"/>
      <c r="AA192" s="228">
        <f t="shared" si="104"/>
        <v>0</v>
      </c>
      <c r="AB192" s="235">
        <v>0.04</v>
      </c>
      <c r="AC192" s="228">
        <f t="shared" si="138"/>
        <v>140.688</v>
      </c>
      <c r="AD192" s="228"/>
      <c r="AE192" s="228">
        <f t="shared" si="106"/>
        <v>140.688</v>
      </c>
      <c r="AF192" s="235">
        <v>0.03</v>
      </c>
      <c r="AG192" s="228">
        <f t="shared" si="137"/>
        <v>105.516</v>
      </c>
      <c r="AH192" s="228"/>
      <c r="AI192" s="228">
        <f t="shared" si="108"/>
        <v>105.516</v>
      </c>
      <c r="AJ192" s="235">
        <v>0.01</v>
      </c>
      <c r="AK192" s="228">
        <f t="shared" si="129"/>
        <v>35.172</v>
      </c>
      <c r="AL192" s="228"/>
      <c r="AM192" s="228">
        <f t="shared" si="110"/>
        <v>35.172</v>
      </c>
      <c r="AN192" s="235">
        <v>0.01</v>
      </c>
      <c r="AO192" s="228">
        <f t="shared" si="130"/>
        <v>35.172</v>
      </c>
      <c r="AP192" s="228"/>
      <c r="AQ192" s="228">
        <f t="shared" si="112"/>
        <v>35.172</v>
      </c>
      <c r="AR192" s="228" t="s">
        <v>1457</v>
      </c>
      <c r="AS192" s="228">
        <f t="shared" si="134"/>
        <v>0</v>
      </c>
      <c r="AT192" s="228"/>
      <c r="AU192" s="228">
        <f t="shared" si="113"/>
        <v>0</v>
      </c>
      <c r="AV192" s="228" t="s">
        <v>1457</v>
      </c>
      <c r="AW192" s="228">
        <f t="shared" si="135"/>
        <v>0</v>
      </c>
      <c r="AX192" s="228"/>
      <c r="AY192" s="228">
        <f t="shared" si="115"/>
        <v>0</v>
      </c>
      <c r="AZ192" s="228" t="s">
        <v>1457</v>
      </c>
      <c r="BA192" s="228">
        <f t="shared" si="123"/>
        <v>0</v>
      </c>
      <c r="BB192" s="228"/>
      <c r="BC192" s="228">
        <f t="shared" si="116"/>
        <v>0</v>
      </c>
      <c r="BD192" s="228">
        <v>0</v>
      </c>
      <c r="BE192" s="228">
        <f t="shared" si="131"/>
        <v>0</v>
      </c>
      <c r="BF192" s="228"/>
      <c r="BG192" s="228">
        <f t="shared" si="117"/>
        <v>0</v>
      </c>
      <c r="BH192" s="228">
        <v>0</v>
      </c>
      <c r="BI192" s="228">
        <f t="shared" si="132"/>
        <v>0</v>
      </c>
      <c r="BJ192" s="228"/>
      <c r="BK192" s="228">
        <f t="shared" si="118"/>
        <v>0</v>
      </c>
      <c r="BL192" s="228" t="s">
        <v>1457</v>
      </c>
      <c r="BM192" s="220">
        <f t="shared" si="139"/>
        <v>0</v>
      </c>
      <c r="BN192" s="220"/>
      <c r="BO192" s="220">
        <f t="shared" si="120"/>
        <v>0</v>
      </c>
      <c r="BP192" s="220">
        <f t="shared" si="124"/>
        <v>562.752</v>
      </c>
      <c r="BQ192" s="220">
        <f t="shared" si="125"/>
        <v>0</v>
      </c>
      <c r="BR192" s="220">
        <f t="shared" si="126"/>
        <v>562.752</v>
      </c>
      <c r="BS192" s="229" t="s">
        <v>39</v>
      </c>
      <c r="BT192" s="229" t="s">
        <v>39</v>
      </c>
      <c r="BU192" s="230" t="s">
        <v>643</v>
      </c>
      <c r="BV192" s="230" t="s">
        <v>644</v>
      </c>
      <c r="BW192" s="231"/>
    </row>
    <row r="193" s="209" customFormat="1" ht="24" customHeight="1" spans="1:75">
      <c r="A193" s="219">
        <v>226</v>
      </c>
      <c r="B193" s="220" t="s">
        <v>796</v>
      </c>
      <c r="C193" s="221" t="s">
        <v>443</v>
      </c>
      <c r="D193" s="221" t="s">
        <v>733</v>
      </c>
      <c r="E193" s="221" t="s">
        <v>734</v>
      </c>
      <c r="F193" s="219" t="s">
        <v>81</v>
      </c>
      <c r="G193" s="222" t="s">
        <v>1462</v>
      </c>
      <c r="H193" s="222" t="s">
        <v>60</v>
      </c>
      <c r="I193" s="232" t="s">
        <v>736</v>
      </c>
      <c r="J193" s="233" t="s">
        <v>737</v>
      </c>
      <c r="K193" s="223" cm="1">
        <f t="array" ref="K193">_xlfn.XLOOKUP(D193&amp;E193&amp;H193&amp;I193&amp;J193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3" s="223"/>
      <c r="M193" s="224"/>
      <c r="N193" s="253">
        <v>49559.22</v>
      </c>
      <c r="O193" s="226">
        <v>2400000</v>
      </c>
      <c r="P193" s="247">
        <v>0.03</v>
      </c>
      <c r="Q193" s="228">
        <f t="shared" si="133"/>
        <v>0</v>
      </c>
      <c r="R193" s="228">
        <v>5887.71</v>
      </c>
      <c r="S193" s="228">
        <f t="shared" si="121"/>
        <v>-5887.71</v>
      </c>
      <c r="T193" s="247">
        <v>0.01</v>
      </c>
      <c r="U193" s="228">
        <f t="shared" si="136"/>
        <v>0</v>
      </c>
      <c r="V193" s="228">
        <v>1962.57</v>
      </c>
      <c r="W193" s="228">
        <f t="shared" si="102"/>
        <v>-1962.57</v>
      </c>
      <c r="X193" s="247">
        <v>0.06</v>
      </c>
      <c r="Y193" s="228">
        <f t="shared" si="103"/>
        <v>0</v>
      </c>
      <c r="Z193" s="228">
        <v>11775.41</v>
      </c>
      <c r="AA193" s="228">
        <f t="shared" si="104"/>
        <v>-11775.41</v>
      </c>
      <c r="AB193" s="247">
        <v>0.02</v>
      </c>
      <c r="AC193" s="228">
        <f t="shared" si="138"/>
        <v>0</v>
      </c>
      <c r="AD193" s="228">
        <v>3925.14</v>
      </c>
      <c r="AE193" s="228">
        <f t="shared" si="106"/>
        <v>-3925.14</v>
      </c>
      <c r="AF193" s="247">
        <v>0.03</v>
      </c>
      <c r="AG193" s="228">
        <f t="shared" si="137"/>
        <v>0</v>
      </c>
      <c r="AH193" s="228">
        <v>5887.71</v>
      </c>
      <c r="AI193" s="228">
        <f t="shared" si="108"/>
        <v>-5887.71</v>
      </c>
      <c r="AJ193" s="247">
        <v>0.01</v>
      </c>
      <c r="AK193" s="228">
        <f t="shared" si="129"/>
        <v>0</v>
      </c>
      <c r="AL193" s="228">
        <v>1962.57</v>
      </c>
      <c r="AM193" s="228">
        <f t="shared" si="110"/>
        <v>-1962.57</v>
      </c>
      <c r="AN193" s="247">
        <v>0.01</v>
      </c>
      <c r="AO193" s="228">
        <f t="shared" si="130"/>
        <v>0</v>
      </c>
      <c r="AP193" s="228">
        <v>1962.57</v>
      </c>
      <c r="AQ193" s="228">
        <f t="shared" si="112"/>
        <v>-1962.57</v>
      </c>
      <c r="AR193" s="228" t="s">
        <v>1457</v>
      </c>
      <c r="AS193" s="228">
        <f t="shared" si="134"/>
        <v>567.15</v>
      </c>
      <c r="AT193" s="228">
        <v>567.15</v>
      </c>
      <c r="AU193" s="228">
        <f t="shared" si="113"/>
        <v>0</v>
      </c>
      <c r="AV193" s="228" t="s">
        <v>1457</v>
      </c>
      <c r="AW193" s="228">
        <f t="shared" si="135"/>
        <v>20895.36</v>
      </c>
      <c r="AX193" s="228">
        <v>20895.36</v>
      </c>
      <c r="AY193" s="228">
        <f t="shared" si="115"/>
        <v>0</v>
      </c>
      <c r="AZ193" s="228" t="s">
        <v>1457</v>
      </c>
      <c r="BA193" s="228">
        <f t="shared" si="123"/>
        <v>3901.75</v>
      </c>
      <c r="BB193" s="228">
        <v>3901.75</v>
      </c>
      <c r="BC193" s="228">
        <f t="shared" si="116"/>
        <v>0</v>
      </c>
      <c r="BD193" s="247">
        <v>0.002</v>
      </c>
      <c r="BE193" s="228">
        <f t="shared" si="131"/>
        <v>0</v>
      </c>
      <c r="BF193" s="228">
        <v>392.34</v>
      </c>
      <c r="BG193" s="228">
        <f t="shared" si="117"/>
        <v>-392.34</v>
      </c>
      <c r="BH193" s="228">
        <v>0</v>
      </c>
      <c r="BI193" s="228">
        <f t="shared" si="132"/>
        <v>0</v>
      </c>
      <c r="BJ193" s="228"/>
      <c r="BK193" s="228">
        <f t="shared" si="118"/>
        <v>0</v>
      </c>
      <c r="BL193" s="228" t="s">
        <v>1457</v>
      </c>
      <c r="BM193" s="220">
        <f t="shared" si="139"/>
        <v>54725.15</v>
      </c>
      <c r="BN193" s="220">
        <v>54725.15</v>
      </c>
      <c r="BO193" s="220">
        <f t="shared" si="120"/>
        <v>0</v>
      </c>
      <c r="BP193" s="220">
        <f t="shared" si="124"/>
        <v>129648.63</v>
      </c>
      <c r="BQ193" s="220">
        <f t="shared" si="125"/>
        <v>163404.65</v>
      </c>
      <c r="BR193" s="220">
        <f t="shared" si="126"/>
        <v>-33756.02</v>
      </c>
      <c r="BS193" s="229" t="s">
        <v>39</v>
      </c>
      <c r="BT193" s="229" t="s">
        <v>39</v>
      </c>
      <c r="BU193" s="230" t="s">
        <v>738</v>
      </c>
      <c r="BV193" s="230" t="s">
        <v>739</v>
      </c>
      <c r="BW193" s="231"/>
    </row>
    <row r="194" s="209" customFormat="1" ht="24" customHeight="1" spans="1:75">
      <c r="A194" s="219">
        <v>227</v>
      </c>
      <c r="B194" s="220" t="s">
        <v>799</v>
      </c>
      <c r="C194" s="221" t="s">
        <v>443</v>
      </c>
      <c r="D194" s="221" t="s">
        <v>733</v>
      </c>
      <c r="E194" s="221" t="s">
        <v>734</v>
      </c>
      <c r="F194" s="219" t="s">
        <v>81</v>
      </c>
      <c r="G194" s="222" t="s">
        <v>1462</v>
      </c>
      <c r="H194" s="222" t="s">
        <v>66</v>
      </c>
      <c r="I194" s="232" t="s">
        <v>742</v>
      </c>
      <c r="J194" s="233" t="s">
        <v>743</v>
      </c>
      <c r="K194" s="223" cm="1">
        <f t="array" ref="K194">_xlfn.XLOOKUP(D194&amp;E194&amp;H194&amp;I194&amp;J194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4" s="223"/>
      <c r="M194" s="224"/>
      <c r="N194" s="253"/>
      <c r="O194" s="226">
        <v>640000</v>
      </c>
      <c r="P194" s="247">
        <v>0.03</v>
      </c>
      <c r="Q194" s="228">
        <f t="shared" si="133"/>
        <v>0</v>
      </c>
      <c r="R194" s="228"/>
      <c r="S194" s="228">
        <f t="shared" si="121"/>
        <v>0</v>
      </c>
      <c r="T194" s="247">
        <v>0.01</v>
      </c>
      <c r="U194" s="228">
        <f t="shared" si="136"/>
        <v>0</v>
      </c>
      <c r="V194" s="228"/>
      <c r="W194" s="228">
        <f t="shared" si="102"/>
        <v>0</v>
      </c>
      <c r="X194" s="247">
        <v>0.06</v>
      </c>
      <c r="Y194" s="228">
        <f t="shared" si="103"/>
        <v>0</v>
      </c>
      <c r="Z194" s="228"/>
      <c r="AA194" s="228">
        <f t="shared" si="104"/>
        <v>0</v>
      </c>
      <c r="AB194" s="247">
        <v>0.02</v>
      </c>
      <c r="AC194" s="228">
        <f t="shared" si="138"/>
        <v>0</v>
      </c>
      <c r="AD194" s="228"/>
      <c r="AE194" s="228">
        <f t="shared" si="106"/>
        <v>0</v>
      </c>
      <c r="AF194" s="247">
        <v>0.03</v>
      </c>
      <c r="AG194" s="228">
        <f t="shared" si="137"/>
        <v>0</v>
      </c>
      <c r="AH194" s="228"/>
      <c r="AI194" s="228">
        <f t="shared" si="108"/>
        <v>0</v>
      </c>
      <c r="AJ194" s="247">
        <v>0.01</v>
      </c>
      <c r="AK194" s="228">
        <f t="shared" si="129"/>
        <v>0</v>
      </c>
      <c r="AL194" s="228"/>
      <c r="AM194" s="228">
        <f t="shared" si="110"/>
        <v>0</v>
      </c>
      <c r="AN194" s="247">
        <v>0.01</v>
      </c>
      <c r="AO194" s="228">
        <f t="shared" si="130"/>
        <v>0</v>
      </c>
      <c r="AP194" s="228"/>
      <c r="AQ194" s="228">
        <f t="shared" si="112"/>
        <v>0</v>
      </c>
      <c r="AR194" s="228" t="s">
        <v>1457</v>
      </c>
      <c r="AS194" s="228">
        <f t="shared" si="134"/>
        <v>0</v>
      </c>
      <c r="AT194" s="228"/>
      <c r="AU194" s="228">
        <f t="shared" si="113"/>
        <v>0</v>
      </c>
      <c r="AV194" s="228" t="s">
        <v>1457</v>
      </c>
      <c r="AW194" s="228">
        <f t="shared" si="135"/>
        <v>0</v>
      </c>
      <c r="AX194" s="228"/>
      <c r="AY194" s="228">
        <f t="shared" si="115"/>
        <v>0</v>
      </c>
      <c r="AZ194" s="228" t="s">
        <v>1457</v>
      </c>
      <c r="BA194" s="228">
        <f t="shared" si="123"/>
        <v>0</v>
      </c>
      <c r="BB194" s="228"/>
      <c r="BC194" s="228">
        <f t="shared" si="116"/>
        <v>0</v>
      </c>
      <c r="BD194" s="247">
        <v>0.002</v>
      </c>
      <c r="BE194" s="228">
        <f t="shared" si="131"/>
        <v>0</v>
      </c>
      <c r="BF194" s="228"/>
      <c r="BG194" s="228">
        <f t="shared" si="117"/>
        <v>0</v>
      </c>
      <c r="BH194" s="228">
        <v>0</v>
      </c>
      <c r="BI194" s="228">
        <f t="shared" si="132"/>
        <v>0</v>
      </c>
      <c r="BJ194" s="228"/>
      <c r="BK194" s="228">
        <f t="shared" si="118"/>
        <v>0</v>
      </c>
      <c r="BL194" s="228" t="s">
        <v>1457</v>
      </c>
      <c r="BM194" s="220">
        <f t="shared" si="139"/>
        <v>0</v>
      </c>
      <c r="BN194" s="220"/>
      <c r="BO194" s="220">
        <f t="shared" si="120"/>
        <v>0</v>
      </c>
      <c r="BP194" s="220">
        <f t="shared" si="124"/>
        <v>0</v>
      </c>
      <c r="BQ194" s="220">
        <f t="shared" si="125"/>
        <v>0</v>
      </c>
      <c r="BR194" s="220">
        <f t="shared" si="126"/>
        <v>0</v>
      </c>
      <c r="BS194" s="229" t="s">
        <v>39</v>
      </c>
      <c r="BT194" s="229" t="s">
        <v>39</v>
      </c>
      <c r="BU194" s="230" t="s">
        <v>738</v>
      </c>
      <c r="BV194" s="230" t="s">
        <v>739</v>
      </c>
      <c r="BW194" s="231"/>
    </row>
    <row r="195" s="209" customFormat="1" ht="24" customHeight="1" spans="1:75">
      <c r="A195" s="219">
        <v>228</v>
      </c>
      <c r="B195" s="220" t="s">
        <v>801</v>
      </c>
      <c r="C195" s="221" t="s">
        <v>443</v>
      </c>
      <c r="D195" s="221" t="s">
        <v>733</v>
      </c>
      <c r="E195" s="221" t="s">
        <v>734</v>
      </c>
      <c r="F195" s="219" t="s">
        <v>81</v>
      </c>
      <c r="G195" s="222" t="s">
        <v>1462</v>
      </c>
      <c r="H195" s="222" t="s">
        <v>70</v>
      </c>
      <c r="I195" s="232" t="s">
        <v>745</v>
      </c>
      <c r="J195" s="233" t="s">
        <v>746</v>
      </c>
      <c r="K195" s="223" cm="1">
        <f t="array" ref="K195">_xlfn.XLOOKUP(D195&amp;E195&amp;H195&amp;I195&amp;J195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5" s="223"/>
      <c r="M195" s="224"/>
      <c r="N195" s="253"/>
      <c r="O195" s="226">
        <v>640000</v>
      </c>
      <c r="P195" s="247">
        <v>0.03</v>
      </c>
      <c r="Q195" s="228">
        <f t="shared" si="133"/>
        <v>0</v>
      </c>
      <c r="R195" s="228"/>
      <c r="S195" s="228">
        <f t="shared" ref="S195:S258" si="140">Q195-R195</f>
        <v>0</v>
      </c>
      <c r="T195" s="247">
        <v>0.01</v>
      </c>
      <c r="U195" s="228">
        <f t="shared" si="136"/>
        <v>0</v>
      </c>
      <c r="V195" s="228"/>
      <c r="W195" s="228">
        <f t="shared" ref="W195:W253" si="141">U195-V195</f>
        <v>0</v>
      </c>
      <c r="X195" s="247">
        <v>0.06</v>
      </c>
      <c r="Y195" s="228">
        <f t="shared" si="103"/>
        <v>0</v>
      </c>
      <c r="Z195" s="228"/>
      <c r="AA195" s="228">
        <f t="shared" ref="AA195:AA258" si="142">Y195-Z195</f>
        <v>0</v>
      </c>
      <c r="AB195" s="247">
        <v>0.02</v>
      </c>
      <c r="AC195" s="228">
        <f t="shared" si="138"/>
        <v>0</v>
      </c>
      <c r="AD195" s="228"/>
      <c r="AE195" s="228">
        <f t="shared" ref="AE195:AE258" si="143">AC195-AD195</f>
        <v>0</v>
      </c>
      <c r="AF195" s="247">
        <v>0.03</v>
      </c>
      <c r="AG195" s="228">
        <f t="shared" si="137"/>
        <v>0</v>
      </c>
      <c r="AH195" s="228"/>
      <c r="AI195" s="228">
        <f t="shared" ref="AI195:AI258" si="144">AG195-AH195</f>
        <v>0</v>
      </c>
      <c r="AJ195" s="247">
        <v>0.01</v>
      </c>
      <c r="AK195" s="228">
        <f t="shared" si="129"/>
        <v>0</v>
      </c>
      <c r="AL195" s="228"/>
      <c r="AM195" s="228">
        <f t="shared" ref="AM195:AM258" si="145">AK195-AL195</f>
        <v>0</v>
      </c>
      <c r="AN195" s="247">
        <v>0.01</v>
      </c>
      <c r="AO195" s="228">
        <f t="shared" si="130"/>
        <v>0</v>
      </c>
      <c r="AP195" s="228"/>
      <c r="AQ195" s="228">
        <f t="shared" ref="AQ195:AQ258" si="146">AO195-AP195</f>
        <v>0</v>
      </c>
      <c r="AR195" s="228" t="s">
        <v>1457</v>
      </c>
      <c r="AS195" s="228">
        <f t="shared" si="134"/>
        <v>0</v>
      </c>
      <c r="AT195" s="228"/>
      <c r="AU195" s="228">
        <f t="shared" ref="AU195:AU258" si="147">AS195-AT195</f>
        <v>0</v>
      </c>
      <c r="AV195" s="228" t="s">
        <v>1457</v>
      </c>
      <c r="AW195" s="228">
        <f t="shared" si="135"/>
        <v>0</v>
      </c>
      <c r="AX195" s="228"/>
      <c r="AY195" s="228">
        <f t="shared" ref="AY195:AY258" si="148">AW195-AX195</f>
        <v>0</v>
      </c>
      <c r="AZ195" s="228" t="s">
        <v>1457</v>
      </c>
      <c r="BA195" s="228">
        <f t="shared" si="123"/>
        <v>0</v>
      </c>
      <c r="BB195" s="228"/>
      <c r="BC195" s="228">
        <f t="shared" ref="BC195:BC258" si="149">BA195-BB195</f>
        <v>0</v>
      </c>
      <c r="BD195" s="247">
        <v>0.002</v>
      </c>
      <c r="BE195" s="228">
        <f t="shared" si="131"/>
        <v>0</v>
      </c>
      <c r="BF195" s="228"/>
      <c r="BG195" s="228">
        <f t="shared" ref="BG195:BG258" si="150">BE195-BF195</f>
        <v>0</v>
      </c>
      <c r="BH195" s="228">
        <v>0</v>
      </c>
      <c r="BI195" s="228">
        <f t="shared" si="132"/>
        <v>0</v>
      </c>
      <c r="BJ195" s="228"/>
      <c r="BK195" s="228">
        <f t="shared" ref="BK195:BK258" si="151">BI195-BJ195</f>
        <v>0</v>
      </c>
      <c r="BL195" s="228" t="s">
        <v>1457</v>
      </c>
      <c r="BM195" s="220">
        <f t="shared" si="139"/>
        <v>0</v>
      </c>
      <c r="BN195" s="220"/>
      <c r="BO195" s="220">
        <f t="shared" ref="BO195:BO258" si="152">BM195-BN195</f>
        <v>0</v>
      </c>
      <c r="BP195" s="220">
        <f t="shared" ref="BP195:BP258" si="153">N195+Q195+U195+Y195+AC195+AG195+AK195+AO195+AS195+AW195+BA195+BE195+BI195+BM195</f>
        <v>0</v>
      </c>
      <c r="BQ195" s="220">
        <f t="shared" ref="BQ195:BQ258" si="154">N195+R195+V195+Z195+AD195+AH195+AL195+AP195+AT195+AX195+BB195+BF195+BJ195+BN195</f>
        <v>0</v>
      </c>
      <c r="BR195" s="220">
        <f t="shared" ref="BR195:BR258" si="155">BP195-BQ195</f>
        <v>0</v>
      </c>
      <c r="BS195" s="229" t="s">
        <v>39</v>
      </c>
      <c r="BT195" s="229" t="s">
        <v>39</v>
      </c>
      <c r="BU195" s="230" t="s">
        <v>738</v>
      </c>
      <c r="BV195" s="230" t="s">
        <v>739</v>
      </c>
      <c r="BW195" s="231"/>
    </row>
    <row r="196" s="209" customFormat="1" ht="24" customHeight="1" spans="1:75">
      <c r="A196" s="219">
        <v>229</v>
      </c>
      <c r="B196" s="220" t="s">
        <v>806</v>
      </c>
      <c r="C196" s="221" t="s">
        <v>443</v>
      </c>
      <c r="D196" s="221" t="s">
        <v>733</v>
      </c>
      <c r="E196" s="221" t="s">
        <v>734</v>
      </c>
      <c r="F196" s="219" t="s">
        <v>81</v>
      </c>
      <c r="G196" s="222" t="s">
        <v>1462</v>
      </c>
      <c r="H196" s="222" t="s">
        <v>74</v>
      </c>
      <c r="I196" s="232" t="s">
        <v>748</v>
      </c>
      <c r="J196" s="233" t="s">
        <v>749</v>
      </c>
      <c r="K196" s="223" cm="1">
        <f t="array" ref="K196">_xlfn.XLOOKUP(D196&amp;E196&amp;H196&amp;I196&amp;J196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6" s="223"/>
      <c r="M196" s="224"/>
      <c r="N196" s="253"/>
      <c r="O196" s="226">
        <v>640000</v>
      </c>
      <c r="P196" s="247">
        <v>0.03</v>
      </c>
      <c r="Q196" s="228">
        <f t="shared" si="133"/>
        <v>0</v>
      </c>
      <c r="R196" s="228"/>
      <c r="S196" s="228">
        <f t="shared" si="140"/>
        <v>0</v>
      </c>
      <c r="T196" s="247">
        <v>0.01</v>
      </c>
      <c r="U196" s="228">
        <f t="shared" si="136"/>
        <v>0</v>
      </c>
      <c r="V196" s="228"/>
      <c r="W196" s="228">
        <f t="shared" si="141"/>
        <v>0</v>
      </c>
      <c r="X196" s="247">
        <v>0.06</v>
      </c>
      <c r="Y196" s="228">
        <f t="shared" si="103"/>
        <v>0</v>
      </c>
      <c r="Z196" s="228"/>
      <c r="AA196" s="228">
        <f t="shared" si="142"/>
        <v>0</v>
      </c>
      <c r="AB196" s="247">
        <v>0.02</v>
      </c>
      <c r="AC196" s="228">
        <f t="shared" si="138"/>
        <v>0</v>
      </c>
      <c r="AD196" s="228"/>
      <c r="AE196" s="228">
        <f t="shared" si="143"/>
        <v>0</v>
      </c>
      <c r="AF196" s="247">
        <v>0.03</v>
      </c>
      <c r="AG196" s="228">
        <f t="shared" si="137"/>
        <v>0</v>
      </c>
      <c r="AH196" s="228"/>
      <c r="AI196" s="228">
        <f t="shared" si="144"/>
        <v>0</v>
      </c>
      <c r="AJ196" s="247">
        <v>0.01</v>
      </c>
      <c r="AK196" s="228">
        <f t="shared" si="129"/>
        <v>0</v>
      </c>
      <c r="AL196" s="228"/>
      <c r="AM196" s="228">
        <f t="shared" si="145"/>
        <v>0</v>
      </c>
      <c r="AN196" s="247">
        <v>0.01</v>
      </c>
      <c r="AO196" s="228">
        <f t="shared" si="130"/>
        <v>0</v>
      </c>
      <c r="AP196" s="228"/>
      <c r="AQ196" s="228">
        <f t="shared" si="146"/>
        <v>0</v>
      </c>
      <c r="AR196" s="228" t="s">
        <v>1457</v>
      </c>
      <c r="AS196" s="228">
        <f t="shared" si="134"/>
        <v>0</v>
      </c>
      <c r="AT196" s="228"/>
      <c r="AU196" s="228">
        <f t="shared" si="147"/>
        <v>0</v>
      </c>
      <c r="AV196" s="228" t="s">
        <v>1457</v>
      </c>
      <c r="AW196" s="228">
        <f t="shared" si="135"/>
        <v>0</v>
      </c>
      <c r="AX196" s="228"/>
      <c r="AY196" s="228">
        <f t="shared" si="148"/>
        <v>0</v>
      </c>
      <c r="AZ196" s="228" t="s">
        <v>1457</v>
      </c>
      <c r="BA196" s="228">
        <f t="shared" si="123"/>
        <v>0</v>
      </c>
      <c r="BB196" s="228"/>
      <c r="BC196" s="228">
        <f t="shared" si="149"/>
        <v>0</v>
      </c>
      <c r="BD196" s="247">
        <v>0.002</v>
      </c>
      <c r="BE196" s="228">
        <f t="shared" si="131"/>
        <v>0</v>
      </c>
      <c r="BF196" s="228"/>
      <c r="BG196" s="228">
        <f t="shared" si="150"/>
        <v>0</v>
      </c>
      <c r="BH196" s="228">
        <v>0</v>
      </c>
      <c r="BI196" s="228">
        <f t="shared" si="132"/>
        <v>0</v>
      </c>
      <c r="BJ196" s="228"/>
      <c r="BK196" s="228">
        <f t="shared" si="151"/>
        <v>0</v>
      </c>
      <c r="BL196" s="228" t="s">
        <v>1457</v>
      </c>
      <c r="BM196" s="220">
        <f t="shared" si="139"/>
        <v>0</v>
      </c>
      <c r="BN196" s="220"/>
      <c r="BO196" s="220">
        <f t="shared" si="152"/>
        <v>0</v>
      </c>
      <c r="BP196" s="220">
        <f t="shared" si="153"/>
        <v>0</v>
      </c>
      <c r="BQ196" s="220">
        <f t="shared" si="154"/>
        <v>0</v>
      </c>
      <c r="BR196" s="220">
        <f t="shared" si="155"/>
        <v>0</v>
      </c>
      <c r="BS196" s="229" t="s">
        <v>39</v>
      </c>
      <c r="BT196" s="229" t="s">
        <v>39</v>
      </c>
      <c r="BU196" s="230" t="s">
        <v>738</v>
      </c>
      <c r="BV196" s="230" t="s">
        <v>739</v>
      </c>
      <c r="BW196" s="231"/>
    </row>
    <row r="197" s="209" customFormat="1" ht="24" customHeight="1" spans="1:75">
      <c r="A197" s="219">
        <v>230</v>
      </c>
      <c r="B197" s="220" t="s">
        <v>812</v>
      </c>
      <c r="C197" s="221" t="s">
        <v>443</v>
      </c>
      <c r="D197" s="221" t="s">
        <v>733</v>
      </c>
      <c r="E197" s="221" t="s">
        <v>734</v>
      </c>
      <c r="F197" s="219" t="s">
        <v>81</v>
      </c>
      <c r="G197" s="222" t="s">
        <v>1462</v>
      </c>
      <c r="H197" s="222" t="s">
        <v>265</v>
      </c>
      <c r="I197" s="232" t="s">
        <v>751</v>
      </c>
      <c r="J197" s="233" t="s">
        <v>752</v>
      </c>
      <c r="K197" s="223" cm="1">
        <f t="array" ref="K197">_xlfn.XLOOKUP(D197&amp;E197&amp;H197&amp;I197&amp;J197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7" s="223"/>
      <c r="M197" s="224"/>
      <c r="N197" s="253"/>
      <c r="O197" s="226">
        <v>640000</v>
      </c>
      <c r="P197" s="247">
        <v>0.03</v>
      </c>
      <c r="Q197" s="228">
        <f t="shared" si="133"/>
        <v>0</v>
      </c>
      <c r="R197" s="228"/>
      <c r="S197" s="228">
        <f t="shared" si="140"/>
        <v>0</v>
      </c>
      <c r="T197" s="247">
        <v>0.01</v>
      </c>
      <c r="U197" s="228">
        <f t="shared" si="136"/>
        <v>0</v>
      </c>
      <c r="V197" s="228"/>
      <c r="W197" s="228">
        <f t="shared" si="141"/>
        <v>0</v>
      </c>
      <c r="X197" s="247">
        <v>0.06</v>
      </c>
      <c r="Y197" s="228">
        <f t="shared" si="103"/>
        <v>0</v>
      </c>
      <c r="Z197" s="228"/>
      <c r="AA197" s="228">
        <f t="shared" si="142"/>
        <v>0</v>
      </c>
      <c r="AB197" s="247">
        <v>0.02</v>
      </c>
      <c r="AC197" s="228">
        <f t="shared" si="138"/>
        <v>0</v>
      </c>
      <c r="AD197" s="228"/>
      <c r="AE197" s="228">
        <f t="shared" si="143"/>
        <v>0</v>
      </c>
      <c r="AF197" s="247">
        <v>0.03</v>
      </c>
      <c r="AG197" s="228">
        <f t="shared" si="137"/>
        <v>0</v>
      </c>
      <c r="AH197" s="228"/>
      <c r="AI197" s="228">
        <f t="shared" si="144"/>
        <v>0</v>
      </c>
      <c r="AJ197" s="247">
        <v>0.01</v>
      </c>
      <c r="AK197" s="228">
        <f t="shared" si="129"/>
        <v>0</v>
      </c>
      <c r="AL197" s="228"/>
      <c r="AM197" s="228">
        <f t="shared" si="145"/>
        <v>0</v>
      </c>
      <c r="AN197" s="247">
        <v>0.01</v>
      </c>
      <c r="AO197" s="228">
        <f t="shared" si="130"/>
        <v>0</v>
      </c>
      <c r="AP197" s="228"/>
      <c r="AQ197" s="228">
        <f t="shared" si="146"/>
        <v>0</v>
      </c>
      <c r="AR197" s="228" t="s">
        <v>1457</v>
      </c>
      <c r="AS197" s="228">
        <f t="shared" si="134"/>
        <v>0</v>
      </c>
      <c r="AT197" s="228"/>
      <c r="AU197" s="228">
        <f t="shared" si="147"/>
        <v>0</v>
      </c>
      <c r="AV197" s="228" t="s">
        <v>1457</v>
      </c>
      <c r="AW197" s="228">
        <f t="shared" si="135"/>
        <v>0</v>
      </c>
      <c r="AX197" s="228"/>
      <c r="AY197" s="228">
        <f t="shared" si="148"/>
        <v>0</v>
      </c>
      <c r="AZ197" s="228" t="s">
        <v>1457</v>
      </c>
      <c r="BA197" s="228">
        <f t="shared" si="123"/>
        <v>0</v>
      </c>
      <c r="BB197" s="228"/>
      <c r="BC197" s="228">
        <f t="shared" si="149"/>
        <v>0</v>
      </c>
      <c r="BD197" s="247">
        <v>0.002</v>
      </c>
      <c r="BE197" s="228">
        <f t="shared" si="131"/>
        <v>0</v>
      </c>
      <c r="BF197" s="228"/>
      <c r="BG197" s="228">
        <f t="shared" si="150"/>
        <v>0</v>
      </c>
      <c r="BH197" s="228">
        <v>0</v>
      </c>
      <c r="BI197" s="228">
        <f t="shared" si="132"/>
        <v>0</v>
      </c>
      <c r="BJ197" s="228"/>
      <c r="BK197" s="228">
        <f t="shared" si="151"/>
        <v>0</v>
      </c>
      <c r="BL197" s="228" t="s">
        <v>1457</v>
      </c>
      <c r="BM197" s="220">
        <f t="shared" si="139"/>
        <v>0</v>
      </c>
      <c r="BN197" s="220"/>
      <c r="BO197" s="220">
        <f t="shared" si="152"/>
        <v>0</v>
      </c>
      <c r="BP197" s="220">
        <f t="shared" si="153"/>
        <v>0</v>
      </c>
      <c r="BQ197" s="220">
        <f t="shared" si="154"/>
        <v>0</v>
      </c>
      <c r="BR197" s="220">
        <f t="shared" si="155"/>
        <v>0</v>
      </c>
      <c r="BS197" s="229" t="s">
        <v>39</v>
      </c>
      <c r="BT197" s="229" t="s">
        <v>39</v>
      </c>
      <c r="BU197" s="230" t="s">
        <v>738</v>
      </c>
      <c r="BV197" s="230" t="s">
        <v>753</v>
      </c>
      <c r="BW197" s="231"/>
    </row>
    <row r="198" s="209" customFormat="1" ht="60" customHeight="1" spans="1:75">
      <c r="A198" s="219">
        <v>232</v>
      </c>
      <c r="B198" s="220" t="s">
        <v>820</v>
      </c>
      <c r="C198" s="221" t="s">
        <v>443</v>
      </c>
      <c r="D198" s="221" t="s">
        <v>754</v>
      </c>
      <c r="E198" s="221" t="s">
        <v>755</v>
      </c>
      <c r="F198" s="219" t="s">
        <v>81</v>
      </c>
      <c r="G198" s="222" t="s">
        <v>1462</v>
      </c>
      <c r="H198" s="222" t="s">
        <v>60</v>
      </c>
      <c r="I198" s="232" t="s">
        <v>757</v>
      </c>
      <c r="J198" s="233" t="s">
        <v>758</v>
      </c>
      <c r="K198" s="223" cm="1">
        <f t="array" ref="K198">_xlfn.XLOOKUP(D198&amp;E198&amp;H198&amp;I198&amp;J198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8" s="223"/>
      <c r="M198" s="224"/>
      <c r="N198" s="253">
        <v>2007.86</v>
      </c>
      <c r="O198" s="226">
        <v>1200000</v>
      </c>
      <c r="P198" s="235">
        <v>0</v>
      </c>
      <c r="Q198" s="228">
        <f t="shared" si="133"/>
        <v>0</v>
      </c>
      <c r="R198" s="228"/>
      <c r="S198" s="228">
        <f t="shared" si="140"/>
        <v>0</v>
      </c>
      <c r="T198" s="235">
        <v>0</v>
      </c>
      <c r="U198" s="228">
        <f t="shared" si="136"/>
        <v>0</v>
      </c>
      <c r="V198" s="228"/>
      <c r="W198" s="228">
        <f t="shared" si="141"/>
        <v>0</v>
      </c>
      <c r="X198" s="235">
        <v>0</v>
      </c>
      <c r="Y198" s="228">
        <f t="shared" ref="Y198:Y261" si="156">K198*X198</f>
        <v>0</v>
      </c>
      <c r="Z198" s="228"/>
      <c r="AA198" s="228">
        <f t="shared" si="142"/>
        <v>0</v>
      </c>
      <c r="AB198" s="235">
        <v>0</v>
      </c>
      <c r="AC198" s="228">
        <f t="shared" si="138"/>
        <v>0</v>
      </c>
      <c r="AD198" s="228"/>
      <c r="AE198" s="228">
        <f t="shared" si="143"/>
        <v>0</v>
      </c>
      <c r="AF198" s="235">
        <v>0</v>
      </c>
      <c r="AG198" s="228">
        <f t="shared" si="137"/>
        <v>0</v>
      </c>
      <c r="AH198" s="228"/>
      <c r="AI198" s="228">
        <f t="shared" si="144"/>
        <v>0</v>
      </c>
      <c r="AJ198" s="235">
        <v>0</v>
      </c>
      <c r="AK198" s="228">
        <f t="shared" si="129"/>
        <v>0</v>
      </c>
      <c r="AL198" s="228"/>
      <c r="AM198" s="228">
        <f t="shared" si="145"/>
        <v>0</v>
      </c>
      <c r="AN198" s="235">
        <v>0</v>
      </c>
      <c r="AO198" s="228">
        <f t="shared" si="130"/>
        <v>0</v>
      </c>
      <c r="AP198" s="228"/>
      <c r="AQ198" s="228">
        <f t="shared" si="146"/>
        <v>0</v>
      </c>
      <c r="AR198" s="228" t="s">
        <v>1515</v>
      </c>
      <c r="AS198" s="228">
        <f t="shared" si="134"/>
        <v>0</v>
      </c>
      <c r="AT198" s="228"/>
      <c r="AU198" s="228">
        <f t="shared" si="147"/>
        <v>0</v>
      </c>
      <c r="AV198" s="228" t="s">
        <v>1515</v>
      </c>
      <c r="AW198" s="228">
        <f t="shared" si="135"/>
        <v>0</v>
      </c>
      <c r="AX198" s="228"/>
      <c r="AY198" s="228">
        <f t="shared" si="148"/>
        <v>0</v>
      </c>
      <c r="AZ198" s="228" t="s">
        <v>1457</v>
      </c>
      <c r="BA198" s="228">
        <f t="shared" si="123"/>
        <v>0</v>
      </c>
      <c r="BB198" s="228"/>
      <c r="BC198" s="228">
        <f t="shared" si="149"/>
        <v>0</v>
      </c>
      <c r="BD198" s="228" t="s">
        <v>1516</v>
      </c>
      <c r="BE198" s="228">
        <v>0</v>
      </c>
      <c r="BF198" s="228"/>
      <c r="BG198" s="228">
        <f t="shared" si="150"/>
        <v>0</v>
      </c>
      <c r="BH198" s="228">
        <v>0</v>
      </c>
      <c r="BI198" s="228">
        <f t="shared" si="132"/>
        <v>0</v>
      </c>
      <c r="BJ198" s="228"/>
      <c r="BK198" s="228">
        <f t="shared" si="151"/>
        <v>0</v>
      </c>
      <c r="BL198" s="228" t="s">
        <v>1457</v>
      </c>
      <c r="BM198" s="220">
        <f t="shared" si="139"/>
        <v>0</v>
      </c>
      <c r="BN198" s="220"/>
      <c r="BO198" s="220">
        <f t="shared" si="152"/>
        <v>0</v>
      </c>
      <c r="BP198" s="220">
        <f t="shared" si="153"/>
        <v>2007.86</v>
      </c>
      <c r="BQ198" s="220">
        <f t="shared" si="154"/>
        <v>2007.86</v>
      </c>
      <c r="BR198" s="220">
        <f t="shared" si="155"/>
        <v>0</v>
      </c>
      <c r="BS198" s="220" t="s">
        <v>39</v>
      </c>
      <c r="BT198" s="229" t="s">
        <v>39</v>
      </c>
      <c r="BU198" s="230" t="s">
        <v>759</v>
      </c>
      <c r="BV198" s="230" t="s">
        <v>760</v>
      </c>
      <c r="BW198" s="231"/>
    </row>
    <row r="199" s="209" customFormat="1" ht="84" customHeight="1" spans="1:75">
      <c r="A199" s="219">
        <v>234</v>
      </c>
      <c r="B199" s="220" t="s">
        <v>828</v>
      </c>
      <c r="C199" s="221" t="s">
        <v>443</v>
      </c>
      <c r="D199" s="221" t="s">
        <v>762</v>
      </c>
      <c r="E199" s="221" t="s">
        <v>763</v>
      </c>
      <c r="F199" s="219" t="s">
        <v>81</v>
      </c>
      <c r="G199" s="222" t="s">
        <v>1462</v>
      </c>
      <c r="H199" s="233" t="s">
        <v>39</v>
      </c>
      <c r="I199" s="232" t="s">
        <v>765</v>
      </c>
      <c r="J199" s="233" t="s">
        <v>766</v>
      </c>
      <c r="K199" s="223" cm="1">
        <f t="array" ref="K199">_xlfn.XLOOKUP(D199&amp;E199&amp;H199&amp;I199&amp;J199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9" s="223"/>
      <c r="M199" s="224"/>
      <c r="N199" s="253"/>
      <c r="O199" s="226">
        <v>0</v>
      </c>
      <c r="P199" s="251">
        <v>0.23</v>
      </c>
      <c r="Q199" s="228">
        <f t="shared" si="133"/>
        <v>0</v>
      </c>
      <c r="R199" s="282"/>
      <c r="S199" s="228">
        <f t="shared" si="140"/>
        <v>0</v>
      </c>
      <c r="T199" s="235">
        <v>0</v>
      </c>
      <c r="U199" s="228">
        <f t="shared" si="136"/>
        <v>0</v>
      </c>
      <c r="V199" s="228"/>
      <c r="W199" s="228">
        <f t="shared" si="141"/>
        <v>0</v>
      </c>
      <c r="X199" s="235">
        <v>0</v>
      </c>
      <c r="Y199" s="228">
        <f t="shared" si="156"/>
        <v>0</v>
      </c>
      <c r="Z199" s="228"/>
      <c r="AA199" s="228">
        <f t="shared" si="142"/>
        <v>0</v>
      </c>
      <c r="AB199" s="235">
        <v>0</v>
      </c>
      <c r="AC199" s="228">
        <f t="shared" si="138"/>
        <v>0</v>
      </c>
      <c r="AD199" s="228"/>
      <c r="AE199" s="228">
        <f t="shared" si="143"/>
        <v>0</v>
      </c>
      <c r="AF199" s="235">
        <v>0</v>
      </c>
      <c r="AG199" s="228">
        <f t="shared" si="137"/>
        <v>0</v>
      </c>
      <c r="AH199" s="228"/>
      <c r="AI199" s="228">
        <f t="shared" si="144"/>
        <v>0</v>
      </c>
      <c r="AJ199" s="235">
        <v>0</v>
      </c>
      <c r="AK199" s="228">
        <f t="shared" si="129"/>
        <v>0</v>
      </c>
      <c r="AL199" s="228"/>
      <c r="AM199" s="228">
        <f t="shared" si="145"/>
        <v>0</v>
      </c>
      <c r="AN199" s="235">
        <v>0</v>
      </c>
      <c r="AO199" s="228">
        <f t="shared" si="130"/>
        <v>0</v>
      </c>
      <c r="AP199" s="228"/>
      <c r="AQ199" s="228">
        <f t="shared" si="146"/>
        <v>0</v>
      </c>
      <c r="AR199" s="228">
        <v>0</v>
      </c>
      <c r="AS199" s="228">
        <f t="shared" ref="AS199:AS249" si="157">K199*AR199</f>
        <v>0</v>
      </c>
      <c r="AT199" s="228"/>
      <c r="AU199" s="228">
        <f t="shared" si="147"/>
        <v>0</v>
      </c>
      <c r="AV199" s="235">
        <v>0</v>
      </c>
      <c r="AW199" s="228">
        <f t="shared" ref="AW199:AW211" si="158">K199*AV199</f>
        <v>0</v>
      </c>
      <c r="AX199" s="228"/>
      <c r="AY199" s="228">
        <f t="shared" si="148"/>
        <v>0</v>
      </c>
      <c r="AZ199" s="228" t="s">
        <v>1457</v>
      </c>
      <c r="BA199" s="228">
        <f t="shared" si="123"/>
        <v>0</v>
      </c>
      <c r="BB199" s="228"/>
      <c r="BC199" s="228">
        <f t="shared" si="149"/>
        <v>0</v>
      </c>
      <c r="BD199" s="228">
        <v>0</v>
      </c>
      <c r="BE199" s="228">
        <f t="shared" ref="BE199:BE213" si="159">K199*BD199</f>
        <v>0</v>
      </c>
      <c r="BF199" s="228"/>
      <c r="BG199" s="228">
        <f t="shared" si="150"/>
        <v>0</v>
      </c>
      <c r="BH199" s="228">
        <v>0</v>
      </c>
      <c r="BI199" s="228">
        <f t="shared" si="132"/>
        <v>0</v>
      </c>
      <c r="BJ199" s="228"/>
      <c r="BK199" s="228">
        <f t="shared" si="151"/>
        <v>0</v>
      </c>
      <c r="BL199" s="228" t="s">
        <v>1457</v>
      </c>
      <c r="BM199" s="220">
        <f t="shared" si="139"/>
        <v>0</v>
      </c>
      <c r="BN199" s="283"/>
      <c r="BO199" s="220">
        <f t="shared" si="152"/>
        <v>0</v>
      </c>
      <c r="BP199" s="220">
        <f t="shared" si="153"/>
        <v>0</v>
      </c>
      <c r="BQ199" s="220">
        <f t="shared" si="154"/>
        <v>0</v>
      </c>
      <c r="BR199" s="220">
        <f t="shared" si="155"/>
        <v>0</v>
      </c>
      <c r="BS199" s="220" t="s">
        <v>39</v>
      </c>
      <c r="BT199" s="229" t="s">
        <v>39</v>
      </c>
      <c r="BU199" s="230" t="s">
        <v>767</v>
      </c>
      <c r="BV199" s="230" t="s">
        <v>768</v>
      </c>
      <c r="BW199" s="231"/>
    </row>
    <row r="200" s="209" customFormat="1" ht="24" customHeight="1" spans="1:75">
      <c r="A200" s="219">
        <v>235</v>
      </c>
      <c r="B200" s="220" t="s">
        <v>829</v>
      </c>
      <c r="C200" s="221" t="s">
        <v>443</v>
      </c>
      <c r="D200" s="221" t="s">
        <v>762</v>
      </c>
      <c r="E200" s="221" t="s">
        <v>763</v>
      </c>
      <c r="F200" s="219" t="s">
        <v>81</v>
      </c>
      <c r="G200" s="222" t="s">
        <v>1462</v>
      </c>
      <c r="H200" s="233" t="s">
        <v>39</v>
      </c>
      <c r="I200" s="237" t="s">
        <v>771</v>
      </c>
      <c r="J200" s="222" t="s">
        <v>772</v>
      </c>
      <c r="K200" s="223" cm="1">
        <f t="array" ref="K200">_xlfn.XLOOKUP(D200&amp;E200&amp;H200&amp;I200&amp;J200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00" s="223"/>
      <c r="M200" s="224"/>
      <c r="N200" s="253"/>
      <c r="O200" s="226">
        <v>250000</v>
      </c>
      <c r="P200" s="251">
        <v>0.28</v>
      </c>
      <c r="Q200" s="228">
        <f t="shared" si="133"/>
        <v>0</v>
      </c>
      <c r="R200" s="282"/>
      <c r="S200" s="228">
        <f t="shared" si="140"/>
        <v>0</v>
      </c>
      <c r="T200" s="235">
        <v>0</v>
      </c>
      <c r="U200" s="228">
        <f t="shared" si="136"/>
        <v>0</v>
      </c>
      <c r="V200" s="228"/>
      <c r="W200" s="228">
        <f t="shared" si="141"/>
        <v>0</v>
      </c>
      <c r="X200" s="235">
        <v>0</v>
      </c>
      <c r="Y200" s="228">
        <f t="shared" si="156"/>
        <v>0</v>
      </c>
      <c r="Z200" s="228"/>
      <c r="AA200" s="228">
        <f t="shared" si="142"/>
        <v>0</v>
      </c>
      <c r="AB200" s="235">
        <v>0</v>
      </c>
      <c r="AC200" s="228">
        <f t="shared" si="138"/>
        <v>0</v>
      </c>
      <c r="AD200" s="228"/>
      <c r="AE200" s="228">
        <f t="shared" si="143"/>
        <v>0</v>
      </c>
      <c r="AF200" s="235">
        <v>0</v>
      </c>
      <c r="AG200" s="228">
        <f t="shared" si="137"/>
        <v>0</v>
      </c>
      <c r="AH200" s="228"/>
      <c r="AI200" s="228">
        <f t="shared" si="144"/>
        <v>0</v>
      </c>
      <c r="AJ200" s="235">
        <v>0</v>
      </c>
      <c r="AK200" s="228">
        <f t="shared" si="129"/>
        <v>0</v>
      </c>
      <c r="AL200" s="228"/>
      <c r="AM200" s="228">
        <f t="shared" si="145"/>
        <v>0</v>
      </c>
      <c r="AN200" s="235">
        <v>0</v>
      </c>
      <c r="AO200" s="228">
        <f t="shared" si="130"/>
        <v>0</v>
      </c>
      <c r="AP200" s="228"/>
      <c r="AQ200" s="228">
        <f t="shared" si="146"/>
        <v>0</v>
      </c>
      <c r="AR200" s="228">
        <v>0</v>
      </c>
      <c r="AS200" s="228">
        <f t="shared" si="157"/>
        <v>0</v>
      </c>
      <c r="AT200" s="228"/>
      <c r="AU200" s="228">
        <f t="shared" si="147"/>
        <v>0</v>
      </c>
      <c r="AV200" s="235">
        <v>0</v>
      </c>
      <c r="AW200" s="228">
        <f t="shared" si="158"/>
        <v>0</v>
      </c>
      <c r="AX200" s="228"/>
      <c r="AY200" s="228">
        <f t="shared" si="148"/>
        <v>0</v>
      </c>
      <c r="AZ200" s="228" t="s">
        <v>1457</v>
      </c>
      <c r="BA200" s="228">
        <f t="shared" si="123"/>
        <v>0</v>
      </c>
      <c r="BB200" s="228"/>
      <c r="BC200" s="228">
        <f t="shared" si="149"/>
        <v>0</v>
      </c>
      <c r="BD200" s="228">
        <v>0</v>
      </c>
      <c r="BE200" s="228">
        <f t="shared" si="159"/>
        <v>0</v>
      </c>
      <c r="BF200" s="228"/>
      <c r="BG200" s="228">
        <f t="shared" si="150"/>
        <v>0</v>
      </c>
      <c r="BH200" s="228">
        <v>0</v>
      </c>
      <c r="BI200" s="228">
        <f t="shared" si="132"/>
        <v>0</v>
      </c>
      <c r="BJ200" s="228"/>
      <c r="BK200" s="228">
        <f t="shared" si="151"/>
        <v>0</v>
      </c>
      <c r="BL200" s="228" t="s">
        <v>1457</v>
      </c>
      <c r="BM200" s="220">
        <f t="shared" si="139"/>
        <v>27141.5</v>
      </c>
      <c r="BN200" s="283">
        <v>27141.5</v>
      </c>
      <c r="BO200" s="220">
        <f t="shared" si="152"/>
        <v>0</v>
      </c>
      <c r="BP200" s="220">
        <f t="shared" si="153"/>
        <v>27141.5</v>
      </c>
      <c r="BQ200" s="220">
        <f t="shared" si="154"/>
        <v>27141.5</v>
      </c>
      <c r="BR200" s="220">
        <f t="shared" si="155"/>
        <v>0</v>
      </c>
      <c r="BS200" s="220" t="s">
        <v>39</v>
      </c>
      <c r="BT200" s="229" t="s">
        <v>39</v>
      </c>
      <c r="BU200" s="322"/>
      <c r="BV200" s="230" t="s">
        <v>773</v>
      </c>
      <c r="BW200" s="231"/>
    </row>
    <row r="201" s="209" customFormat="1" ht="24" customHeight="1" spans="1:75">
      <c r="A201" s="219">
        <v>236</v>
      </c>
      <c r="B201" s="220" t="s">
        <v>832</v>
      </c>
      <c r="C201" s="221" t="s">
        <v>443</v>
      </c>
      <c r="D201" s="221" t="s">
        <v>762</v>
      </c>
      <c r="E201" s="221" t="s">
        <v>763</v>
      </c>
      <c r="F201" s="219" t="s">
        <v>81</v>
      </c>
      <c r="G201" s="222" t="s">
        <v>1462</v>
      </c>
      <c r="H201" s="233" t="s">
        <v>39</v>
      </c>
      <c r="I201" s="237" t="s">
        <v>589</v>
      </c>
      <c r="J201" s="222" t="s">
        <v>642</v>
      </c>
      <c r="K201" s="223" cm="1">
        <f t="array" ref="K201">_xlfn.XLOOKUP(D201&amp;E201&amp;H201&amp;I201&amp;J201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9520.71</v>
      </c>
      <c r="L201" s="223"/>
      <c r="M201" s="224"/>
      <c r="N201" s="253"/>
      <c r="O201" s="226">
        <v>530000</v>
      </c>
      <c r="P201" s="251">
        <v>0.27</v>
      </c>
      <c r="Q201" s="228">
        <f t="shared" si="133"/>
        <v>2570.5917</v>
      </c>
      <c r="R201" s="282"/>
      <c r="S201" s="228">
        <f t="shared" si="140"/>
        <v>2570.5917</v>
      </c>
      <c r="T201" s="235">
        <v>0</v>
      </c>
      <c r="U201" s="228">
        <f t="shared" si="136"/>
        <v>0</v>
      </c>
      <c r="V201" s="228"/>
      <c r="W201" s="228">
        <f t="shared" si="141"/>
        <v>0</v>
      </c>
      <c r="X201" s="235">
        <v>0</v>
      </c>
      <c r="Y201" s="228">
        <f t="shared" si="156"/>
        <v>0</v>
      </c>
      <c r="Z201" s="228"/>
      <c r="AA201" s="228">
        <f t="shared" si="142"/>
        <v>0</v>
      </c>
      <c r="AB201" s="235">
        <v>0</v>
      </c>
      <c r="AC201" s="228">
        <f t="shared" si="138"/>
        <v>0</v>
      </c>
      <c r="AD201" s="228"/>
      <c r="AE201" s="228">
        <f t="shared" si="143"/>
        <v>0</v>
      </c>
      <c r="AF201" s="235">
        <v>0</v>
      </c>
      <c r="AG201" s="228">
        <f t="shared" si="137"/>
        <v>0</v>
      </c>
      <c r="AH201" s="228"/>
      <c r="AI201" s="228">
        <f t="shared" si="144"/>
        <v>0</v>
      </c>
      <c r="AJ201" s="235">
        <v>0</v>
      </c>
      <c r="AK201" s="228">
        <f t="shared" si="129"/>
        <v>0</v>
      </c>
      <c r="AL201" s="228"/>
      <c r="AM201" s="228">
        <f t="shared" si="145"/>
        <v>0</v>
      </c>
      <c r="AN201" s="235">
        <v>0</v>
      </c>
      <c r="AO201" s="228">
        <f t="shared" si="130"/>
        <v>0</v>
      </c>
      <c r="AP201" s="228"/>
      <c r="AQ201" s="228">
        <f t="shared" si="146"/>
        <v>0</v>
      </c>
      <c r="AR201" s="228">
        <v>0</v>
      </c>
      <c r="AS201" s="228">
        <f t="shared" si="157"/>
        <v>0</v>
      </c>
      <c r="AT201" s="228"/>
      <c r="AU201" s="228">
        <f t="shared" si="147"/>
        <v>0</v>
      </c>
      <c r="AV201" s="235">
        <v>0</v>
      </c>
      <c r="AW201" s="228">
        <f t="shared" si="158"/>
        <v>0</v>
      </c>
      <c r="AX201" s="228"/>
      <c r="AY201" s="228">
        <f t="shared" si="148"/>
        <v>0</v>
      </c>
      <c r="AZ201" s="228" t="s">
        <v>1457</v>
      </c>
      <c r="BA201" s="228">
        <f t="shared" si="123"/>
        <v>0</v>
      </c>
      <c r="BB201" s="228"/>
      <c r="BC201" s="228">
        <f t="shared" si="149"/>
        <v>0</v>
      </c>
      <c r="BD201" s="228">
        <v>0</v>
      </c>
      <c r="BE201" s="228">
        <f t="shared" si="159"/>
        <v>0</v>
      </c>
      <c r="BF201" s="228"/>
      <c r="BG201" s="228">
        <f t="shared" si="150"/>
        <v>0</v>
      </c>
      <c r="BH201" s="228">
        <v>0</v>
      </c>
      <c r="BI201" s="228">
        <f t="shared" si="132"/>
        <v>0</v>
      </c>
      <c r="BJ201" s="228"/>
      <c r="BK201" s="228">
        <f t="shared" si="151"/>
        <v>0</v>
      </c>
      <c r="BL201" s="228" t="s">
        <v>1457</v>
      </c>
      <c r="BM201" s="220">
        <f t="shared" si="139"/>
        <v>0</v>
      </c>
      <c r="BN201" s="283"/>
      <c r="BO201" s="220">
        <f t="shared" si="152"/>
        <v>0</v>
      </c>
      <c r="BP201" s="220">
        <f t="shared" si="153"/>
        <v>2570.5917</v>
      </c>
      <c r="BQ201" s="220">
        <f t="shared" si="154"/>
        <v>0</v>
      </c>
      <c r="BR201" s="220">
        <f t="shared" si="155"/>
        <v>2570.5917</v>
      </c>
      <c r="BS201" s="220" t="s">
        <v>39</v>
      </c>
      <c r="BT201" s="229" t="s">
        <v>39</v>
      </c>
      <c r="BU201" s="322"/>
      <c r="BV201" s="230" t="s">
        <v>773</v>
      </c>
      <c r="BW201" s="231"/>
    </row>
    <row r="202" s="209" customFormat="1" ht="56.25" customHeight="1" spans="1:75">
      <c r="A202" s="219">
        <v>237</v>
      </c>
      <c r="B202" s="220" t="s">
        <v>834</v>
      </c>
      <c r="C202" s="221" t="s">
        <v>443</v>
      </c>
      <c r="D202" s="221" t="s">
        <v>762</v>
      </c>
      <c r="E202" s="221" t="s">
        <v>763</v>
      </c>
      <c r="F202" s="219" t="s">
        <v>81</v>
      </c>
      <c r="G202" s="222" t="s">
        <v>1462</v>
      </c>
      <c r="H202" s="233" t="s">
        <v>39</v>
      </c>
      <c r="I202" s="237" t="s">
        <v>240</v>
      </c>
      <c r="J202" s="222" t="s">
        <v>776</v>
      </c>
      <c r="K202" s="223" cm="1">
        <f t="array" ref="K202">_xlfn.XLOOKUP(D202&amp;E202&amp;H202&amp;I202&amp;J202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49898.76</v>
      </c>
      <c r="L202" s="223"/>
      <c r="M202" s="224"/>
      <c r="N202" s="253"/>
      <c r="O202" s="226">
        <v>1240000</v>
      </c>
      <c r="P202" s="251" t="s">
        <v>1517</v>
      </c>
      <c r="Q202" s="228">
        <f>K202*23%</f>
        <v>11476.7148</v>
      </c>
      <c r="R202" s="282"/>
      <c r="S202" s="228">
        <f t="shared" si="140"/>
        <v>11476.7148</v>
      </c>
      <c r="T202" s="235">
        <v>0</v>
      </c>
      <c r="U202" s="228">
        <f t="shared" si="136"/>
        <v>0</v>
      </c>
      <c r="V202" s="228"/>
      <c r="W202" s="228">
        <f t="shared" si="141"/>
        <v>0</v>
      </c>
      <c r="X202" s="235">
        <v>0</v>
      </c>
      <c r="Y202" s="228">
        <f t="shared" si="156"/>
        <v>0</v>
      </c>
      <c r="Z202" s="228"/>
      <c r="AA202" s="228">
        <f t="shared" si="142"/>
        <v>0</v>
      </c>
      <c r="AB202" s="235">
        <v>0</v>
      </c>
      <c r="AC202" s="228">
        <f t="shared" si="138"/>
        <v>0</v>
      </c>
      <c r="AD202" s="228"/>
      <c r="AE202" s="228">
        <f t="shared" si="143"/>
        <v>0</v>
      </c>
      <c r="AF202" s="235">
        <v>0</v>
      </c>
      <c r="AG202" s="228">
        <f t="shared" si="137"/>
        <v>0</v>
      </c>
      <c r="AH202" s="228"/>
      <c r="AI202" s="228">
        <f t="shared" si="144"/>
        <v>0</v>
      </c>
      <c r="AJ202" s="235">
        <v>0</v>
      </c>
      <c r="AK202" s="228">
        <f t="shared" si="129"/>
        <v>0</v>
      </c>
      <c r="AL202" s="228"/>
      <c r="AM202" s="228">
        <f t="shared" si="145"/>
        <v>0</v>
      </c>
      <c r="AN202" s="235">
        <v>0</v>
      </c>
      <c r="AO202" s="228">
        <f t="shared" si="130"/>
        <v>0</v>
      </c>
      <c r="AP202" s="228"/>
      <c r="AQ202" s="228">
        <f t="shared" si="146"/>
        <v>0</v>
      </c>
      <c r="AR202" s="228">
        <v>0</v>
      </c>
      <c r="AS202" s="228">
        <f t="shared" si="157"/>
        <v>0</v>
      </c>
      <c r="AT202" s="228"/>
      <c r="AU202" s="228">
        <f t="shared" si="147"/>
        <v>0</v>
      </c>
      <c r="AV202" s="235">
        <v>0</v>
      </c>
      <c r="AW202" s="228">
        <f t="shared" si="158"/>
        <v>0</v>
      </c>
      <c r="AX202" s="228"/>
      <c r="AY202" s="228">
        <f t="shared" si="148"/>
        <v>0</v>
      </c>
      <c r="AZ202" s="228" t="s">
        <v>1457</v>
      </c>
      <c r="BA202" s="228">
        <f t="shared" si="123"/>
        <v>0</v>
      </c>
      <c r="BB202" s="228"/>
      <c r="BC202" s="228">
        <f t="shared" si="149"/>
        <v>0</v>
      </c>
      <c r="BD202" s="228">
        <v>0</v>
      </c>
      <c r="BE202" s="228">
        <f t="shared" si="159"/>
        <v>0</v>
      </c>
      <c r="BF202" s="228"/>
      <c r="BG202" s="228">
        <f t="shared" si="150"/>
        <v>0</v>
      </c>
      <c r="BH202" s="228">
        <v>0</v>
      </c>
      <c r="BI202" s="228">
        <f t="shared" si="132"/>
        <v>0</v>
      </c>
      <c r="BJ202" s="228"/>
      <c r="BK202" s="228">
        <f t="shared" si="151"/>
        <v>0</v>
      </c>
      <c r="BL202" s="228" t="s">
        <v>1457</v>
      </c>
      <c r="BM202" s="220">
        <f t="shared" si="139"/>
        <v>0</v>
      </c>
      <c r="BN202" s="283"/>
      <c r="BO202" s="220">
        <f t="shared" si="152"/>
        <v>0</v>
      </c>
      <c r="BP202" s="220">
        <f t="shared" si="153"/>
        <v>11476.7148</v>
      </c>
      <c r="BQ202" s="220">
        <f t="shared" si="154"/>
        <v>0</v>
      </c>
      <c r="BR202" s="220">
        <f t="shared" si="155"/>
        <v>11476.7148</v>
      </c>
      <c r="BS202" s="220" t="s">
        <v>39</v>
      </c>
      <c r="BT202" s="229" t="s">
        <v>39</v>
      </c>
      <c r="BU202" s="322"/>
      <c r="BV202" s="230" t="s">
        <v>773</v>
      </c>
      <c r="BW202" s="231"/>
    </row>
    <row r="203" s="209" customFormat="1" ht="24" customHeight="1" spans="1:75">
      <c r="A203" s="219">
        <v>238</v>
      </c>
      <c r="B203" s="220" t="s">
        <v>836</v>
      </c>
      <c r="C203" s="221" t="s">
        <v>443</v>
      </c>
      <c r="D203" s="221" t="s">
        <v>762</v>
      </c>
      <c r="E203" s="221" t="s">
        <v>763</v>
      </c>
      <c r="F203" s="219" t="s">
        <v>81</v>
      </c>
      <c r="G203" s="222" t="s">
        <v>1462</v>
      </c>
      <c r="H203" s="233" t="s">
        <v>39</v>
      </c>
      <c r="I203" s="237" t="s">
        <v>485</v>
      </c>
      <c r="J203" s="222" t="s">
        <v>772</v>
      </c>
      <c r="K203" s="223" cm="1">
        <f t="array" ref="K203">_xlfn.XLOOKUP(D203&amp;E203&amp;H203&amp;I203&amp;J203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17825.7</v>
      </c>
      <c r="L203" s="223"/>
      <c r="M203" s="224"/>
      <c r="N203" s="253"/>
      <c r="O203" s="226">
        <v>700000</v>
      </c>
      <c r="P203" s="251">
        <v>0.28</v>
      </c>
      <c r="Q203" s="228">
        <f t="shared" ref="Q203:Q211" si="160">K203*P203</f>
        <v>4991.196</v>
      </c>
      <c r="R203" s="282"/>
      <c r="S203" s="228">
        <f t="shared" si="140"/>
        <v>4991.196</v>
      </c>
      <c r="T203" s="235">
        <v>0</v>
      </c>
      <c r="U203" s="228">
        <f t="shared" si="136"/>
        <v>0</v>
      </c>
      <c r="V203" s="228"/>
      <c r="W203" s="228">
        <f t="shared" si="141"/>
        <v>0</v>
      </c>
      <c r="X203" s="235">
        <v>0</v>
      </c>
      <c r="Y203" s="228">
        <f t="shared" si="156"/>
        <v>0</v>
      </c>
      <c r="Z203" s="228"/>
      <c r="AA203" s="228">
        <f t="shared" si="142"/>
        <v>0</v>
      </c>
      <c r="AB203" s="235">
        <v>0</v>
      </c>
      <c r="AC203" s="228">
        <f t="shared" si="138"/>
        <v>0</v>
      </c>
      <c r="AD203" s="228"/>
      <c r="AE203" s="228">
        <f t="shared" si="143"/>
        <v>0</v>
      </c>
      <c r="AF203" s="235">
        <v>0</v>
      </c>
      <c r="AG203" s="228">
        <f t="shared" si="137"/>
        <v>0</v>
      </c>
      <c r="AH203" s="228"/>
      <c r="AI203" s="228">
        <f t="shared" si="144"/>
        <v>0</v>
      </c>
      <c r="AJ203" s="235">
        <v>0</v>
      </c>
      <c r="AK203" s="228">
        <f t="shared" si="129"/>
        <v>0</v>
      </c>
      <c r="AL203" s="228"/>
      <c r="AM203" s="228">
        <f t="shared" si="145"/>
        <v>0</v>
      </c>
      <c r="AN203" s="235">
        <v>0</v>
      </c>
      <c r="AO203" s="228">
        <f t="shared" si="130"/>
        <v>0</v>
      </c>
      <c r="AP203" s="228"/>
      <c r="AQ203" s="228">
        <f t="shared" si="146"/>
        <v>0</v>
      </c>
      <c r="AR203" s="228">
        <v>0</v>
      </c>
      <c r="AS203" s="228">
        <f t="shared" si="157"/>
        <v>0</v>
      </c>
      <c r="AT203" s="228"/>
      <c r="AU203" s="228">
        <f t="shared" si="147"/>
        <v>0</v>
      </c>
      <c r="AV203" s="235">
        <v>0</v>
      </c>
      <c r="AW203" s="228">
        <f t="shared" si="158"/>
        <v>0</v>
      </c>
      <c r="AX203" s="228"/>
      <c r="AY203" s="228">
        <f t="shared" si="148"/>
        <v>0</v>
      </c>
      <c r="AZ203" s="228" t="s">
        <v>1457</v>
      </c>
      <c r="BA203" s="228">
        <f t="shared" si="123"/>
        <v>0</v>
      </c>
      <c r="BB203" s="228"/>
      <c r="BC203" s="228">
        <f t="shared" si="149"/>
        <v>0</v>
      </c>
      <c r="BD203" s="228">
        <v>0</v>
      </c>
      <c r="BE203" s="228">
        <f t="shared" si="159"/>
        <v>0</v>
      </c>
      <c r="BF203" s="228"/>
      <c r="BG203" s="228">
        <f t="shared" si="150"/>
        <v>0</v>
      </c>
      <c r="BH203" s="228">
        <v>0</v>
      </c>
      <c r="BI203" s="228">
        <f t="shared" si="132"/>
        <v>0</v>
      </c>
      <c r="BJ203" s="228"/>
      <c r="BK203" s="228">
        <f t="shared" si="151"/>
        <v>0</v>
      </c>
      <c r="BL203" s="228" t="s">
        <v>1457</v>
      </c>
      <c r="BM203" s="220">
        <f t="shared" si="139"/>
        <v>0</v>
      </c>
      <c r="BN203" s="283"/>
      <c r="BO203" s="220">
        <f t="shared" si="152"/>
        <v>0</v>
      </c>
      <c r="BP203" s="220">
        <f t="shared" si="153"/>
        <v>4991.196</v>
      </c>
      <c r="BQ203" s="220">
        <f t="shared" si="154"/>
        <v>0</v>
      </c>
      <c r="BR203" s="220">
        <f t="shared" si="155"/>
        <v>4991.196</v>
      </c>
      <c r="BS203" s="220" t="s">
        <v>39</v>
      </c>
      <c r="BT203" s="229" t="s">
        <v>39</v>
      </c>
      <c r="BU203" s="322"/>
      <c r="BV203" s="230" t="s">
        <v>773</v>
      </c>
      <c r="BW203" s="231"/>
    </row>
    <row r="204" s="209" customFormat="1" ht="24" customHeight="1" spans="1:75">
      <c r="A204" s="219">
        <v>239</v>
      </c>
      <c r="B204" s="220" t="s">
        <v>839</v>
      </c>
      <c r="C204" s="221" t="s">
        <v>443</v>
      </c>
      <c r="D204" s="221" t="s">
        <v>762</v>
      </c>
      <c r="E204" s="221" t="s">
        <v>763</v>
      </c>
      <c r="F204" s="219" t="s">
        <v>81</v>
      </c>
      <c r="G204" s="222" t="s">
        <v>1462</v>
      </c>
      <c r="H204" s="233" t="s">
        <v>39</v>
      </c>
      <c r="I204" s="237" t="s">
        <v>779</v>
      </c>
      <c r="J204" s="222" t="s">
        <v>780</v>
      </c>
      <c r="K204" s="223" cm="1">
        <f t="array" ref="K204">_xlfn.XLOOKUP(D204&amp;E204&amp;H204&amp;I204&amp;J204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04" s="223"/>
      <c r="M204" s="224"/>
      <c r="N204" s="253"/>
      <c r="O204" s="226">
        <v>500000</v>
      </c>
      <c r="P204" s="251">
        <v>0.28</v>
      </c>
      <c r="Q204" s="228">
        <f t="shared" si="160"/>
        <v>0</v>
      </c>
      <c r="R204" s="282"/>
      <c r="S204" s="228">
        <f t="shared" si="140"/>
        <v>0</v>
      </c>
      <c r="T204" s="235">
        <v>0</v>
      </c>
      <c r="U204" s="228">
        <f t="shared" si="136"/>
        <v>0</v>
      </c>
      <c r="V204" s="228"/>
      <c r="W204" s="228">
        <f t="shared" si="141"/>
        <v>0</v>
      </c>
      <c r="X204" s="235">
        <v>0</v>
      </c>
      <c r="Y204" s="228">
        <f t="shared" si="156"/>
        <v>0</v>
      </c>
      <c r="Z204" s="228"/>
      <c r="AA204" s="228">
        <f t="shared" si="142"/>
        <v>0</v>
      </c>
      <c r="AB204" s="235">
        <v>0</v>
      </c>
      <c r="AC204" s="228">
        <f t="shared" si="138"/>
        <v>0</v>
      </c>
      <c r="AD204" s="228"/>
      <c r="AE204" s="228">
        <f t="shared" si="143"/>
        <v>0</v>
      </c>
      <c r="AF204" s="235">
        <v>0</v>
      </c>
      <c r="AG204" s="228">
        <f t="shared" si="137"/>
        <v>0</v>
      </c>
      <c r="AH204" s="228"/>
      <c r="AI204" s="228">
        <f t="shared" si="144"/>
        <v>0</v>
      </c>
      <c r="AJ204" s="235">
        <v>0</v>
      </c>
      <c r="AK204" s="228">
        <f t="shared" si="129"/>
        <v>0</v>
      </c>
      <c r="AL204" s="228"/>
      <c r="AM204" s="228">
        <f t="shared" si="145"/>
        <v>0</v>
      </c>
      <c r="AN204" s="235">
        <v>0</v>
      </c>
      <c r="AO204" s="228">
        <f t="shared" si="130"/>
        <v>0</v>
      </c>
      <c r="AP204" s="228"/>
      <c r="AQ204" s="228">
        <f t="shared" si="146"/>
        <v>0</v>
      </c>
      <c r="AR204" s="228">
        <v>0</v>
      </c>
      <c r="AS204" s="228">
        <f t="shared" si="157"/>
        <v>0</v>
      </c>
      <c r="AT204" s="228"/>
      <c r="AU204" s="228">
        <f t="shared" si="147"/>
        <v>0</v>
      </c>
      <c r="AV204" s="235">
        <v>0</v>
      </c>
      <c r="AW204" s="228">
        <f t="shared" si="158"/>
        <v>0</v>
      </c>
      <c r="AX204" s="228"/>
      <c r="AY204" s="228">
        <f t="shared" si="148"/>
        <v>0</v>
      </c>
      <c r="AZ204" s="228" t="s">
        <v>1457</v>
      </c>
      <c r="BA204" s="228">
        <f t="shared" si="123"/>
        <v>0</v>
      </c>
      <c r="BB204" s="228"/>
      <c r="BC204" s="228">
        <f t="shared" si="149"/>
        <v>0</v>
      </c>
      <c r="BD204" s="228">
        <v>0</v>
      </c>
      <c r="BE204" s="228">
        <f t="shared" si="159"/>
        <v>0</v>
      </c>
      <c r="BF204" s="228"/>
      <c r="BG204" s="228">
        <f t="shared" si="150"/>
        <v>0</v>
      </c>
      <c r="BH204" s="228">
        <v>0</v>
      </c>
      <c r="BI204" s="228">
        <f t="shared" si="132"/>
        <v>0</v>
      </c>
      <c r="BJ204" s="228"/>
      <c r="BK204" s="228">
        <f t="shared" si="151"/>
        <v>0</v>
      </c>
      <c r="BL204" s="228" t="s">
        <v>1457</v>
      </c>
      <c r="BM204" s="220">
        <f t="shared" si="139"/>
        <v>0</v>
      </c>
      <c r="BN204" s="283"/>
      <c r="BO204" s="220">
        <f t="shared" si="152"/>
        <v>0</v>
      </c>
      <c r="BP204" s="220">
        <f t="shared" si="153"/>
        <v>0</v>
      </c>
      <c r="BQ204" s="220">
        <f t="shared" si="154"/>
        <v>0</v>
      </c>
      <c r="BR204" s="220">
        <f t="shared" si="155"/>
        <v>0</v>
      </c>
      <c r="BS204" s="220" t="s">
        <v>39</v>
      </c>
      <c r="BT204" s="229" t="s">
        <v>39</v>
      </c>
      <c r="BU204" s="322"/>
      <c r="BV204" s="230" t="s">
        <v>773</v>
      </c>
      <c r="BW204" s="231"/>
    </row>
    <row r="205" s="209" customFormat="1" ht="24" customHeight="1" spans="1:75">
      <c r="A205" s="219">
        <v>240</v>
      </c>
      <c r="B205" s="220" t="s">
        <v>842</v>
      </c>
      <c r="C205" s="221" t="s">
        <v>443</v>
      </c>
      <c r="D205" s="221" t="s">
        <v>762</v>
      </c>
      <c r="E205" s="221" t="s">
        <v>763</v>
      </c>
      <c r="F205" s="219" t="s">
        <v>81</v>
      </c>
      <c r="G205" s="222" t="s">
        <v>1462</v>
      </c>
      <c r="H205" s="233" t="s">
        <v>39</v>
      </c>
      <c r="I205" s="237" t="s">
        <v>782</v>
      </c>
      <c r="J205" s="222" t="s">
        <v>783</v>
      </c>
      <c r="K205" s="223" cm="1">
        <f t="array" ref="K205">_xlfn.XLOOKUP(D205&amp;E205&amp;H205&amp;I205&amp;J205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2729.87</v>
      </c>
      <c r="L205" s="223"/>
      <c r="M205" s="224"/>
      <c r="N205" s="253"/>
      <c r="O205" s="226">
        <v>540000</v>
      </c>
      <c r="P205" s="251">
        <v>0.28</v>
      </c>
      <c r="Q205" s="228">
        <f t="shared" si="160"/>
        <v>764.3636</v>
      </c>
      <c r="R205" s="282"/>
      <c r="S205" s="228">
        <f t="shared" si="140"/>
        <v>764.3636</v>
      </c>
      <c r="T205" s="235">
        <v>0</v>
      </c>
      <c r="U205" s="228">
        <f t="shared" si="136"/>
        <v>0</v>
      </c>
      <c r="V205" s="228"/>
      <c r="W205" s="228">
        <f t="shared" si="141"/>
        <v>0</v>
      </c>
      <c r="X205" s="235">
        <v>0</v>
      </c>
      <c r="Y205" s="228">
        <f t="shared" si="156"/>
        <v>0</v>
      </c>
      <c r="Z205" s="228"/>
      <c r="AA205" s="228">
        <f t="shared" si="142"/>
        <v>0</v>
      </c>
      <c r="AB205" s="235">
        <v>0</v>
      </c>
      <c r="AC205" s="228">
        <f t="shared" si="138"/>
        <v>0</v>
      </c>
      <c r="AD205" s="228"/>
      <c r="AE205" s="228">
        <f t="shared" si="143"/>
        <v>0</v>
      </c>
      <c r="AF205" s="235">
        <v>0</v>
      </c>
      <c r="AG205" s="228">
        <f t="shared" si="137"/>
        <v>0</v>
      </c>
      <c r="AH205" s="228"/>
      <c r="AI205" s="228">
        <f t="shared" si="144"/>
        <v>0</v>
      </c>
      <c r="AJ205" s="235">
        <v>0</v>
      </c>
      <c r="AK205" s="228">
        <f t="shared" si="129"/>
        <v>0</v>
      </c>
      <c r="AL205" s="228"/>
      <c r="AM205" s="228">
        <f t="shared" si="145"/>
        <v>0</v>
      </c>
      <c r="AN205" s="235">
        <v>0</v>
      </c>
      <c r="AO205" s="228">
        <f t="shared" si="130"/>
        <v>0</v>
      </c>
      <c r="AP205" s="228"/>
      <c r="AQ205" s="228">
        <f t="shared" si="146"/>
        <v>0</v>
      </c>
      <c r="AR205" s="228">
        <v>0</v>
      </c>
      <c r="AS205" s="228">
        <f t="shared" si="157"/>
        <v>0</v>
      </c>
      <c r="AT205" s="228"/>
      <c r="AU205" s="228">
        <f t="shared" si="147"/>
        <v>0</v>
      </c>
      <c r="AV205" s="235">
        <v>0</v>
      </c>
      <c r="AW205" s="228">
        <f t="shared" si="158"/>
        <v>0</v>
      </c>
      <c r="AX205" s="228"/>
      <c r="AY205" s="228">
        <f t="shared" si="148"/>
        <v>0</v>
      </c>
      <c r="AZ205" s="228" t="s">
        <v>1457</v>
      </c>
      <c r="BA205" s="228">
        <f t="shared" si="123"/>
        <v>0</v>
      </c>
      <c r="BB205" s="228"/>
      <c r="BC205" s="228">
        <f t="shared" si="149"/>
        <v>0</v>
      </c>
      <c r="BD205" s="228">
        <v>0</v>
      </c>
      <c r="BE205" s="228">
        <f t="shared" si="159"/>
        <v>0</v>
      </c>
      <c r="BF205" s="228"/>
      <c r="BG205" s="228">
        <f t="shared" si="150"/>
        <v>0</v>
      </c>
      <c r="BH205" s="228">
        <v>0</v>
      </c>
      <c r="BI205" s="228">
        <f t="shared" si="132"/>
        <v>0</v>
      </c>
      <c r="BJ205" s="228"/>
      <c r="BK205" s="228">
        <f t="shared" si="151"/>
        <v>0</v>
      </c>
      <c r="BL205" s="228" t="s">
        <v>1457</v>
      </c>
      <c r="BM205" s="220">
        <f t="shared" si="139"/>
        <v>0</v>
      </c>
      <c r="BN205" s="283"/>
      <c r="BO205" s="220">
        <f t="shared" si="152"/>
        <v>0</v>
      </c>
      <c r="BP205" s="220">
        <f t="shared" si="153"/>
        <v>764.3636</v>
      </c>
      <c r="BQ205" s="220">
        <f t="shared" si="154"/>
        <v>0</v>
      </c>
      <c r="BR205" s="220">
        <f t="shared" si="155"/>
        <v>764.3636</v>
      </c>
      <c r="BS205" s="220" t="s">
        <v>39</v>
      </c>
      <c r="BT205" s="229" t="s">
        <v>39</v>
      </c>
      <c r="BU205" s="322"/>
      <c r="BV205" s="230" t="s">
        <v>773</v>
      </c>
      <c r="BW205" s="231"/>
    </row>
    <row r="206" s="209" customFormat="1" ht="24" customHeight="1" spans="1:75">
      <c r="A206" s="219">
        <v>241</v>
      </c>
      <c r="B206" s="220" t="s">
        <v>845</v>
      </c>
      <c r="C206" s="221" t="s">
        <v>443</v>
      </c>
      <c r="D206" s="221" t="s">
        <v>762</v>
      </c>
      <c r="E206" s="221" t="s">
        <v>763</v>
      </c>
      <c r="F206" s="219" t="s">
        <v>81</v>
      </c>
      <c r="G206" s="222" t="s">
        <v>1462</v>
      </c>
      <c r="H206" s="233" t="s">
        <v>39</v>
      </c>
      <c r="I206" s="237" t="s">
        <v>785</v>
      </c>
      <c r="J206" s="222" t="s">
        <v>786</v>
      </c>
      <c r="K206" s="223" cm="1">
        <f t="array" ref="K206">_xlfn.XLOOKUP(D206&amp;E206&amp;H206&amp;I206&amp;J206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773.69</v>
      </c>
      <c r="L206" s="223"/>
      <c r="M206" s="224"/>
      <c r="N206" s="253"/>
      <c r="O206" s="226">
        <v>600000</v>
      </c>
      <c r="P206" s="251">
        <v>0.28</v>
      </c>
      <c r="Q206" s="228">
        <f t="shared" si="160"/>
        <v>216.6332</v>
      </c>
      <c r="R206" s="282"/>
      <c r="S206" s="228">
        <f t="shared" si="140"/>
        <v>216.6332</v>
      </c>
      <c r="T206" s="235">
        <v>0</v>
      </c>
      <c r="U206" s="228">
        <f t="shared" si="136"/>
        <v>0</v>
      </c>
      <c r="V206" s="228"/>
      <c r="W206" s="228">
        <f t="shared" si="141"/>
        <v>0</v>
      </c>
      <c r="X206" s="235">
        <v>0</v>
      </c>
      <c r="Y206" s="228">
        <f t="shared" si="156"/>
        <v>0</v>
      </c>
      <c r="Z206" s="228"/>
      <c r="AA206" s="228">
        <f t="shared" si="142"/>
        <v>0</v>
      </c>
      <c r="AB206" s="235">
        <v>0</v>
      </c>
      <c r="AC206" s="228">
        <f t="shared" si="138"/>
        <v>0</v>
      </c>
      <c r="AD206" s="228"/>
      <c r="AE206" s="228">
        <f t="shared" si="143"/>
        <v>0</v>
      </c>
      <c r="AF206" s="235">
        <v>0</v>
      </c>
      <c r="AG206" s="228">
        <f t="shared" si="137"/>
        <v>0</v>
      </c>
      <c r="AH206" s="228"/>
      <c r="AI206" s="228">
        <f t="shared" si="144"/>
        <v>0</v>
      </c>
      <c r="AJ206" s="235">
        <v>0</v>
      </c>
      <c r="AK206" s="228">
        <f t="shared" si="129"/>
        <v>0</v>
      </c>
      <c r="AL206" s="228"/>
      <c r="AM206" s="228">
        <f t="shared" si="145"/>
        <v>0</v>
      </c>
      <c r="AN206" s="235">
        <v>0</v>
      </c>
      <c r="AO206" s="228">
        <f t="shared" si="130"/>
        <v>0</v>
      </c>
      <c r="AP206" s="228"/>
      <c r="AQ206" s="228">
        <f t="shared" si="146"/>
        <v>0</v>
      </c>
      <c r="AR206" s="228">
        <v>0</v>
      </c>
      <c r="AS206" s="228">
        <f t="shared" si="157"/>
        <v>0</v>
      </c>
      <c r="AT206" s="228"/>
      <c r="AU206" s="228">
        <f t="shared" si="147"/>
        <v>0</v>
      </c>
      <c r="AV206" s="235">
        <v>0</v>
      </c>
      <c r="AW206" s="228">
        <f t="shared" si="158"/>
        <v>0</v>
      </c>
      <c r="AX206" s="228"/>
      <c r="AY206" s="228">
        <f t="shared" si="148"/>
        <v>0</v>
      </c>
      <c r="AZ206" s="228" t="s">
        <v>1457</v>
      </c>
      <c r="BA206" s="228">
        <f t="shared" ref="BA206:BA232" si="161">BB206</f>
        <v>0</v>
      </c>
      <c r="BB206" s="228"/>
      <c r="BC206" s="228">
        <f t="shared" si="149"/>
        <v>0</v>
      </c>
      <c r="BD206" s="228">
        <v>0</v>
      </c>
      <c r="BE206" s="228">
        <f t="shared" si="159"/>
        <v>0</v>
      </c>
      <c r="BF206" s="228"/>
      <c r="BG206" s="228">
        <f t="shared" si="150"/>
        <v>0</v>
      </c>
      <c r="BH206" s="228">
        <v>0</v>
      </c>
      <c r="BI206" s="228">
        <f t="shared" si="132"/>
        <v>0</v>
      </c>
      <c r="BJ206" s="228"/>
      <c r="BK206" s="228">
        <f t="shared" si="151"/>
        <v>0</v>
      </c>
      <c r="BL206" s="228" t="s">
        <v>1457</v>
      </c>
      <c r="BM206" s="220">
        <f t="shared" si="139"/>
        <v>0</v>
      </c>
      <c r="BN206" s="283"/>
      <c r="BO206" s="220">
        <f t="shared" si="152"/>
        <v>0</v>
      </c>
      <c r="BP206" s="220">
        <f t="shared" si="153"/>
        <v>216.6332</v>
      </c>
      <c r="BQ206" s="220">
        <f t="shared" si="154"/>
        <v>0</v>
      </c>
      <c r="BR206" s="220">
        <f t="shared" si="155"/>
        <v>216.6332</v>
      </c>
      <c r="BS206" s="220" t="s">
        <v>39</v>
      </c>
      <c r="BT206" s="229" t="s">
        <v>39</v>
      </c>
      <c r="BU206" s="322"/>
      <c r="BV206" s="230" t="s">
        <v>773</v>
      </c>
      <c r="BW206" s="231"/>
    </row>
    <row r="207" s="209" customFormat="1" ht="24" customHeight="1" spans="1:75">
      <c r="A207" s="219">
        <v>242</v>
      </c>
      <c r="B207" s="220" t="s">
        <v>848</v>
      </c>
      <c r="C207" s="221" t="s">
        <v>443</v>
      </c>
      <c r="D207" s="221" t="s">
        <v>762</v>
      </c>
      <c r="E207" s="221" t="s">
        <v>763</v>
      </c>
      <c r="F207" s="219" t="s">
        <v>81</v>
      </c>
      <c r="G207" s="222" t="s">
        <v>1462</v>
      </c>
      <c r="H207" s="233" t="s">
        <v>39</v>
      </c>
      <c r="I207" s="237" t="s">
        <v>788</v>
      </c>
      <c r="J207" s="222" t="s">
        <v>789</v>
      </c>
      <c r="K207" s="223" cm="1">
        <f t="array" ref="K207">_xlfn.XLOOKUP(D207&amp;E207&amp;H207&amp;I207&amp;J207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07" s="223"/>
      <c r="M207" s="224"/>
      <c r="N207" s="253"/>
      <c r="O207" s="226">
        <v>370000</v>
      </c>
      <c r="P207" s="251">
        <v>0.22</v>
      </c>
      <c r="Q207" s="228">
        <f t="shared" si="160"/>
        <v>0</v>
      </c>
      <c r="R207" s="282"/>
      <c r="S207" s="228">
        <f t="shared" si="140"/>
        <v>0</v>
      </c>
      <c r="T207" s="235">
        <v>0</v>
      </c>
      <c r="U207" s="228">
        <f t="shared" si="136"/>
        <v>0</v>
      </c>
      <c r="V207" s="228"/>
      <c r="W207" s="228">
        <f t="shared" si="141"/>
        <v>0</v>
      </c>
      <c r="X207" s="235">
        <v>0</v>
      </c>
      <c r="Y207" s="228">
        <f t="shared" si="156"/>
        <v>0</v>
      </c>
      <c r="Z207" s="228"/>
      <c r="AA207" s="228">
        <f t="shared" si="142"/>
        <v>0</v>
      </c>
      <c r="AB207" s="235">
        <v>0</v>
      </c>
      <c r="AC207" s="228">
        <f t="shared" si="138"/>
        <v>0</v>
      </c>
      <c r="AD207" s="228"/>
      <c r="AE207" s="228">
        <f t="shared" si="143"/>
        <v>0</v>
      </c>
      <c r="AF207" s="235">
        <v>0</v>
      </c>
      <c r="AG207" s="228">
        <f t="shared" si="137"/>
        <v>0</v>
      </c>
      <c r="AH207" s="228"/>
      <c r="AI207" s="228">
        <f t="shared" si="144"/>
        <v>0</v>
      </c>
      <c r="AJ207" s="235">
        <v>0</v>
      </c>
      <c r="AK207" s="228">
        <f t="shared" si="129"/>
        <v>0</v>
      </c>
      <c r="AL207" s="228"/>
      <c r="AM207" s="228">
        <f t="shared" si="145"/>
        <v>0</v>
      </c>
      <c r="AN207" s="235">
        <v>0</v>
      </c>
      <c r="AO207" s="228">
        <f t="shared" si="130"/>
        <v>0</v>
      </c>
      <c r="AP207" s="228"/>
      <c r="AQ207" s="228">
        <f t="shared" si="146"/>
        <v>0</v>
      </c>
      <c r="AR207" s="228">
        <v>0</v>
      </c>
      <c r="AS207" s="228">
        <f t="shared" si="157"/>
        <v>0</v>
      </c>
      <c r="AT207" s="228"/>
      <c r="AU207" s="228">
        <f t="shared" si="147"/>
        <v>0</v>
      </c>
      <c r="AV207" s="235">
        <v>0</v>
      </c>
      <c r="AW207" s="228">
        <f t="shared" si="158"/>
        <v>0</v>
      </c>
      <c r="AX207" s="228"/>
      <c r="AY207" s="228">
        <f t="shared" si="148"/>
        <v>0</v>
      </c>
      <c r="AZ207" s="228" t="s">
        <v>1457</v>
      </c>
      <c r="BA207" s="228">
        <f t="shared" si="161"/>
        <v>0</v>
      </c>
      <c r="BB207" s="228"/>
      <c r="BC207" s="228">
        <f t="shared" si="149"/>
        <v>0</v>
      </c>
      <c r="BD207" s="228">
        <v>0</v>
      </c>
      <c r="BE207" s="228">
        <f t="shared" si="159"/>
        <v>0</v>
      </c>
      <c r="BF207" s="228"/>
      <c r="BG207" s="228">
        <f t="shared" si="150"/>
        <v>0</v>
      </c>
      <c r="BH207" s="228">
        <v>0</v>
      </c>
      <c r="BI207" s="228">
        <f t="shared" si="132"/>
        <v>0</v>
      </c>
      <c r="BJ207" s="228"/>
      <c r="BK207" s="228">
        <f t="shared" si="151"/>
        <v>0</v>
      </c>
      <c r="BL207" s="228" t="s">
        <v>1457</v>
      </c>
      <c r="BM207" s="220">
        <f t="shared" si="139"/>
        <v>0</v>
      </c>
      <c r="BN207" s="283"/>
      <c r="BO207" s="220">
        <f t="shared" si="152"/>
        <v>0</v>
      </c>
      <c r="BP207" s="220">
        <f t="shared" si="153"/>
        <v>0</v>
      </c>
      <c r="BQ207" s="220">
        <f t="shared" si="154"/>
        <v>0</v>
      </c>
      <c r="BR207" s="220">
        <f t="shared" si="155"/>
        <v>0</v>
      </c>
      <c r="BS207" s="220" t="s">
        <v>39</v>
      </c>
      <c r="BT207" s="229" t="s">
        <v>39</v>
      </c>
      <c r="BU207" s="322"/>
      <c r="BV207" s="230" t="s">
        <v>773</v>
      </c>
      <c r="BW207" s="231"/>
    </row>
    <row r="208" s="209" customFormat="1" ht="24" customHeight="1" spans="1:75">
      <c r="A208" s="219">
        <v>243</v>
      </c>
      <c r="B208" s="220" t="s">
        <v>854</v>
      </c>
      <c r="C208" s="221" t="s">
        <v>443</v>
      </c>
      <c r="D208" s="221" t="s">
        <v>762</v>
      </c>
      <c r="E208" s="221" t="s">
        <v>763</v>
      </c>
      <c r="F208" s="219" t="s">
        <v>81</v>
      </c>
      <c r="G208" s="222" t="s">
        <v>1462</v>
      </c>
      <c r="H208" s="233" t="s">
        <v>39</v>
      </c>
      <c r="I208" s="232" t="s">
        <v>791</v>
      </c>
      <c r="J208" s="222" t="s">
        <v>792</v>
      </c>
      <c r="K208" s="223" cm="1">
        <f t="array" ref="K208">_xlfn.XLOOKUP(D208&amp;E208&amp;H208&amp;I208&amp;J208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08" s="223"/>
      <c r="M208" s="224"/>
      <c r="N208" s="253"/>
      <c r="O208" s="226">
        <v>250000</v>
      </c>
      <c r="P208" s="251">
        <v>0.23</v>
      </c>
      <c r="Q208" s="228">
        <f t="shared" si="160"/>
        <v>0</v>
      </c>
      <c r="R208" s="282"/>
      <c r="S208" s="228">
        <f t="shared" si="140"/>
        <v>0</v>
      </c>
      <c r="T208" s="235">
        <v>0</v>
      </c>
      <c r="U208" s="228">
        <f t="shared" si="136"/>
        <v>0</v>
      </c>
      <c r="V208" s="228"/>
      <c r="W208" s="228">
        <f t="shared" si="141"/>
        <v>0</v>
      </c>
      <c r="X208" s="235">
        <v>0</v>
      </c>
      <c r="Y208" s="228">
        <f t="shared" si="156"/>
        <v>0</v>
      </c>
      <c r="Z208" s="228"/>
      <c r="AA208" s="228">
        <f t="shared" si="142"/>
        <v>0</v>
      </c>
      <c r="AB208" s="235">
        <v>0</v>
      </c>
      <c r="AC208" s="228">
        <f t="shared" si="138"/>
        <v>0</v>
      </c>
      <c r="AD208" s="228"/>
      <c r="AE208" s="228">
        <f t="shared" si="143"/>
        <v>0</v>
      </c>
      <c r="AF208" s="235">
        <v>0</v>
      </c>
      <c r="AG208" s="228">
        <f t="shared" si="137"/>
        <v>0</v>
      </c>
      <c r="AH208" s="228"/>
      <c r="AI208" s="228">
        <f t="shared" si="144"/>
        <v>0</v>
      </c>
      <c r="AJ208" s="235">
        <v>0</v>
      </c>
      <c r="AK208" s="228">
        <f t="shared" si="129"/>
        <v>0</v>
      </c>
      <c r="AL208" s="228"/>
      <c r="AM208" s="228">
        <f t="shared" si="145"/>
        <v>0</v>
      </c>
      <c r="AN208" s="235">
        <v>0</v>
      </c>
      <c r="AO208" s="228">
        <f t="shared" si="130"/>
        <v>0</v>
      </c>
      <c r="AP208" s="228"/>
      <c r="AQ208" s="228">
        <f t="shared" si="146"/>
        <v>0</v>
      </c>
      <c r="AR208" s="228">
        <v>0</v>
      </c>
      <c r="AS208" s="228">
        <f t="shared" si="157"/>
        <v>0</v>
      </c>
      <c r="AT208" s="228"/>
      <c r="AU208" s="228">
        <f t="shared" si="147"/>
        <v>0</v>
      </c>
      <c r="AV208" s="235">
        <v>0</v>
      </c>
      <c r="AW208" s="228">
        <f t="shared" si="158"/>
        <v>0</v>
      </c>
      <c r="AX208" s="228"/>
      <c r="AY208" s="228">
        <f t="shared" si="148"/>
        <v>0</v>
      </c>
      <c r="AZ208" s="228" t="s">
        <v>1457</v>
      </c>
      <c r="BA208" s="228">
        <f t="shared" si="161"/>
        <v>0</v>
      </c>
      <c r="BB208" s="228"/>
      <c r="BC208" s="228">
        <f t="shared" si="149"/>
        <v>0</v>
      </c>
      <c r="BD208" s="228">
        <v>0</v>
      </c>
      <c r="BE208" s="228">
        <f t="shared" si="159"/>
        <v>0</v>
      </c>
      <c r="BF208" s="228"/>
      <c r="BG208" s="228">
        <f t="shared" si="150"/>
        <v>0</v>
      </c>
      <c r="BH208" s="228">
        <v>0</v>
      </c>
      <c r="BI208" s="228">
        <f t="shared" si="132"/>
        <v>0</v>
      </c>
      <c r="BJ208" s="228"/>
      <c r="BK208" s="228">
        <f t="shared" si="151"/>
        <v>0</v>
      </c>
      <c r="BL208" s="228" t="s">
        <v>1457</v>
      </c>
      <c r="BM208" s="220">
        <f t="shared" si="139"/>
        <v>0</v>
      </c>
      <c r="BN208" s="283"/>
      <c r="BO208" s="220">
        <f t="shared" si="152"/>
        <v>0</v>
      </c>
      <c r="BP208" s="220">
        <f t="shared" si="153"/>
        <v>0</v>
      </c>
      <c r="BQ208" s="220">
        <f t="shared" si="154"/>
        <v>0</v>
      </c>
      <c r="BR208" s="220">
        <f t="shared" si="155"/>
        <v>0</v>
      </c>
      <c r="BS208" s="220" t="s">
        <v>39</v>
      </c>
      <c r="BT208" s="229" t="s">
        <v>39</v>
      </c>
      <c r="BU208" s="322"/>
      <c r="BV208" s="230" t="s">
        <v>773</v>
      </c>
      <c r="BW208" s="231"/>
    </row>
    <row r="209" s="209" customFormat="1" ht="24" customHeight="1" spans="1:75">
      <c r="A209" s="219">
        <v>244</v>
      </c>
      <c r="B209" s="220" t="s">
        <v>859</v>
      </c>
      <c r="C209" s="221" t="s">
        <v>443</v>
      </c>
      <c r="D209" s="221" t="s">
        <v>762</v>
      </c>
      <c r="E209" s="221" t="s">
        <v>763</v>
      </c>
      <c r="F209" s="219" t="s">
        <v>81</v>
      </c>
      <c r="G209" s="222" t="s">
        <v>1462</v>
      </c>
      <c r="H209" s="233" t="s">
        <v>39</v>
      </c>
      <c r="I209" s="237" t="s">
        <v>794</v>
      </c>
      <c r="J209" s="222" t="s">
        <v>795</v>
      </c>
      <c r="K209" s="223" cm="1">
        <f t="array" ref="K209">_xlfn.XLOOKUP(D209&amp;E209&amp;H209&amp;I209&amp;J209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09" s="223"/>
      <c r="M209" s="224"/>
      <c r="N209" s="253"/>
      <c r="O209" s="226">
        <v>300000</v>
      </c>
      <c r="P209" s="247">
        <v>0.24</v>
      </c>
      <c r="Q209" s="228">
        <f t="shared" si="160"/>
        <v>0</v>
      </c>
      <c r="R209" s="282"/>
      <c r="S209" s="228">
        <f t="shared" si="140"/>
        <v>0</v>
      </c>
      <c r="T209" s="235">
        <v>0</v>
      </c>
      <c r="U209" s="228">
        <f t="shared" si="136"/>
        <v>0</v>
      </c>
      <c r="V209" s="228"/>
      <c r="W209" s="228">
        <f t="shared" si="141"/>
        <v>0</v>
      </c>
      <c r="X209" s="235">
        <v>0</v>
      </c>
      <c r="Y209" s="228">
        <f t="shared" si="156"/>
        <v>0</v>
      </c>
      <c r="Z209" s="228"/>
      <c r="AA209" s="228">
        <f t="shared" si="142"/>
        <v>0</v>
      </c>
      <c r="AB209" s="235">
        <v>0</v>
      </c>
      <c r="AC209" s="228">
        <f t="shared" si="138"/>
        <v>0</v>
      </c>
      <c r="AD209" s="228"/>
      <c r="AE209" s="228">
        <f t="shared" si="143"/>
        <v>0</v>
      </c>
      <c r="AF209" s="235">
        <v>0</v>
      </c>
      <c r="AG209" s="228">
        <f t="shared" si="137"/>
        <v>0</v>
      </c>
      <c r="AH209" s="228"/>
      <c r="AI209" s="228">
        <f t="shared" si="144"/>
        <v>0</v>
      </c>
      <c r="AJ209" s="235">
        <v>0</v>
      </c>
      <c r="AK209" s="228">
        <f t="shared" si="129"/>
        <v>0</v>
      </c>
      <c r="AL209" s="228"/>
      <c r="AM209" s="228">
        <f t="shared" si="145"/>
        <v>0</v>
      </c>
      <c r="AN209" s="235">
        <v>0</v>
      </c>
      <c r="AO209" s="228">
        <f t="shared" si="130"/>
        <v>0</v>
      </c>
      <c r="AP209" s="228"/>
      <c r="AQ209" s="228">
        <f t="shared" si="146"/>
        <v>0</v>
      </c>
      <c r="AR209" s="228">
        <v>0</v>
      </c>
      <c r="AS209" s="228">
        <f t="shared" si="157"/>
        <v>0</v>
      </c>
      <c r="AT209" s="228"/>
      <c r="AU209" s="228">
        <f t="shared" si="147"/>
        <v>0</v>
      </c>
      <c r="AV209" s="235">
        <v>0</v>
      </c>
      <c r="AW209" s="228">
        <f t="shared" si="158"/>
        <v>0</v>
      </c>
      <c r="AX209" s="228"/>
      <c r="AY209" s="228">
        <f t="shared" si="148"/>
        <v>0</v>
      </c>
      <c r="AZ209" s="228" t="s">
        <v>1457</v>
      </c>
      <c r="BA209" s="228">
        <f t="shared" si="161"/>
        <v>0</v>
      </c>
      <c r="BB209" s="228"/>
      <c r="BC209" s="228">
        <f t="shared" si="149"/>
        <v>0</v>
      </c>
      <c r="BD209" s="228">
        <v>0</v>
      </c>
      <c r="BE209" s="228">
        <f t="shared" si="159"/>
        <v>0</v>
      </c>
      <c r="BF209" s="228"/>
      <c r="BG209" s="228">
        <f t="shared" si="150"/>
        <v>0</v>
      </c>
      <c r="BH209" s="228">
        <v>0</v>
      </c>
      <c r="BI209" s="228">
        <f t="shared" si="132"/>
        <v>0</v>
      </c>
      <c r="BJ209" s="228"/>
      <c r="BK209" s="228">
        <f t="shared" si="151"/>
        <v>0</v>
      </c>
      <c r="BL209" s="228" t="s">
        <v>1457</v>
      </c>
      <c r="BM209" s="220">
        <f t="shared" si="139"/>
        <v>0</v>
      </c>
      <c r="BN209" s="283"/>
      <c r="BO209" s="220">
        <f t="shared" si="152"/>
        <v>0</v>
      </c>
      <c r="BP209" s="220">
        <f t="shared" si="153"/>
        <v>0</v>
      </c>
      <c r="BQ209" s="220">
        <f t="shared" si="154"/>
        <v>0</v>
      </c>
      <c r="BR209" s="220">
        <f t="shared" si="155"/>
        <v>0</v>
      </c>
      <c r="BS209" s="220" t="s">
        <v>39</v>
      </c>
      <c r="BT209" s="229" t="s">
        <v>39</v>
      </c>
      <c r="BU209" s="322"/>
      <c r="BV209" s="230" t="s">
        <v>773</v>
      </c>
      <c r="BW209" s="231"/>
    </row>
    <row r="210" s="209" customFormat="1" ht="24" customHeight="1" spans="1:75">
      <c r="A210" s="219">
        <v>245</v>
      </c>
      <c r="B210" s="220" t="s">
        <v>864</v>
      </c>
      <c r="C210" s="221" t="s">
        <v>443</v>
      </c>
      <c r="D210" s="221" t="s">
        <v>762</v>
      </c>
      <c r="E210" s="221" t="s">
        <v>763</v>
      </c>
      <c r="F210" s="219" t="s">
        <v>81</v>
      </c>
      <c r="G210" s="222" t="s">
        <v>1462</v>
      </c>
      <c r="H210" s="233" t="s">
        <v>39</v>
      </c>
      <c r="I210" s="237" t="s">
        <v>797</v>
      </c>
      <c r="J210" s="222" t="s">
        <v>798</v>
      </c>
      <c r="K210" s="223" cm="1">
        <f t="array" ref="K210">_xlfn.XLOOKUP(D210&amp;E210&amp;H210&amp;I210&amp;J210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10" s="223"/>
      <c r="M210" s="224"/>
      <c r="N210" s="253"/>
      <c r="O210" s="226">
        <v>360000</v>
      </c>
      <c r="P210" s="247">
        <v>0.28</v>
      </c>
      <c r="Q210" s="228">
        <f t="shared" si="160"/>
        <v>0</v>
      </c>
      <c r="R210" s="282"/>
      <c r="S210" s="228">
        <f t="shared" si="140"/>
        <v>0</v>
      </c>
      <c r="T210" s="235">
        <v>0</v>
      </c>
      <c r="U210" s="228">
        <f t="shared" si="136"/>
        <v>0</v>
      </c>
      <c r="V210" s="228"/>
      <c r="W210" s="228">
        <f t="shared" si="141"/>
        <v>0</v>
      </c>
      <c r="X210" s="235">
        <v>0</v>
      </c>
      <c r="Y210" s="228">
        <f t="shared" si="156"/>
        <v>0</v>
      </c>
      <c r="Z210" s="228"/>
      <c r="AA210" s="228">
        <f t="shared" si="142"/>
        <v>0</v>
      </c>
      <c r="AB210" s="235">
        <v>0</v>
      </c>
      <c r="AC210" s="228">
        <f t="shared" si="138"/>
        <v>0</v>
      </c>
      <c r="AD210" s="228"/>
      <c r="AE210" s="228">
        <f t="shared" si="143"/>
        <v>0</v>
      </c>
      <c r="AF210" s="235">
        <v>0</v>
      </c>
      <c r="AG210" s="228">
        <f t="shared" si="137"/>
        <v>0</v>
      </c>
      <c r="AH210" s="228"/>
      <c r="AI210" s="228">
        <f t="shared" si="144"/>
        <v>0</v>
      </c>
      <c r="AJ210" s="235">
        <v>0</v>
      </c>
      <c r="AK210" s="228">
        <f t="shared" ref="AK210:AK273" si="162">K210*AJ210</f>
        <v>0</v>
      </c>
      <c r="AL210" s="228"/>
      <c r="AM210" s="228">
        <f t="shared" si="145"/>
        <v>0</v>
      </c>
      <c r="AN210" s="235">
        <v>0</v>
      </c>
      <c r="AO210" s="228">
        <f t="shared" ref="AO210:AO273" si="163">K210*AN210</f>
        <v>0</v>
      </c>
      <c r="AP210" s="228"/>
      <c r="AQ210" s="228">
        <f t="shared" si="146"/>
        <v>0</v>
      </c>
      <c r="AR210" s="228">
        <v>0</v>
      </c>
      <c r="AS210" s="228">
        <f t="shared" si="157"/>
        <v>0</v>
      </c>
      <c r="AT210" s="228"/>
      <c r="AU210" s="228">
        <f t="shared" si="147"/>
        <v>0</v>
      </c>
      <c r="AV210" s="235">
        <v>0</v>
      </c>
      <c r="AW210" s="228">
        <f t="shared" si="158"/>
        <v>0</v>
      </c>
      <c r="AX210" s="228"/>
      <c r="AY210" s="228">
        <f t="shared" si="148"/>
        <v>0</v>
      </c>
      <c r="AZ210" s="228" t="s">
        <v>1457</v>
      </c>
      <c r="BA210" s="228">
        <f t="shared" si="161"/>
        <v>0</v>
      </c>
      <c r="BB210" s="228"/>
      <c r="BC210" s="228">
        <f t="shared" si="149"/>
        <v>0</v>
      </c>
      <c r="BD210" s="228">
        <v>0</v>
      </c>
      <c r="BE210" s="228">
        <f t="shared" si="159"/>
        <v>0</v>
      </c>
      <c r="BF210" s="228"/>
      <c r="BG210" s="228">
        <f t="shared" si="150"/>
        <v>0</v>
      </c>
      <c r="BH210" s="228">
        <v>0</v>
      </c>
      <c r="BI210" s="228">
        <f t="shared" si="132"/>
        <v>0</v>
      </c>
      <c r="BJ210" s="228"/>
      <c r="BK210" s="228">
        <f t="shared" si="151"/>
        <v>0</v>
      </c>
      <c r="BL210" s="228" t="s">
        <v>1457</v>
      </c>
      <c r="BM210" s="220">
        <f t="shared" si="139"/>
        <v>0</v>
      </c>
      <c r="BN210" s="283"/>
      <c r="BO210" s="220">
        <f t="shared" si="152"/>
        <v>0</v>
      </c>
      <c r="BP210" s="220">
        <f t="shared" si="153"/>
        <v>0</v>
      </c>
      <c r="BQ210" s="220">
        <f t="shared" si="154"/>
        <v>0</v>
      </c>
      <c r="BR210" s="220">
        <f t="shared" si="155"/>
        <v>0</v>
      </c>
      <c r="BS210" s="220" t="s">
        <v>39</v>
      </c>
      <c r="BT210" s="229" t="s">
        <v>39</v>
      </c>
      <c r="BU210" s="322"/>
      <c r="BV210" s="230" t="s">
        <v>773</v>
      </c>
      <c r="BW210" s="231"/>
    </row>
    <row r="211" s="209" customFormat="1" ht="24" customHeight="1" spans="1:75">
      <c r="A211" s="219">
        <v>246</v>
      </c>
      <c r="B211" s="220" t="s">
        <v>869</v>
      </c>
      <c r="C211" s="221" t="s">
        <v>443</v>
      </c>
      <c r="D211" s="221" t="s">
        <v>762</v>
      </c>
      <c r="E211" s="221" t="s">
        <v>763</v>
      </c>
      <c r="F211" s="219" t="s">
        <v>81</v>
      </c>
      <c r="G211" s="222" t="s">
        <v>1462</v>
      </c>
      <c r="H211" s="233" t="s">
        <v>39</v>
      </c>
      <c r="I211" s="237" t="s">
        <v>316</v>
      </c>
      <c r="J211" s="222" t="s">
        <v>800</v>
      </c>
      <c r="K211" s="223" cm="1">
        <f t="array" ref="K211">_xlfn.XLOOKUP(D211&amp;E211&amp;H211&amp;I211&amp;J211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1151.62</v>
      </c>
      <c r="L211" s="223"/>
      <c r="M211" s="224"/>
      <c r="N211" s="253"/>
      <c r="O211" s="226">
        <v>250000</v>
      </c>
      <c r="P211" s="247">
        <v>0.28</v>
      </c>
      <c r="Q211" s="228">
        <f t="shared" si="160"/>
        <v>322.4536</v>
      </c>
      <c r="R211" s="282"/>
      <c r="S211" s="228">
        <f t="shared" si="140"/>
        <v>322.4536</v>
      </c>
      <c r="T211" s="235">
        <v>0</v>
      </c>
      <c r="U211" s="228">
        <f t="shared" si="136"/>
        <v>0</v>
      </c>
      <c r="V211" s="228"/>
      <c r="W211" s="228">
        <f t="shared" si="141"/>
        <v>0</v>
      </c>
      <c r="X211" s="235">
        <v>0</v>
      </c>
      <c r="Y211" s="228">
        <f t="shared" si="156"/>
        <v>0</v>
      </c>
      <c r="Z211" s="228"/>
      <c r="AA211" s="228">
        <f t="shared" si="142"/>
        <v>0</v>
      </c>
      <c r="AB211" s="235">
        <v>0</v>
      </c>
      <c r="AC211" s="228">
        <f t="shared" si="138"/>
        <v>0</v>
      </c>
      <c r="AD211" s="228"/>
      <c r="AE211" s="228">
        <f t="shared" si="143"/>
        <v>0</v>
      </c>
      <c r="AF211" s="235">
        <v>0</v>
      </c>
      <c r="AG211" s="228">
        <f t="shared" si="137"/>
        <v>0</v>
      </c>
      <c r="AH211" s="228"/>
      <c r="AI211" s="228">
        <f t="shared" si="144"/>
        <v>0</v>
      </c>
      <c r="AJ211" s="235">
        <v>0</v>
      </c>
      <c r="AK211" s="228">
        <f t="shared" si="162"/>
        <v>0</v>
      </c>
      <c r="AL211" s="228"/>
      <c r="AM211" s="228">
        <f t="shared" si="145"/>
        <v>0</v>
      </c>
      <c r="AN211" s="235">
        <v>0</v>
      </c>
      <c r="AO211" s="228">
        <f t="shared" si="163"/>
        <v>0</v>
      </c>
      <c r="AP211" s="228"/>
      <c r="AQ211" s="228">
        <f t="shared" si="146"/>
        <v>0</v>
      </c>
      <c r="AR211" s="228">
        <v>0</v>
      </c>
      <c r="AS211" s="228">
        <f t="shared" si="157"/>
        <v>0</v>
      </c>
      <c r="AT211" s="228"/>
      <c r="AU211" s="228">
        <f t="shared" si="147"/>
        <v>0</v>
      </c>
      <c r="AV211" s="235">
        <v>0</v>
      </c>
      <c r="AW211" s="228">
        <f t="shared" si="158"/>
        <v>0</v>
      </c>
      <c r="AX211" s="228"/>
      <c r="AY211" s="228">
        <f t="shared" si="148"/>
        <v>0</v>
      </c>
      <c r="AZ211" s="228" t="s">
        <v>1457</v>
      </c>
      <c r="BA211" s="228">
        <f t="shared" si="161"/>
        <v>0</v>
      </c>
      <c r="BB211" s="228"/>
      <c r="BC211" s="228">
        <f t="shared" si="149"/>
        <v>0</v>
      </c>
      <c r="BD211" s="228">
        <v>0</v>
      </c>
      <c r="BE211" s="228">
        <f t="shared" si="159"/>
        <v>0</v>
      </c>
      <c r="BF211" s="228"/>
      <c r="BG211" s="228">
        <f t="shared" si="150"/>
        <v>0</v>
      </c>
      <c r="BH211" s="228">
        <v>0</v>
      </c>
      <c r="BI211" s="228">
        <f t="shared" si="132"/>
        <v>0</v>
      </c>
      <c r="BJ211" s="228"/>
      <c r="BK211" s="228">
        <f t="shared" si="151"/>
        <v>0</v>
      </c>
      <c r="BL211" s="228" t="s">
        <v>1457</v>
      </c>
      <c r="BM211" s="220">
        <f t="shared" si="139"/>
        <v>0</v>
      </c>
      <c r="BN211" s="283"/>
      <c r="BO211" s="220">
        <f t="shared" si="152"/>
        <v>0</v>
      </c>
      <c r="BP211" s="220">
        <f t="shared" si="153"/>
        <v>322.4536</v>
      </c>
      <c r="BQ211" s="220">
        <f t="shared" si="154"/>
        <v>0</v>
      </c>
      <c r="BR211" s="220">
        <f t="shared" si="155"/>
        <v>322.4536</v>
      </c>
      <c r="BS211" s="220" t="s">
        <v>39</v>
      </c>
      <c r="BT211" s="229" t="s">
        <v>39</v>
      </c>
      <c r="BU211" s="322"/>
      <c r="BV211" s="230" t="s">
        <v>773</v>
      </c>
      <c r="BW211" s="231"/>
    </row>
    <row r="212" s="209" customFormat="1" ht="41.25" customHeight="1" spans="1:75">
      <c r="A212" s="219">
        <v>247</v>
      </c>
      <c r="B212" s="220" t="s">
        <v>873</v>
      </c>
      <c r="C212" s="221" t="s">
        <v>443</v>
      </c>
      <c r="D212" s="221" t="s">
        <v>762</v>
      </c>
      <c r="E212" s="221" t="s">
        <v>763</v>
      </c>
      <c r="F212" s="219" t="s">
        <v>81</v>
      </c>
      <c r="G212" s="222" t="s">
        <v>1462</v>
      </c>
      <c r="H212" s="233" t="s">
        <v>39</v>
      </c>
      <c r="I212" s="232" t="s">
        <v>802</v>
      </c>
      <c r="J212" s="222" t="s">
        <v>803</v>
      </c>
      <c r="K212" s="223" cm="1">
        <f t="array" ref="K212">_xlfn.XLOOKUP(D212&amp;E212&amp;H212&amp;I212&amp;J212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3020.33</v>
      </c>
      <c r="L212" s="223"/>
      <c r="M212" s="224"/>
      <c r="N212" s="253"/>
      <c r="O212" s="226">
        <v>340000</v>
      </c>
      <c r="P212" s="228" t="s">
        <v>1518</v>
      </c>
      <c r="Q212" s="228">
        <v>8000</v>
      </c>
      <c r="R212" s="282"/>
      <c r="S212" s="228">
        <f t="shared" si="140"/>
        <v>8000</v>
      </c>
      <c r="T212" s="235">
        <v>0</v>
      </c>
      <c r="U212" s="228">
        <f t="shared" si="136"/>
        <v>0</v>
      </c>
      <c r="V212" s="228"/>
      <c r="W212" s="228">
        <f t="shared" si="141"/>
        <v>0</v>
      </c>
      <c r="X212" s="235">
        <v>0</v>
      </c>
      <c r="Y212" s="228">
        <f t="shared" si="156"/>
        <v>0</v>
      </c>
      <c r="Z212" s="228"/>
      <c r="AA212" s="228">
        <f t="shared" si="142"/>
        <v>0</v>
      </c>
      <c r="AB212" s="235">
        <v>0</v>
      </c>
      <c r="AC212" s="228">
        <f t="shared" si="138"/>
        <v>0</v>
      </c>
      <c r="AD212" s="228"/>
      <c r="AE212" s="228">
        <f t="shared" si="143"/>
        <v>0</v>
      </c>
      <c r="AF212" s="235">
        <v>0</v>
      </c>
      <c r="AG212" s="228">
        <f t="shared" si="137"/>
        <v>0</v>
      </c>
      <c r="AH212" s="228"/>
      <c r="AI212" s="228">
        <f t="shared" si="144"/>
        <v>0</v>
      </c>
      <c r="AJ212" s="235">
        <v>0</v>
      </c>
      <c r="AK212" s="228">
        <f t="shared" si="162"/>
        <v>0</v>
      </c>
      <c r="AL212" s="228"/>
      <c r="AM212" s="228">
        <f t="shared" si="145"/>
        <v>0</v>
      </c>
      <c r="AN212" s="235">
        <v>0</v>
      </c>
      <c r="AO212" s="228">
        <f t="shared" si="163"/>
        <v>0</v>
      </c>
      <c r="AP212" s="228"/>
      <c r="AQ212" s="228">
        <f t="shared" si="146"/>
        <v>0</v>
      </c>
      <c r="AR212" s="228">
        <v>0</v>
      </c>
      <c r="AS212" s="228">
        <f t="shared" si="157"/>
        <v>0</v>
      </c>
      <c r="AT212" s="228"/>
      <c r="AU212" s="228">
        <f t="shared" si="147"/>
        <v>0</v>
      </c>
      <c r="AV212" s="228" t="s">
        <v>1457</v>
      </c>
      <c r="AW212" s="228">
        <f>AX212</f>
        <v>649.74</v>
      </c>
      <c r="AX212" s="228">
        <v>649.74</v>
      </c>
      <c r="AY212" s="228">
        <f t="shared" si="148"/>
        <v>0</v>
      </c>
      <c r="AZ212" s="228" t="s">
        <v>1457</v>
      </c>
      <c r="BA212" s="228">
        <f t="shared" si="161"/>
        <v>0</v>
      </c>
      <c r="BB212" s="228"/>
      <c r="BC212" s="228">
        <f t="shared" si="149"/>
        <v>0</v>
      </c>
      <c r="BD212" s="228">
        <v>0</v>
      </c>
      <c r="BE212" s="228">
        <f t="shared" si="159"/>
        <v>0</v>
      </c>
      <c r="BF212" s="228"/>
      <c r="BG212" s="228">
        <f t="shared" si="150"/>
        <v>0</v>
      </c>
      <c r="BH212" s="228">
        <v>0</v>
      </c>
      <c r="BI212" s="228">
        <f t="shared" si="132"/>
        <v>0</v>
      </c>
      <c r="BJ212" s="228"/>
      <c r="BK212" s="228">
        <f t="shared" si="151"/>
        <v>0</v>
      </c>
      <c r="BL212" s="228" t="s">
        <v>1457</v>
      </c>
      <c r="BM212" s="220">
        <f t="shared" si="139"/>
        <v>0</v>
      </c>
      <c r="BN212" s="283"/>
      <c r="BO212" s="220">
        <f t="shared" si="152"/>
        <v>0</v>
      </c>
      <c r="BP212" s="220">
        <f t="shared" si="153"/>
        <v>8649.74</v>
      </c>
      <c r="BQ212" s="220">
        <f t="shared" si="154"/>
        <v>649.74</v>
      </c>
      <c r="BR212" s="220">
        <f t="shared" si="155"/>
        <v>8000</v>
      </c>
      <c r="BS212" s="220" t="s">
        <v>39</v>
      </c>
      <c r="BT212" s="229" t="s">
        <v>39</v>
      </c>
      <c r="BU212" s="230" t="s">
        <v>804</v>
      </c>
      <c r="BV212" s="230" t="s">
        <v>805</v>
      </c>
      <c r="BW212" s="231"/>
    </row>
    <row r="213" s="209" customFormat="1" ht="31.5" customHeight="1" spans="1:75">
      <c r="A213" s="219">
        <v>248</v>
      </c>
      <c r="B213" s="220" t="s">
        <v>877</v>
      </c>
      <c r="C213" s="221" t="s">
        <v>443</v>
      </c>
      <c r="D213" s="221" t="s">
        <v>762</v>
      </c>
      <c r="E213" s="221" t="s">
        <v>763</v>
      </c>
      <c r="F213" s="219" t="s">
        <v>81</v>
      </c>
      <c r="G213" s="222" t="s">
        <v>1462</v>
      </c>
      <c r="H213" s="233" t="s">
        <v>39</v>
      </c>
      <c r="I213" s="232" t="s">
        <v>807</v>
      </c>
      <c r="J213" s="222" t="s">
        <v>808</v>
      </c>
      <c r="K213" s="223" cm="1">
        <f t="array" ref="K213">_xlfn.XLOOKUP(D213&amp;E213&amp;H213&amp;I213&amp;J213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2070.6</v>
      </c>
      <c r="L213" s="223"/>
      <c r="M213" s="224"/>
      <c r="N213" s="253"/>
      <c r="O213" s="226">
        <v>320000</v>
      </c>
      <c r="P213" s="228" t="s">
        <v>1519</v>
      </c>
      <c r="Q213" s="228">
        <v>9000</v>
      </c>
      <c r="R213" s="282">
        <v>38154.87</v>
      </c>
      <c r="S213" s="228">
        <f t="shared" si="140"/>
        <v>-29154.87</v>
      </c>
      <c r="T213" s="235">
        <v>0</v>
      </c>
      <c r="U213" s="228">
        <f t="shared" si="136"/>
        <v>0</v>
      </c>
      <c r="V213" s="228"/>
      <c r="W213" s="228">
        <f t="shared" si="141"/>
        <v>0</v>
      </c>
      <c r="X213" s="235">
        <v>0</v>
      </c>
      <c r="Y213" s="228">
        <f t="shared" si="156"/>
        <v>0</v>
      </c>
      <c r="Z213" s="228"/>
      <c r="AA213" s="228">
        <f t="shared" si="142"/>
        <v>0</v>
      </c>
      <c r="AB213" s="235">
        <v>0</v>
      </c>
      <c r="AC213" s="228">
        <f t="shared" si="138"/>
        <v>0</v>
      </c>
      <c r="AD213" s="228"/>
      <c r="AE213" s="228">
        <f t="shared" si="143"/>
        <v>0</v>
      </c>
      <c r="AF213" s="235">
        <v>0</v>
      </c>
      <c r="AG213" s="228">
        <f t="shared" si="137"/>
        <v>0</v>
      </c>
      <c r="AH213" s="228"/>
      <c r="AI213" s="228">
        <f t="shared" si="144"/>
        <v>0</v>
      </c>
      <c r="AJ213" s="235">
        <v>0</v>
      </c>
      <c r="AK213" s="228">
        <f t="shared" si="162"/>
        <v>0</v>
      </c>
      <c r="AL213" s="228"/>
      <c r="AM213" s="228">
        <f t="shared" si="145"/>
        <v>0</v>
      </c>
      <c r="AN213" s="235">
        <v>0</v>
      </c>
      <c r="AO213" s="228">
        <f t="shared" si="163"/>
        <v>0</v>
      </c>
      <c r="AP213" s="228"/>
      <c r="AQ213" s="228">
        <f t="shared" si="146"/>
        <v>0</v>
      </c>
      <c r="AR213" s="228">
        <v>0</v>
      </c>
      <c r="AS213" s="228">
        <f t="shared" si="157"/>
        <v>0</v>
      </c>
      <c r="AT213" s="228"/>
      <c r="AU213" s="228">
        <f t="shared" si="147"/>
        <v>0</v>
      </c>
      <c r="AV213" s="228" t="s">
        <v>1457</v>
      </c>
      <c r="AW213" s="228">
        <f>AX213</f>
        <v>319.93</v>
      </c>
      <c r="AX213" s="228">
        <v>319.93</v>
      </c>
      <c r="AY213" s="228">
        <f t="shared" si="148"/>
        <v>0</v>
      </c>
      <c r="AZ213" s="228" t="s">
        <v>1457</v>
      </c>
      <c r="BA213" s="228">
        <f t="shared" si="161"/>
        <v>0</v>
      </c>
      <c r="BB213" s="228"/>
      <c r="BC213" s="228">
        <f t="shared" si="149"/>
        <v>0</v>
      </c>
      <c r="BD213" s="228">
        <v>0</v>
      </c>
      <c r="BE213" s="228">
        <f t="shared" si="159"/>
        <v>0</v>
      </c>
      <c r="BF213" s="228"/>
      <c r="BG213" s="228">
        <f t="shared" si="150"/>
        <v>0</v>
      </c>
      <c r="BH213" s="228">
        <v>0</v>
      </c>
      <c r="BI213" s="228">
        <f t="shared" si="132"/>
        <v>0</v>
      </c>
      <c r="BJ213" s="228"/>
      <c r="BK213" s="228">
        <f t="shared" si="151"/>
        <v>0</v>
      </c>
      <c r="BL213" s="228" t="s">
        <v>1457</v>
      </c>
      <c r="BM213" s="220">
        <f t="shared" si="139"/>
        <v>0</v>
      </c>
      <c r="BN213" s="283"/>
      <c r="BO213" s="220">
        <f t="shared" si="152"/>
        <v>0</v>
      </c>
      <c r="BP213" s="220">
        <f t="shared" si="153"/>
        <v>9319.93</v>
      </c>
      <c r="BQ213" s="220">
        <f t="shared" si="154"/>
        <v>38474.8</v>
      </c>
      <c r="BR213" s="220">
        <f t="shared" si="155"/>
        <v>-29154.87</v>
      </c>
      <c r="BS213" s="220" t="s">
        <v>39</v>
      </c>
      <c r="BT213" s="229" t="s">
        <v>39</v>
      </c>
      <c r="BU213" s="230" t="s">
        <v>804</v>
      </c>
      <c r="BV213" s="230" t="s">
        <v>809</v>
      </c>
      <c r="BW213" s="231"/>
    </row>
    <row r="214" s="209" customFormat="1" ht="36" customHeight="1" spans="1:75">
      <c r="A214" s="219">
        <v>250</v>
      </c>
      <c r="B214" s="220" t="s">
        <v>884</v>
      </c>
      <c r="C214" s="221" t="s">
        <v>443</v>
      </c>
      <c r="D214" s="221" t="s">
        <v>810</v>
      </c>
      <c r="E214" s="221" t="s">
        <v>811</v>
      </c>
      <c r="F214" s="219" t="s">
        <v>81</v>
      </c>
      <c r="G214" s="222" t="s">
        <v>1462</v>
      </c>
      <c r="H214" s="233" t="s">
        <v>39</v>
      </c>
      <c r="I214" s="237" t="s">
        <v>813</v>
      </c>
      <c r="J214" s="219" t="s">
        <v>814</v>
      </c>
      <c r="K214" s="223" cm="1">
        <f t="array" ref="K214">_xlfn.XLOOKUP(D214&amp;E214&amp;H214&amp;I214&amp;J214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11398.61</v>
      </c>
      <c r="L214" s="223"/>
      <c r="M214" s="224"/>
      <c r="N214" s="323"/>
      <c r="O214" s="226">
        <v>732000</v>
      </c>
      <c r="P214" s="247">
        <v>0.29</v>
      </c>
      <c r="Q214" s="228">
        <f t="shared" ref="Q214:Q267" si="164">K214*P214</f>
        <v>3305.5969</v>
      </c>
      <c r="R214" s="324">
        <v>142572.81</v>
      </c>
      <c r="S214" s="228">
        <f t="shared" si="140"/>
        <v>-139267.2131</v>
      </c>
      <c r="T214" s="235">
        <v>0</v>
      </c>
      <c r="U214" s="228">
        <f t="shared" si="136"/>
        <v>0</v>
      </c>
      <c r="V214" s="228"/>
      <c r="W214" s="228">
        <f t="shared" si="141"/>
        <v>0</v>
      </c>
      <c r="X214" s="235">
        <v>0</v>
      </c>
      <c r="Y214" s="228">
        <f t="shared" si="156"/>
        <v>0</v>
      </c>
      <c r="Z214" s="228"/>
      <c r="AA214" s="228">
        <f t="shared" si="142"/>
        <v>0</v>
      </c>
      <c r="AB214" s="235">
        <v>0</v>
      </c>
      <c r="AC214" s="228">
        <f t="shared" si="138"/>
        <v>0</v>
      </c>
      <c r="AD214" s="228"/>
      <c r="AE214" s="228">
        <f t="shared" si="143"/>
        <v>0</v>
      </c>
      <c r="AF214" s="235">
        <v>0</v>
      </c>
      <c r="AG214" s="228">
        <f t="shared" si="137"/>
        <v>0</v>
      </c>
      <c r="AH214" s="228"/>
      <c r="AI214" s="228">
        <f t="shared" si="144"/>
        <v>0</v>
      </c>
      <c r="AJ214" s="235">
        <v>0</v>
      </c>
      <c r="AK214" s="228">
        <f t="shared" si="162"/>
        <v>0</v>
      </c>
      <c r="AL214" s="228"/>
      <c r="AM214" s="228">
        <f t="shared" si="145"/>
        <v>0</v>
      </c>
      <c r="AN214" s="235">
        <v>0</v>
      </c>
      <c r="AO214" s="228">
        <f t="shared" si="163"/>
        <v>0</v>
      </c>
      <c r="AP214" s="228"/>
      <c r="AQ214" s="228">
        <f t="shared" si="146"/>
        <v>0</v>
      </c>
      <c r="AR214" s="228">
        <v>0</v>
      </c>
      <c r="AS214" s="228">
        <f t="shared" si="157"/>
        <v>0</v>
      </c>
      <c r="AT214" s="228"/>
      <c r="AU214" s="228">
        <f t="shared" si="147"/>
        <v>0</v>
      </c>
      <c r="AV214" s="235">
        <v>0</v>
      </c>
      <c r="AW214" s="228">
        <f t="shared" ref="AW214:AW226" si="165">K214*AV214</f>
        <v>0</v>
      </c>
      <c r="AX214" s="228"/>
      <c r="AY214" s="228">
        <f t="shared" si="148"/>
        <v>0</v>
      </c>
      <c r="AZ214" s="228" t="s">
        <v>1457</v>
      </c>
      <c r="BA214" s="228">
        <f t="shared" si="161"/>
        <v>0</v>
      </c>
      <c r="BB214" s="265"/>
      <c r="BC214" s="228">
        <f t="shared" si="149"/>
        <v>0</v>
      </c>
      <c r="BD214" s="228" t="s">
        <v>1520</v>
      </c>
      <c r="BE214" s="228">
        <v>50</v>
      </c>
      <c r="BF214" s="265"/>
      <c r="BG214" s="228">
        <f t="shared" si="150"/>
        <v>50</v>
      </c>
      <c r="BH214" s="228">
        <v>0</v>
      </c>
      <c r="BI214" s="228">
        <f t="shared" si="132"/>
        <v>0</v>
      </c>
      <c r="BJ214" s="325"/>
      <c r="BK214" s="228">
        <f t="shared" si="151"/>
        <v>0</v>
      </c>
      <c r="BL214" s="228" t="s">
        <v>1457</v>
      </c>
      <c r="BM214" s="220">
        <f t="shared" si="139"/>
        <v>36356.41</v>
      </c>
      <c r="BN214" s="243">
        <v>36356.41</v>
      </c>
      <c r="BO214" s="220">
        <f t="shared" si="152"/>
        <v>0</v>
      </c>
      <c r="BP214" s="220">
        <f t="shared" si="153"/>
        <v>39712.0069</v>
      </c>
      <c r="BQ214" s="220">
        <f t="shared" si="154"/>
        <v>178929.22</v>
      </c>
      <c r="BR214" s="220">
        <f t="shared" si="155"/>
        <v>-139217.2131</v>
      </c>
      <c r="BS214" s="254" t="s">
        <v>39</v>
      </c>
      <c r="BT214" s="229" t="s">
        <v>39</v>
      </c>
      <c r="BU214" s="230"/>
      <c r="BV214" s="230" t="s">
        <v>815</v>
      </c>
      <c r="BW214" s="231"/>
    </row>
    <row r="215" s="209" customFormat="1" ht="36" customHeight="1" spans="1:75">
      <c r="A215" s="219">
        <v>251</v>
      </c>
      <c r="B215" s="220" t="s">
        <v>887</v>
      </c>
      <c r="C215" s="221" t="s">
        <v>443</v>
      </c>
      <c r="D215" s="221" t="s">
        <v>810</v>
      </c>
      <c r="E215" s="221" t="s">
        <v>811</v>
      </c>
      <c r="F215" s="219" t="s">
        <v>81</v>
      </c>
      <c r="G215" s="222" t="s">
        <v>1462</v>
      </c>
      <c r="H215" s="233" t="s">
        <v>39</v>
      </c>
      <c r="I215" s="237" t="s">
        <v>818</v>
      </c>
      <c r="J215" s="219" t="s">
        <v>819</v>
      </c>
      <c r="K215" s="223" cm="1">
        <f t="array" ref="K215">_xlfn.XLOOKUP(D215&amp;E215&amp;H215&amp;I215&amp;J215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4825.61</v>
      </c>
      <c r="L215" s="223"/>
      <c r="M215" s="224"/>
      <c r="N215" s="323"/>
      <c r="O215" s="226">
        <v>316800</v>
      </c>
      <c r="P215" s="247">
        <v>0.29</v>
      </c>
      <c r="Q215" s="228">
        <f t="shared" si="164"/>
        <v>1399.4269</v>
      </c>
      <c r="R215" s="324"/>
      <c r="S215" s="228">
        <f t="shared" si="140"/>
        <v>1399.4269</v>
      </c>
      <c r="T215" s="235">
        <v>0</v>
      </c>
      <c r="U215" s="228">
        <f t="shared" si="136"/>
        <v>0</v>
      </c>
      <c r="V215" s="228"/>
      <c r="W215" s="228">
        <f t="shared" si="141"/>
        <v>0</v>
      </c>
      <c r="X215" s="235">
        <v>0</v>
      </c>
      <c r="Y215" s="228">
        <f t="shared" si="156"/>
        <v>0</v>
      </c>
      <c r="Z215" s="228"/>
      <c r="AA215" s="228">
        <f t="shared" si="142"/>
        <v>0</v>
      </c>
      <c r="AB215" s="235">
        <v>0</v>
      </c>
      <c r="AC215" s="228">
        <f t="shared" si="138"/>
        <v>0</v>
      </c>
      <c r="AD215" s="228"/>
      <c r="AE215" s="228">
        <f t="shared" si="143"/>
        <v>0</v>
      </c>
      <c r="AF215" s="235">
        <v>0</v>
      </c>
      <c r="AG215" s="228">
        <f t="shared" si="137"/>
        <v>0</v>
      </c>
      <c r="AH215" s="228"/>
      <c r="AI215" s="228">
        <f t="shared" si="144"/>
        <v>0</v>
      </c>
      <c r="AJ215" s="235">
        <v>0</v>
      </c>
      <c r="AK215" s="228">
        <f t="shared" si="162"/>
        <v>0</v>
      </c>
      <c r="AL215" s="228"/>
      <c r="AM215" s="228">
        <f t="shared" si="145"/>
        <v>0</v>
      </c>
      <c r="AN215" s="235">
        <v>0</v>
      </c>
      <c r="AO215" s="228">
        <f t="shared" si="163"/>
        <v>0</v>
      </c>
      <c r="AP215" s="228"/>
      <c r="AQ215" s="228">
        <f t="shared" si="146"/>
        <v>0</v>
      </c>
      <c r="AR215" s="228">
        <v>0</v>
      </c>
      <c r="AS215" s="228">
        <f t="shared" si="157"/>
        <v>0</v>
      </c>
      <c r="AT215" s="228"/>
      <c r="AU215" s="228">
        <f t="shared" si="147"/>
        <v>0</v>
      </c>
      <c r="AV215" s="235">
        <v>0</v>
      </c>
      <c r="AW215" s="228">
        <f t="shared" si="165"/>
        <v>0</v>
      </c>
      <c r="AX215" s="228"/>
      <c r="AY215" s="228">
        <f t="shared" si="148"/>
        <v>0</v>
      </c>
      <c r="AZ215" s="228" t="s">
        <v>1457</v>
      </c>
      <c r="BA215" s="228">
        <f t="shared" si="161"/>
        <v>0</v>
      </c>
      <c r="BB215" s="265"/>
      <c r="BC215" s="228">
        <f t="shared" si="149"/>
        <v>0</v>
      </c>
      <c r="BD215" s="228" t="s">
        <v>1520</v>
      </c>
      <c r="BE215" s="228">
        <v>50</v>
      </c>
      <c r="BF215" s="265"/>
      <c r="BG215" s="228">
        <f t="shared" si="150"/>
        <v>50</v>
      </c>
      <c r="BH215" s="228">
        <v>0</v>
      </c>
      <c r="BI215" s="228">
        <f t="shared" si="132"/>
        <v>0</v>
      </c>
      <c r="BJ215" s="265"/>
      <c r="BK215" s="228">
        <f t="shared" si="151"/>
        <v>0</v>
      </c>
      <c r="BL215" s="228" t="s">
        <v>1457</v>
      </c>
      <c r="BM215" s="220">
        <f t="shared" si="139"/>
        <v>0</v>
      </c>
      <c r="BN215" s="243"/>
      <c r="BO215" s="220">
        <f t="shared" si="152"/>
        <v>0</v>
      </c>
      <c r="BP215" s="220">
        <f t="shared" si="153"/>
        <v>1449.4269</v>
      </c>
      <c r="BQ215" s="220">
        <f t="shared" si="154"/>
        <v>0</v>
      </c>
      <c r="BR215" s="220">
        <f t="shared" si="155"/>
        <v>1449.4269</v>
      </c>
      <c r="BS215" s="254" t="s">
        <v>39</v>
      </c>
      <c r="BT215" s="229" t="s">
        <v>39</v>
      </c>
      <c r="BU215" s="230"/>
      <c r="BV215" s="230" t="s">
        <v>815</v>
      </c>
      <c r="BW215" s="231"/>
    </row>
    <row r="216" s="209" customFormat="1" ht="41.25" customHeight="1" spans="1:75">
      <c r="A216" s="219">
        <v>252</v>
      </c>
      <c r="B216" s="220" t="s">
        <v>890</v>
      </c>
      <c r="C216" s="221" t="s">
        <v>443</v>
      </c>
      <c r="D216" s="221" t="s">
        <v>810</v>
      </c>
      <c r="E216" s="221" t="s">
        <v>811</v>
      </c>
      <c r="F216" s="219" t="s">
        <v>81</v>
      </c>
      <c r="G216" s="222" t="s">
        <v>1462</v>
      </c>
      <c r="H216" s="233" t="s">
        <v>39</v>
      </c>
      <c r="I216" s="237" t="s">
        <v>821</v>
      </c>
      <c r="J216" s="219" t="s">
        <v>822</v>
      </c>
      <c r="K216" s="223" cm="1">
        <f t="array" ref="K216">_xlfn.XLOOKUP(D216&amp;E216&amp;H216&amp;I216&amp;J216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16" s="223"/>
      <c r="M216" s="224"/>
      <c r="N216" s="323"/>
      <c r="O216" s="226">
        <v>667200</v>
      </c>
      <c r="P216" s="235">
        <v>0</v>
      </c>
      <c r="Q216" s="228">
        <f t="shared" si="164"/>
        <v>0</v>
      </c>
      <c r="R216" s="324"/>
      <c r="S216" s="228">
        <f t="shared" si="140"/>
        <v>0</v>
      </c>
      <c r="T216" s="235">
        <v>0</v>
      </c>
      <c r="U216" s="228">
        <f t="shared" si="136"/>
        <v>0</v>
      </c>
      <c r="V216" s="228"/>
      <c r="W216" s="228">
        <f t="shared" si="141"/>
        <v>0</v>
      </c>
      <c r="X216" s="235">
        <v>0</v>
      </c>
      <c r="Y216" s="228">
        <f t="shared" si="156"/>
        <v>0</v>
      </c>
      <c r="Z216" s="228"/>
      <c r="AA216" s="228">
        <f t="shared" si="142"/>
        <v>0</v>
      </c>
      <c r="AB216" s="235">
        <v>0</v>
      </c>
      <c r="AC216" s="228">
        <f t="shared" si="138"/>
        <v>0</v>
      </c>
      <c r="AD216" s="228"/>
      <c r="AE216" s="228">
        <f t="shared" si="143"/>
        <v>0</v>
      </c>
      <c r="AF216" s="235">
        <v>0</v>
      </c>
      <c r="AG216" s="228">
        <f t="shared" si="137"/>
        <v>0</v>
      </c>
      <c r="AH216" s="228"/>
      <c r="AI216" s="228">
        <f t="shared" si="144"/>
        <v>0</v>
      </c>
      <c r="AJ216" s="235">
        <v>0</v>
      </c>
      <c r="AK216" s="228">
        <f t="shared" si="162"/>
        <v>0</v>
      </c>
      <c r="AL216" s="228"/>
      <c r="AM216" s="228">
        <f t="shared" si="145"/>
        <v>0</v>
      </c>
      <c r="AN216" s="235">
        <v>0</v>
      </c>
      <c r="AO216" s="228">
        <f t="shared" si="163"/>
        <v>0</v>
      </c>
      <c r="AP216" s="228"/>
      <c r="AQ216" s="228">
        <f t="shared" si="146"/>
        <v>0</v>
      </c>
      <c r="AR216" s="228">
        <v>0</v>
      </c>
      <c r="AS216" s="228">
        <f t="shared" si="157"/>
        <v>0</v>
      </c>
      <c r="AT216" s="228"/>
      <c r="AU216" s="228">
        <f t="shared" si="147"/>
        <v>0</v>
      </c>
      <c r="AV216" s="235">
        <v>0</v>
      </c>
      <c r="AW216" s="228">
        <f t="shared" si="165"/>
        <v>0</v>
      </c>
      <c r="AX216" s="228"/>
      <c r="AY216" s="228">
        <f t="shared" si="148"/>
        <v>0</v>
      </c>
      <c r="AZ216" s="228" t="s">
        <v>1457</v>
      </c>
      <c r="BA216" s="228">
        <f t="shared" si="161"/>
        <v>0</v>
      </c>
      <c r="BB216" s="265"/>
      <c r="BC216" s="228">
        <f t="shared" si="149"/>
        <v>0</v>
      </c>
      <c r="BD216" s="228" t="s">
        <v>1520</v>
      </c>
      <c r="BE216" s="228">
        <v>50</v>
      </c>
      <c r="BF216" s="265"/>
      <c r="BG216" s="228">
        <f t="shared" si="150"/>
        <v>50</v>
      </c>
      <c r="BH216" s="228" t="s">
        <v>1521</v>
      </c>
      <c r="BI216" s="228">
        <f>K216*29%</f>
        <v>0</v>
      </c>
      <c r="BJ216" s="265">
        <v>830.27</v>
      </c>
      <c r="BK216" s="228">
        <f t="shared" si="151"/>
        <v>-830.27</v>
      </c>
      <c r="BL216" s="228" t="s">
        <v>1457</v>
      </c>
      <c r="BM216" s="220">
        <f t="shared" si="139"/>
        <v>0</v>
      </c>
      <c r="BN216" s="243"/>
      <c r="BO216" s="220">
        <f t="shared" si="152"/>
        <v>0</v>
      </c>
      <c r="BP216" s="220">
        <f t="shared" si="153"/>
        <v>50</v>
      </c>
      <c r="BQ216" s="220">
        <f t="shared" si="154"/>
        <v>830.27</v>
      </c>
      <c r="BR216" s="220">
        <f t="shared" si="155"/>
        <v>-780.27</v>
      </c>
      <c r="BS216" s="254" t="s">
        <v>39</v>
      </c>
      <c r="BT216" s="229" t="s">
        <v>39</v>
      </c>
      <c r="BU216" s="230" t="s">
        <v>824</v>
      </c>
      <c r="BV216" s="230" t="s">
        <v>825</v>
      </c>
      <c r="BW216" s="231"/>
    </row>
    <row r="217" s="209" customFormat="1" ht="36" customHeight="1" spans="1:75">
      <c r="A217" s="219">
        <v>253</v>
      </c>
      <c r="B217" s="220" t="s">
        <v>893</v>
      </c>
      <c r="C217" s="221" t="s">
        <v>443</v>
      </c>
      <c r="D217" s="221" t="s">
        <v>810</v>
      </c>
      <c r="E217" s="221" t="s">
        <v>811</v>
      </c>
      <c r="F217" s="219" t="s">
        <v>81</v>
      </c>
      <c r="G217" s="222" t="s">
        <v>1462</v>
      </c>
      <c r="H217" s="228" t="s">
        <v>39</v>
      </c>
      <c r="I217" s="237" t="s">
        <v>1522</v>
      </c>
      <c r="J217" s="219" t="s">
        <v>1523</v>
      </c>
      <c r="K217" s="223" cm="1">
        <f t="array" ref="K217">_xlfn.XLOOKUP(D217&amp;E217&amp;H217&amp;I217&amp;J217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17" s="223"/>
      <c r="M217" s="224"/>
      <c r="N217" s="323"/>
      <c r="O217" s="226"/>
      <c r="P217" s="251">
        <v>0.29</v>
      </c>
      <c r="Q217" s="228">
        <f t="shared" si="164"/>
        <v>0</v>
      </c>
      <c r="R217" s="324"/>
      <c r="S217" s="228">
        <f t="shared" si="140"/>
        <v>0</v>
      </c>
      <c r="T217" s="235">
        <v>0</v>
      </c>
      <c r="U217" s="228">
        <f t="shared" si="136"/>
        <v>0</v>
      </c>
      <c r="V217" s="228"/>
      <c r="W217" s="228">
        <f t="shared" si="141"/>
        <v>0</v>
      </c>
      <c r="X217" s="235">
        <v>0</v>
      </c>
      <c r="Y217" s="228">
        <f t="shared" si="156"/>
        <v>0</v>
      </c>
      <c r="Z217" s="228"/>
      <c r="AA217" s="228">
        <f t="shared" si="142"/>
        <v>0</v>
      </c>
      <c r="AB217" s="235">
        <v>0</v>
      </c>
      <c r="AC217" s="228">
        <f t="shared" si="138"/>
        <v>0</v>
      </c>
      <c r="AD217" s="228"/>
      <c r="AE217" s="228">
        <f t="shared" si="143"/>
        <v>0</v>
      </c>
      <c r="AF217" s="235">
        <v>0</v>
      </c>
      <c r="AG217" s="228">
        <f t="shared" si="137"/>
        <v>0</v>
      </c>
      <c r="AH217" s="228"/>
      <c r="AI217" s="228">
        <f t="shared" si="144"/>
        <v>0</v>
      </c>
      <c r="AJ217" s="235">
        <v>0</v>
      </c>
      <c r="AK217" s="228">
        <f t="shared" si="162"/>
        <v>0</v>
      </c>
      <c r="AL217" s="228"/>
      <c r="AM217" s="228">
        <f t="shared" si="145"/>
        <v>0</v>
      </c>
      <c r="AN217" s="235">
        <v>0</v>
      </c>
      <c r="AO217" s="228">
        <f t="shared" si="163"/>
        <v>0</v>
      </c>
      <c r="AP217" s="228"/>
      <c r="AQ217" s="228">
        <f t="shared" si="146"/>
        <v>0</v>
      </c>
      <c r="AR217" s="228">
        <v>0</v>
      </c>
      <c r="AS217" s="228">
        <f t="shared" si="157"/>
        <v>0</v>
      </c>
      <c r="AT217" s="228"/>
      <c r="AU217" s="228">
        <f t="shared" si="147"/>
        <v>0</v>
      </c>
      <c r="AV217" s="235">
        <v>0</v>
      </c>
      <c r="AW217" s="228">
        <f t="shared" si="165"/>
        <v>0</v>
      </c>
      <c r="AX217" s="228"/>
      <c r="AY217" s="228">
        <f t="shared" si="148"/>
        <v>0</v>
      </c>
      <c r="AZ217" s="228" t="s">
        <v>1457</v>
      </c>
      <c r="BA217" s="228">
        <f t="shared" si="161"/>
        <v>0</v>
      </c>
      <c r="BB217" s="265"/>
      <c r="BC217" s="228">
        <f t="shared" si="149"/>
        <v>0</v>
      </c>
      <c r="BD217" s="235" t="s">
        <v>1520</v>
      </c>
      <c r="BE217" s="228">
        <v>50</v>
      </c>
      <c r="BF217" s="265"/>
      <c r="BG217" s="228">
        <f t="shared" si="150"/>
        <v>50</v>
      </c>
      <c r="BH217" s="228">
        <v>0</v>
      </c>
      <c r="BI217" s="228">
        <f t="shared" ref="BI217:BI280" si="166">K217*BH217</f>
        <v>0</v>
      </c>
      <c r="BJ217" s="325"/>
      <c r="BK217" s="228">
        <f t="shared" si="151"/>
        <v>0</v>
      </c>
      <c r="BL217" s="228" t="s">
        <v>1457</v>
      </c>
      <c r="BM217" s="220">
        <f t="shared" si="139"/>
        <v>0</v>
      </c>
      <c r="BN217" s="243"/>
      <c r="BO217" s="220">
        <f t="shared" si="152"/>
        <v>0</v>
      </c>
      <c r="BP217" s="220">
        <f t="shared" si="153"/>
        <v>50</v>
      </c>
      <c r="BQ217" s="220">
        <f t="shared" si="154"/>
        <v>0</v>
      </c>
      <c r="BR217" s="220">
        <f t="shared" si="155"/>
        <v>50</v>
      </c>
      <c r="BS217" s="254"/>
      <c r="BT217" s="229"/>
      <c r="BU217" s="230"/>
      <c r="BV217" s="230"/>
      <c r="BW217" s="231"/>
    </row>
    <row r="218" s="209" customFormat="1" ht="36" customHeight="1" spans="1:75">
      <c r="A218" s="219">
        <v>254</v>
      </c>
      <c r="B218" s="220" t="s">
        <v>896</v>
      </c>
      <c r="C218" s="221" t="s">
        <v>443</v>
      </c>
      <c r="D218" s="221" t="s">
        <v>810</v>
      </c>
      <c r="E218" s="221" t="s">
        <v>811</v>
      </c>
      <c r="F218" s="219" t="s">
        <v>81</v>
      </c>
      <c r="G218" s="222" t="s">
        <v>1462</v>
      </c>
      <c r="H218" s="233" t="s">
        <v>39</v>
      </c>
      <c r="I218" s="237" t="s">
        <v>240</v>
      </c>
      <c r="J218" s="219" t="s">
        <v>827</v>
      </c>
      <c r="K218" s="223" cm="1">
        <f t="array" ref="K218">_xlfn.XLOOKUP(D218&amp;E218&amp;H218&amp;I218&amp;J218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36058.54</v>
      </c>
      <c r="L218" s="223"/>
      <c r="M218" s="224"/>
      <c r="N218" s="323"/>
      <c r="O218" s="226">
        <v>1519200</v>
      </c>
      <c r="P218" s="251">
        <v>0.22</v>
      </c>
      <c r="Q218" s="228">
        <f t="shared" si="164"/>
        <v>7932.8788</v>
      </c>
      <c r="R218" s="324"/>
      <c r="S218" s="228">
        <f t="shared" si="140"/>
        <v>7932.8788</v>
      </c>
      <c r="T218" s="235">
        <v>0</v>
      </c>
      <c r="U218" s="228">
        <f t="shared" si="136"/>
        <v>0</v>
      </c>
      <c r="V218" s="228"/>
      <c r="W218" s="228">
        <f t="shared" si="141"/>
        <v>0</v>
      </c>
      <c r="X218" s="235">
        <v>0</v>
      </c>
      <c r="Y218" s="228">
        <f t="shared" si="156"/>
        <v>0</v>
      </c>
      <c r="Z218" s="228"/>
      <c r="AA218" s="228">
        <f t="shared" si="142"/>
        <v>0</v>
      </c>
      <c r="AB218" s="235">
        <v>0</v>
      </c>
      <c r="AC218" s="228">
        <f t="shared" si="138"/>
        <v>0</v>
      </c>
      <c r="AD218" s="228"/>
      <c r="AE218" s="228">
        <f t="shared" si="143"/>
        <v>0</v>
      </c>
      <c r="AF218" s="235">
        <v>0</v>
      </c>
      <c r="AG218" s="228">
        <f t="shared" si="137"/>
        <v>0</v>
      </c>
      <c r="AH218" s="228"/>
      <c r="AI218" s="228">
        <f t="shared" si="144"/>
        <v>0</v>
      </c>
      <c r="AJ218" s="235">
        <v>0</v>
      </c>
      <c r="AK218" s="228">
        <f t="shared" si="162"/>
        <v>0</v>
      </c>
      <c r="AL218" s="228"/>
      <c r="AM218" s="228">
        <f t="shared" si="145"/>
        <v>0</v>
      </c>
      <c r="AN218" s="235">
        <v>0</v>
      </c>
      <c r="AO218" s="228">
        <f t="shared" si="163"/>
        <v>0</v>
      </c>
      <c r="AP218" s="228"/>
      <c r="AQ218" s="228">
        <f t="shared" si="146"/>
        <v>0</v>
      </c>
      <c r="AR218" s="228">
        <v>0</v>
      </c>
      <c r="AS218" s="228">
        <f t="shared" si="157"/>
        <v>0</v>
      </c>
      <c r="AT218" s="228"/>
      <c r="AU218" s="228">
        <f t="shared" si="147"/>
        <v>0</v>
      </c>
      <c r="AV218" s="235">
        <v>0</v>
      </c>
      <c r="AW218" s="228">
        <f t="shared" si="165"/>
        <v>0</v>
      </c>
      <c r="AX218" s="228"/>
      <c r="AY218" s="228">
        <f t="shared" si="148"/>
        <v>0</v>
      </c>
      <c r="AZ218" s="228" t="s">
        <v>1457</v>
      </c>
      <c r="BA218" s="228">
        <f t="shared" si="161"/>
        <v>0</v>
      </c>
      <c r="BB218" s="265"/>
      <c r="BC218" s="228">
        <f t="shared" si="149"/>
        <v>0</v>
      </c>
      <c r="BD218" s="235" t="s">
        <v>1520</v>
      </c>
      <c r="BE218" s="228">
        <v>50</v>
      </c>
      <c r="BF218" s="265"/>
      <c r="BG218" s="228">
        <f t="shared" si="150"/>
        <v>50</v>
      </c>
      <c r="BH218" s="228">
        <v>0</v>
      </c>
      <c r="BI218" s="228">
        <f t="shared" si="166"/>
        <v>0</v>
      </c>
      <c r="BJ218" s="325"/>
      <c r="BK218" s="228">
        <f t="shared" si="151"/>
        <v>0</v>
      </c>
      <c r="BL218" s="228" t="s">
        <v>1457</v>
      </c>
      <c r="BM218" s="220">
        <f t="shared" si="139"/>
        <v>0</v>
      </c>
      <c r="BN218" s="243"/>
      <c r="BO218" s="220">
        <f t="shared" si="152"/>
        <v>0</v>
      </c>
      <c r="BP218" s="220">
        <f t="shared" si="153"/>
        <v>7982.8788</v>
      </c>
      <c r="BQ218" s="220">
        <f t="shared" si="154"/>
        <v>0</v>
      </c>
      <c r="BR218" s="220">
        <f t="shared" si="155"/>
        <v>7982.8788</v>
      </c>
      <c r="BS218" s="254" t="s">
        <v>39</v>
      </c>
      <c r="BT218" s="229" t="s">
        <v>39</v>
      </c>
      <c r="BU218" s="230"/>
      <c r="BV218" s="230" t="s">
        <v>644</v>
      </c>
      <c r="BW218" s="231"/>
    </row>
    <row r="219" s="209" customFormat="1" ht="36" customHeight="1" spans="1:75">
      <c r="A219" s="219">
        <v>255</v>
      </c>
      <c r="B219" s="220" t="s">
        <v>899</v>
      </c>
      <c r="C219" s="221" t="s">
        <v>443</v>
      </c>
      <c r="D219" s="221" t="s">
        <v>810</v>
      </c>
      <c r="E219" s="221" t="s">
        <v>811</v>
      </c>
      <c r="F219" s="219" t="s">
        <v>81</v>
      </c>
      <c r="G219" s="222" t="s">
        <v>1462</v>
      </c>
      <c r="H219" s="233" t="s">
        <v>39</v>
      </c>
      <c r="I219" s="237" t="s">
        <v>589</v>
      </c>
      <c r="J219" s="239" t="s">
        <v>1524</v>
      </c>
      <c r="K219" s="223" cm="1">
        <f t="array" ref="K219">_xlfn.XLOOKUP(D219&amp;E219&amp;H219&amp;I219&amp;J219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11529.24</v>
      </c>
      <c r="L219" s="223"/>
      <c r="M219" s="224"/>
      <c r="N219" s="323"/>
      <c r="O219" s="226">
        <v>868800</v>
      </c>
      <c r="P219" s="251">
        <v>0.28</v>
      </c>
      <c r="Q219" s="228">
        <f t="shared" si="164"/>
        <v>3228.1872</v>
      </c>
      <c r="R219" s="324"/>
      <c r="S219" s="228">
        <f t="shared" si="140"/>
        <v>3228.1872</v>
      </c>
      <c r="T219" s="235">
        <v>0</v>
      </c>
      <c r="U219" s="228">
        <f t="shared" si="136"/>
        <v>0</v>
      </c>
      <c r="V219" s="228"/>
      <c r="W219" s="228">
        <f t="shared" si="141"/>
        <v>0</v>
      </c>
      <c r="X219" s="235">
        <v>0</v>
      </c>
      <c r="Y219" s="228">
        <f t="shared" si="156"/>
        <v>0</v>
      </c>
      <c r="Z219" s="228"/>
      <c r="AA219" s="228">
        <f t="shared" si="142"/>
        <v>0</v>
      </c>
      <c r="AB219" s="235">
        <v>0</v>
      </c>
      <c r="AC219" s="228">
        <f t="shared" si="138"/>
        <v>0</v>
      </c>
      <c r="AD219" s="228"/>
      <c r="AE219" s="228">
        <f t="shared" si="143"/>
        <v>0</v>
      </c>
      <c r="AF219" s="235">
        <v>0</v>
      </c>
      <c r="AG219" s="228">
        <f t="shared" si="137"/>
        <v>0</v>
      </c>
      <c r="AH219" s="228"/>
      <c r="AI219" s="228">
        <f t="shared" si="144"/>
        <v>0</v>
      </c>
      <c r="AJ219" s="235">
        <v>0</v>
      </c>
      <c r="AK219" s="228">
        <f t="shared" si="162"/>
        <v>0</v>
      </c>
      <c r="AL219" s="228"/>
      <c r="AM219" s="228">
        <f t="shared" si="145"/>
        <v>0</v>
      </c>
      <c r="AN219" s="235">
        <v>0</v>
      </c>
      <c r="AO219" s="228">
        <f t="shared" si="163"/>
        <v>0</v>
      </c>
      <c r="AP219" s="228"/>
      <c r="AQ219" s="228">
        <f t="shared" si="146"/>
        <v>0</v>
      </c>
      <c r="AR219" s="228">
        <v>0</v>
      </c>
      <c r="AS219" s="228">
        <f t="shared" si="157"/>
        <v>0</v>
      </c>
      <c r="AT219" s="228"/>
      <c r="AU219" s="228">
        <f t="shared" si="147"/>
        <v>0</v>
      </c>
      <c r="AV219" s="235">
        <v>0</v>
      </c>
      <c r="AW219" s="228">
        <f t="shared" si="165"/>
        <v>0</v>
      </c>
      <c r="AX219" s="228"/>
      <c r="AY219" s="228">
        <f t="shared" si="148"/>
        <v>0</v>
      </c>
      <c r="AZ219" s="228" t="s">
        <v>1457</v>
      </c>
      <c r="BA219" s="228">
        <f t="shared" si="161"/>
        <v>0</v>
      </c>
      <c r="BB219" s="265"/>
      <c r="BC219" s="228">
        <f t="shared" si="149"/>
        <v>0</v>
      </c>
      <c r="BD219" s="235" t="s">
        <v>1520</v>
      </c>
      <c r="BE219" s="228">
        <v>50</v>
      </c>
      <c r="BF219" s="265"/>
      <c r="BG219" s="228">
        <f t="shared" si="150"/>
        <v>50</v>
      </c>
      <c r="BH219" s="228">
        <v>0</v>
      </c>
      <c r="BI219" s="228">
        <f t="shared" si="166"/>
        <v>0</v>
      </c>
      <c r="BJ219" s="265"/>
      <c r="BK219" s="228">
        <f t="shared" si="151"/>
        <v>0</v>
      </c>
      <c r="BL219" s="228" t="s">
        <v>1457</v>
      </c>
      <c r="BM219" s="220">
        <f t="shared" si="139"/>
        <v>0</v>
      </c>
      <c r="BN219" s="243"/>
      <c r="BO219" s="220">
        <f t="shared" si="152"/>
        <v>0</v>
      </c>
      <c r="BP219" s="220">
        <f t="shared" si="153"/>
        <v>3278.1872</v>
      </c>
      <c r="BQ219" s="220">
        <f t="shared" si="154"/>
        <v>0</v>
      </c>
      <c r="BR219" s="220">
        <f t="shared" si="155"/>
        <v>3278.1872</v>
      </c>
      <c r="BS219" s="254" t="s">
        <v>39</v>
      </c>
      <c r="BT219" s="229" t="s">
        <v>39</v>
      </c>
      <c r="BU219" s="230"/>
      <c r="BV219" s="230" t="s">
        <v>644</v>
      </c>
      <c r="BW219" s="231"/>
    </row>
    <row r="220" s="209" customFormat="1" ht="36" customHeight="1" spans="1:75">
      <c r="A220" s="219">
        <v>256</v>
      </c>
      <c r="B220" s="220" t="s">
        <v>902</v>
      </c>
      <c r="C220" s="221" t="s">
        <v>443</v>
      </c>
      <c r="D220" s="221" t="s">
        <v>810</v>
      </c>
      <c r="E220" s="221" t="s">
        <v>811</v>
      </c>
      <c r="F220" s="219" t="s">
        <v>81</v>
      </c>
      <c r="G220" s="222" t="s">
        <v>1462</v>
      </c>
      <c r="H220" s="233" t="s">
        <v>39</v>
      </c>
      <c r="I220" s="237" t="s">
        <v>830</v>
      </c>
      <c r="J220" s="219" t="s">
        <v>831</v>
      </c>
      <c r="K220" s="223" cm="1">
        <f t="array" ref="K220">_xlfn.XLOOKUP(D220&amp;E220&amp;H220&amp;I220&amp;J220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20" s="223"/>
      <c r="M220" s="224"/>
      <c r="N220" s="323"/>
      <c r="O220" s="226">
        <v>780000</v>
      </c>
      <c r="P220" s="251">
        <v>0.29</v>
      </c>
      <c r="Q220" s="228">
        <f t="shared" si="164"/>
        <v>0</v>
      </c>
      <c r="R220" s="324"/>
      <c r="S220" s="228">
        <f t="shared" si="140"/>
        <v>0</v>
      </c>
      <c r="T220" s="235">
        <v>0</v>
      </c>
      <c r="U220" s="228">
        <f t="shared" si="136"/>
        <v>0</v>
      </c>
      <c r="V220" s="228"/>
      <c r="W220" s="228">
        <f t="shared" si="141"/>
        <v>0</v>
      </c>
      <c r="X220" s="235">
        <v>0</v>
      </c>
      <c r="Y220" s="228">
        <f t="shared" si="156"/>
        <v>0</v>
      </c>
      <c r="Z220" s="228"/>
      <c r="AA220" s="228">
        <f t="shared" si="142"/>
        <v>0</v>
      </c>
      <c r="AB220" s="235">
        <v>0</v>
      </c>
      <c r="AC220" s="228">
        <f t="shared" si="138"/>
        <v>0</v>
      </c>
      <c r="AD220" s="228"/>
      <c r="AE220" s="228">
        <f t="shared" si="143"/>
        <v>0</v>
      </c>
      <c r="AF220" s="235">
        <v>0</v>
      </c>
      <c r="AG220" s="228">
        <f t="shared" si="137"/>
        <v>0</v>
      </c>
      <c r="AH220" s="228"/>
      <c r="AI220" s="228">
        <f t="shared" si="144"/>
        <v>0</v>
      </c>
      <c r="AJ220" s="235">
        <v>0</v>
      </c>
      <c r="AK220" s="228">
        <f t="shared" si="162"/>
        <v>0</v>
      </c>
      <c r="AL220" s="228"/>
      <c r="AM220" s="228">
        <f t="shared" si="145"/>
        <v>0</v>
      </c>
      <c r="AN220" s="235">
        <v>0</v>
      </c>
      <c r="AO220" s="228">
        <f t="shared" si="163"/>
        <v>0</v>
      </c>
      <c r="AP220" s="228"/>
      <c r="AQ220" s="228">
        <f t="shared" si="146"/>
        <v>0</v>
      </c>
      <c r="AR220" s="228">
        <v>0</v>
      </c>
      <c r="AS220" s="228">
        <f t="shared" si="157"/>
        <v>0</v>
      </c>
      <c r="AT220" s="228"/>
      <c r="AU220" s="228">
        <f t="shared" si="147"/>
        <v>0</v>
      </c>
      <c r="AV220" s="235">
        <v>0</v>
      </c>
      <c r="AW220" s="228">
        <f t="shared" si="165"/>
        <v>0</v>
      </c>
      <c r="AX220" s="228"/>
      <c r="AY220" s="228">
        <f t="shared" si="148"/>
        <v>0</v>
      </c>
      <c r="AZ220" s="228" t="s">
        <v>1457</v>
      </c>
      <c r="BA220" s="228">
        <f t="shared" si="161"/>
        <v>0</v>
      </c>
      <c r="BB220" s="265"/>
      <c r="BC220" s="228">
        <f t="shared" si="149"/>
        <v>0</v>
      </c>
      <c r="BD220" s="235" t="s">
        <v>1520</v>
      </c>
      <c r="BE220" s="228">
        <v>50</v>
      </c>
      <c r="BF220" s="265"/>
      <c r="BG220" s="228">
        <f t="shared" si="150"/>
        <v>50</v>
      </c>
      <c r="BH220" s="228">
        <v>0</v>
      </c>
      <c r="BI220" s="228">
        <f t="shared" si="166"/>
        <v>0</v>
      </c>
      <c r="BJ220" s="326"/>
      <c r="BK220" s="228">
        <f t="shared" si="151"/>
        <v>0</v>
      </c>
      <c r="BL220" s="228" t="s">
        <v>1457</v>
      </c>
      <c r="BM220" s="220">
        <f t="shared" si="139"/>
        <v>0</v>
      </c>
      <c r="BN220" s="327"/>
      <c r="BO220" s="220">
        <f t="shared" si="152"/>
        <v>0</v>
      </c>
      <c r="BP220" s="220">
        <f t="shared" si="153"/>
        <v>50</v>
      </c>
      <c r="BQ220" s="220">
        <f t="shared" si="154"/>
        <v>0</v>
      </c>
      <c r="BR220" s="220">
        <f t="shared" si="155"/>
        <v>50</v>
      </c>
      <c r="BS220" s="254" t="s">
        <v>39</v>
      </c>
      <c r="BT220" s="229" t="s">
        <v>39</v>
      </c>
      <c r="BU220" s="230"/>
      <c r="BV220" s="230" t="s">
        <v>815</v>
      </c>
      <c r="BW220" s="231"/>
    </row>
    <row r="221" s="209" customFormat="1" ht="36" customHeight="1" spans="1:75">
      <c r="A221" s="219">
        <v>257</v>
      </c>
      <c r="B221" s="220" t="s">
        <v>904</v>
      </c>
      <c r="C221" s="221" t="s">
        <v>443</v>
      </c>
      <c r="D221" s="221" t="s">
        <v>810</v>
      </c>
      <c r="E221" s="221" t="s">
        <v>811</v>
      </c>
      <c r="F221" s="219" t="s">
        <v>81</v>
      </c>
      <c r="G221" s="222" t="s">
        <v>1462</v>
      </c>
      <c r="H221" s="233" t="s">
        <v>39</v>
      </c>
      <c r="I221" s="237" t="s">
        <v>673</v>
      </c>
      <c r="J221" s="219" t="s">
        <v>833</v>
      </c>
      <c r="K221" s="223" cm="1">
        <f t="array" ref="K221">_xlfn.XLOOKUP(D221&amp;E221&amp;H221&amp;I221&amp;J221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21" s="223"/>
      <c r="M221" s="224"/>
      <c r="N221" s="323">
        <v>23696.72</v>
      </c>
      <c r="O221" s="226">
        <v>333600</v>
      </c>
      <c r="P221" s="251">
        <v>0.29</v>
      </c>
      <c r="Q221" s="228">
        <f t="shared" si="164"/>
        <v>0</v>
      </c>
      <c r="R221" s="324"/>
      <c r="S221" s="228">
        <f t="shared" si="140"/>
        <v>0</v>
      </c>
      <c r="T221" s="235">
        <v>0</v>
      </c>
      <c r="U221" s="228">
        <f t="shared" si="136"/>
        <v>0</v>
      </c>
      <c r="V221" s="228"/>
      <c r="W221" s="228">
        <f t="shared" si="141"/>
        <v>0</v>
      </c>
      <c r="X221" s="235">
        <v>0</v>
      </c>
      <c r="Y221" s="228">
        <f t="shared" si="156"/>
        <v>0</v>
      </c>
      <c r="Z221" s="228"/>
      <c r="AA221" s="228">
        <f t="shared" si="142"/>
        <v>0</v>
      </c>
      <c r="AB221" s="235">
        <v>0</v>
      </c>
      <c r="AC221" s="228">
        <f t="shared" si="138"/>
        <v>0</v>
      </c>
      <c r="AD221" s="228"/>
      <c r="AE221" s="228">
        <f t="shared" si="143"/>
        <v>0</v>
      </c>
      <c r="AF221" s="235">
        <v>0</v>
      </c>
      <c r="AG221" s="228">
        <f t="shared" si="137"/>
        <v>0</v>
      </c>
      <c r="AH221" s="228"/>
      <c r="AI221" s="228">
        <f t="shared" si="144"/>
        <v>0</v>
      </c>
      <c r="AJ221" s="235">
        <v>0</v>
      </c>
      <c r="AK221" s="228">
        <f t="shared" si="162"/>
        <v>0</v>
      </c>
      <c r="AL221" s="228"/>
      <c r="AM221" s="228">
        <f t="shared" si="145"/>
        <v>0</v>
      </c>
      <c r="AN221" s="235">
        <v>0</v>
      </c>
      <c r="AO221" s="228">
        <f t="shared" si="163"/>
        <v>0</v>
      </c>
      <c r="AP221" s="228"/>
      <c r="AQ221" s="228">
        <f t="shared" si="146"/>
        <v>0</v>
      </c>
      <c r="AR221" s="228">
        <v>0</v>
      </c>
      <c r="AS221" s="228">
        <f t="shared" si="157"/>
        <v>0</v>
      </c>
      <c r="AT221" s="228"/>
      <c r="AU221" s="228">
        <f t="shared" si="147"/>
        <v>0</v>
      </c>
      <c r="AV221" s="235">
        <v>0</v>
      </c>
      <c r="AW221" s="228">
        <f t="shared" si="165"/>
        <v>0</v>
      </c>
      <c r="AX221" s="228"/>
      <c r="AY221" s="228">
        <f t="shared" si="148"/>
        <v>0</v>
      </c>
      <c r="AZ221" s="228" t="s">
        <v>1457</v>
      </c>
      <c r="BA221" s="228">
        <f t="shared" si="161"/>
        <v>-200</v>
      </c>
      <c r="BB221" s="265">
        <v>-200</v>
      </c>
      <c r="BC221" s="228">
        <f t="shared" si="149"/>
        <v>0</v>
      </c>
      <c r="BD221" s="235" t="s">
        <v>1520</v>
      </c>
      <c r="BE221" s="228">
        <v>50</v>
      </c>
      <c r="BF221" s="265">
        <v>176</v>
      </c>
      <c r="BG221" s="228">
        <f t="shared" si="150"/>
        <v>-126</v>
      </c>
      <c r="BH221" s="228">
        <v>0</v>
      </c>
      <c r="BI221" s="228">
        <f t="shared" si="166"/>
        <v>0</v>
      </c>
      <c r="BJ221" s="326"/>
      <c r="BK221" s="228">
        <f t="shared" si="151"/>
        <v>0</v>
      </c>
      <c r="BL221" s="228" t="s">
        <v>1457</v>
      </c>
      <c r="BM221" s="220">
        <f t="shared" si="139"/>
        <v>0</v>
      </c>
      <c r="BN221" s="327"/>
      <c r="BO221" s="220">
        <f t="shared" si="152"/>
        <v>0</v>
      </c>
      <c r="BP221" s="220">
        <f t="shared" si="153"/>
        <v>23546.72</v>
      </c>
      <c r="BQ221" s="220">
        <f t="shared" si="154"/>
        <v>23672.72</v>
      </c>
      <c r="BR221" s="220">
        <f t="shared" si="155"/>
        <v>-126</v>
      </c>
      <c r="BS221" s="254" t="s">
        <v>39</v>
      </c>
      <c r="BT221" s="229" t="s">
        <v>39</v>
      </c>
      <c r="BU221" s="230"/>
      <c r="BV221" s="230" t="s">
        <v>644</v>
      </c>
      <c r="BW221" s="231"/>
    </row>
    <row r="222" s="209" customFormat="1" ht="36" customHeight="1" spans="1:75">
      <c r="A222" s="219">
        <v>258</v>
      </c>
      <c r="B222" s="220" t="s">
        <v>907</v>
      </c>
      <c r="C222" s="221" t="s">
        <v>443</v>
      </c>
      <c r="D222" s="221" t="s">
        <v>810</v>
      </c>
      <c r="E222" s="221" t="s">
        <v>811</v>
      </c>
      <c r="F222" s="219" t="s">
        <v>81</v>
      </c>
      <c r="G222" s="222" t="s">
        <v>1462</v>
      </c>
      <c r="H222" s="233" t="s">
        <v>39</v>
      </c>
      <c r="I222" s="237" t="s">
        <v>91</v>
      </c>
      <c r="J222" s="219" t="s">
        <v>835</v>
      </c>
      <c r="K222" s="223" cm="1">
        <f t="array" ref="K222">_xlfn.XLOOKUP(D222&amp;E222&amp;H222&amp;I222&amp;J222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22" s="223"/>
      <c r="M222" s="224"/>
      <c r="N222" s="323"/>
      <c r="O222" s="226">
        <v>254400</v>
      </c>
      <c r="P222" s="251">
        <v>0.29</v>
      </c>
      <c r="Q222" s="228">
        <f t="shared" si="164"/>
        <v>0</v>
      </c>
      <c r="R222" s="324"/>
      <c r="S222" s="228">
        <f t="shared" si="140"/>
        <v>0</v>
      </c>
      <c r="T222" s="235">
        <v>0</v>
      </c>
      <c r="U222" s="228">
        <f t="shared" si="136"/>
        <v>0</v>
      </c>
      <c r="V222" s="228"/>
      <c r="W222" s="228">
        <f t="shared" si="141"/>
        <v>0</v>
      </c>
      <c r="X222" s="235">
        <v>0</v>
      </c>
      <c r="Y222" s="228">
        <f t="shared" si="156"/>
        <v>0</v>
      </c>
      <c r="Z222" s="228"/>
      <c r="AA222" s="228">
        <f t="shared" si="142"/>
        <v>0</v>
      </c>
      <c r="AB222" s="235">
        <v>0</v>
      </c>
      <c r="AC222" s="228">
        <f t="shared" si="138"/>
        <v>0</v>
      </c>
      <c r="AD222" s="228"/>
      <c r="AE222" s="228">
        <f t="shared" si="143"/>
        <v>0</v>
      </c>
      <c r="AF222" s="235">
        <v>0</v>
      </c>
      <c r="AG222" s="228">
        <f t="shared" si="137"/>
        <v>0</v>
      </c>
      <c r="AH222" s="228"/>
      <c r="AI222" s="228">
        <f t="shared" si="144"/>
        <v>0</v>
      </c>
      <c r="AJ222" s="235">
        <v>0</v>
      </c>
      <c r="AK222" s="228">
        <f t="shared" si="162"/>
        <v>0</v>
      </c>
      <c r="AL222" s="228"/>
      <c r="AM222" s="228">
        <f t="shared" si="145"/>
        <v>0</v>
      </c>
      <c r="AN222" s="235">
        <v>0</v>
      </c>
      <c r="AO222" s="228">
        <f t="shared" si="163"/>
        <v>0</v>
      </c>
      <c r="AP222" s="228"/>
      <c r="AQ222" s="228">
        <f t="shared" si="146"/>
        <v>0</v>
      </c>
      <c r="AR222" s="228">
        <v>0</v>
      </c>
      <c r="AS222" s="228">
        <f t="shared" si="157"/>
        <v>0</v>
      </c>
      <c r="AT222" s="228"/>
      <c r="AU222" s="228">
        <f t="shared" si="147"/>
        <v>0</v>
      </c>
      <c r="AV222" s="235">
        <v>0</v>
      </c>
      <c r="AW222" s="228">
        <f t="shared" si="165"/>
        <v>0</v>
      </c>
      <c r="AX222" s="228"/>
      <c r="AY222" s="228">
        <f t="shared" si="148"/>
        <v>0</v>
      </c>
      <c r="AZ222" s="228" t="s">
        <v>1457</v>
      </c>
      <c r="BA222" s="228">
        <f t="shared" si="161"/>
        <v>0</v>
      </c>
      <c r="BB222" s="265"/>
      <c r="BC222" s="228">
        <f t="shared" si="149"/>
        <v>0</v>
      </c>
      <c r="BD222" s="235" t="s">
        <v>1520</v>
      </c>
      <c r="BE222" s="228">
        <v>50</v>
      </c>
      <c r="BF222" s="265"/>
      <c r="BG222" s="228">
        <f t="shared" si="150"/>
        <v>50</v>
      </c>
      <c r="BH222" s="228">
        <v>0</v>
      </c>
      <c r="BI222" s="228">
        <f t="shared" si="166"/>
        <v>0</v>
      </c>
      <c r="BJ222" s="326"/>
      <c r="BK222" s="228">
        <f t="shared" si="151"/>
        <v>0</v>
      </c>
      <c r="BL222" s="228" t="s">
        <v>1457</v>
      </c>
      <c r="BM222" s="220">
        <f t="shared" si="139"/>
        <v>0</v>
      </c>
      <c r="BN222" s="327"/>
      <c r="BO222" s="220">
        <f t="shared" si="152"/>
        <v>0</v>
      </c>
      <c r="BP222" s="220">
        <f t="shared" si="153"/>
        <v>50</v>
      </c>
      <c r="BQ222" s="220">
        <f t="shared" si="154"/>
        <v>0</v>
      </c>
      <c r="BR222" s="220">
        <f t="shared" si="155"/>
        <v>50</v>
      </c>
      <c r="BS222" s="254" t="s">
        <v>39</v>
      </c>
      <c r="BT222" s="229" t="s">
        <v>39</v>
      </c>
      <c r="BU222" s="230"/>
      <c r="BV222" s="230" t="s">
        <v>644</v>
      </c>
      <c r="BW222" s="231"/>
    </row>
    <row r="223" s="209" customFormat="1" ht="36" customHeight="1" spans="1:75">
      <c r="A223" s="219">
        <v>259</v>
      </c>
      <c r="B223" s="220" t="s">
        <v>909</v>
      </c>
      <c r="C223" s="221" t="s">
        <v>443</v>
      </c>
      <c r="D223" s="221" t="s">
        <v>810</v>
      </c>
      <c r="E223" s="221" t="s">
        <v>811</v>
      </c>
      <c r="F223" s="219" t="s">
        <v>81</v>
      </c>
      <c r="G223" s="222" t="s">
        <v>1462</v>
      </c>
      <c r="H223" s="233" t="s">
        <v>39</v>
      </c>
      <c r="I223" s="237" t="s">
        <v>837</v>
      </c>
      <c r="J223" s="219" t="s">
        <v>838</v>
      </c>
      <c r="K223" s="223" cm="1">
        <f t="array" ref="K223">_xlfn.XLOOKUP(D223&amp;E223&amp;H223&amp;I223&amp;J223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19071.02</v>
      </c>
      <c r="L223" s="223"/>
      <c r="M223" s="224"/>
      <c r="N223" s="323"/>
      <c r="O223" s="226">
        <v>892800</v>
      </c>
      <c r="P223" s="251">
        <v>0.29</v>
      </c>
      <c r="Q223" s="228">
        <f t="shared" si="164"/>
        <v>5530.5958</v>
      </c>
      <c r="R223" s="324"/>
      <c r="S223" s="228">
        <f t="shared" si="140"/>
        <v>5530.5958</v>
      </c>
      <c r="T223" s="235">
        <v>0</v>
      </c>
      <c r="U223" s="228">
        <f t="shared" si="136"/>
        <v>0</v>
      </c>
      <c r="V223" s="228"/>
      <c r="W223" s="228">
        <f t="shared" si="141"/>
        <v>0</v>
      </c>
      <c r="X223" s="235">
        <v>0</v>
      </c>
      <c r="Y223" s="228">
        <f t="shared" si="156"/>
        <v>0</v>
      </c>
      <c r="Z223" s="228"/>
      <c r="AA223" s="228">
        <f t="shared" si="142"/>
        <v>0</v>
      </c>
      <c r="AB223" s="235">
        <v>0</v>
      </c>
      <c r="AC223" s="228">
        <f t="shared" si="138"/>
        <v>0</v>
      </c>
      <c r="AD223" s="228"/>
      <c r="AE223" s="228">
        <f t="shared" si="143"/>
        <v>0</v>
      </c>
      <c r="AF223" s="235">
        <v>0</v>
      </c>
      <c r="AG223" s="228">
        <f t="shared" si="137"/>
        <v>0</v>
      </c>
      <c r="AH223" s="228"/>
      <c r="AI223" s="228">
        <f t="shared" si="144"/>
        <v>0</v>
      </c>
      <c r="AJ223" s="235">
        <v>0</v>
      </c>
      <c r="AK223" s="228">
        <f t="shared" si="162"/>
        <v>0</v>
      </c>
      <c r="AL223" s="228"/>
      <c r="AM223" s="228">
        <f t="shared" si="145"/>
        <v>0</v>
      </c>
      <c r="AN223" s="235">
        <v>0</v>
      </c>
      <c r="AO223" s="228">
        <f t="shared" si="163"/>
        <v>0</v>
      </c>
      <c r="AP223" s="228"/>
      <c r="AQ223" s="228">
        <f t="shared" si="146"/>
        <v>0</v>
      </c>
      <c r="AR223" s="228">
        <v>0</v>
      </c>
      <c r="AS223" s="228">
        <f t="shared" si="157"/>
        <v>0</v>
      </c>
      <c r="AT223" s="228"/>
      <c r="AU223" s="228">
        <f t="shared" si="147"/>
        <v>0</v>
      </c>
      <c r="AV223" s="235">
        <v>0</v>
      </c>
      <c r="AW223" s="228">
        <f t="shared" si="165"/>
        <v>0</v>
      </c>
      <c r="AX223" s="228"/>
      <c r="AY223" s="228">
        <f t="shared" si="148"/>
        <v>0</v>
      </c>
      <c r="AZ223" s="228" t="s">
        <v>1457</v>
      </c>
      <c r="BA223" s="228">
        <f t="shared" si="161"/>
        <v>0</v>
      </c>
      <c r="BB223" s="265"/>
      <c r="BC223" s="228">
        <f t="shared" si="149"/>
        <v>0</v>
      </c>
      <c r="BD223" s="235" t="s">
        <v>1520</v>
      </c>
      <c r="BE223" s="228">
        <v>50</v>
      </c>
      <c r="BF223" s="265"/>
      <c r="BG223" s="228">
        <f t="shared" si="150"/>
        <v>50</v>
      </c>
      <c r="BH223" s="228">
        <v>0</v>
      </c>
      <c r="BI223" s="228">
        <f t="shared" si="166"/>
        <v>0</v>
      </c>
      <c r="BJ223" s="326"/>
      <c r="BK223" s="228">
        <f t="shared" si="151"/>
        <v>0</v>
      </c>
      <c r="BL223" s="228" t="s">
        <v>1457</v>
      </c>
      <c r="BM223" s="220">
        <f t="shared" si="139"/>
        <v>0</v>
      </c>
      <c r="BN223" s="327"/>
      <c r="BO223" s="220">
        <f t="shared" si="152"/>
        <v>0</v>
      </c>
      <c r="BP223" s="220">
        <f t="shared" si="153"/>
        <v>5580.5958</v>
      </c>
      <c r="BQ223" s="220">
        <f t="shared" si="154"/>
        <v>0</v>
      </c>
      <c r="BR223" s="220">
        <f t="shared" si="155"/>
        <v>5580.5958</v>
      </c>
      <c r="BS223" s="254" t="s">
        <v>39</v>
      </c>
      <c r="BT223" s="229" t="s">
        <v>39</v>
      </c>
      <c r="BU223" s="230"/>
      <c r="BV223" s="230" t="s">
        <v>644</v>
      </c>
      <c r="BW223" s="231"/>
    </row>
    <row r="224" s="209" customFormat="1" ht="36" customHeight="1" spans="1:75">
      <c r="A224" s="219">
        <v>260</v>
      </c>
      <c r="B224" s="220" t="s">
        <v>911</v>
      </c>
      <c r="C224" s="221" t="s">
        <v>443</v>
      </c>
      <c r="D224" s="221" t="s">
        <v>810</v>
      </c>
      <c r="E224" s="221" t="s">
        <v>811</v>
      </c>
      <c r="F224" s="219" t="s">
        <v>81</v>
      </c>
      <c r="G224" s="222" t="s">
        <v>1462</v>
      </c>
      <c r="H224" s="233" t="s">
        <v>39</v>
      </c>
      <c r="I224" s="237" t="s">
        <v>840</v>
      </c>
      <c r="J224" s="219" t="s">
        <v>800</v>
      </c>
      <c r="K224" s="223" cm="1">
        <f t="array" ref="K224">_xlfn.XLOOKUP(D224&amp;E224&amp;H224&amp;I224&amp;J224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4080.84</v>
      </c>
      <c r="L224" s="223"/>
      <c r="M224" s="224"/>
      <c r="N224" s="323"/>
      <c r="O224" s="226">
        <v>340800</v>
      </c>
      <c r="P224" s="251">
        <v>0.29</v>
      </c>
      <c r="Q224" s="228">
        <f t="shared" si="164"/>
        <v>1183.4436</v>
      </c>
      <c r="R224" s="324"/>
      <c r="S224" s="228">
        <f t="shared" si="140"/>
        <v>1183.4436</v>
      </c>
      <c r="T224" s="235">
        <v>0</v>
      </c>
      <c r="U224" s="228">
        <f t="shared" si="136"/>
        <v>0</v>
      </c>
      <c r="V224" s="228"/>
      <c r="W224" s="228">
        <f t="shared" si="141"/>
        <v>0</v>
      </c>
      <c r="X224" s="235">
        <v>0</v>
      </c>
      <c r="Y224" s="228">
        <f t="shared" si="156"/>
        <v>0</v>
      </c>
      <c r="Z224" s="228"/>
      <c r="AA224" s="228">
        <f t="shared" si="142"/>
        <v>0</v>
      </c>
      <c r="AB224" s="235">
        <v>0</v>
      </c>
      <c r="AC224" s="228">
        <f t="shared" si="138"/>
        <v>0</v>
      </c>
      <c r="AD224" s="228"/>
      <c r="AE224" s="228">
        <f t="shared" si="143"/>
        <v>0</v>
      </c>
      <c r="AF224" s="235">
        <v>0</v>
      </c>
      <c r="AG224" s="228">
        <f t="shared" si="137"/>
        <v>0</v>
      </c>
      <c r="AH224" s="228"/>
      <c r="AI224" s="228">
        <f t="shared" si="144"/>
        <v>0</v>
      </c>
      <c r="AJ224" s="235">
        <v>0</v>
      </c>
      <c r="AK224" s="228">
        <f t="shared" si="162"/>
        <v>0</v>
      </c>
      <c r="AL224" s="228"/>
      <c r="AM224" s="228">
        <f t="shared" si="145"/>
        <v>0</v>
      </c>
      <c r="AN224" s="235">
        <v>0</v>
      </c>
      <c r="AO224" s="228">
        <f t="shared" si="163"/>
        <v>0</v>
      </c>
      <c r="AP224" s="228"/>
      <c r="AQ224" s="228">
        <f t="shared" si="146"/>
        <v>0</v>
      </c>
      <c r="AR224" s="228">
        <v>0</v>
      </c>
      <c r="AS224" s="228">
        <f t="shared" si="157"/>
        <v>0</v>
      </c>
      <c r="AT224" s="228"/>
      <c r="AU224" s="228">
        <f t="shared" si="147"/>
        <v>0</v>
      </c>
      <c r="AV224" s="235">
        <v>0</v>
      </c>
      <c r="AW224" s="228">
        <f t="shared" si="165"/>
        <v>0</v>
      </c>
      <c r="AX224" s="228"/>
      <c r="AY224" s="228">
        <f t="shared" si="148"/>
        <v>0</v>
      </c>
      <c r="AZ224" s="228" t="s">
        <v>1457</v>
      </c>
      <c r="BA224" s="228">
        <f t="shared" si="161"/>
        <v>0</v>
      </c>
      <c r="BB224" s="265"/>
      <c r="BC224" s="228">
        <f t="shared" si="149"/>
        <v>0</v>
      </c>
      <c r="BD224" s="235" t="s">
        <v>1520</v>
      </c>
      <c r="BE224" s="228">
        <v>50</v>
      </c>
      <c r="BF224" s="265"/>
      <c r="BG224" s="228">
        <f t="shared" si="150"/>
        <v>50</v>
      </c>
      <c r="BH224" s="228">
        <v>0</v>
      </c>
      <c r="BI224" s="228">
        <f t="shared" si="166"/>
        <v>0</v>
      </c>
      <c r="BJ224" s="326"/>
      <c r="BK224" s="228">
        <f t="shared" si="151"/>
        <v>0</v>
      </c>
      <c r="BL224" s="228" t="s">
        <v>1457</v>
      </c>
      <c r="BM224" s="220">
        <f t="shared" si="139"/>
        <v>0</v>
      </c>
      <c r="BN224" s="327"/>
      <c r="BO224" s="220">
        <f t="shared" si="152"/>
        <v>0</v>
      </c>
      <c r="BP224" s="220">
        <f t="shared" si="153"/>
        <v>1233.4436</v>
      </c>
      <c r="BQ224" s="220">
        <f t="shared" si="154"/>
        <v>0</v>
      </c>
      <c r="BR224" s="220">
        <f t="shared" si="155"/>
        <v>1233.4436</v>
      </c>
      <c r="BS224" s="254" t="s">
        <v>39</v>
      </c>
      <c r="BT224" s="229" t="s">
        <v>39</v>
      </c>
      <c r="BU224" s="230"/>
      <c r="BV224" s="230" t="s">
        <v>644</v>
      </c>
      <c r="BW224" s="231"/>
    </row>
    <row r="225" s="209" customFormat="1" ht="36" customHeight="1" spans="1:75">
      <c r="A225" s="219">
        <v>261</v>
      </c>
      <c r="B225" s="220" t="s">
        <v>913</v>
      </c>
      <c r="C225" s="221" t="s">
        <v>443</v>
      </c>
      <c r="D225" s="221" t="s">
        <v>810</v>
      </c>
      <c r="E225" s="221" t="s">
        <v>811</v>
      </c>
      <c r="F225" s="219" t="s">
        <v>81</v>
      </c>
      <c r="G225" s="222" t="s">
        <v>1462</v>
      </c>
      <c r="H225" s="233" t="s">
        <v>39</v>
      </c>
      <c r="I225" s="237" t="s">
        <v>843</v>
      </c>
      <c r="J225" s="219" t="s">
        <v>844</v>
      </c>
      <c r="K225" s="223" cm="1">
        <f t="array" ref="K225">_xlfn.XLOOKUP(D225&amp;E225&amp;H225&amp;I225&amp;J225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25" s="223"/>
      <c r="M225" s="224"/>
      <c r="N225" s="323"/>
      <c r="O225" s="226">
        <v>360000</v>
      </c>
      <c r="P225" s="251">
        <v>0.29</v>
      </c>
      <c r="Q225" s="228">
        <f t="shared" si="164"/>
        <v>0</v>
      </c>
      <c r="R225" s="324"/>
      <c r="S225" s="228">
        <f t="shared" si="140"/>
        <v>0</v>
      </c>
      <c r="T225" s="235">
        <v>0</v>
      </c>
      <c r="U225" s="228">
        <f t="shared" si="136"/>
        <v>0</v>
      </c>
      <c r="V225" s="228"/>
      <c r="W225" s="228">
        <f t="shared" si="141"/>
        <v>0</v>
      </c>
      <c r="X225" s="235">
        <v>0</v>
      </c>
      <c r="Y225" s="228">
        <f t="shared" si="156"/>
        <v>0</v>
      </c>
      <c r="Z225" s="228"/>
      <c r="AA225" s="228">
        <f t="shared" si="142"/>
        <v>0</v>
      </c>
      <c r="AB225" s="235">
        <v>0</v>
      </c>
      <c r="AC225" s="228">
        <f t="shared" si="138"/>
        <v>0</v>
      </c>
      <c r="AD225" s="228"/>
      <c r="AE225" s="228">
        <f t="shared" si="143"/>
        <v>0</v>
      </c>
      <c r="AF225" s="235">
        <v>0</v>
      </c>
      <c r="AG225" s="228">
        <f t="shared" si="137"/>
        <v>0</v>
      </c>
      <c r="AH225" s="228"/>
      <c r="AI225" s="228">
        <f t="shared" si="144"/>
        <v>0</v>
      </c>
      <c r="AJ225" s="235">
        <v>0</v>
      </c>
      <c r="AK225" s="228">
        <f t="shared" si="162"/>
        <v>0</v>
      </c>
      <c r="AL225" s="228"/>
      <c r="AM225" s="228">
        <f t="shared" si="145"/>
        <v>0</v>
      </c>
      <c r="AN225" s="235">
        <v>0</v>
      </c>
      <c r="AO225" s="228">
        <f t="shared" si="163"/>
        <v>0</v>
      </c>
      <c r="AP225" s="228"/>
      <c r="AQ225" s="228">
        <f t="shared" si="146"/>
        <v>0</v>
      </c>
      <c r="AR225" s="228">
        <v>0</v>
      </c>
      <c r="AS225" s="228">
        <f t="shared" si="157"/>
        <v>0</v>
      </c>
      <c r="AT225" s="228"/>
      <c r="AU225" s="228">
        <f t="shared" si="147"/>
        <v>0</v>
      </c>
      <c r="AV225" s="235">
        <v>0</v>
      </c>
      <c r="AW225" s="228">
        <f t="shared" si="165"/>
        <v>0</v>
      </c>
      <c r="AX225" s="228"/>
      <c r="AY225" s="228">
        <f t="shared" si="148"/>
        <v>0</v>
      </c>
      <c r="AZ225" s="228" t="s">
        <v>1457</v>
      </c>
      <c r="BA225" s="228">
        <f t="shared" si="161"/>
        <v>0</v>
      </c>
      <c r="BB225" s="265"/>
      <c r="BC225" s="228">
        <f t="shared" si="149"/>
        <v>0</v>
      </c>
      <c r="BD225" s="235" t="s">
        <v>1520</v>
      </c>
      <c r="BE225" s="228">
        <v>50</v>
      </c>
      <c r="BF225" s="265"/>
      <c r="BG225" s="228">
        <f t="shared" si="150"/>
        <v>50</v>
      </c>
      <c r="BH225" s="228">
        <v>0</v>
      </c>
      <c r="BI225" s="228">
        <f t="shared" si="166"/>
        <v>0</v>
      </c>
      <c r="BJ225" s="326"/>
      <c r="BK225" s="228">
        <f t="shared" si="151"/>
        <v>0</v>
      </c>
      <c r="BL225" s="228" t="s">
        <v>1457</v>
      </c>
      <c r="BM225" s="220">
        <f t="shared" si="139"/>
        <v>0</v>
      </c>
      <c r="BN225" s="327"/>
      <c r="BO225" s="220">
        <f t="shared" si="152"/>
        <v>0</v>
      </c>
      <c r="BP225" s="220">
        <f t="shared" si="153"/>
        <v>50</v>
      </c>
      <c r="BQ225" s="220">
        <f t="shared" si="154"/>
        <v>0</v>
      </c>
      <c r="BR225" s="220">
        <f t="shared" si="155"/>
        <v>50</v>
      </c>
      <c r="BS225" s="254" t="s">
        <v>39</v>
      </c>
      <c r="BT225" s="229" t="s">
        <v>39</v>
      </c>
      <c r="BU225" s="230"/>
      <c r="BV225" s="230" t="s">
        <v>644</v>
      </c>
      <c r="BW225" s="231"/>
    </row>
    <row r="226" s="209" customFormat="1" ht="36" customHeight="1" spans="1:75">
      <c r="A226" s="219">
        <v>262</v>
      </c>
      <c r="B226" s="220" t="s">
        <v>914</v>
      </c>
      <c r="C226" s="221" t="s">
        <v>443</v>
      </c>
      <c r="D226" s="221" t="s">
        <v>810</v>
      </c>
      <c r="E226" s="221" t="s">
        <v>811</v>
      </c>
      <c r="F226" s="219" t="s">
        <v>81</v>
      </c>
      <c r="G226" s="222" t="s">
        <v>1462</v>
      </c>
      <c r="H226" s="233" t="s">
        <v>39</v>
      </c>
      <c r="I226" s="237" t="s">
        <v>846</v>
      </c>
      <c r="J226" s="219" t="s">
        <v>847</v>
      </c>
      <c r="K226" s="223" cm="1">
        <f t="array" ref="K226">_xlfn.XLOOKUP(D226&amp;E226&amp;H226&amp;I226&amp;J226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9238.29</v>
      </c>
      <c r="L226" s="223"/>
      <c r="M226" s="224"/>
      <c r="N226" s="323"/>
      <c r="O226" s="226">
        <v>592800</v>
      </c>
      <c r="P226" s="251">
        <v>0.29</v>
      </c>
      <c r="Q226" s="228">
        <f t="shared" si="164"/>
        <v>2679.1041</v>
      </c>
      <c r="R226" s="324"/>
      <c r="S226" s="228">
        <f t="shared" si="140"/>
        <v>2679.1041</v>
      </c>
      <c r="T226" s="235">
        <v>0</v>
      </c>
      <c r="U226" s="228">
        <f t="shared" si="136"/>
        <v>0</v>
      </c>
      <c r="V226" s="228"/>
      <c r="W226" s="228">
        <f t="shared" si="141"/>
        <v>0</v>
      </c>
      <c r="X226" s="235">
        <v>0</v>
      </c>
      <c r="Y226" s="228">
        <f t="shared" si="156"/>
        <v>0</v>
      </c>
      <c r="Z226" s="228"/>
      <c r="AA226" s="228">
        <f t="shared" si="142"/>
        <v>0</v>
      </c>
      <c r="AB226" s="235">
        <v>0</v>
      </c>
      <c r="AC226" s="228">
        <f t="shared" si="138"/>
        <v>0</v>
      </c>
      <c r="AD226" s="228"/>
      <c r="AE226" s="228">
        <f t="shared" si="143"/>
        <v>0</v>
      </c>
      <c r="AF226" s="235">
        <v>0</v>
      </c>
      <c r="AG226" s="228">
        <f t="shared" si="137"/>
        <v>0</v>
      </c>
      <c r="AH226" s="228"/>
      <c r="AI226" s="228">
        <f t="shared" si="144"/>
        <v>0</v>
      </c>
      <c r="AJ226" s="235">
        <v>0</v>
      </c>
      <c r="AK226" s="228">
        <f t="shared" si="162"/>
        <v>0</v>
      </c>
      <c r="AL226" s="228"/>
      <c r="AM226" s="228">
        <f t="shared" si="145"/>
        <v>0</v>
      </c>
      <c r="AN226" s="235">
        <v>0</v>
      </c>
      <c r="AO226" s="228">
        <f t="shared" si="163"/>
        <v>0</v>
      </c>
      <c r="AP226" s="228"/>
      <c r="AQ226" s="228">
        <f t="shared" si="146"/>
        <v>0</v>
      </c>
      <c r="AR226" s="228">
        <v>0</v>
      </c>
      <c r="AS226" s="228">
        <f t="shared" si="157"/>
        <v>0</v>
      </c>
      <c r="AT226" s="228"/>
      <c r="AU226" s="228">
        <f t="shared" si="147"/>
        <v>0</v>
      </c>
      <c r="AV226" s="235">
        <v>0</v>
      </c>
      <c r="AW226" s="228">
        <f t="shared" si="165"/>
        <v>0</v>
      </c>
      <c r="AX226" s="228"/>
      <c r="AY226" s="228">
        <f t="shared" si="148"/>
        <v>0</v>
      </c>
      <c r="AZ226" s="228" t="s">
        <v>1457</v>
      </c>
      <c r="BA226" s="228">
        <f t="shared" si="161"/>
        <v>0</v>
      </c>
      <c r="BB226" s="265"/>
      <c r="BC226" s="228">
        <f t="shared" si="149"/>
        <v>0</v>
      </c>
      <c r="BD226" s="235" t="s">
        <v>1520</v>
      </c>
      <c r="BE226" s="228">
        <v>50</v>
      </c>
      <c r="BF226" s="265"/>
      <c r="BG226" s="228">
        <f t="shared" si="150"/>
        <v>50</v>
      </c>
      <c r="BH226" s="228">
        <v>0</v>
      </c>
      <c r="BI226" s="228">
        <f t="shared" si="166"/>
        <v>0</v>
      </c>
      <c r="BJ226" s="326"/>
      <c r="BK226" s="228">
        <f t="shared" si="151"/>
        <v>0</v>
      </c>
      <c r="BL226" s="228" t="s">
        <v>1457</v>
      </c>
      <c r="BM226" s="220">
        <f t="shared" si="139"/>
        <v>0</v>
      </c>
      <c r="BN226" s="327"/>
      <c r="BO226" s="220">
        <f t="shared" si="152"/>
        <v>0</v>
      </c>
      <c r="BP226" s="220">
        <f t="shared" si="153"/>
        <v>2729.1041</v>
      </c>
      <c r="BQ226" s="220">
        <f t="shared" si="154"/>
        <v>0</v>
      </c>
      <c r="BR226" s="220">
        <f t="shared" si="155"/>
        <v>2729.1041</v>
      </c>
      <c r="BS226" s="254" t="s">
        <v>39</v>
      </c>
      <c r="BT226" s="229" t="s">
        <v>39</v>
      </c>
      <c r="BU226" s="230"/>
      <c r="BV226" s="230" t="s">
        <v>644</v>
      </c>
      <c r="BW226" s="231"/>
    </row>
    <row r="227" s="209" customFormat="1" ht="37.5" customHeight="1" spans="1:75">
      <c r="A227" s="219">
        <v>263</v>
      </c>
      <c r="B227" s="220" t="s">
        <v>917</v>
      </c>
      <c r="C227" s="221" t="s">
        <v>443</v>
      </c>
      <c r="D227" s="221" t="s">
        <v>810</v>
      </c>
      <c r="E227" s="221" t="s">
        <v>811</v>
      </c>
      <c r="F227" s="219" t="s">
        <v>81</v>
      </c>
      <c r="G227" s="222" t="s">
        <v>1462</v>
      </c>
      <c r="H227" s="219" t="s">
        <v>624</v>
      </c>
      <c r="I227" s="232" t="s">
        <v>849</v>
      </c>
      <c r="J227" s="219" t="s">
        <v>850</v>
      </c>
      <c r="K227" s="223" cm="1">
        <f t="array" ref="K227">_xlfn.XLOOKUP(D227&amp;E227&amp;H227&amp;I227&amp;J227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11239.55</v>
      </c>
      <c r="L227" s="223"/>
      <c r="M227" s="224"/>
      <c r="N227" s="323"/>
      <c r="O227" s="226">
        <v>540000</v>
      </c>
      <c r="P227" s="235">
        <v>0</v>
      </c>
      <c r="Q227" s="228">
        <f t="shared" si="164"/>
        <v>0</v>
      </c>
      <c r="R227" s="324"/>
      <c r="S227" s="228">
        <f t="shared" si="140"/>
        <v>0</v>
      </c>
      <c r="T227" s="235">
        <v>0</v>
      </c>
      <c r="U227" s="228">
        <f t="shared" si="136"/>
        <v>0</v>
      </c>
      <c r="V227" s="228"/>
      <c r="W227" s="228">
        <f t="shared" si="141"/>
        <v>0</v>
      </c>
      <c r="X227" s="235">
        <v>0</v>
      </c>
      <c r="Y227" s="228">
        <f t="shared" si="156"/>
        <v>0</v>
      </c>
      <c r="Z227" s="228"/>
      <c r="AA227" s="228">
        <f t="shared" si="142"/>
        <v>0</v>
      </c>
      <c r="AB227" s="235">
        <v>0</v>
      </c>
      <c r="AC227" s="228">
        <f t="shared" si="138"/>
        <v>0</v>
      </c>
      <c r="AD227" s="228"/>
      <c r="AE227" s="228">
        <f t="shared" si="143"/>
        <v>0</v>
      </c>
      <c r="AF227" s="235">
        <v>0</v>
      </c>
      <c r="AG227" s="228">
        <f t="shared" si="137"/>
        <v>0</v>
      </c>
      <c r="AH227" s="228"/>
      <c r="AI227" s="228">
        <f t="shared" si="144"/>
        <v>0</v>
      </c>
      <c r="AJ227" s="235">
        <v>0</v>
      </c>
      <c r="AK227" s="228">
        <f t="shared" si="162"/>
        <v>0</v>
      </c>
      <c r="AL227" s="228"/>
      <c r="AM227" s="228">
        <f t="shared" si="145"/>
        <v>0</v>
      </c>
      <c r="AN227" s="235">
        <v>0</v>
      </c>
      <c r="AO227" s="228">
        <f t="shared" si="163"/>
        <v>0</v>
      </c>
      <c r="AP227" s="228"/>
      <c r="AQ227" s="228">
        <f t="shared" si="146"/>
        <v>0</v>
      </c>
      <c r="AR227" s="228">
        <v>0</v>
      </c>
      <c r="AS227" s="228">
        <f t="shared" si="157"/>
        <v>0</v>
      </c>
      <c r="AT227" s="228"/>
      <c r="AU227" s="228">
        <f t="shared" si="147"/>
        <v>0</v>
      </c>
      <c r="AV227" s="251" t="s">
        <v>1525</v>
      </c>
      <c r="AW227" s="228">
        <f>AX227</f>
        <v>1583.4</v>
      </c>
      <c r="AX227" s="228">
        <v>1583.4</v>
      </c>
      <c r="AY227" s="228">
        <f t="shared" si="148"/>
        <v>0</v>
      </c>
      <c r="AZ227" s="228" t="s">
        <v>1457</v>
      </c>
      <c r="BA227" s="228">
        <f t="shared" si="161"/>
        <v>0</v>
      </c>
      <c r="BB227" s="265"/>
      <c r="BC227" s="228">
        <f t="shared" si="149"/>
        <v>0</v>
      </c>
      <c r="BD227" s="228" t="s">
        <v>1526</v>
      </c>
      <c r="BE227" s="228">
        <v>11250</v>
      </c>
      <c r="BF227" s="265">
        <v>11250</v>
      </c>
      <c r="BG227" s="228">
        <f t="shared" si="150"/>
        <v>0</v>
      </c>
      <c r="BH227" s="228">
        <v>0</v>
      </c>
      <c r="BI227" s="228">
        <f t="shared" si="166"/>
        <v>0</v>
      </c>
      <c r="BJ227" s="326"/>
      <c r="BK227" s="228">
        <f t="shared" si="151"/>
        <v>0</v>
      </c>
      <c r="BL227" s="228" t="s">
        <v>1457</v>
      </c>
      <c r="BM227" s="220">
        <f t="shared" si="139"/>
        <v>0</v>
      </c>
      <c r="BN227" s="327"/>
      <c r="BO227" s="220">
        <f t="shared" si="152"/>
        <v>0</v>
      </c>
      <c r="BP227" s="220">
        <f t="shared" si="153"/>
        <v>12833.4</v>
      </c>
      <c r="BQ227" s="220">
        <f t="shared" si="154"/>
        <v>12833.4</v>
      </c>
      <c r="BR227" s="220">
        <f t="shared" si="155"/>
        <v>0</v>
      </c>
      <c r="BS227" s="254" t="s">
        <v>39</v>
      </c>
      <c r="BT227" s="229" t="s">
        <v>39</v>
      </c>
      <c r="BU227" s="230" t="s">
        <v>851</v>
      </c>
      <c r="BV227" s="230" t="s">
        <v>852</v>
      </c>
      <c r="BW227" s="231"/>
    </row>
    <row r="228" s="209" customFormat="1" ht="24" customHeight="1" spans="1:75">
      <c r="A228" s="219">
        <v>264</v>
      </c>
      <c r="B228" s="220" t="s">
        <v>920</v>
      </c>
      <c r="C228" s="221" t="s">
        <v>443</v>
      </c>
      <c r="D228" s="221" t="s">
        <v>810</v>
      </c>
      <c r="E228" s="221" t="s">
        <v>811</v>
      </c>
      <c r="F228" s="219" t="s">
        <v>81</v>
      </c>
      <c r="G228" s="222" t="s">
        <v>1462</v>
      </c>
      <c r="H228" s="219" t="s">
        <v>628</v>
      </c>
      <c r="I228" s="232" t="s">
        <v>855</v>
      </c>
      <c r="J228" s="219" t="s">
        <v>856</v>
      </c>
      <c r="K228" s="223" cm="1">
        <f t="array" ref="K228">_xlfn.XLOOKUP(D228&amp;E228&amp;H228&amp;I228&amp;J228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28" s="223"/>
      <c r="M228" s="224"/>
      <c r="N228" s="323"/>
      <c r="O228" s="226">
        <v>780000</v>
      </c>
      <c r="P228" s="251">
        <v>0.2</v>
      </c>
      <c r="Q228" s="228">
        <f t="shared" si="164"/>
        <v>0</v>
      </c>
      <c r="R228" s="324"/>
      <c r="S228" s="228">
        <f t="shared" si="140"/>
        <v>0</v>
      </c>
      <c r="T228" s="235">
        <v>0</v>
      </c>
      <c r="U228" s="228">
        <f t="shared" si="136"/>
        <v>0</v>
      </c>
      <c r="V228" s="228"/>
      <c r="W228" s="228">
        <f t="shared" si="141"/>
        <v>0</v>
      </c>
      <c r="X228" s="235">
        <v>0</v>
      </c>
      <c r="Y228" s="228">
        <f t="shared" si="156"/>
        <v>0</v>
      </c>
      <c r="Z228" s="228"/>
      <c r="AA228" s="228">
        <f t="shared" si="142"/>
        <v>0</v>
      </c>
      <c r="AB228" s="235">
        <v>0</v>
      </c>
      <c r="AC228" s="228">
        <f t="shared" si="138"/>
        <v>0</v>
      </c>
      <c r="AD228" s="228"/>
      <c r="AE228" s="228">
        <f t="shared" si="143"/>
        <v>0</v>
      </c>
      <c r="AF228" s="235">
        <v>0</v>
      </c>
      <c r="AG228" s="228">
        <f t="shared" si="137"/>
        <v>0</v>
      </c>
      <c r="AH228" s="228"/>
      <c r="AI228" s="228">
        <f t="shared" si="144"/>
        <v>0</v>
      </c>
      <c r="AJ228" s="235">
        <v>0</v>
      </c>
      <c r="AK228" s="228">
        <f t="shared" si="162"/>
        <v>0</v>
      </c>
      <c r="AL228" s="228"/>
      <c r="AM228" s="228">
        <f t="shared" si="145"/>
        <v>0</v>
      </c>
      <c r="AN228" s="235">
        <v>0</v>
      </c>
      <c r="AO228" s="228">
        <f t="shared" si="163"/>
        <v>0</v>
      </c>
      <c r="AP228" s="228"/>
      <c r="AQ228" s="228">
        <f t="shared" si="146"/>
        <v>0</v>
      </c>
      <c r="AR228" s="228">
        <v>0</v>
      </c>
      <c r="AS228" s="228">
        <f t="shared" si="157"/>
        <v>0</v>
      </c>
      <c r="AT228" s="228"/>
      <c r="AU228" s="228">
        <f t="shared" si="147"/>
        <v>0</v>
      </c>
      <c r="AV228" s="235" t="s">
        <v>1525</v>
      </c>
      <c r="AW228" s="228">
        <f>AX228</f>
        <v>0</v>
      </c>
      <c r="AX228" s="228"/>
      <c r="AY228" s="228">
        <f t="shared" si="148"/>
        <v>0</v>
      </c>
      <c r="AZ228" s="228" t="s">
        <v>1457</v>
      </c>
      <c r="BA228" s="228">
        <f t="shared" si="161"/>
        <v>0</v>
      </c>
      <c r="BB228" s="265"/>
      <c r="BC228" s="228">
        <f t="shared" si="149"/>
        <v>0</v>
      </c>
      <c r="BD228" s="228">
        <v>0</v>
      </c>
      <c r="BE228" s="228">
        <f>K228*BD228</f>
        <v>0</v>
      </c>
      <c r="BF228" s="265"/>
      <c r="BG228" s="228">
        <f t="shared" si="150"/>
        <v>0</v>
      </c>
      <c r="BH228" s="228">
        <v>0</v>
      </c>
      <c r="BI228" s="228">
        <f t="shared" si="166"/>
        <v>0</v>
      </c>
      <c r="BJ228" s="326"/>
      <c r="BK228" s="228">
        <f t="shared" si="151"/>
        <v>0</v>
      </c>
      <c r="BL228" s="228" t="s">
        <v>1457</v>
      </c>
      <c r="BM228" s="220">
        <f t="shared" si="139"/>
        <v>0</v>
      </c>
      <c r="BN228" s="327"/>
      <c r="BO228" s="220">
        <f t="shared" si="152"/>
        <v>0</v>
      </c>
      <c r="BP228" s="220">
        <f t="shared" si="153"/>
        <v>0</v>
      </c>
      <c r="BQ228" s="220">
        <f t="shared" si="154"/>
        <v>0</v>
      </c>
      <c r="BR228" s="220">
        <f t="shared" si="155"/>
        <v>0</v>
      </c>
      <c r="BS228" s="254" t="s">
        <v>39</v>
      </c>
      <c r="BT228" s="229" t="s">
        <v>39</v>
      </c>
      <c r="BU228" s="295" t="s">
        <v>857</v>
      </c>
      <c r="BV228" s="230" t="s">
        <v>858</v>
      </c>
      <c r="BW228" s="231"/>
    </row>
    <row r="229" s="209" customFormat="1" ht="47.25" customHeight="1" spans="1:75">
      <c r="A229" s="219">
        <v>265</v>
      </c>
      <c r="B229" s="220" t="s">
        <v>925</v>
      </c>
      <c r="C229" s="221" t="s">
        <v>443</v>
      </c>
      <c r="D229" s="221" t="s">
        <v>810</v>
      </c>
      <c r="E229" s="221" t="s">
        <v>811</v>
      </c>
      <c r="F229" s="219" t="s">
        <v>81</v>
      </c>
      <c r="G229" s="222" t="s">
        <v>1462</v>
      </c>
      <c r="H229" s="233" t="s">
        <v>39</v>
      </c>
      <c r="I229" s="237" t="s">
        <v>860</v>
      </c>
      <c r="J229" s="219" t="s">
        <v>861</v>
      </c>
      <c r="K229" s="223" cm="1">
        <f t="array" ref="K229">_xlfn.XLOOKUP(D229&amp;E229&amp;H229&amp;I229&amp;J229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19562.71</v>
      </c>
      <c r="L229" s="223"/>
      <c r="M229" s="224"/>
      <c r="N229" s="323"/>
      <c r="O229" s="226">
        <v>1020000</v>
      </c>
      <c r="P229" s="235">
        <v>0</v>
      </c>
      <c r="Q229" s="228">
        <f t="shared" si="164"/>
        <v>0</v>
      </c>
      <c r="R229" s="324"/>
      <c r="S229" s="228">
        <f t="shared" si="140"/>
        <v>0</v>
      </c>
      <c r="T229" s="235">
        <v>0</v>
      </c>
      <c r="U229" s="228">
        <f t="shared" si="136"/>
        <v>0</v>
      </c>
      <c r="V229" s="228"/>
      <c r="W229" s="228">
        <f t="shared" si="141"/>
        <v>0</v>
      </c>
      <c r="X229" s="235">
        <v>0</v>
      </c>
      <c r="Y229" s="228">
        <f t="shared" si="156"/>
        <v>0</v>
      </c>
      <c r="Z229" s="228"/>
      <c r="AA229" s="228">
        <f t="shared" si="142"/>
        <v>0</v>
      </c>
      <c r="AB229" s="235">
        <v>0</v>
      </c>
      <c r="AC229" s="228">
        <f t="shared" si="138"/>
        <v>0</v>
      </c>
      <c r="AD229" s="228"/>
      <c r="AE229" s="228">
        <f t="shared" si="143"/>
        <v>0</v>
      </c>
      <c r="AF229" s="235">
        <v>0</v>
      </c>
      <c r="AG229" s="228">
        <f t="shared" si="137"/>
        <v>0</v>
      </c>
      <c r="AH229" s="228"/>
      <c r="AI229" s="228">
        <f t="shared" si="144"/>
        <v>0</v>
      </c>
      <c r="AJ229" s="235">
        <v>0</v>
      </c>
      <c r="AK229" s="228">
        <f t="shared" si="162"/>
        <v>0</v>
      </c>
      <c r="AL229" s="228"/>
      <c r="AM229" s="228">
        <f t="shared" si="145"/>
        <v>0</v>
      </c>
      <c r="AN229" s="235">
        <v>0</v>
      </c>
      <c r="AO229" s="228">
        <f t="shared" si="163"/>
        <v>0</v>
      </c>
      <c r="AP229" s="228"/>
      <c r="AQ229" s="228">
        <f t="shared" si="146"/>
        <v>0</v>
      </c>
      <c r="AR229" s="228">
        <v>0</v>
      </c>
      <c r="AS229" s="228">
        <f t="shared" si="157"/>
        <v>0</v>
      </c>
      <c r="AT229" s="228"/>
      <c r="AU229" s="228">
        <f t="shared" si="147"/>
        <v>0</v>
      </c>
      <c r="AV229" s="235">
        <v>0</v>
      </c>
      <c r="AW229" s="228">
        <f>K229*AV229</f>
        <v>0</v>
      </c>
      <c r="AX229" s="228"/>
      <c r="AY229" s="228">
        <f t="shared" si="148"/>
        <v>0</v>
      </c>
      <c r="AZ229" s="228" t="s">
        <v>1457</v>
      </c>
      <c r="BA229" s="228">
        <f t="shared" si="161"/>
        <v>0</v>
      </c>
      <c r="BB229" s="265"/>
      <c r="BC229" s="228">
        <f t="shared" si="149"/>
        <v>0</v>
      </c>
      <c r="BD229" s="228" t="s">
        <v>1527</v>
      </c>
      <c r="BE229" s="228">
        <v>10000</v>
      </c>
      <c r="BF229" s="265">
        <v>10000</v>
      </c>
      <c r="BG229" s="228">
        <f t="shared" si="150"/>
        <v>0</v>
      </c>
      <c r="BH229" s="228">
        <v>0</v>
      </c>
      <c r="BI229" s="228">
        <f t="shared" si="166"/>
        <v>0</v>
      </c>
      <c r="BJ229" s="326"/>
      <c r="BK229" s="228">
        <f t="shared" si="151"/>
        <v>0</v>
      </c>
      <c r="BL229" s="228" t="s">
        <v>1457</v>
      </c>
      <c r="BM229" s="220">
        <f t="shared" si="139"/>
        <v>0</v>
      </c>
      <c r="BN229" s="327"/>
      <c r="BO229" s="220">
        <f t="shared" si="152"/>
        <v>0</v>
      </c>
      <c r="BP229" s="220">
        <f t="shared" si="153"/>
        <v>10000</v>
      </c>
      <c r="BQ229" s="220">
        <f t="shared" si="154"/>
        <v>10000</v>
      </c>
      <c r="BR229" s="220">
        <f t="shared" si="155"/>
        <v>0</v>
      </c>
      <c r="BS229" s="254" t="s">
        <v>39</v>
      </c>
      <c r="BT229" s="229" t="s">
        <v>39</v>
      </c>
      <c r="BU229" s="230" t="s">
        <v>862</v>
      </c>
      <c r="BV229" s="230" t="s">
        <v>863</v>
      </c>
      <c r="BW229" s="231"/>
    </row>
    <row r="230" s="209" customFormat="1" ht="96" customHeight="1" spans="1:75">
      <c r="A230" s="219">
        <v>266</v>
      </c>
      <c r="B230" s="220" t="s">
        <v>927</v>
      </c>
      <c r="C230" s="221" t="s">
        <v>443</v>
      </c>
      <c r="D230" s="221" t="s">
        <v>810</v>
      </c>
      <c r="E230" s="221" t="s">
        <v>811</v>
      </c>
      <c r="F230" s="219" t="s">
        <v>81</v>
      </c>
      <c r="G230" s="222" t="s">
        <v>1462</v>
      </c>
      <c r="H230" s="233" t="s">
        <v>39</v>
      </c>
      <c r="I230" s="237" t="s">
        <v>865</v>
      </c>
      <c r="J230" s="219" t="s">
        <v>866</v>
      </c>
      <c r="K230" s="223" cm="1">
        <f t="array" ref="K230">_xlfn.XLOOKUP(D230&amp;E230&amp;H230&amp;I230&amp;J230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0" s="223"/>
      <c r="M230" s="224"/>
      <c r="N230" s="323"/>
      <c r="O230" s="226">
        <v>328800</v>
      </c>
      <c r="P230" s="235">
        <v>0</v>
      </c>
      <c r="Q230" s="228">
        <f t="shared" si="164"/>
        <v>0</v>
      </c>
      <c r="R230" s="324"/>
      <c r="S230" s="228">
        <f t="shared" si="140"/>
        <v>0</v>
      </c>
      <c r="T230" s="235">
        <v>0</v>
      </c>
      <c r="U230" s="228">
        <f t="shared" si="136"/>
        <v>0</v>
      </c>
      <c r="V230" s="228"/>
      <c r="W230" s="228">
        <f t="shared" si="141"/>
        <v>0</v>
      </c>
      <c r="X230" s="235">
        <v>0</v>
      </c>
      <c r="Y230" s="228">
        <f t="shared" si="156"/>
        <v>0</v>
      </c>
      <c r="Z230" s="228"/>
      <c r="AA230" s="228">
        <f t="shared" si="142"/>
        <v>0</v>
      </c>
      <c r="AB230" s="235">
        <v>0</v>
      </c>
      <c r="AC230" s="228">
        <f t="shared" si="138"/>
        <v>0</v>
      </c>
      <c r="AD230" s="228"/>
      <c r="AE230" s="228">
        <f t="shared" si="143"/>
        <v>0</v>
      </c>
      <c r="AF230" s="235">
        <v>0</v>
      </c>
      <c r="AG230" s="228">
        <f t="shared" si="137"/>
        <v>0</v>
      </c>
      <c r="AH230" s="228"/>
      <c r="AI230" s="228">
        <f t="shared" si="144"/>
        <v>0</v>
      </c>
      <c r="AJ230" s="235">
        <v>0</v>
      </c>
      <c r="AK230" s="228">
        <f t="shared" si="162"/>
        <v>0</v>
      </c>
      <c r="AL230" s="228"/>
      <c r="AM230" s="228">
        <f t="shared" si="145"/>
        <v>0</v>
      </c>
      <c r="AN230" s="235">
        <v>0</v>
      </c>
      <c r="AO230" s="228">
        <f t="shared" si="163"/>
        <v>0</v>
      </c>
      <c r="AP230" s="228"/>
      <c r="AQ230" s="228">
        <f t="shared" si="146"/>
        <v>0</v>
      </c>
      <c r="AR230" s="228">
        <v>0</v>
      </c>
      <c r="AS230" s="228">
        <f t="shared" si="157"/>
        <v>0</v>
      </c>
      <c r="AT230" s="228"/>
      <c r="AU230" s="228">
        <f t="shared" si="147"/>
        <v>0</v>
      </c>
      <c r="AV230" s="235" t="s">
        <v>1525</v>
      </c>
      <c r="AW230" s="228">
        <f>AX230</f>
        <v>0</v>
      </c>
      <c r="AX230" s="228"/>
      <c r="AY230" s="228">
        <f t="shared" si="148"/>
        <v>0</v>
      </c>
      <c r="AZ230" s="228" t="s">
        <v>1457</v>
      </c>
      <c r="BA230" s="228">
        <f t="shared" si="161"/>
        <v>0</v>
      </c>
      <c r="BB230" s="265"/>
      <c r="BC230" s="228">
        <f t="shared" si="149"/>
        <v>0</v>
      </c>
      <c r="BD230" s="228" t="s">
        <v>1528</v>
      </c>
      <c r="BE230" s="228">
        <v>7500</v>
      </c>
      <c r="BF230" s="265">
        <v>7500</v>
      </c>
      <c r="BG230" s="228">
        <f t="shared" si="150"/>
        <v>0</v>
      </c>
      <c r="BH230" s="228">
        <v>0</v>
      </c>
      <c r="BI230" s="228">
        <f t="shared" si="166"/>
        <v>0</v>
      </c>
      <c r="BJ230" s="326"/>
      <c r="BK230" s="228">
        <f t="shared" si="151"/>
        <v>0</v>
      </c>
      <c r="BL230" s="228" t="s">
        <v>1457</v>
      </c>
      <c r="BM230" s="220">
        <f t="shared" si="139"/>
        <v>0</v>
      </c>
      <c r="BN230" s="327"/>
      <c r="BO230" s="220">
        <f t="shared" si="152"/>
        <v>0</v>
      </c>
      <c r="BP230" s="220">
        <f t="shared" si="153"/>
        <v>7500</v>
      </c>
      <c r="BQ230" s="220">
        <f t="shared" si="154"/>
        <v>7500</v>
      </c>
      <c r="BR230" s="220">
        <f t="shared" si="155"/>
        <v>0</v>
      </c>
      <c r="BS230" s="254" t="s">
        <v>39</v>
      </c>
      <c r="BT230" s="229" t="s">
        <v>39</v>
      </c>
      <c r="BU230" s="230" t="s">
        <v>867</v>
      </c>
      <c r="BV230" s="230" t="s">
        <v>868</v>
      </c>
      <c r="BW230" s="231"/>
    </row>
    <row r="231" s="209" customFormat="1" ht="96" customHeight="1" spans="1:75">
      <c r="A231" s="219">
        <v>267</v>
      </c>
      <c r="B231" s="220" t="s">
        <v>929</v>
      </c>
      <c r="C231" s="221" t="s">
        <v>443</v>
      </c>
      <c r="D231" s="221" t="s">
        <v>810</v>
      </c>
      <c r="E231" s="221" t="s">
        <v>811</v>
      </c>
      <c r="F231" s="219" t="s">
        <v>81</v>
      </c>
      <c r="G231" s="222" t="s">
        <v>1462</v>
      </c>
      <c r="H231" s="233" t="s">
        <v>39</v>
      </c>
      <c r="I231" s="237" t="s">
        <v>870</v>
      </c>
      <c r="J231" s="219" t="s">
        <v>871</v>
      </c>
      <c r="K231" s="223" cm="1">
        <f t="array" ref="K231">_xlfn.XLOOKUP(D231&amp;E231&amp;H231&amp;I231&amp;J231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348.11</v>
      </c>
      <c r="L231" s="223"/>
      <c r="M231" s="224"/>
      <c r="N231" s="323"/>
      <c r="O231" s="226">
        <v>285600</v>
      </c>
      <c r="P231" s="235">
        <v>0</v>
      </c>
      <c r="Q231" s="228">
        <f t="shared" si="164"/>
        <v>0</v>
      </c>
      <c r="R231" s="324"/>
      <c r="S231" s="228">
        <f t="shared" si="140"/>
        <v>0</v>
      </c>
      <c r="T231" s="235">
        <v>0</v>
      </c>
      <c r="U231" s="228">
        <f t="shared" si="136"/>
        <v>0</v>
      </c>
      <c r="V231" s="228"/>
      <c r="W231" s="228">
        <f t="shared" si="141"/>
        <v>0</v>
      </c>
      <c r="X231" s="235">
        <v>0</v>
      </c>
      <c r="Y231" s="228">
        <f t="shared" si="156"/>
        <v>0</v>
      </c>
      <c r="Z231" s="228"/>
      <c r="AA231" s="228">
        <f t="shared" si="142"/>
        <v>0</v>
      </c>
      <c r="AB231" s="235">
        <v>0</v>
      </c>
      <c r="AC231" s="228">
        <f t="shared" si="138"/>
        <v>0</v>
      </c>
      <c r="AD231" s="228"/>
      <c r="AE231" s="228">
        <f t="shared" si="143"/>
        <v>0</v>
      </c>
      <c r="AF231" s="235">
        <v>0</v>
      </c>
      <c r="AG231" s="228">
        <f t="shared" si="137"/>
        <v>0</v>
      </c>
      <c r="AH231" s="228"/>
      <c r="AI231" s="228">
        <f t="shared" si="144"/>
        <v>0</v>
      </c>
      <c r="AJ231" s="235">
        <v>0</v>
      </c>
      <c r="AK231" s="228">
        <f t="shared" si="162"/>
        <v>0</v>
      </c>
      <c r="AL231" s="228"/>
      <c r="AM231" s="228">
        <f t="shared" si="145"/>
        <v>0</v>
      </c>
      <c r="AN231" s="235">
        <v>0</v>
      </c>
      <c r="AO231" s="228">
        <f t="shared" si="163"/>
        <v>0</v>
      </c>
      <c r="AP231" s="228"/>
      <c r="AQ231" s="228">
        <f t="shared" si="146"/>
        <v>0</v>
      </c>
      <c r="AR231" s="228">
        <v>0</v>
      </c>
      <c r="AS231" s="228">
        <f t="shared" si="157"/>
        <v>0</v>
      </c>
      <c r="AT231" s="228"/>
      <c r="AU231" s="228">
        <f t="shared" si="147"/>
        <v>0</v>
      </c>
      <c r="AV231" s="235" t="s">
        <v>1525</v>
      </c>
      <c r="AW231" s="228">
        <f>AX231</f>
        <v>0</v>
      </c>
      <c r="AX231" s="228"/>
      <c r="AY231" s="228">
        <f t="shared" si="148"/>
        <v>0</v>
      </c>
      <c r="AZ231" s="228" t="s">
        <v>1457</v>
      </c>
      <c r="BA231" s="228">
        <f t="shared" si="161"/>
        <v>0</v>
      </c>
      <c r="BB231" s="265"/>
      <c r="BC231" s="228">
        <f t="shared" si="149"/>
        <v>0</v>
      </c>
      <c r="BD231" s="228" t="s">
        <v>1529</v>
      </c>
      <c r="BE231" s="228">
        <v>8750</v>
      </c>
      <c r="BF231" s="265">
        <v>8750</v>
      </c>
      <c r="BG231" s="228">
        <f t="shared" si="150"/>
        <v>0</v>
      </c>
      <c r="BH231" s="228">
        <v>0</v>
      </c>
      <c r="BI231" s="228">
        <f t="shared" si="166"/>
        <v>0</v>
      </c>
      <c r="BJ231" s="326"/>
      <c r="BK231" s="228">
        <f t="shared" si="151"/>
        <v>0</v>
      </c>
      <c r="BL231" s="228" t="s">
        <v>1457</v>
      </c>
      <c r="BM231" s="220">
        <f t="shared" si="139"/>
        <v>0</v>
      </c>
      <c r="BN231" s="327"/>
      <c r="BO231" s="220">
        <f t="shared" si="152"/>
        <v>0</v>
      </c>
      <c r="BP231" s="220">
        <f t="shared" si="153"/>
        <v>8750</v>
      </c>
      <c r="BQ231" s="220">
        <f t="shared" si="154"/>
        <v>8750</v>
      </c>
      <c r="BR231" s="220">
        <f t="shared" si="155"/>
        <v>0</v>
      </c>
      <c r="BS231" s="254" t="s">
        <v>39</v>
      </c>
      <c r="BT231" s="229" t="s">
        <v>39</v>
      </c>
      <c r="BU231" s="230" t="s">
        <v>867</v>
      </c>
      <c r="BV231" s="230" t="s">
        <v>872</v>
      </c>
      <c r="BW231" s="231"/>
    </row>
    <row r="232" s="209" customFormat="1" ht="36" customHeight="1" spans="1:75">
      <c r="A232" s="219">
        <v>268</v>
      </c>
      <c r="B232" s="220" t="s">
        <v>931</v>
      </c>
      <c r="C232" s="221" t="s">
        <v>443</v>
      </c>
      <c r="D232" s="221" t="s">
        <v>810</v>
      </c>
      <c r="E232" s="221" t="s">
        <v>811</v>
      </c>
      <c r="F232" s="219" t="s">
        <v>81</v>
      </c>
      <c r="G232" s="222" t="s">
        <v>1462</v>
      </c>
      <c r="H232" s="233" t="s">
        <v>39</v>
      </c>
      <c r="I232" s="237" t="s">
        <v>709</v>
      </c>
      <c r="J232" s="219" t="s">
        <v>1530</v>
      </c>
      <c r="K232" s="223" cm="1">
        <f t="array" ref="K232">_xlfn.XLOOKUP(D232&amp;E232&amp;H232&amp;I232&amp;J232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9852.57</v>
      </c>
      <c r="L232" s="223"/>
      <c r="M232" s="224"/>
      <c r="N232" s="323"/>
      <c r="O232" s="226"/>
      <c r="P232" s="235">
        <v>0.28</v>
      </c>
      <c r="Q232" s="228">
        <f t="shared" si="164"/>
        <v>2758.7196</v>
      </c>
      <c r="R232" s="324"/>
      <c r="S232" s="228">
        <f t="shared" si="140"/>
        <v>2758.7196</v>
      </c>
      <c r="T232" s="235">
        <v>0</v>
      </c>
      <c r="U232" s="228">
        <f t="shared" si="136"/>
        <v>0</v>
      </c>
      <c r="V232" s="228"/>
      <c r="W232" s="228">
        <f t="shared" si="141"/>
        <v>0</v>
      </c>
      <c r="X232" s="235">
        <v>0</v>
      </c>
      <c r="Y232" s="228">
        <f t="shared" si="156"/>
        <v>0</v>
      </c>
      <c r="Z232" s="228"/>
      <c r="AA232" s="228">
        <f t="shared" si="142"/>
        <v>0</v>
      </c>
      <c r="AB232" s="235">
        <v>0</v>
      </c>
      <c r="AC232" s="228">
        <f t="shared" si="138"/>
        <v>0</v>
      </c>
      <c r="AD232" s="228"/>
      <c r="AE232" s="228">
        <f t="shared" si="143"/>
        <v>0</v>
      </c>
      <c r="AF232" s="235">
        <v>0</v>
      </c>
      <c r="AG232" s="228">
        <f t="shared" si="137"/>
        <v>0</v>
      </c>
      <c r="AH232" s="228"/>
      <c r="AI232" s="228">
        <f t="shared" si="144"/>
        <v>0</v>
      </c>
      <c r="AJ232" s="235">
        <v>0</v>
      </c>
      <c r="AK232" s="228">
        <f t="shared" si="162"/>
        <v>0</v>
      </c>
      <c r="AL232" s="228"/>
      <c r="AM232" s="228">
        <f t="shared" si="145"/>
        <v>0</v>
      </c>
      <c r="AN232" s="235">
        <v>0</v>
      </c>
      <c r="AO232" s="228">
        <f t="shared" si="163"/>
        <v>0</v>
      </c>
      <c r="AP232" s="228"/>
      <c r="AQ232" s="228">
        <f t="shared" si="146"/>
        <v>0</v>
      </c>
      <c r="AR232" s="228">
        <v>0</v>
      </c>
      <c r="AS232" s="228">
        <f t="shared" si="157"/>
        <v>0</v>
      </c>
      <c r="AT232" s="228"/>
      <c r="AU232" s="228">
        <f t="shared" si="147"/>
        <v>0</v>
      </c>
      <c r="AV232" s="235">
        <v>0</v>
      </c>
      <c r="AW232" s="228">
        <f t="shared" ref="AW232:AW249" si="167">K232*AV232</f>
        <v>0</v>
      </c>
      <c r="AX232" s="228"/>
      <c r="AY232" s="228">
        <f t="shared" si="148"/>
        <v>0</v>
      </c>
      <c r="AZ232" s="228" t="s">
        <v>1457</v>
      </c>
      <c r="BA232" s="228">
        <f t="shared" si="161"/>
        <v>0</v>
      </c>
      <c r="BB232" s="265"/>
      <c r="BC232" s="228">
        <f t="shared" si="149"/>
        <v>0</v>
      </c>
      <c r="BD232" s="235" t="s">
        <v>1520</v>
      </c>
      <c r="BE232" s="228">
        <v>50</v>
      </c>
      <c r="BF232" s="265"/>
      <c r="BG232" s="228">
        <f t="shared" si="150"/>
        <v>50</v>
      </c>
      <c r="BH232" s="228">
        <v>0</v>
      </c>
      <c r="BI232" s="228">
        <f t="shared" si="166"/>
        <v>0</v>
      </c>
      <c r="BJ232" s="265"/>
      <c r="BK232" s="228">
        <f t="shared" si="151"/>
        <v>0</v>
      </c>
      <c r="BL232" s="228" t="s">
        <v>1457</v>
      </c>
      <c r="BM232" s="220">
        <f t="shared" si="139"/>
        <v>0</v>
      </c>
      <c r="BN232" s="243"/>
      <c r="BO232" s="220">
        <f t="shared" si="152"/>
        <v>0</v>
      </c>
      <c r="BP232" s="220">
        <f t="shared" si="153"/>
        <v>2808.7196</v>
      </c>
      <c r="BQ232" s="220">
        <f t="shared" si="154"/>
        <v>0</v>
      </c>
      <c r="BR232" s="220">
        <f t="shared" si="155"/>
        <v>2808.7196</v>
      </c>
      <c r="BS232" s="254"/>
      <c r="BT232" s="229"/>
      <c r="BU232" s="230"/>
      <c r="BV232" s="230"/>
      <c r="BW232" s="231"/>
    </row>
    <row r="233" s="209" customFormat="1" ht="24.75" customHeight="1" spans="1:75">
      <c r="A233" s="219">
        <v>270</v>
      </c>
      <c r="B233" s="220" t="s">
        <v>938</v>
      </c>
      <c r="C233" s="221" t="s">
        <v>874</v>
      </c>
      <c r="D233" s="221" t="s">
        <v>875</v>
      </c>
      <c r="E233" s="221" t="s">
        <v>876</v>
      </c>
      <c r="F233" s="219" t="s">
        <v>81</v>
      </c>
      <c r="G233" s="222" t="s">
        <v>374</v>
      </c>
      <c r="H233" s="233" t="s">
        <v>39</v>
      </c>
      <c r="I233" s="237" t="s">
        <v>316</v>
      </c>
      <c r="J233" s="233" t="s">
        <v>878</v>
      </c>
      <c r="K233" s="223" cm="1">
        <f t="array" ref="K233">_xlfn.XLOOKUP(D233&amp;E233&amp;H233&amp;I233&amp;J233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3" s="223"/>
      <c r="M233" s="224"/>
      <c r="N233" s="253">
        <v>126169.66</v>
      </c>
      <c r="O233" s="226">
        <v>592800</v>
      </c>
      <c r="P233" s="277">
        <v>0.18</v>
      </c>
      <c r="Q233" s="228">
        <f t="shared" si="164"/>
        <v>0</v>
      </c>
      <c r="R233" s="227">
        <v>61142.5</v>
      </c>
      <c r="S233" s="228">
        <f t="shared" si="140"/>
        <v>-61142.5</v>
      </c>
      <c r="T233" s="227">
        <v>0</v>
      </c>
      <c r="U233" s="228">
        <f t="shared" si="136"/>
        <v>0</v>
      </c>
      <c r="V233" s="227">
        <v>0</v>
      </c>
      <c r="W233" s="228">
        <f t="shared" si="141"/>
        <v>0</v>
      </c>
      <c r="X233" s="227">
        <v>0</v>
      </c>
      <c r="Y233" s="228">
        <f t="shared" si="156"/>
        <v>0</v>
      </c>
      <c r="Z233" s="227">
        <v>0</v>
      </c>
      <c r="AA233" s="228">
        <f t="shared" si="142"/>
        <v>0</v>
      </c>
      <c r="AB233" s="227">
        <v>0</v>
      </c>
      <c r="AC233" s="228">
        <f t="shared" si="138"/>
        <v>0</v>
      </c>
      <c r="AD233" s="227">
        <v>0</v>
      </c>
      <c r="AE233" s="228">
        <f t="shared" si="143"/>
        <v>0</v>
      </c>
      <c r="AF233" s="227">
        <v>0</v>
      </c>
      <c r="AG233" s="228">
        <f t="shared" si="137"/>
        <v>0</v>
      </c>
      <c r="AH233" s="227">
        <v>0</v>
      </c>
      <c r="AI233" s="228">
        <f t="shared" si="144"/>
        <v>0</v>
      </c>
      <c r="AJ233" s="227">
        <v>0</v>
      </c>
      <c r="AK233" s="228">
        <f t="shared" si="162"/>
        <v>0</v>
      </c>
      <c r="AL233" s="227">
        <v>0</v>
      </c>
      <c r="AM233" s="228">
        <f t="shared" si="145"/>
        <v>0</v>
      </c>
      <c r="AN233" s="227">
        <v>0</v>
      </c>
      <c r="AO233" s="228">
        <f t="shared" si="163"/>
        <v>0</v>
      </c>
      <c r="AP233" s="228">
        <v>0</v>
      </c>
      <c r="AQ233" s="228">
        <f t="shared" si="146"/>
        <v>0</v>
      </c>
      <c r="AR233" s="228">
        <v>0.03</v>
      </c>
      <c r="AS233" s="228">
        <f t="shared" si="157"/>
        <v>0</v>
      </c>
      <c r="AT233" s="227">
        <v>8956.5</v>
      </c>
      <c r="AU233" s="228">
        <f t="shared" si="147"/>
        <v>-8956.5</v>
      </c>
      <c r="AV233" s="277">
        <v>0.03</v>
      </c>
      <c r="AW233" s="228">
        <f t="shared" si="167"/>
        <v>0</v>
      </c>
      <c r="AX233" s="227">
        <v>8956.5</v>
      </c>
      <c r="AY233" s="228">
        <f t="shared" si="148"/>
        <v>-8956.5</v>
      </c>
      <c r="AZ233" s="227">
        <v>0</v>
      </c>
      <c r="BA233" s="228">
        <f t="shared" ref="BA233:BA281" si="168">K233*AZ233</f>
        <v>0</v>
      </c>
      <c r="BB233" s="228">
        <v>0</v>
      </c>
      <c r="BC233" s="228">
        <f t="shared" si="149"/>
        <v>0</v>
      </c>
      <c r="BD233" s="228"/>
      <c r="BE233" s="228">
        <f t="shared" ref="BE233:BE296" si="169">K233*BD233</f>
        <v>0</v>
      </c>
      <c r="BF233" s="228">
        <v>0</v>
      </c>
      <c r="BG233" s="228">
        <f t="shared" si="150"/>
        <v>0</v>
      </c>
      <c r="BH233" s="228"/>
      <c r="BI233" s="228">
        <f t="shared" si="166"/>
        <v>0</v>
      </c>
      <c r="BJ233" s="228">
        <v>0</v>
      </c>
      <c r="BK233" s="228">
        <f t="shared" si="151"/>
        <v>0</v>
      </c>
      <c r="BL233" s="228"/>
      <c r="BM233" s="220">
        <f t="shared" si="139"/>
        <v>105898.2</v>
      </c>
      <c r="BN233" s="220">
        <v>105898.2</v>
      </c>
      <c r="BO233" s="220">
        <f t="shared" si="152"/>
        <v>0</v>
      </c>
      <c r="BP233" s="220">
        <f t="shared" si="153"/>
        <v>232067.86</v>
      </c>
      <c r="BQ233" s="220">
        <f t="shared" si="154"/>
        <v>311123.36</v>
      </c>
      <c r="BR233" s="220">
        <f t="shared" si="155"/>
        <v>-79055.5</v>
      </c>
      <c r="BS233" s="254" t="s">
        <v>39</v>
      </c>
      <c r="BT233" s="229" t="s">
        <v>39</v>
      </c>
      <c r="BU233" s="230" t="s">
        <v>879</v>
      </c>
      <c r="BV233" s="230" t="s">
        <v>880</v>
      </c>
      <c r="BW233" s="231"/>
    </row>
    <row r="234" s="209" customFormat="1" ht="24.75" customHeight="1" spans="1:75">
      <c r="A234" s="219">
        <v>271</v>
      </c>
      <c r="B234" s="220" t="s">
        <v>941</v>
      </c>
      <c r="C234" s="221" t="s">
        <v>874</v>
      </c>
      <c r="D234" s="221" t="s">
        <v>875</v>
      </c>
      <c r="E234" s="221" t="s">
        <v>876</v>
      </c>
      <c r="F234" s="219" t="s">
        <v>81</v>
      </c>
      <c r="G234" s="222" t="s">
        <v>374</v>
      </c>
      <c r="H234" s="233" t="s">
        <v>39</v>
      </c>
      <c r="I234" s="237" t="s">
        <v>882</v>
      </c>
      <c r="J234" s="228" t="s">
        <v>1531</v>
      </c>
      <c r="K234" s="223" cm="1">
        <f t="array" ref="K234">_xlfn.XLOOKUP(D234&amp;E234&amp;H234&amp;I234&amp;J234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4" s="223"/>
      <c r="M234" s="224"/>
      <c r="N234" s="253"/>
      <c r="O234" s="226">
        <v>626400</v>
      </c>
      <c r="P234" s="277">
        <v>0.12</v>
      </c>
      <c r="Q234" s="228">
        <f t="shared" si="164"/>
        <v>0</v>
      </c>
      <c r="R234" s="227"/>
      <c r="S234" s="228">
        <f t="shared" si="140"/>
        <v>0</v>
      </c>
      <c r="T234" s="227">
        <v>0</v>
      </c>
      <c r="U234" s="228">
        <f t="shared" si="136"/>
        <v>0</v>
      </c>
      <c r="V234" s="227"/>
      <c r="W234" s="228">
        <f t="shared" si="141"/>
        <v>0</v>
      </c>
      <c r="X234" s="227">
        <v>0</v>
      </c>
      <c r="Y234" s="228">
        <f t="shared" si="156"/>
        <v>0</v>
      </c>
      <c r="Z234" s="227"/>
      <c r="AA234" s="228">
        <f t="shared" si="142"/>
        <v>0</v>
      </c>
      <c r="AB234" s="227">
        <v>0</v>
      </c>
      <c r="AC234" s="228">
        <f t="shared" si="138"/>
        <v>0</v>
      </c>
      <c r="AD234" s="227"/>
      <c r="AE234" s="228">
        <f t="shared" si="143"/>
        <v>0</v>
      </c>
      <c r="AF234" s="227">
        <v>0</v>
      </c>
      <c r="AG234" s="228">
        <f t="shared" si="137"/>
        <v>0</v>
      </c>
      <c r="AH234" s="227"/>
      <c r="AI234" s="228">
        <f t="shared" si="144"/>
        <v>0</v>
      </c>
      <c r="AJ234" s="227">
        <v>0</v>
      </c>
      <c r="AK234" s="228">
        <f t="shared" si="162"/>
        <v>0</v>
      </c>
      <c r="AL234" s="227"/>
      <c r="AM234" s="228">
        <f t="shared" si="145"/>
        <v>0</v>
      </c>
      <c r="AN234" s="227">
        <v>0</v>
      </c>
      <c r="AO234" s="228">
        <f t="shared" si="163"/>
        <v>0</v>
      </c>
      <c r="AP234" s="228"/>
      <c r="AQ234" s="228">
        <f t="shared" si="146"/>
        <v>0</v>
      </c>
      <c r="AR234" s="228">
        <v>0.02</v>
      </c>
      <c r="AS234" s="228">
        <f t="shared" si="157"/>
        <v>0</v>
      </c>
      <c r="AT234" s="227"/>
      <c r="AU234" s="228">
        <f t="shared" si="147"/>
        <v>0</v>
      </c>
      <c r="AV234" s="277">
        <v>0.02</v>
      </c>
      <c r="AW234" s="228">
        <f t="shared" si="167"/>
        <v>0</v>
      </c>
      <c r="AX234" s="227"/>
      <c r="AY234" s="228">
        <f t="shared" si="148"/>
        <v>0</v>
      </c>
      <c r="AZ234" s="227">
        <v>0</v>
      </c>
      <c r="BA234" s="228">
        <f t="shared" si="168"/>
        <v>0</v>
      </c>
      <c r="BB234" s="228"/>
      <c r="BC234" s="228">
        <f t="shared" si="149"/>
        <v>0</v>
      </c>
      <c r="BD234" s="228"/>
      <c r="BE234" s="228">
        <f t="shared" si="169"/>
        <v>0</v>
      </c>
      <c r="BF234" s="228"/>
      <c r="BG234" s="228">
        <f t="shared" si="150"/>
        <v>0</v>
      </c>
      <c r="BH234" s="228"/>
      <c r="BI234" s="228">
        <f t="shared" si="166"/>
        <v>0</v>
      </c>
      <c r="BJ234" s="228"/>
      <c r="BK234" s="228">
        <f t="shared" si="151"/>
        <v>0</v>
      </c>
      <c r="BL234" s="228"/>
      <c r="BM234" s="220">
        <f t="shared" ref="BM234:BM249" si="170">K234*BL234</f>
        <v>0</v>
      </c>
      <c r="BN234" s="220"/>
      <c r="BO234" s="220">
        <f t="shared" si="152"/>
        <v>0</v>
      </c>
      <c r="BP234" s="220">
        <f t="shared" si="153"/>
        <v>0</v>
      </c>
      <c r="BQ234" s="220">
        <f t="shared" si="154"/>
        <v>0</v>
      </c>
      <c r="BR234" s="220">
        <f t="shared" si="155"/>
        <v>0</v>
      </c>
      <c r="BS234" s="254" t="s">
        <v>39</v>
      </c>
      <c r="BT234" s="229" t="s">
        <v>39</v>
      </c>
      <c r="BU234" s="230" t="s">
        <v>879</v>
      </c>
      <c r="BV234" s="230" t="s">
        <v>880</v>
      </c>
      <c r="BW234" s="231"/>
    </row>
    <row r="235" s="209" customFormat="1" ht="24.75" customHeight="1" spans="1:75">
      <c r="A235" s="219">
        <v>272</v>
      </c>
      <c r="B235" s="220" t="s">
        <v>944</v>
      </c>
      <c r="C235" s="221" t="s">
        <v>874</v>
      </c>
      <c r="D235" s="221" t="s">
        <v>875</v>
      </c>
      <c r="E235" s="221" t="s">
        <v>876</v>
      </c>
      <c r="F235" s="219" t="s">
        <v>81</v>
      </c>
      <c r="G235" s="222" t="s">
        <v>374</v>
      </c>
      <c r="H235" s="233" t="s">
        <v>39</v>
      </c>
      <c r="I235" s="237" t="s">
        <v>885</v>
      </c>
      <c r="J235" s="233" t="s">
        <v>886</v>
      </c>
      <c r="K235" s="223" cm="1">
        <f t="array" ref="K235">_xlfn.XLOOKUP(D235&amp;E235&amp;H235&amp;I235&amp;J235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5" s="223"/>
      <c r="M235" s="224"/>
      <c r="N235" s="253"/>
      <c r="O235" s="226">
        <v>343200</v>
      </c>
      <c r="P235" s="277">
        <v>0.2</v>
      </c>
      <c r="Q235" s="228">
        <f t="shared" si="164"/>
        <v>0</v>
      </c>
      <c r="R235" s="227"/>
      <c r="S235" s="228">
        <f t="shared" si="140"/>
        <v>0</v>
      </c>
      <c r="T235" s="227">
        <v>0</v>
      </c>
      <c r="U235" s="228">
        <f t="shared" si="136"/>
        <v>0</v>
      </c>
      <c r="V235" s="227"/>
      <c r="W235" s="228">
        <f t="shared" si="141"/>
        <v>0</v>
      </c>
      <c r="X235" s="227">
        <v>0</v>
      </c>
      <c r="Y235" s="228">
        <f t="shared" si="156"/>
        <v>0</v>
      </c>
      <c r="Z235" s="227"/>
      <c r="AA235" s="228">
        <f t="shared" si="142"/>
        <v>0</v>
      </c>
      <c r="AB235" s="227">
        <v>0</v>
      </c>
      <c r="AC235" s="228">
        <f t="shared" si="138"/>
        <v>0</v>
      </c>
      <c r="AD235" s="227"/>
      <c r="AE235" s="228">
        <f t="shared" si="143"/>
        <v>0</v>
      </c>
      <c r="AF235" s="227">
        <v>0</v>
      </c>
      <c r="AG235" s="228">
        <f t="shared" si="137"/>
        <v>0</v>
      </c>
      <c r="AH235" s="227"/>
      <c r="AI235" s="228">
        <f t="shared" si="144"/>
        <v>0</v>
      </c>
      <c r="AJ235" s="227">
        <v>0</v>
      </c>
      <c r="AK235" s="228">
        <f t="shared" si="162"/>
        <v>0</v>
      </c>
      <c r="AL235" s="227"/>
      <c r="AM235" s="228">
        <f t="shared" si="145"/>
        <v>0</v>
      </c>
      <c r="AN235" s="227">
        <v>0</v>
      </c>
      <c r="AO235" s="228">
        <f t="shared" si="163"/>
        <v>0</v>
      </c>
      <c r="AP235" s="228"/>
      <c r="AQ235" s="228">
        <f t="shared" si="146"/>
        <v>0</v>
      </c>
      <c r="AR235" s="228">
        <v>0.03</v>
      </c>
      <c r="AS235" s="228">
        <f t="shared" si="157"/>
        <v>0</v>
      </c>
      <c r="AT235" s="227"/>
      <c r="AU235" s="228">
        <f t="shared" si="147"/>
        <v>0</v>
      </c>
      <c r="AV235" s="277">
        <v>0.03</v>
      </c>
      <c r="AW235" s="228">
        <f t="shared" si="167"/>
        <v>0</v>
      </c>
      <c r="AX235" s="227"/>
      <c r="AY235" s="228">
        <f t="shared" si="148"/>
        <v>0</v>
      </c>
      <c r="AZ235" s="227">
        <v>0</v>
      </c>
      <c r="BA235" s="228">
        <f t="shared" si="168"/>
        <v>0</v>
      </c>
      <c r="BB235" s="228"/>
      <c r="BC235" s="228">
        <f t="shared" si="149"/>
        <v>0</v>
      </c>
      <c r="BD235" s="228"/>
      <c r="BE235" s="228">
        <f t="shared" si="169"/>
        <v>0</v>
      </c>
      <c r="BF235" s="228"/>
      <c r="BG235" s="228">
        <f t="shared" si="150"/>
        <v>0</v>
      </c>
      <c r="BH235" s="228"/>
      <c r="BI235" s="228">
        <f t="shared" si="166"/>
        <v>0</v>
      </c>
      <c r="BJ235" s="228"/>
      <c r="BK235" s="228">
        <f t="shared" si="151"/>
        <v>0</v>
      </c>
      <c r="BL235" s="228"/>
      <c r="BM235" s="220">
        <f t="shared" si="170"/>
        <v>0</v>
      </c>
      <c r="BN235" s="220"/>
      <c r="BO235" s="220">
        <f t="shared" si="152"/>
        <v>0</v>
      </c>
      <c r="BP235" s="220">
        <f t="shared" si="153"/>
        <v>0</v>
      </c>
      <c r="BQ235" s="220">
        <f t="shared" si="154"/>
        <v>0</v>
      </c>
      <c r="BR235" s="220">
        <f t="shared" si="155"/>
        <v>0</v>
      </c>
      <c r="BS235" s="254" t="s">
        <v>39</v>
      </c>
      <c r="BT235" s="229" t="s">
        <v>39</v>
      </c>
      <c r="BU235" s="230" t="s">
        <v>879</v>
      </c>
      <c r="BV235" s="230" t="s">
        <v>880</v>
      </c>
      <c r="BW235" s="231"/>
    </row>
    <row r="236" s="209" customFormat="1" ht="24.75" customHeight="1" spans="1:75">
      <c r="A236" s="219">
        <v>273</v>
      </c>
      <c r="B236" s="220" t="s">
        <v>947</v>
      </c>
      <c r="C236" s="221" t="s">
        <v>874</v>
      </c>
      <c r="D236" s="221" t="s">
        <v>875</v>
      </c>
      <c r="E236" s="221" t="s">
        <v>876</v>
      </c>
      <c r="F236" s="219" t="s">
        <v>81</v>
      </c>
      <c r="G236" s="222" t="s">
        <v>374</v>
      </c>
      <c r="H236" s="233" t="s">
        <v>39</v>
      </c>
      <c r="I236" s="237" t="s">
        <v>888</v>
      </c>
      <c r="J236" s="233" t="s">
        <v>889</v>
      </c>
      <c r="K236" s="223" cm="1">
        <f t="array" ref="K236">_xlfn.XLOOKUP(D236&amp;E236&amp;H236&amp;I236&amp;J236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6" s="223"/>
      <c r="M236" s="224"/>
      <c r="N236" s="253"/>
      <c r="O236" s="226">
        <v>676800</v>
      </c>
      <c r="P236" s="277">
        <v>0.19</v>
      </c>
      <c r="Q236" s="228">
        <f t="shared" si="164"/>
        <v>0</v>
      </c>
      <c r="R236" s="227"/>
      <c r="S236" s="228">
        <f t="shared" si="140"/>
        <v>0</v>
      </c>
      <c r="T236" s="227">
        <v>0</v>
      </c>
      <c r="U236" s="228">
        <f t="shared" si="136"/>
        <v>0</v>
      </c>
      <c r="V236" s="227"/>
      <c r="W236" s="228">
        <f t="shared" si="141"/>
        <v>0</v>
      </c>
      <c r="X236" s="227">
        <v>0</v>
      </c>
      <c r="Y236" s="228">
        <f t="shared" si="156"/>
        <v>0</v>
      </c>
      <c r="Z236" s="227"/>
      <c r="AA236" s="228">
        <f t="shared" si="142"/>
        <v>0</v>
      </c>
      <c r="AB236" s="227">
        <v>0</v>
      </c>
      <c r="AC236" s="228">
        <f t="shared" si="138"/>
        <v>0</v>
      </c>
      <c r="AD236" s="227"/>
      <c r="AE236" s="228">
        <f t="shared" si="143"/>
        <v>0</v>
      </c>
      <c r="AF236" s="227">
        <v>0</v>
      </c>
      <c r="AG236" s="228">
        <f t="shared" si="137"/>
        <v>0</v>
      </c>
      <c r="AH236" s="227"/>
      <c r="AI236" s="228">
        <f t="shared" si="144"/>
        <v>0</v>
      </c>
      <c r="AJ236" s="227">
        <v>0</v>
      </c>
      <c r="AK236" s="228">
        <f t="shared" si="162"/>
        <v>0</v>
      </c>
      <c r="AL236" s="227"/>
      <c r="AM236" s="228">
        <f t="shared" si="145"/>
        <v>0</v>
      </c>
      <c r="AN236" s="227">
        <v>0</v>
      </c>
      <c r="AO236" s="228">
        <f t="shared" si="163"/>
        <v>0</v>
      </c>
      <c r="AP236" s="228"/>
      <c r="AQ236" s="228">
        <f t="shared" si="146"/>
        <v>0</v>
      </c>
      <c r="AR236" s="228">
        <v>0.03</v>
      </c>
      <c r="AS236" s="228">
        <f t="shared" si="157"/>
        <v>0</v>
      </c>
      <c r="AT236" s="227"/>
      <c r="AU236" s="228">
        <f t="shared" si="147"/>
        <v>0</v>
      </c>
      <c r="AV236" s="277">
        <v>0.03</v>
      </c>
      <c r="AW236" s="228">
        <f t="shared" si="167"/>
        <v>0</v>
      </c>
      <c r="AX236" s="227"/>
      <c r="AY236" s="228">
        <f t="shared" si="148"/>
        <v>0</v>
      </c>
      <c r="AZ236" s="227">
        <v>0</v>
      </c>
      <c r="BA236" s="228">
        <f t="shared" si="168"/>
        <v>0</v>
      </c>
      <c r="BB236" s="228"/>
      <c r="BC236" s="228">
        <f t="shared" si="149"/>
        <v>0</v>
      </c>
      <c r="BD236" s="228"/>
      <c r="BE236" s="228">
        <f t="shared" si="169"/>
        <v>0</v>
      </c>
      <c r="BF236" s="228"/>
      <c r="BG236" s="228">
        <f t="shared" si="150"/>
        <v>0</v>
      </c>
      <c r="BH236" s="228"/>
      <c r="BI236" s="228">
        <f t="shared" si="166"/>
        <v>0</v>
      </c>
      <c r="BJ236" s="228"/>
      <c r="BK236" s="228">
        <f t="shared" si="151"/>
        <v>0</v>
      </c>
      <c r="BL236" s="228"/>
      <c r="BM236" s="220">
        <f t="shared" si="170"/>
        <v>0</v>
      </c>
      <c r="BN236" s="220"/>
      <c r="BO236" s="220">
        <f t="shared" si="152"/>
        <v>0</v>
      </c>
      <c r="BP236" s="220">
        <f t="shared" si="153"/>
        <v>0</v>
      </c>
      <c r="BQ236" s="220">
        <f t="shared" si="154"/>
        <v>0</v>
      </c>
      <c r="BR236" s="220">
        <f t="shared" si="155"/>
        <v>0</v>
      </c>
      <c r="BS236" s="254" t="s">
        <v>39</v>
      </c>
      <c r="BT236" s="229" t="s">
        <v>39</v>
      </c>
      <c r="BU236" s="230" t="s">
        <v>879</v>
      </c>
      <c r="BV236" s="230" t="s">
        <v>880</v>
      </c>
      <c r="BW236" s="231"/>
    </row>
    <row r="237" s="209" customFormat="1" ht="24.75" customHeight="1" spans="1:75">
      <c r="A237" s="219">
        <v>274</v>
      </c>
      <c r="B237" s="220" t="s">
        <v>951</v>
      </c>
      <c r="C237" s="221" t="s">
        <v>874</v>
      </c>
      <c r="D237" s="221" t="s">
        <v>875</v>
      </c>
      <c r="E237" s="221" t="s">
        <v>876</v>
      </c>
      <c r="F237" s="219" t="s">
        <v>81</v>
      </c>
      <c r="G237" s="222" t="s">
        <v>374</v>
      </c>
      <c r="H237" s="233" t="s">
        <v>39</v>
      </c>
      <c r="I237" s="237" t="s">
        <v>891</v>
      </c>
      <c r="J237" s="233" t="s">
        <v>892</v>
      </c>
      <c r="K237" s="223" cm="1">
        <f t="array" ref="K237">_xlfn.XLOOKUP(D237&amp;E237&amp;H237&amp;I237&amp;J237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7" s="223"/>
      <c r="M237" s="224"/>
      <c r="N237" s="253"/>
      <c r="O237" s="226">
        <v>408000</v>
      </c>
      <c r="P237" s="277">
        <v>0.2</v>
      </c>
      <c r="Q237" s="228">
        <f t="shared" si="164"/>
        <v>0</v>
      </c>
      <c r="R237" s="227"/>
      <c r="S237" s="228">
        <f t="shared" si="140"/>
        <v>0</v>
      </c>
      <c r="T237" s="227">
        <v>0</v>
      </c>
      <c r="U237" s="228">
        <f t="shared" si="136"/>
        <v>0</v>
      </c>
      <c r="V237" s="227"/>
      <c r="W237" s="228">
        <f t="shared" si="141"/>
        <v>0</v>
      </c>
      <c r="X237" s="227">
        <v>0</v>
      </c>
      <c r="Y237" s="228">
        <f t="shared" si="156"/>
        <v>0</v>
      </c>
      <c r="Z237" s="227"/>
      <c r="AA237" s="228">
        <f t="shared" si="142"/>
        <v>0</v>
      </c>
      <c r="AB237" s="227">
        <v>0</v>
      </c>
      <c r="AC237" s="228">
        <f t="shared" si="138"/>
        <v>0</v>
      </c>
      <c r="AD237" s="227"/>
      <c r="AE237" s="228">
        <f t="shared" si="143"/>
        <v>0</v>
      </c>
      <c r="AF237" s="227">
        <v>0</v>
      </c>
      <c r="AG237" s="228">
        <f t="shared" si="137"/>
        <v>0</v>
      </c>
      <c r="AH237" s="227"/>
      <c r="AI237" s="228">
        <f t="shared" si="144"/>
        <v>0</v>
      </c>
      <c r="AJ237" s="227">
        <v>0</v>
      </c>
      <c r="AK237" s="228">
        <f t="shared" si="162"/>
        <v>0</v>
      </c>
      <c r="AL237" s="227"/>
      <c r="AM237" s="228">
        <f t="shared" si="145"/>
        <v>0</v>
      </c>
      <c r="AN237" s="227">
        <v>0</v>
      </c>
      <c r="AO237" s="228">
        <f t="shared" si="163"/>
        <v>0</v>
      </c>
      <c r="AP237" s="228"/>
      <c r="AQ237" s="228">
        <f t="shared" si="146"/>
        <v>0</v>
      </c>
      <c r="AR237" s="228">
        <v>0.03</v>
      </c>
      <c r="AS237" s="228">
        <f t="shared" si="157"/>
        <v>0</v>
      </c>
      <c r="AT237" s="227"/>
      <c r="AU237" s="228">
        <f t="shared" si="147"/>
        <v>0</v>
      </c>
      <c r="AV237" s="277">
        <v>0.03</v>
      </c>
      <c r="AW237" s="228">
        <f t="shared" si="167"/>
        <v>0</v>
      </c>
      <c r="AX237" s="227"/>
      <c r="AY237" s="228">
        <f t="shared" si="148"/>
        <v>0</v>
      </c>
      <c r="AZ237" s="227">
        <v>0</v>
      </c>
      <c r="BA237" s="228">
        <f t="shared" si="168"/>
        <v>0</v>
      </c>
      <c r="BB237" s="228"/>
      <c r="BC237" s="228">
        <f t="shared" si="149"/>
        <v>0</v>
      </c>
      <c r="BD237" s="228"/>
      <c r="BE237" s="228">
        <f t="shared" si="169"/>
        <v>0</v>
      </c>
      <c r="BF237" s="228"/>
      <c r="BG237" s="228">
        <f t="shared" si="150"/>
        <v>0</v>
      </c>
      <c r="BH237" s="228"/>
      <c r="BI237" s="228">
        <f t="shared" si="166"/>
        <v>0</v>
      </c>
      <c r="BJ237" s="228"/>
      <c r="BK237" s="228">
        <f t="shared" si="151"/>
        <v>0</v>
      </c>
      <c r="BL237" s="228"/>
      <c r="BM237" s="220">
        <f t="shared" si="170"/>
        <v>0</v>
      </c>
      <c r="BN237" s="220"/>
      <c r="BO237" s="220">
        <f t="shared" si="152"/>
        <v>0</v>
      </c>
      <c r="BP237" s="220">
        <f t="shared" si="153"/>
        <v>0</v>
      </c>
      <c r="BQ237" s="220">
        <f t="shared" si="154"/>
        <v>0</v>
      </c>
      <c r="BR237" s="220">
        <f t="shared" si="155"/>
        <v>0</v>
      </c>
      <c r="BS237" s="254" t="s">
        <v>39</v>
      </c>
      <c r="BT237" s="229" t="s">
        <v>39</v>
      </c>
      <c r="BU237" s="230" t="s">
        <v>879</v>
      </c>
      <c r="BV237" s="230" t="s">
        <v>880</v>
      </c>
      <c r="BW237" s="231"/>
    </row>
    <row r="238" s="209" customFormat="1" ht="24.75" customHeight="1" spans="1:75">
      <c r="A238" s="219">
        <v>275</v>
      </c>
      <c r="B238" s="220" t="s">
        <v>954</v>
      </c>
      <c r="C238" s="221" t="s">
        <v>874</v>
      </c>
      <c r="D238" s="221" t="s">
        <v>875</v>
      </c>
      <c r="E238" s="221" t="s">
        <v>876</v>
      </c>
      <c r="F238" s="219" t="s">
        <v>81</v>
      </c>
      <c r="G238" s="222" t="s">
        <v>374</v>
      </c>
      <c r="H238" s="233" t="s">
        <v>39</v>
      </c>
      <c r="I238" s="237" t="s">
        <v>894</v>
      </c>
      <c r="J238" s="233" t="s">
        <v>895</v>
      </c>
      <c r="K238" s="223" cm="1">
        <f t="array" ref="K238">_xlfn.XLOOKUP(D238&amp;E238&amp;H238&amp;I238&amp;J238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8" s="223"/>
      <c r="M238" s="224"/>
      <c r="N238" s="253"/>
      <c r="O238" s="226">
        <v>595200</v>
      </c>
      <c r="P238" s="277">
        <v>0.21</v>
      </c>
      <c r="Q238" s="228">
        <f t="shared" si="164"/>
        <v>0</v>
      </c>
      <c r="R238" s="227"/>
      <c r="S238" s="228">
        <f t="shared" si="140"/>
        <v>0</v>
      </c>
      <c r="T238" s="227">
        <v>0</v>
      </c>
      <c r="U238" s="228">
        <f t="shared" ref="U238:U301" si="171">K238*T238</f>
        <v>0</v>
      </c>
      <c r="V238" s="227"/>
      <c r="W238" s="228">
        <f t="shared" si="141"/>
        <v>0</v>
      </c>
      <c r="X238" s="227">
        <v>0</v>
      </c>
      <c r="Y238" s="228">
        <f t="shared" si="156"/>
        <v>0</v>
      </c>
      <c r="Z238" s="227"/>
      <c r="AA238" s="228">
        <f t="shared" si="142"/>
        <v>0</v>
      </c>
      <c r="AB238" s="227">
        <v>0</v>
      </c>
      <c r="AC238" s="228">
        <f t="shared" si="138"/>
        <v>0</v>
      </c>
      <c r="AD238" s="227"/>
      <c r="AE238" s="228">
        <f t="shared" si="143"/>
        <v>0</v>
      </c>
      <c r="AF238" s="227">
        <v>0</v>
      </c>
      <c r="AG238" s="228">
        <f t="shared" ref="AG238:AG301" si="172">K238*AF238</f>
        <v>0</v>
      </c>
      <c r="AH238" s="227"/>
      <c r="AI238" s="228">
        <f t="shared" si="144"/>
        <v>0</v>
      </c>
      <c r="AJ238" s="227">
        <v>0</v>
      </c>
      <c r="AK238" s="228">
        <f t="shared" si="162"/>
        <v>0</v>
      </c>
      <c r="AL238" s="227"/>
      <c r="AM238" s="228">
        <f t="shared" si="145"/>
        <v>0</v>
      </c>
      <c r="AN238" s="227">
        <v>0</v>
      </c>
      <c r="AO238" s="228">
        <f t="shared" si="163"/>
        <v>0</v>
      </c>
      <c r="AP238" s="228"/>
      <c r="AQ238" s="228">
        <f t="shared" si="146"/>
        <v>0</v>
      </c>
      <c r="AR238" s="228">
        <v>0.02</v>
      </c>
      <c r="AS238" s="228">
        <f t="shared" si="157"/>
        <v>0</v>
      </c>
      <c r="AT238" s="227"/>
      <c r="AU238" s="228">
        <f t="shared" si="147"/>
        <v>0</v>
      </c>
      <c r="AV238" s="277">
        <v>0.02</v>
      </c>
      <c r="AW238" s="228">
        <f t="shared" si="167"/>
        <v>0</v>
      </c>
      <c r="AX238" s="227"/>
      <c r="AY238" s="228">
        <f t="shared" si="148"/>
        <v>0</v>
      </c>
      <c r="AZ238" s="227">
        <v>0</v>
      </c>
      <c r="BA238" s="228">
        <f t="shared" si="168"/>
        <v>0</v>
      </c>
      <c r="BB238" s="228"/>
      <c r="BC238" s="228">
        <f t="shared" si="149"/>
        <v>0</v>
      </c>
      <c r="BD238" s="228"/>
      <c r="BE238" s="228">
        <f t="shared" si="169"/>
        <v>0</v>
      </c>
      <c r="BF238" s="228"/>
      <c r="BG238" s="228">
        <f t="shared" si="150"/>
        <v>0</v>
      </c>
      <c r="BH238" s="228"/>
      <c r="BI238" s="228">
        <f t="shared" si="166"/>
        <v>0</v>
      </c>
      <c r="BJ238" s="228"/>
      <c r="BK238" s="228">
        <f t="shared" si="151"/>
        <v>0</v>
      </c>
      <c r="BL238" s="228"/>
      <c r="BM238" s="220">
        <f t="shared" si="170"/>
        <v>0</v>
      </c>
      <c r="BN238" s="220"/>
      <c r="BO238" s="220">
        <f t="shared" si="152"/>
        <v>0</v>
      </c>
      <c r="BP238" s="220">
        <f t="shared" si="153"/>
        <v>0</v>
      </c>
      <c r="BQ238" s="220">
        <f t="shared" si="154"/>
        <v>0</v>
      </c>
      <c r="BR238" s="220">
        <f t="shared" si="155"/>
        <v>0</v>
      </c>
      <c r="BS238" s="254" t="s">
        <v>39</v>
      </c>
      <c r="BT238" s="229" t="s">
        <v>39</v>
      </c>
      <c r="BU238" s="230" t="s">
        <v>879</v>
      </c>
      <c r="BV238" s="230" t="s">
        <v>880</v>
      </c>
      <c r="BW238" s="231"/>
    </row>
    <row r="239" s="209" customFormat="1" ht="24.75" customHeight="1" spans="1:75">
      <c r="A239" s="219">
        <v>276</v>
      </c>
      <c r="B239" s="220" t="s">
        <v>957</v>
      </c>
      <c r="C239" s="221" t="s">
        <v>874</v>
      </c>
      <c r="D239" s="221" t="s">
        <v>875</v>
      </c>
      <c r="E239" s="221" t="s">
        <v>876</v>
      </c>
      <c r="F239" s="219" t="s">
        <v>81</v>
      </c>
      <c r="G239" s="222" t="s">
        <v>374</v>
      </c>
      <c r="H239" s="233" t="s">
        <v>39</v>
      </c>
      <c r="I239" s="237" t="s">
        <v>897</v>
      </c>
      <c r="J239" s="233" t="s">
        <v>898</v>
      </c>
      <c r="K239" s="223" cm="1">
        <f t="array" ref="K239">_xlfn.XLOOKUP(D239&amp;E239&amp;H239&amp;I239&amp;J239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9" s="223"/>
      <c r="M239" s="224"/>
      <c r="N239" s="253"/>
      <c r="O239" s="226">
        <v>595200</v>
      </c>
      <c r="P239" s="277">
        <v>0.2</v>
      </c>
      <c r="Q239" s="228">
        <f t="shared" si="164"/>
        <v>0</v>
      </c>
      <c r="R239" s="227"/>
      <c r="S239" s="228">
        <f t="shared" si="140"/>
        <v>0</v>
      </c>
      <c r="T239" s="227">
        <v>0</v>
      </c>
      <c r="U239" s="228">
        <f t="shared" si="171"/>
        <v>0</v>
      </c>
      <c r="V239" s="227"/>
      <c r="W239" s="228">
        <f t="shared" si="141"/>
        <v>0</v>
      </c>
      <c r="X239" s="227">
        <v>0</v>
      </c>
      <c r="Y239" s="228">
        <f t="shared" si="156"/>
        <v>0</v>
      </c>
      <c r="Z239" s="227"/>
      <c r="AA239" s="228">
        <f t="shared" si="142"/>
        <v>0</v>
      </c>
      <c r="AB239" s="227">
        <v>0</v>
      </c>
      <c r="AC239" s="228">
        <f t="shared" si="138"/>
        <v>0</v>
      </c>
      <c r="AD239" s="227"/>
      <c r="AE239" s="228">
        <f t="shared" si="143"/>
        <v>0</v>
      </c>
      <c r="AF239" s="227">
        <v>0</v>
      </c>
      <c r="AG239" s="228">
        <f t="shared" si="172"/>
        <v>0</v>
      </c>
      <c r="AH239" s="227"/>
      <c r="AI239" s="228">
        <f t="shared" si="144"/>
        <v>0</v>
      </c>
      <c r="AJ239" s="227">
        <v>0</v>
      </c>
      <c r="AK239" s="228">
        <f t="shared" si="162"/>
        <v>0</v>
      </c>
      <c r="AL239" s="227"/>
      <c r="AM239" s="228">
        <f t="shared" si="145"/>
        <v>0</v>
      </c>
      <c r="AN239" s="227">
        <v>0</v>
      </c>
      <c r="AO239" s="228">
        <f t="shared" si="163"/>
        <v>0</v>
      </c>
      <c r="AP239" s="228"/>
      <c r="AQ239" s="228">
        <f t="shared" si="146"/>
        <v>0</v>
      </c>
      <c r="AR239" s="228">
        <v>0.03</v>
      </c>
      <c r="AS239" s="228">
        <f t="shared" si="157"/>
        <v>0</v>
      </c>
      <c r="AT239" s="227"/>
      <c r="AU239" s="228">
        <f t="shared" si="147"/>
        <v>0</v>
      </c>
      <c r="AV239" s="277">
        <v>0.03</v>
      </c>
      <c r="AW239" s="228">
        <f t="shared" si="167"/>
        <v>0</v>
      </c>
      <c r="AX239" s="227"/>
      <c r="AY239" s="228">
        <f t="shared" si="148"/>
        <v>0</v>
      </c>
      <c r="AZ239" s="227">
        <v>0</v>
      </c>
      <c r="BA239" s="228">
        <f t="shared" si="168"/>
        <v>0</v>
      </c>
      <c r="BB239" s="228"/>
      <c r="BC239" s="228">
        <f t="shared" si="149"/>
        <v>0</v>
      </c>
      <c r="BD239" s="228"/>
      <c r="BE239" s="228">
        <f t="shared" si="169"/>
        <v>0</v>
      </c>
      <c r="BF239" s="228"/>
      <c r="BG239" s="228">
        <f t="shared" si="150"/>
        <v>0</v>
      </c>
      <c r="BH239" s="228"/>
      <c r="BI239" s="228">
        <f t="shared" si="166"/>
        <v>0</v>
      </c>
      <c r="BJ239" s="228"/>
      <c r="BK239" s="228">
        <f t="shared" si="151"/>
        <v>0</v>
      </c>
      <c r="BL239" s="228"/>
      <c r="BM239" s="220">
        <f t="shared" si="170"/>
        <v>0</v>
      </c>
      <c r="BN239" s="220"/>
      <c r="BO239" s="220">
        <f t="shared" si="152"/>
        <v>0</v>
      </c>
      <c r="BP239" s="220">
        <f t="shared" si="153"/>
        <v>0</v>
      </c>
      <c r="BQ239" s="220">
        <f t="shared" si="154"/>
        <v>0</v>
      </c>
      <c r="BR239" s="220">
        <f t="shared" si="155"/>
        <v>0</v>
      </c>
      <c r="BS239" s="254" t="s">
        <v>39</v>
      </c>
      <c r="BT239" s="229" t="s">
        <v>39</v>
      </c>
      <c r="BU239" s="230" t="s">
        <v>879</v>
      </c>
      <c r="BV239" s="230" t="s">
        <v>880</v>
      </c>
      <c r="BW239" s="231"/>
    </row>
    <row r="240" s="209" customFormat="1" ht="24.75" customHeight="1" spans="1:75">
      <c r="A240" s="219">
        <v>277</v>
      </c>
      <c r="B240" s="220" t="s">
        <v>960</v>
      </c>
      <c r="C240" s="221" t="s">
        <v>874</v>
      </c>
      <c r="D240" s="221" t="s">
        <v>875</v>
      </c>
      <c r="E240" s="221" t="s">
        <v>876</v>
      </c>
      <c r="F240" s="219" t="s">
        <v>81</v>
      </c>
      <c r="G240" s="222" t="s">
        <v>374</v>
      </c>
      <c r="H240" s="233" t="s">
        <v>39</v>
      </c>
      <c r="I240" s="237" t="s">
        <v>900</v>
      </c>
      <c r="J240" s="233" t="s">
        <v>901</v>
      </c>
      <c r="K240" s="223" cm="1">
        <f t="array" ref="K240">_xlfn.XLOOKUP(D240&amp;E240&amp;H240&amp;I240&amp;J240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0" s="223"/>
      <c r="M240" s="224"/>
      <c r="N240" s="253"/>
      <c r="O240" s="226">
        <v>626400</v>
      </c>
      <c r="P240" s="277">
        <v>0.19</v>
      </c>
      <c r="Q240" s="228">
        <f t="shared" si="164"/>
        <v>0</v>
      </c>
      <c r="R240" s="227"/>
      <c r="S240" s="228">
        <f t="shared" si="140"/>
        <v>0</v>
      </c>
      <c r="T240" s="227">
        <v>0</v>
      </c>
      <c r="U240" s="228">
        <f t="shared" si="171"/>
        <v>0</v>
      </c>
      <c r="V240" s="227"/>
      <c r="W240" s="228">
        <f t="shared" si="141"/>
        <v>0</v>
      </c>
      <c r="X240" s="227">
        <v>0</v>
      </c>
      <c r="Y240" s="228">
        <f t="shared" si="156"/>
        <v>0</v>
      </c>
      <c r="Z240" s="227"/>
      <c r="AA240" s="228">
        <f t="shared" si="142"/>
        <v>0</v>
      </c>
      <c r="AB240" s="227">
        <v>0</v>
      </c>
      <c r="AC240" s="228">
        <f t="shared" ref="AC240:AC303" si="173">K240*AB240</f>
        <v>0</v>
      </c>
      <c r="AD240" s="227"/>
      <c r="AE240" s="228">
        <f t="shared" si="143"/>
        <v>0</v>
      </c>
      <c r="AF240" s="227">
        <v>0</v>
      </c>
      <c r="AG240" s="228">
        <f t="shared" si="172"/>
        <v>0</v>
      </c>
      <c r="AH240" s="227"/>
      <c r="AI240" s="228">
        <f t="shared" si="144"/>
        <v>0</v>
      </c>
      <c r="AJ240" s="227">
        <v>0</v>
      </c>
      <c r="AK240" s="228">
        <f t="shared" si="162"/>
        <v>0</v>
      </c>
      <c r="AL240" s="227"/>
      <c r="AM240" s="228">
        <f t="shared" si="145"/>
        <v>0</v>
      </c>
      <c r="AN240" s="227">
        <v>0</v>
      </c>
      <c r="AO240" s="228">
        <f t="shared" si="163"/>
        <v>0</v>
      </c>
      <c r="AP240" s="228"/>
      <c r="AQ240" s="228">
        <f t="shared" si="146"/>
        <v>0</v>
      </c>
      <c r="AR240" s="228">
        <v>0.03</v>
      </c>
      <c r="AS240" s="228">
        <f t="shared" si="157"/>
        <v>0</v>
      </c>
      <c r="AT240" s="227"/>
      <c r="AU240" s="228">
        <f t="shared" si="147"/>
        <v>0</v>
      </c>
      <c r="AV240" s="277">
        <v>0.03</v>
      </c>
      <c r="AW240" s="228">
        <f t="shared" si="167"/>
        <v>0</v>
      </c>
      <c r="AX240" s="227"/>
      <c r="AY240" s="228">
        <f t="shared" si="148"/>
        <v>0</v>
      </c>
      <c r="AZ240" s="227">
        <v>0</v>
      </c>
      <c r="BA240" s="228">
        <f t="shared" si="168"/>
        <v>0</v>
      </c>
      <c r="BB240" s="228"/>
      <c r="BC240" s="228">
        <f t="shared" si="149"/>
        <v>0</v>
      </c>
      <c r="BD240" s="228"/>
      <c r="BE240" s="228">
        <f t="shared" si="169"/>
        <v>0</v>
      </c>
      <c r="BF240" s="228"/>
      <c r="BG240" s="228">
        <f t="shared" si="150"/>
        <v>0</v>
      </c>
      <c r="BH240" s="228"/>
      <c r="BI240" s="228">
        <f t="shared" si="166"/>
        <v>0</v>
      </c>
      <c r="BJ240" s="228"/>
      <c r="BK240" s="228">
        <f t="shared" si="151"/>
        <v>0</v>
      </c>
      <c r="BL240" s="228"/>
      <c r="BM240" s="220">
        <f t="shared" si="170"/>
        <v>0</v>
      </c>
      <c r="BN240" s="220"/>
      <c r="BO240" s="220">
        <f t="shared" si="152"/>
        <v>0</v>
      </c>
      <c r="BP240" s="220">
        <f t="shared" si="153"/>
        <v>0</v>
      </c>
      <c r="BQ240" s="220">
        <f t="shared" si="154"/>
        <v>0</v>
      </c>
      <c r="BR240" s="220">
        <f t="shared" si="155"/>
        <v>0</v>
      </c>
      <c r="BS240" s="254" t="s">
        <v>39</v>
      </c>
      <c r="BT240" s="229" t="s">
        <v>39</v>
      </c>
      <c r="BU240" s="230" t="s">
        <v>879</v>
      </c>
      <c r="BV240" s="230" t="s">
        <v>880</v>
      </c>
      <c r="BW240" s="231"/>
    </row>
    <row r="241" s="209" customFormat="1" ht="24.75" customHeight="1" spans="1:75">
      <c r="A241" s="219">
        <v>278</v>
      </c>
      <c r="B241" s="220" t="s">
        <v>962</v>
      </c>
      <c r="C241" s="221" t="s">
        <v>874</v>
      </c>
      <c r="D241" s="221" t="s">
        <v>875</v>
      </c>
      <c r="E241" s="221" t="s">
        <v>876</v>
      </c>
      <c r="F241" s="219" t="s">
        <v>81</v>
      </c>
      <c r="G241" s="222" t="s">
        <v>374</v>
      </c>
      <c r="H241" s="233" t="s">
        <v>39</v>
      </c>
      <c r="I241" s="237" t="s">
        <v>589</v>
      </c>
      <c r="J241" s="233" t="s">
        <v>903</v>
      </c>
      <c r="K241" s="223" cm="1">
        <f t="array" ref="K241">_xlfn.XLOOKUP(D241&amp;E241&amp;H241&amp;I241&amp;J241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1" s="223"/>
      <c r="M241" s="224"/>
      <c r="N241" s="253"/>
      <c r="O241" s="226">
        <v>984000</v>
      </c>
      <c r="P241" s="277">
        <v>0.2</v>
      </c>
      <c r="Q241" s="228">
        <f t="shared" si="164"/>
        <v>0</v>
      </c>
      <c r="R241" s="227"/>
      <c r="S241" s="228">
        <f t="shared" si="140"/>
        <v>0</v>
      </c>
      <c r="T241" s="227">
        <v>0</v>
      </c>
      <c r="U241" s="228">
        <f t="shared" si="171"/>
        <v>0</v>
      </c>
      <c r="V241" s="227"/>
      <c r="W241" s="228">
        <f t="shared" si="141"/>
        <v>0</v>
      </c>
      <c r="X241" s="227">
        <v>0</v>
      </c>
      <c r="Y241" s="228">
        <f t="shared" si="156"/>
        <v>0</v>
      </c>
      <c r="Z241" s="227"/>
      <c r="AA241" s="228">
        <f t="shared" si="142"/>
        <v>0</v>
      </c>
      <c r="AB241" s="227">
        <v>0</v>
      </c>
      <c r="AC241" s="228">
        <f t="shared" si="173"/>
        <v>0</v>
      </c>
      <c r="AD241" s="227"/>
      <c r="AE241" s="228">
        <f t="shared" si="143"/>
        <v>0</v>
      </c>
      <c r="AF241" s="227">
        <v>0</v>
      </c>
      <c r="AG241" s="228">
        <f t="shared" si="172"/>
        <v>0</v>
      </c>
      <c r="AH241" s="227"/>
      <c r="AI241" s="228">
        <f t="shared" si="144"/>
        <v>0</v>
      </c>
      <c r="AJ241" s="227">
        <v>0</v>
      </c>
      <c r="AK241" s="228">
        <f t="shared" si="162"/>
        <v>0</v>
      </c>
      <c r="AL241" s="227"/>
      <c r="AM241" s="228">
        <f t="shared" si="145"/>
        <v>0</v>
      </c>
      <c r="AN241" s="227">
        <v>0</v>
      </c>
      <c r="AO241" s="228">
        <f t="shared" si="163"/>
        <v>0</v>
      </c>
      <c r="AP241" s="228"/>
      <c r="AQ241" s="228">
        <f t="shared" si="146"/>
        <v>0</v>
      </c>
      <c r="AR241" s="228">
        <v>0.03</v>
      </c>
      <c r="AS241" s="228">
        <f t="shared" si="157"/>
        <v>0</v>
      </c>
      <c r="AT241" s="227"/>
      <c r="AU241" s="228">
        <f t="shared" si="147"/>
        <v>0</v>
      </c>
      <c r="AV241" s="277">
        <v>0.03</v>
      </c>
      <c r="AW241" s="228">
        <f t="shared" si="167"/>
        <v>0</v>
      </c>
      <c r="AX241" s="227"/>
      <c r="AY241" s="228">
        <f t="shared" si="148"/>
        <v>0</v>
      </c>
      <c r="AZ241" s="227">
        <v>0</v>
      </c>
      <c r="BA241" s="228">
        <f t="shared" si="168"/>
        <v>0</v>
      </c>
      <c r="BB241" s="228"/>
      <c r="BC241" s="228">
        <f t="shared" si="149"/>
        <v>0</v>
      </c>
      <c r="BD241" s="228"/>
      <c r="BE241" s="228">
        <f t="shared" si="169"/>
        <v>0</v>
      </c>
      <c r="BF241" s="228"/>
      <c r="BG241" s="228">
        <f t="shared" si="150"/>
        <v>0</v>
      </c>
      <c r="BH241" s="228"/>
      <c r="BI241" s="228">
        <f t="shared" si="166"/>
        <v>0</v>
      </c>
      <c r="BJ241" s="228"/>
      <c r="BK241" s="228">
        <f t="shared" si="151"/>
        <v>0</v>
      </c>
      <c r="BL241" s="228"/>
      <c r="BM241" s="220">
        <f t="shared" si="170"/>
        <v>0</v>
      </c>
      <c r="BN241" s="220"/>
      <c r="BO241" s="220">
        <f t="shared" si="152"/>
        <v>0</v>
      </c>
      <c r="BP241" s="220">
        <f t="shared" si="153"/>
        <v>0</v>
      </c>
      <c r="BQ241" s="220">
        <f t="shared" si="154"/>
        <v>0</v>
      </c>
      <c r="BR241" s="220">
        <f t="shared" si="155"/>
        <v>0</v>
      </c>
      <c r="BS241" s="254" t="s">
        <v>39</v>
      </c>
      <c r="BT241" s="229" t="s">
        <v>39</v>
      </c>
      <c r="BU241" s="230" t="s">
        <v>879</v>
      </c>
      <c r="BV241" s="230" t="s">
        <v>880</v>
      </c>
      <c r="BW241" s="231"/>
    </row>
    <row r="242" s="209" customFormat="1" ht="24.75" customHeight="1" spans="1:75">
      <c r="A242" s="219">
        <v>279</v>
      </c>
      <c r="B242" s="220" t="s">
        <v>964</v>
      </c>
      <c r="C242" s="221" t="s">
        <v>874</v>
      </c>
      <c r="D242" s="221" t="s">
        <v>875</v>
      </c>
      <c r="E242" s="221" t="s">
        <v>876</v>
      </c>
      <c r="F242" s="219" t="s">
        <v>81</v>
      </c>
      <c r="G242" s="222" t="s">
        <v>374</v>
      </c>
      <c r="H242" s="233" t="s">
        <v>39</v>
      </c>
      <c r="I242" s="237" t="s">
        <v>905</v>
      </c>
      <c r="J242" s="233" t="s">
        <v>906</v>
      </c>
      <c r="K242" s="223" cm="1">
        <f t="array" ref="K242">_xlfn.XLOOKUP(D242&amp;E242&amp;H242&amp;I242&amp;J242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2" s="223"/>
      <c r="M242" s="224"/>
      <c r="N242" s="253"/>
      <c r="O242" s="226">
        <v>626400</v>
      </c>
      <c r="P242" s="277">
        <v>0.19</v>
      </c>
      <c r="Q242" s="228">
        <f t="shared" si="164"/>
        <v>0</v>
      </c>
      <c r="R242" s="227"/>
      <c r="S242" s="228">
        <f t="shared" si="140"/>
        <v>0</v>
      </c>
      <c r="T242" s="227">
        <v>0</v>
      </c>
      <c r="U242" s="228">
        <f t="shared" si="171"/>
        <v>0</v>
      </c>
      <c r="V242" s="227"/>
      <c r="W242" s="228">
        <f t="shared" si="141"/>
        <v>0</v>
      </c>
      <c r="X242" s="227">
        <v>0</v>
      </c>
      <c r="Y242" s="228">
        <f t="shared" si="156"/>
        <v>0</v>
      </c>
      <c r="Z242" s="227"/>
      <c r="AA242" s="228">
        <f t="shared" si="142"/>
        <v>0</v>
      </c>
      <c r="AB242" s="227">
        <v>0</v>
      </c>
      <c r="AC242" s="228">
        <f t="shared" si="173"/>
        <v>0</v>
      </c>
      <c r="AD242" s="227"/>
      <c r="AE242" s="228">
        <f t="shared" si="143"/>
        <v>0</v>
      </c>
      <c r="AF242" s="227">
        <v>0</v>
      </c>
      <c r="AG242" s="228">
        <f t="shared" si="172"/>
        <v>0</v>
      </c>
      <c r="AH242" s="227"/>
      <c r="AI242" s="228">
        <f t="shared" si="144"/>
        <v>0</v>
      </c>
      <c r="AJ242" s="227">
        <v>0</v>
      </c>
      <c r="AK242" s="228">
        <f t="shared" si="162"/>
        <v>0</v>
      </c>
      <c r="AL242" s="227"/>
      <c r="AM242" s="228">
        <f t="shared" si="145"/>
        <v>0</v>
      </c>
      <c r="AN242" s="227">
        <v>0</v>
      </c>
      <c r="AO242" s="228">
        <f t="shared" si="163"/>
        <v>0</v>
      </c>
      <c r="AP242" s="228"/>
      <c r="AQ242" s="228">
        <f t="shared" si="146"/>
        <v>0</v>
      </c>
      <c r="AR242" s="228">
        <v>0.03</v>
      </c>
      <c r="AS242" s="228">
        <f t="shared" si="157"/>
        <v>0</v>
      </c>
      <c r="AT242" s="227"/>
      <c r="AU242" s="228">
        <f t="shared" si="147"/>
        <v>0</v>
      </c>
      <c r="AV242" s="277">
        <v>0.03</v>
      </c>
      <c r="AW242" s="228">
        <f t="shared" si="167"/>
        <v>0</v>
      </c>
      <c r="AX242" s="227"/>
      <c r="AY242" s="228">
        <f t="shared" si="148"/>
        <v>0</v>
      </c>
      <c r="AZ242" s="227">
        <v>0</v>
      </c>
      <c r="BA242" s="228">
        <f t="shared" si="168"/>
        <v>0</v>
      </c>
      <c r="BB242" s="228"/>
      <c r="BC242" s="228">
        <f t="shared" si="149"/>
        <v>0</v>
      </c>
      <c r="BD242" s="228"/>
      <c r="BE242" s="228">
        <f t="shared" si="169"/>
        <v>0</v>
      </c>
      <c r="BF242" s="228"/>
      <c r="BG242" s="228">
        <f t="shared" si="150"/>
        <v>0</v>
      </c>
      <c r="BH242" s="228"/>
      <c r="BI242" s="228">
        <f t="shared" si="166"/>
        <v>0</v>
      </c>
      <c r="BJ242" s="228"/>
      <c r="BK242" s="228">
        <f t="shared" si="151"/>
        <v>0</v>
      </c>
      <c r="BL242" s="228"/>
      <c r="BM242" s="220">
        <f t="shared" si="170"/>
        <v>0</v>
      </c>
      <c r="BN242" s="220"/>
      <c r="BO242" s="220">
        <f t="shared" si="152"/>
        <v>0</v>
      </c>
      <c r="BP242" s="220">
        <f t="shared" si="153"/>
        <v>0</v>
      </c>
      <c r="BQ242" s="220">
        <f t="shared" si="154"/>
        <v>0</v>
      </c>
      <c r="BR242" s="220">
        <f t="shared" si="155"/>
        <v>0</v>
      </c>
      <c r="BS242" s="254" t="s">
        <v>39</v>
      </c>
      <c r="BT242" s="229" t="s">
        <v>39</v>
      </c>
      <c r="BU242" s="230" t="s">
        <v>879</v>
      </c>
      <c r="BV242" s="230" t="s">
        <v>880</v>
      </c>
      <c r="BW242" s="231"/>
    </row>
    <row r="243" s="209" customFormat="1" ht="24.75" customHeight="1" spans="1:75">
      <c r="A243" s="219">
        <v>280</v>
      </c>
      <c r="B243" s="220" t="s">
        <v>967</v>
      </c>
      <c r="C243" s="221" t="s">
        <v>874</v>
      </c>
      <c r="D243" s="221" t="s">
        <v>875</v>
      </c>
      <c r="E243" s="221" t="s">
        <v>876</v>
      </c>
      <c r="F243" s="219" t="s">
        <v>81</v>
      </c>
      <c r="G243" s="222" t="s">
        <v>374</v>
      </c>
      <c r="H243" s="233" t="s">
        <v>39</v>
      </c>
      <c r="I243" s="237" t="s">
        <v>424</v>
      </c>
      <c r="J243" s="233" t="s">
        <v>908</v>
      </c>
      <c r="K243" s="223" cm="1">
        <f t="array" ref="K243">_xlfn.XLOOKUP(D243&amp;E243&amp;H243&amp;I243&amp;J243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3" s="223"/>
      <c r="M243" s="224"/>
      <c r="N243" s="253"/>
      <c r="O243" s="226">
        <v>626400</v>
      </c>
      <c r="P243" s="277">
        <v>0.2</v>
      </c>
      <c r="Q243" s="228">
        <f t="shared" si="164"/>
        <v>0</v>
      </c>
      <c r="R243" s="227"/>
      <c r="S243" s="228">
        <f t="shared" si="140"/>
        <v>0</v>
      </c>
      <c r="T243" s="227">
        <v>0</v>
      </c>
      <c r="U243" s="228">
        <f t="shared" si="171"/>
        <v>0</v>
      </c>
      <c r="V243" s="227"/>
      <c r="W243" s="228">
        <f t="shared" si="141"/>
        <v>0</v>
      </c>
      <c r="X243" s="227">
        <v>0</v>
      </c>
      <c r="Y243" s="228">
        <f t="shared" si="156"/>
        <v>0</v>
      </c>
      <c r="Z243" s="227"/>
      <c r="AA243" s="228">
        <f t="shared" si="142"/>
        <v>0</v>
      </c>
      <c r="AB243" s="227">
        <v>0</v>
      </c>
      <c r="AC243" s="228">
        <f t="shared" si="173"/>
        <v>0</v>
      </c>
      <c r="AD243" s="227"/>
      <c r="AE243" s="228">
        <f t="shared" si="143"/>
        <v>0</v>
      </c>
      <c r="AF243" s="227">
        <v>0</v>
      </c>
      <c r="AG243" s="228">
        <f t="shared" si="172"/>
        <v>0</v>
      </c>
      <c r="AH243" s="227"/>
      <c r="AI243" s="228">
        <f t="shared" si="144"/>
        <v>0</v>
      </c>
      <c r="AJ243" s="227">
        <v>0</v>
      </c>
      <c r="AK243" s="228">
        <f t="shared" si="162"/>
        <v>0</v>
      </c>
      <c r="AL243" s="227"/>
      <c r="AM243" s="228">
        <f t="shared" si="145"/>
        <v>0</v>
      </c>
      <c r="AN243" s="227">
        <v>0</v>
      </c>
      <c r="AO243" s="228">
        <f t="shared" si="163"/>
        <v>0</v>
      </c>
      <c r="AP243" s="228"/>
      <c r="AQ243" s="228">
        <f t="shared" si="146"/>
        <v>0</v>
      </c>
      <c r="AR243" s="228">
        <v>0.03</v>
      </c>
      <c r="AS243" s="228">
        <f t="shared" si="157"/>
        <v>0</v>
      </c>
      <c r="AT243" s="227"/>
      <c r="AU243" s="228">
        <f t="shared" si="147"/>
        <v>0</v>
      </c>
      <c r="AV243" s="277">
        <v>0.03</v>
      </c>
      <c r="AW243" s="228">
        <f t="shared" si="167"/>
        <v>0</v>
      </c>
      <c r="AX243" s="227"/>
      <c r="AY243" s="228">
        <f t="shared" si="148"/>
        <v>0</v>
      </c>
      <c r="AZ243" s="227">
        <v>0</v>
      </c>
      <c r="BA243" s="228">
        <f t="shared" si="168"/>
        <v>0</v>
      </c>
      <c r="BB243" s="228"/>
      <c r="BC243" s="228">
        <f t="shared" si="149"/>
        <v>0</v>
      </c>
      <c r="BD243" s="228"/>
      <c r="BE243" s="228">
        <f t="shared" si="169"/>
        <v>0</v>
      </c>
      <c r="BF243" s="228"/>
      <c r="BG243" s="228">
        <f t="shared" si="150"/>
        <v>0</v>
      </c>
      <c r="BH243" s="228"/>
      <c r="BI243" s="228">
        <f t="shared" si="166"/>
        <v>0</v>
      </c>
      <c r="BJ243" s="228"/>
      <c r="BK243" s="228">
        <f t="shared" si="151"/>
        <v>0</v>
      </c>
      <c r="BL243" s="228"/>
      <c r="BM243" s="220">
        <f t="shared" si="170"/>
        <v>0</v>
      </c>
      <c r="BN243" s="220"/>
      <c r="BO243" s="220">
        <f t="shared" si="152"/>
        <v>0</v>
      </c>
      <c r="BP243" s="220">
        <f t="shared" si="153"/>
        <v>0</v>
      </c>
      <c r="BQ243" s="220">
        <f t="shared" si="154"/>
        <v>0</v>
      </c>
      <c r="BR243" s="220">
        <f t="shared" si="155"/>
        <v>0</v>
      </c>
      <c r="BS243" s="254" t="s">
        <v>39</v>
      </c>
      <c r="BT243" s="229" t="s">
        <v>39</v>
      </c>
      <c r="BU243" s="230" t="s">
        <v>879</v>
      </c>
      <c r="BV243" s="230" t="s">
        <v>880</v>
      </c>
      <c r="BW243" s="231"/>
    </row>
    <row r="244" s="209" customFormat="1" ht="24.75" customHeight="1" spans="1:75">
      <c r="A244" s="219">
        <v>281</v>
      </c>
      <c r="B244" s="220" t="s">
        <v>969</v>
      </c>
      <c r="C244" s="221" t="s">
        <v>874</v>
      </c>
      <c r="D244" s="221" t="s">
        <v>875</v>
      </c>
      <c r="E244" s="221" t="s">
        <v>876</v>
      </c>
      <c r="F244" s="219" t="s">
        <v>81</v>
      </c>
      <c r="G244" s="222" t="s">
        <v>374</v>
      </c>
      <c r="H244" s="233" t="s">
        <v>39</v>
      </c>
      <c r="I244" s="237" t="s">
        <v>223</v>
      </c>
      <c r="J244" s="233" t="s">
        <v>910</v>
      </c>
      <c r="K244" s="223" cm="1">
        <f t="array" ref="K244">_xlfn.XLOOKUP(D244&amp;E244&amp;H244&amp;I244&amp;J244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4" s="223"/>
      <c r="M244" s="224"/>
      <c r="N244" s="253"/>
      <c r="O244" s="226">
        <v>408000</v>
      </c>
      <c r="P244" s="277">
        <v>0.18</v>
      </c>
      <c r="Q244" s="228">
        <f t="shared" si="164"/>
        <v>0</v>
      </c>
      <c r="R244" s="227"/>
      <c r="S244" s="228">
        <f t="shared" si="140"/>
        <v>0</v>
      </c>
      <c r="T244" s="227">
        <v>0</v>
      </c>
      <c r="U244" s="228">
        <f t="shared" si="171"/>
        <v>0</v>
      </c>
      <c r="V244" s="227"/>
      <c r="W244" s="228">
        <f t="shared" si="141"/>
        <v>0</v>
      </c>
      <c r="X244" s="227">
        <v>0</v>
      </c>
      <c r="Y244" s="228">
        <f t="shared" si="156"/>
        <v>0</v>
      </c>
      <c r="Z244" s="227"/>
      <c r="AA244" s="228">
        <f t="shared" si="142"/>
        <v>0</v>
      </c>
      <c r="AB244" s="227">
        <v>0</v>
      </c>
      <c r="AC244" s="228">
        <f t="shared" si="173"/>
        <v>0</v>
      </c>
      <c r="AD244" s="227"/>
      <c r="AE244" s="228">
        <f t="shared" si="143"/>
        <v>0</v>
      </c>
      <c r="AF244" s="227">
        <v>0</v>
      </c>
      <c r="AG244" s="228">
        <f t="shared" si="172"/>
        <v>0</v>
      </c>
      <c r="AH244" s="227"/>
      <c r="AI244" s="228">
        <f t="shared" si="144"/>
        <v>0</v>
      </c>
      <c r="AJ244" s="227">
        <v>0</v>
      </c>
      <c r="AK244" s="228">
        <f t="shared" si="162"/>
        <v>0</v>
      </c>
      <c r="AL244" s="227"/>
      <c r="AM244" s="228">
        <f t="shared" si="145"/>
        <v>0</v>
      </c>
      <c r="AN244" s="227">
        <v>0</v>
      </c>
      <c r="AO244" s="228">
        <f t="shared" si="163"/>
        <v>0</v>
      </c>
      <c r="AP244" s="228"/>
      <c r="AQ244" s="228">
        <f t="shared" si="146"/>
        <v>0</v>
      </c>
      <c r="AR244" s="228">
        <v>0.03</v>
      </c>
      <c r="AS244" s="228">
        <f t="shared" si="157"/>
        <v>0</v>
      </c>
      <c r="AT244" s="227"/>
      <c r="AU244" s="228">
        <f t="shared" si="147"/>
        <v>0</v>
      </c>
      <c r="AV244" s="277">
        <v>0.03</v>
      </c>
      <c r="AW244" s="228">
        <f t="shared" si="167"/>
        <v>0</v>
      </c>
      <c r="AX244" s="227"/>
      <c r="AY244" s="228">
        <f t="shared" si="148"/>
        <v>0</v>
      </c>
      <c r="AZ244" s="227">
        <v>0</v>
      </c>
      <c r="BA244" s="228">
        <f t="shared" si="168"/>
        <v>0</v>
      </c>
      <c r="BB244" s="228"/>
      <c r="BC244" s="228">
        <f t="shared" si="149"/>
        <v>0</v>
      </c>
      <c r="BD244" s="228"/>
      <c r="BE244" s="228">
        <f t="shared" si="169"/>
        <v>0</v>
      </c>
      <c r="BF244" s="228"/>
      <c r="BG244" s="228">
        <f t="shared" si="150"/>
        <v>0</v>
      </c>
      <c r="BH244" s="228"/>
      <c r="BI244" s="228">
        <f t="shared" si="166"/>
        <v>0</v>
      </c>
      <c r="BJ244" s="228"/>
      <c r="BK244" s="228">
        <f t="shared" si="151"/>
        <v>0</v>
      </c>
      <c r="BL244" s="228"/>
      <c r="BM244" s="220">
        <f t="shared" si="170"/>
        <v>0</v>
      </c>
      <c r="BN244" s="220"/>
      <c r="BO244" s="220">
        <f t="shared" si="152"/>
        <v>0</v>
      </c>
      <c r="BP244" s="220">
        <f t="shared" si="153"/>
        <v>0</v>
      </c>
      <c r="BQ244" s="220">
        <f t="shared" si="154"/>
        <v>0</v>
      </c>
      <c r="BR244" s="220">
        <f t="shared" si="155"/>
        <v>0</v>
      </c>
      <c r="BS244" s="254" t="s">
        <v>39</v>
      </c>
      <c r="BT244" s="229" t="s">
        <v>39</v>
      </c>
      <c r="BU244" s="230" t="s">
        <v>879</v>
      </c>
      <c r="BV244" s="230" t="s">
        <v>880</v>
      </c>
      <c r="BW244" s="231"/>
    </row>
    <row r="245" s="209" customFormat="1" ht="24.75" customHeight="1" spans="1:75">
      <c r="A245" s="219">
        <v>282</v>
      </c>
      <c r="B245" s="220" t="s">
        <v>971</v>
      </c>
      <c r="C245" s="221" t="s">
        <v>874</v>
      </c>
      <c r="D245" s="221" t="s">
        <v>875</v>
      </c>
      <c r="E245" s="221" t="s">
        <v>876</v>
      </c>
      <c r="F245" s="219" t="s">
        <v>81</v>
      </c>
      <c r="G245" s="222" t="s">
        <v>374</v>
      </c>
      <c r="H245" s="233" t="s">
        <v>39</v>
      </c>
      <c r="I245" s="237" t="s">
        <v>709</v>
      </c>
      <c r="J245" s="233" t="s">
        <v>912</v>
      </c>
      <c r="K245" s="223" cm="1">
        <f t="array" ref="K245">_xlfn.XLOOKUP(D245&amp;E245&amp;H245&amp;I245&amp;J245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5" s="223"/>
      <c r="M245" s="224"/>
      <c r="N245" s="253"/>
      <c r="O245" s="226">
        <v>626400</v>
      </c>
      <c r="P245" s="277">
        <v>0.13</v>
      </c>
      <c r="Q245" s="228">
        <f t="shared" si="164"/>
        <v>0</v>
      </c>
      <c r="R245" s="227"/>
      <c r="S245" s="228">
        <f t="shared" si="140"/>
        <v>0</v>
      </c>
      <c r="T245" s="227">
        <v>0</v>
      </c>
      <c r="U245" s="228">
        <f t="shared" si="171"/>
        <v>0</v>
      </c>
      <c r="V245" s="227"/>
      <c r="W245" s="228">
        <f t="shared" si="141"/>
        <v>0</v>
      </c>
      <c r="X245" s="227">
        <v>0</v>
      </c>
      <c r="Y245" s="228">
        <f t="shared" si="156"/>
        <v>0</v>
      </c>
      <c r="Z245" s="227"/>
      <c r="AA245" s="228">
        <f t="shared" si="142"/>
        <v>0</v>
      </c>
      <c r="AB245" s="227">
        <v>0</v>
      </c>
      <c r="AC245" s="228">
        <f t="shared" si="173"/>
        <v>0</v>
      </c>
      <c r="AD245" s="227"/>
      <c r="AE245" s="228">
        <f t="shared" si="143"/>
        <v>0</v>
      </c>
      <c r="AF245" s="227">
        <v>0</v>
      </c>
      <c r="AG245" s="228">
        <f t="shared" si="172"/>
        <v>0</v>
      </c>
      <c r="AH245" s="227"/>
      <c r="AI245" s="228">
        <f t="shared" si="144"/>
        <v>0</v>
      </c>
      <c r="AJ245" s="227">
        <v>0</v>
      </c>
      <c r="AK245" s="228">
        <f t="shared" si="162"/>
        <v>0</v>
      </c>
      <c r="AL245" s="227"/>
      <c r="AM245" s="228">
        <f t="shared" si="145"/>
        <v>0</v>
      </c>
      <c r="AN245" s="227">
        <v>0</v>
      </c>
      <c r="AO245" s="228">
        <f t="shared" si="163"/>
        <v>0</v>
      </c>
      <c r="AP245" s="228"/>
      <c r="AQ245" s="228">
        <f t="shared" si="146"/>
        <v>0</v>
      </c>
      <c r="AR245" s="228">
        <v>0.01</v>
      </c>
      <c r="AS245" s="228">
        <f t="shared" si="157"/>
        <v>0</v>
      </c>
      <c r="AT245" s="227"/>
      <c r="AU245" s="228">
        <f t="shared" si="147"/>
        <v>0</v>
      </c>
      <c r="AV245" s="277">
        <v>0.01</v>
      </c>
      <c r="AW245" s="228">
        <f t="shared" si="167"/>
        <v>0</v>
      </c>
      <c r="AX245" s="227"/>
      <c r="AY245" s="228">
        <f t="shared" si="148"/>
        <v>0</v>
      </c>
      <c r="AZ245" s="227">
        <v>0</v>
      </c>
      <c r="BA245" s="228">
        <f t="shared" si="168"/>
        <v>0</v>
      </c>
      <c r="BB245" s="228"/>
      <c r="BC245" s="228">
        <f t="shared" si="149"/>
        <v>0</v>
      </c>
      <c r="BD245" s="228"/>
      <c r="BE245" s="228">
        <f t="shared" si="169"/>
        <v>0</v>
      </c>
      <c r="BF245" s="228"/>
      <c r="BG245" s="228">
        <f t="shared" si="150"/>
        <v>0</v>
      </c>
      <c r="BH245" s="228"/>
      <c r="BI245" s="228">
        <f t="shared" si="166"/>
        <v>0</v>
      </c>
      <c r="BJ245" s="228"/>
      <c r="BK245" s="228">
        <f t="shared" si="151"/>
        <v>0</v>
      </c>
      <c r="BL245" s="228"/>
      <c r="BM245" s="220">
        <f t="shared" si="170"/>
        <v>0</v>
      </c>
      <c r="BN245" s="220"/>
      <c r="BO245" s="220">
        <f t="shared" si="152"/>
        <v>0</v>
      </c>
      <c r="BP245" s="220">
        <f t="shared" si="153"/>
        <v>0</v>
      </c>
      <c r="BQ245" s="220">
        <f t="shared" si="154"/>
        <v>0</v>
      </c>
      <c r="BR245" s="220">
        <f t="shared" si="155"/>
        <v>0</v>
      </c>
      <c r="BS245" s="254" t="s">
        <v>39</v>
      </c>
      <c r="BT245" s="229" t="s">
        <v>39</v>
      </c>
      <c r="BU245" s="230" t="s">
        <v>879</v>
      </c>
      <c r="BV245" s="230" t="s">
        <v>880</v>
      </c>
      <c r="BW245" s="231"/>
    </row>
    <row r="246" s="209" customFormat="1" ht="24.75" customHeight="1" spans="1:75">
      <c r="A246" s="219">
        <v>283</v>
      </c>
      <c r="B246" s="220" t="s">
        <v>973</v>
      </c>
      <c r="C246" s="221" t="s">
        <v>874</v>
      </c>
      <c r="D246" s="221" t="s">
        <v>875</v>
      </c>
      <c r="E246" s="221" t="s">
        <v>876</v>
      </c>
      <c r="F246" s="219" t="s">
        <v>81</v>
      </c>
      <c r="G246" s="222" t="s">
        <v>374</v>
      </c>
      <c r="H246" s="233" t="s">
        <v>39</v>
      </c>
      <c r="I246" s="237" t="s">
        <v>791</v>
      </c>
      <c r="J246" s="233" t="s">
        <v>912</v>
      </c>
      <c r="K246" s="223" cm="1">
        <f t="array" ref="K246">_xlfn.XLOOKUP(D246&amp;E246&amp;H246&amp;I246&amp;J246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6" s="223"/>
      <c r="M246" s="224"/>
      <c r="N246" s="253"/>
      <c r="O246" s="226">
        <v>319200</v>
      </c>
      <c r="P246" s="277">
        <v>0.12</v>
      </c>
      <c r="Q246" s="228">
        <f t="shared" si="164"/>
        <v>0</v>
      </c>
      <c r="R246" s="227"/>
      <c r="S246" s="228">
        <f t="shared" si="140"/>
        <v>0</v>
      </c>
      <c r="T246" s="227">
        <v>0</v>
      </c>
      <c r="U246" s="228">
        <f t="shared" si="171"/>
        <v>0</v>
      </c>
      <c r="V246" s="227"/>
      <c r="W246" s="228">
        <f t="shared" si="141"/>
        <v>0</v>
      </c>
      <c r="X246" s="227">
        <v>0</v>
      </c>
      <c r="Y246" s="228">
        <f t="shared" si="156"/>
        <v>0</v>
      </c>
      <c r="Z246" s="227"/>
      <c r="AA246" s="228">
        <f t="shared" si="142"/>
        <v>0</v>
      </c>
      <c r="AB246" s="227">
        <v>0</v>
      </c>
      <c r="AC246" s="228">
        <f t="shared" si="173"/>
        <v>0</v>
      </c>
      <c r="AD246" s="227"/>
      <c r="AE246" s="228">
        <f t="shared" si="143"/>
        <v>0</v>
      </c>
      <c r="AF246" s="227">
        <v>0</v>
      </c>
      <c r="AG246" s="228">
        <f t="shared" si="172"/>
        <v>0</v>
      </c>
      <c r="AH246" s="227"/>
      <c r="AI246" s="228">
        <f t="shared" si="144"/>
        <v>0</v>
      </c>
      <c r="AJ246" s="227">
        <v>0</v>
      </c>
      <c r="AK246" s="228">
        <f t="shared" si="162"/>
        <v>0</v>
      </c>
      <c r="AL246" s="227"/>
      <c r="AM246" s="228">
        <f t="shared" si="145"/>
        <v>0</v>
      </c>
      <c r="AN246" s="227">
        <v>0</v>
      </c>
      <c r="AO246" s="228">
        <f t="shared" si="163"/>
        <v>0</v>
      </c>
      <c r="AP246" s="227"/>
      <c r="AQ246" s="228">
        <f t="shared" si="146"/>
        <v>0</v>
      </c>
      <c r="AR246" s="228">
        <v>0</v>
      </c>
      <c r="AS246" s="228">
        <f t="shared" si="157"/>
        <v>0</v>
      </c>
      <c r="AT246" s="227"/>
      <c r="AU246" s="228">
        <f t="shared" si="147"/>
        <v>0</v>
      </c>
      <c r="AV246" s="277">
        <v>0</v>
      </c>
      <c r="AW246" s="228">
        <f t="shared" si="167"/>
        <v>0</v>
      </c>
      <c r="AX246" s="227"/>
      <c r="AY246" s="228">
        <f t="shared" si="148"/>
        <v>0</v>
      </c>
      <c r="AZ246" s="227">
        <v>0</v>
      </c>
      <c r="BA246" s="228">
        <f t="shared" si="168"/>
        <v>0</v>
      </c>
      <c r="BB246" s="228"/>
      <c r="BC246" s="228">
        <f t="shared" si="149"/>
        <v>0</v>
      </c>
      <c r="BD246" s="228"/>
      <c r="BE246" s="228">
        <f t="shared" si="169"/>
        <v>0</v>
      </c>
      <c r="BF246" s="228"/>
      <c r="BG246" s="228">
        <f t="shared" si="150"/>
        <v>0</v>
      </c>
      <c r="BH246" s="228"/>
      <c r="BI246" s="228">
        <f t="shared" si="166"/>
        <v>0</v>
      </c>
      <c r="BJ246" s="228"/>
      <c r="BK246" s="228">
        <f t="shared" si="151"/>
        <v>0</v>
      </c>
      <c r="BL246" s="228"/>
      <c r="BM246" s="220">
        <f t="shared" si="170"/>
        <v>0</v>
      </c>
      <c r="BN246" s="220"/>
      <c r="BO246" s="220">
        <f t="shared" si="152"/>
        <v>0</v>
      </c>
      <c r="BP246" s="220">
        <f t="shared" si="153"/>
        <v>0</v>
      </c>
      <c r="BQ246" s="220">
        <f t="shared" si="154"/>
        <v>0</v>
      </c>
      <c r="BR246" s="220">
        <f t="shared" si="155"/>
        <v>0</v>
      </c>
      <c r="BS246" s="254" t="s">
        <v>39</v>
      </c>
      <c r="BT246" s="229" t="s">
        <v>39</v>
      </c>
      <c r="BU246" s="230" t="s">
        <v>879</v>
      </c>
      <c r="BV246" s="230" t="s">
        <v>880</v>
      </c>
      <c r="BW246" s="231"/>
    </row>
    <row r="247" s="209" customFormat="1" ht="24.75" customHeight="1" spans="1:75">
      <c r="A247" s="219">
        <v>284</v>
      </c>
      <c r="B247" s="220" t="s">
        <v>975</v>
      </c>
      <c r="C247" s="221" t="s">
        <v>874</v>
      </c>
      <c r="D247" s="221" t="s">
        <v>875</v>
      </c>
      <c r="E247" s="221" t="s">
        <v>876</v>
      </c>
      <c r="F247" s="219" t="s">
        <v>81</v>
      </c>
      <c r="G247" s="222" t="s">
        <v>374</v>
      </c>
      <c r="H247" s="233" t="s">
        <v>39</v>
      </c>
      <c r="I247" s="237" t="s">
        <v>915</v>
      </c>
      <c r="J247" s="233" t="s">
        <v>916</v>
      </c>
      <c r="K247" s="223" cm="1">
        <f t="array" ref="K247">_xlfn.XLOOKUP(D247&amp;E247&amp;H247&amp;I247&amp;J247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7" s="223"/>
      <c r="M247" s="224"/>
      <c r="N247" s="253"/>
      <c r="O247" s="226">
        <v>592800</v>
      </c>
      <c r="P247" s="277">
        <v>0.18</v>
      </c>
      <c r="Q247" s="228">
        <f t="shared" si="164"/>
        <v>0</v>
      </c>
      <c r="R247" s="227"/>
      <c r="S247" s="228">
        <f t="shared" si="140"/>
        <v>0</v>
      </c>
      <c r="T247" s="227">
        <v>0</v>
      </c>
      <c r="U247" s="228">
        <f t="shared" si="171"/>
        <v>0</v>
      </c>
      <c r="V247" s="227"/>
      <c r="W247" s="228">
        <f t="shared" si="141"/>
        <v>0</v>
      </c>
      <c r="X247" s="227">
        <v>0</v>
      </c>
      <c r="Y247" s="228">
        <f t="shared" si="156"/>
        <v>0</v>
      </c>
      <c r="Z247" s="227"/>
      <c r="AA247" s="228">
        <f t="shared" si="142"/>
        <v>0</v>
      </c>
      <c r="AB247" s="227">
        <v>0</v>
      </c>
      <c r="AC247" s="228">
        <f t="shared" si="173"/>
        <v>0</v>
      </c>
      <c r="AD247" s="227"/>
      <c r="AE247" s="228">
        <f t="shared" si="143"/>
        <v>0</v>
      </c>
      <c r="AF247" s="227">
        <v>0</v>
      </c>
      <c r="AG247" s="228">
        <f t="shared" si="172"/>
        <v>0</v>
      </c>
      <c r="AH247" s="227"/>
      <c r="AI247" s="228">
        <f t="shared" si="144"/>
        <v>0</v>
      </c>
      <c r="AJ247" s="227">
        <v>0</v>
      </c>
      <c r="AK247" s="228">
        <f t="shared" si="162"/>
        <v>0</v>
      </c>
      <c r="AL247" s="227"/>
      <c r="AM247" s="228">
        <f t="shared" si="145"/>
        <v>0</v>
      </c>
      <c r="AN247" s="227">
        <v>0</v>
      </c>
      <c r="AO247" s="228">
        <f t="shared" si="163"/>
        <v>0</v>
      </c>
      <c r="AP247" s="228"/>
      <c r="AQ247" s="228">
        <f t="shared" si="146"/>
        <v>0</v>
      </c>
      <c r="AR247" s="228">
        <v>0.03</v>
      </c>
      <c r="AS247" s="228">
        <f t="shared" si="157"/>
        <v>0</v>
      </c>
      <c r="AT247" s="227"/>
      <c r="AU247" s="228">
        <f t="shared" si="147"/>
        <v>0</v>
      </c>
      <c r="AV247" s="277">
        <v>0.03</v>
      </c>
      <c r="AW247" s="228">
        <f t="shared" si="167"/>
        <v>0</v>
      </c>
      <c r="AX247" s="227"/>
      <c r="AY247" s="228">
        <f t="shared" si="148"/>
        <v>0</v>
      </c>
      <c r="AZ247" s="227">
        <v>0</v>
      </c>
      <c r="BA247" s="228">
        <f t="shared" si="168"/>
        <v>0</v>
      </c>
      <c r="BB247" s="228"/>
      <c r="BC247" s="228">
        <f t="shared" si="149"/>
        <v>0</v>
      </c>
      <c r="BD247" s="228"/>
      <c r="BE247" s="228">
        <f t="shared" si="169"/>
        <v>0</v>
      </c>
      <c r="BF247" s="228"/>
      <c r="BG247" s="228">
        <f t="shared" si="150"/>
        <v>0</v>
      </c>
      <c r="BH247" s="228"/>
      <c r="BI247" s="228">
        <f t="shared" si="166"/>
        <v>0</v>
      </c>
      <c r="BJ247" s="228"/>
      <c r="BK247" s="228">
        <f t="shared" si="151"/>
        <v>0</v>
      </c>
      <c r="BL247" s="228"/>
      <c r="BM247" s="220">
        <f t="shared" si="170"/>
        <v>0</v>
      </c>
      <c r="BN247" s="220"/>
      <c r="BO247" s="220">
        <f t="shared" si="152"/>
        <v>0</v>
      </c>
      <c r="BP247" s="220">
        <f t="shared" si="153"/>
        <v>0</v>
      </c>
      <c r="BQ247" s="220">
        <f t="shared" si="154"/>
        <v>0</v>
      </c>
      <c r="BR247" s="220">
        <f t="shared" si="155"/>
        <v>0</v>
      </c>
      <c r="BS247" s="254" t="s">
        <v>39</v>
      </c>
      <c r="BT247" s="229" t="s">
        <v>39</v>
      </c>
      <c r="BU247" s="230" t="s">
        <v>879</v>
      </c>
      <c r="BV247" s="230" t="s">
        <v>880</v>
      </c>
      <c r="BW247" s="231"/>
    </row>
    <row r="248" s="209" customFormat="1" ht="24.75" customHeight="1" spans="1:75">
      <c r="A248" s="219">
        <v>285</v>
      </c>
      <c r="B248" s="220" t="s">
        <v>977</v>
      </c>
      <c r="C248" s="221" t="s">
        <v>874</v>
      </c>
      <c r="D248" s="221" t="s">
        <v>875</v>
      </c>
      <c r="E248" s="221" t="s">
        <v>876</v>
      </c>
      <c r="F248" s="219" t="s">
        <v>81</v>
      </c>
      <c r="G248" s="222" t="s">
        <v>374</v>
      </c>
      <c r="H248" s="239" t="s">
        <v>39</v>
      </c>
      <c r="I248" s="232" t="s">
        <v>882</v>
      </c>
      <c r="J248" s="233" t="s">
        <v>883</v>
      </c>
      <c r="K248" s="223" cm="1">
        <f t="array" ref="K248">_xlfn.XLOOKUP(D248&amp;E248&amp;H248&amp;I248&amp;J248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8" s="223"/>
      <c r="M248" s="224"/>
      <c r="N248" s="253"/>
      <c r="O248" s="226"/>
      <c r="P248" s="227"/>
      <c r="Q248" s="228">
        <f t="shared" si="164"/>
        <v>0</v>
      </c>
      <c r="R248" s="227"/>
      <c r="S248" s="228">
        <f t="shared" si="140"/>
        <v>0</v>
      </c>
      <c r="T248" s="227"/>
      <c r="U248" s="228">
        <f t="shared" si="171"/>
        <v>0</v>
      </c>
      <c r="V248" s="227"/>
      <c r="W248" s="228">
        <f t="shared" si="141"/>
        <v>0</v>
      </c>
      <c r="X248" s="227"/>
      <c r="Y248" s="228">
        <f t="shared" si="156"/>
        <v>0</v>
      </c>
      <c r="Z248" s="227"/>
      <c r="AA248" s="228">
        <f t="shared" si="142"/>
        <v>0</v>
      </c>
      <c r="AB248" s="227"/>
      <c r="AC248" s="228">
        <f t="shared" si="173"/>
        <v>0</v>
      </c>
      <c r="AD248" s="227"/>
      <c r="AE248" s="228">
        <f t="shared" si="143"/>
        <v>0</v>
      </c>
      <c r="AF248" s="227"/>
      <c r="AG248" s="228">
        <f t="shared" si="172"/>
        <v>0</v>
      </c>
      <c r="AH248" s="227"/>
      <c r="AI248" s="228">
        <f t="shared" si="144"/>
        <v>0</v>
      </c>
      <c r="AJ248" s="227"/>
      <c r="AK248" s="228">
        <f t="shared" si="162"/>
        <v>0</v>
      </c>
      <c r="AL248" s="227"/>
      <c r="AM248" s="228">
        <f t="shared" si="145"/>
        <v>0</v>
      </c>
      <c r="AN248" s="227"/>
      <c r="AO248" s="228">
        <f t="shared" si="163"/>
        <v>0</v>
      </c>
      <c r="AP248" s="228"/>
      <c r="AQ248" s="228">
        <f t="shared" si="146"/>
        <v>0</v>
      </c>
      <c r="AR248" s="228"/>
      <c r="AS248" s="228">
        <f t="shared" si="157"/>
        <v>0</v>
      </c>
      <c r="AT248" s="227"/>
      <c r="AU248" s="228">
        <f t="shared" si="147"/>
        <v>0</v>
      </c>
      <c r="AV248" s="227"/>
      <c r="AW248" s="228">
        <f t="shared" si="167"/>
        <v>0</v>
      </c>
      <c r="AX248" s="227"/>
      <c r="AY248" s="228">
        <f t="shared" si="148"/>
        <v>0</v>
      </c>
      <c r="AZ248" s="227"/>
      <c r="BA248" s="228">
        <f t="shared" si="168"/>
        <v>0</v>
      </c>
      <c r="BB248" s="228"/>
      <c r="BC248" s="228">
        <f t="shared" si="149"/>
        <v>0</v>
      </c>
      <c r="BD248" s="228"/>
      <c r="BE248" s="228">
        <f t="shared" si="169"/>
        <v>0</v>
      </c>
      <c r="BF248" s="228"/>
      <c r="BG248" s="228">
        <f t="shared" si="150"/>
        <v>0</v>
      </c>
      <c r="BH248" s="228"/>
      <c r="BI248" s="228">
        <f t="shared" si="166"/>
        <v>0</v>
      </c>
      <c r="BJ248" s="228"/>
      <c r="BK248" s="228">
        <f t="shared" si="151"/>
        <v>0</v>
      </c>
      <c r="BL248" s="228"/>
      <c r="BM248" s="220">
        <f t="shared" si="170"/>
        <v>0</v>
      </c>
      <c r="BN248" s="220"/>
      <c r="BO248" s="220">
        <f t="shared" si="152"/>
        <v>0</v>
      </c>
      <c r="BP248" s="220">
        <f t="shared" si="153"/>
        <v>0</v>
      </c>
      <c r="BQ248" s="220">
        <f t="shared" si="154"/>
        <v>0</v>
      </c>
      <c r="BR248" s="220">
        <f t="shared" si="155"/>
        <v>0</v>
      </c>
      <c r="BS248" s="229"/>
      <c r="BT248" s="229"/>
      <c r="BU248" s="230"/>
      <c r="BV248" s="230"/>
      <c r="BW248" s="231"/>
    </row>
    <row r="249" s="209" customFormat="1" ht="30" customHeight="1" spans="1:75">
      <c r="A249" s="219">
        <v>286</v>
      </c>
      <c r="B249" s="220" t="s">
        <v>980</v>
      </c>
      <c r="C249" s="221" t="s">
        <v>874</v>
      </c>
      <c r="D249" s="221" t="s">
        <v>918</v>
      </c>
      <c r="E249" s="221" t="s">
        <v>919</v>
      </c>
      <c r="F249" s="219" t="s">
        <v>53</v>
      </c>
      <c r="G249" s="222" t="s">
        <v>374</v>
      </c>
      <c r="H249" s="219" t="s">
        <v>39</v>
      </c>
      <c r="I249" s="232" t="s">
        <v>39</v>
      </c>
      <c r="J249" s="233" t="s">
        <v>39</v>
      </c>
      <c r="K249" s="223" cm="1">
        <f t="array" ref="K249">_xlfn.XLOOKUP(D249&amp;E249&amp;H249&amp;I249&amp;J249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86022</v>
      </c>
      <c r="L249" s="223"/>
      <c r="M249" s="224"/>
      <c r="N249" s="225"/>
      <c r="O249" s="226">
        <v>908000</v>
      </c>
      <c r="P249" s="227">
        <v>0</v>
      </c>
      <c r="Q249" s="228">
        <f t="shared" si="164"/>
        <v>0</v>
      </c>
      <c r="R249" s="227"/>
      <c r="S249" s="228">
        <f t="shared" si="140"/>
        <v>0</v>
      </c>
      <c r="T249" s="227">
        <v>0</v>
      </c>
      <c r="U249" s="228">
        <f t="shared" si="171"/>
        <v>0</v>
      </c>
      <c r="V249" s="227"/>
      <c r="W249" s="228">
        <f t="shared" si="141"/>
        <v>0</v>
      </c>
      <c r="X249" s="227">
        <v>0</v>
      </c>
      <c r="Y249" s="228">
        <f t="shared" si="156"/>
        <v>0</v>
      </c>
      <c r="Z249" s="227"/>
      <c r="AA249" s="228">
        <f t="shared" si="142"/>
        <v>0</v>
      </c>
      <c r="AB249" s="227">
        <v>0</v>
      </c>
      <c r="AC249" s="228">
        <f t="shared" si="173"/>
        <v>0</v>
      </c>
      <c r="AD249" s="227"/>
      <c r="AE249" s="228">
        <f t="shared" si="143"/>
        <v>0</v>
      </c>
      <c r="AF249" s="227">
        <v>0</v>
      </c>
      <c r="AG249" s="228">
        <f t="shared" si="172"/>
        <v>0</v>
      </c>
      <c r="AH249" s="227"/>
      <c r="AI249" s="228">
        <f t="shared" si="144"/>
        <v>0</v>
      </c>
      <c r="AJ249" s="227">
        <v>0</v>
      </c>
      <c r="AK249" s="228">
        <f t="shared" si="162"/>
        <v>0</v>
      </c>
      <c r="AL249" s="227"/>
      <c r="AM249" s="228">
        <f t="shared" si="145"/>
        <v>0</v>
      </c>
      <c r="AN249" s="227">
        <v>0</v>
      </c>
      <c r="AO249" s="228">
        <f t="shared" si="163"/>
        <v>0</v>
      </c>
      <c r="AP249" s="228"/>
      <c r="AQ249" s="228">
        <f t="shared" si="146"/>
        <v>0</v>
      </c>
      <c r="AR249" s="228">
        <v>0</v>
      </c>
      <c r="AS249" s="228">
        <f t="shared" si="157"/>
        <v>0</v>
      </c>
      <c r="AT249" s="227"/>
      <c r="AU249" s="228">
        <f t="shared" si="147"/>
        <v>0</v>
      </c>
      <c r="AV249" s="227">
        <v>0</v>
      </c>
      <c r="AW249" s="228">
        <f t="shared" si="167"/>
        <v>0</v>
      </c>
      <c r="AX249" s="227"/>
      <c r="AY249" s="228">
        <f t="shared" si="148"/>
        <v>0</v>
      </c>
      <c r="AZ249" s="227">
        <v>0</v>
      </c>
      <c r="BA249" s="228">
        <f t="shared" si="168"/>
        <v>0</v>
      </c>
      <c r="BB249" s="228"/>
      <c r="BC249" s="228">
        <f t="shared" si="149"/>
        <v>0</v>
      </c>
      <c r="BD249" s="228"/>
      <c r="BE249" s="228">
        <f t="shared" si="169"/>
        <v>0</v>
      </c>
      <c r="BF249" s="228"/>
      <c r="BG249" s="228">
        <f t="shared" si="150"/>
        <v>0</v>
      </c>
      <c r="BH249" s="228"/>
      <c r="BI249" s="228">
        <f t="shared" si="166"/>
        <v>0</v>
      </c>
      <c r="BJ249" s="228"/>
      <c r="BK249" s="228">
        <f t="shared" si="151"/>
        <v>0</v>
      </c>
      <c r="BL249" s="228">
        <v>0</v>
      </c>
      <c r="BM249" s="220">
        <f t="shared" si="170"/>
        <v>0</v>
      </c>
      <c r="BN249" s="220"/>
      <c r="BO249" s="220">
        <f t="shared" si="152"/>
        <v>0</v>
      </c>
      <c r="BP249" s="220">
        <f t="shared" si="153"/>
        <v>0</v>
      </c>
      <c r="BQ249" s="220">
        <f t="shared" si="154"/>
        <v>0</v>
      </c>
      <c r="BR249" s="220">
        <f t="shared" si="155"/>
        <v>0</v>
      </c>
      <c r="BS249" s="229">
        <v>0.11</v>
      </c>
      <c r="BT249" s="229" t="s">
        <v>39</v>
      </c>
      <c r="BU249" s="230"/>
      <c r="BV249" s="230"/>
      <c r="BW249" s="231"/>
    </row>
    <row r="250" s="209" customFormat="1" ht="36" customHeight="1" spans="1:75">
      <c r="A250" s="219">
        <v>291</v>
      </c>
      <c r="B250" s="220" t="s">
        <v>995</v>
      </c>
      <c r="C250" s="221" t="s">
        <v>874</v>
      </c>
      <c r="D250" s="221" t="s">
        <v>921</v>
      </c>
      <c r="E250" s="221" t="s">
        <v>922</v>
      </c>
      <c r="F250" s="219" t="s">
        <v>47</v>
      </c>
      <c r="G250" s="222" t="s">
        <v>374</v>
      </c>
      <c r="H250" s="233" t="s">
        <v>60</v>
      </c>
      <c r="I250" s="237" t="s">
        <v>932</v>
      </c>
      <c r="J250" s="233" t="s">
        <v>933</v>
      </c>
      <c r="K250" s="223" cm="1">
        <f t="array" ref="K250">_xlfn.XLOOKUP(D250&amp;E250&amp;H250&amp;I250&amp;J250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0" s="223"/>
      <c r="M250" s="224"/>
      <c r="N250" s="225">
        <v>42358.02</v>
      </c>
      <c r="O250" s="226">
        <v>1200000</v>
      </c>
      <c r="P250" s="285">
        <v>0.125</v>
      </c>
      <c r="Q250" s="228">
        <f t="shared" si="164"/>
        <v>0</v>
      </c>
      <c r="R250" s="227">
        <v>9329.69</v>
      </c>
      <c r="S250" s="228">
        <f t="shared" si="140"/>
        <v>-9329.69</v>
      </c>
      <c r="T250" s="227">
        <v>0</v>
      </c>
      <c r="U250" s="228">
        <f t="shared" si="171"/>
        <v>0</v>
      </c>
      <c r="V250" s="227">
        <v>0</v>
      </c>
      <c r="W250" s="228">
        <f t="shared" si="141"/>
        <v>0</v>
      </c>
      <c r="X250" s="227">
        <v>0</v>
      </c>
      <c r="Y250" s="228">
        <f t="shared" si="156"/>
        <v>0</v>
      </c>
      <c r="Z250" s="227">
        <v>0</v>
      </c>
      <c r="AA250" s="228">
        <f t="shared" si="142"/>
        <v>0</v>
      </c>
      <c r="AB250" s="227">
        <v>0</v>
      </c>
      <c r="AC250" s="228">
        <f t="shared" si="173"/>
        <v>0</v>
      </c>
      <c r="AD250" s="227">
        <v>0</v>
      </c>
      <c r="AE250" s="228">
        <f t="shared" si="143"/>
        <v>0</v>
      </c>
      <c r="AF250" s="227">
        <v>0</v>
      </c>
      <c r="AG250" s="228">
        <f t="shared" si="172"/>
        <v>0</v>
      </c>
      <c r="AH250" s="227">
        <v>0</v>
      </c>
      <c r="AI250" s="228">
        <f t="shared" si="144"/>
        <v>0</v>
      </c>
      <c r="AJ250" s="227">
        <v>0</v>
      </c>
      <c r="AK250" s="228">
        <f t="shared" si="162"/>
        <v>0</v>
      </c>
      <c r="AL250" s="227">
        <v>0</v>
      </c>
      <c r="AM250" s="228">
        <f t="shared" si="145"/>
        <v>0</v>
      </c>
      <c r="AN250" s="227">
        <v>0</v>
      </c>
      <c r="AO250" s="228">
        <f t="shared" si="163"/>
        <v>0</v>
      </c>
      <c r="AP250" s="228">
        <v>0</v>
      </c>
      <c r="AQ250" s="228">
        <f t="shared" si="146"/>
        <v>0</v>
      </c>
      <c r="AR250" s="228">
        <v>3000</v>
      </c>
      <c r="AS250" s="228">
        <f>AR250</f>
        <v>3000</v>
      </c>
      <c r="AT250" s="227">
        <v>700</v>
      </c>
      <c r="AU250" s="228">
        <f t="shared" si="147"/>
        <v>2300</v>
      </c>
      <c r="AV250" s="227">
        <v>4000</v>
      </c>
      <c r="AW250" s="228">
        <f>AV250</f>
        <v>4000</v>
      </c>
      <c r="AX250" s="227">
        <v>1000</v>
      </c>
      <c r="AY250" s="228">
        <f t="shared" si="148"/>
        <v>3000</v>
      </c>
      <c r="AZ250" s="227">
        <v>0</v>
      </c>
      <c r="BA250" s="228">
        <f t="shared" si="168"/>
        <v>0</v>
      </c>
      <c r="BB250" s="228">
        <v>0</v>
      </c>
      <c r="BC250" s="228">
        <f t="shared" si="149"/>
        <v>0</v>
      </c>
      <c r="BD250" s="228"/>
      <c r="BE250" s="228">
        <f t="shared" si="169"/>
        <v>0</v>
      </c>
      <c r="BF250" s="228">
        <v>0</v>
      </c>
      <c r="BG250" s="228">
        <f t="shared" si="150"/>
        <v>0</v>
      </c>
      <c r="BH250" s="228"/>
      <c r="BI250" s="228">
        <f t="shared" si="166"/>
        <v>0</v>
      </c>
      <c r="BJ250" s="228">
        <v>0</v>
      </c>
      <c r="BK250" s="228">
        <f t="shared" si="151"/>
        <v>0</v>
      </c>
      <c r="BL250" s="228" t="s">
        <v>1457</v>
      </c>
      <c r="BM250" s="220">
        <f t="shared" ref="BM250:BM280" si="174">BN250</f>
        <v>19996.38</v>
      </c>
      <c r="BN250" s="220">
        <v>19996.38</v>
      </c>
      <c r="BO250" s="220">
        <f t="shared" si="152"/>
        <v>0</v>
      </c>
      <c r="BP250" s="220">
        <f t="shared" si="153"/>
        <v>69354.4</v>
      </c>
      <c r="BQ250" s="220">
        <f t="shared" si="154"/>
        <v>73384.09</v>
      </c>
      <c r="BR250" s="220">
        <f t="shared" si="155"/>
        <v>-4029.69</v>
      </c>
      <c r="BS250" s="254" t="s">
        <v>39</v>
      </c>
      <c r="BT250" s="229" t="s">
        <v>39</v>
      </c>
      <c r="BU250" s="230"/>
      <c r="BV250" s="230" t="s">
        <v>935</v>
      </c>
      <c r="BW250" s="231"/>
    </row>
    <row r="251" s="209" customFormat="1" ht="36" customHeight="1" spans="1:75">
      <c r="A251" s="219">
        <v>292</v>
      </c>
      <c r="B251" s="220" t="s">
        <v>997</v>
      </c>
      <c r="C251" s="221" t="s">
        <v>874</v>
      </c>
      <c r="D251" s="221" t="s">
        <v>921</v>
      </c>
      <c r="E251" s="221" t="s">
        <v>922</v>
      </c>
      <c r="F251" s="219" t="s">
        <v>47</v>
      </c>
      <c r="G251" s="222" t="s">
        <v>374</v>
      </c>
      <c r="H251" s="233" t="s">
        <v>66</v>
      </c>
      <c r="I251" s="237" t="s">
        <v>818</v>
      </c>
      <c r="J251" s="233" t="s">
        <v>937</v>
      </c>
      <c r="K251" s="223" cm="1">
        <f t="array" ref="K251">_xlfn.XLOOKUP(D251&amp;E251&amp;H251&amp;I251&amp;J251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1" s="223"/>
      <c r="M251" s="224"/>
      <c r="N251" s="225"/>
      <c r="O251" s="226">
        <v>540000</v>
      </c>
      <c r="P251" s="277">
        <v>0.23</v>
      </c>
      <c r="Q251" s="228">
        <f t="shared" si="164"/>
        <v>0</v>
      </c>
      <c r="R251" s="227"/>
      <c r="S251" s="228">
        <f t="shared" si="140"/>
        <v>0</v>
      </c>
      <c r="T251" s="227">
        <v>0</v>
      </c>
      <c r="U251" s="228">
        <f t="shared" si="171"/>
        <v>0</v>
      </c>
      <c r="V251" s="227"/>
      <c r="W251" s="228">
        <f t="shared" si="141"/>
        <v>0</v>
      </c>
      <c r="X251" s="227">
        <v>0</v>
      </c>
      <c r="Y251" s="228">
        <f t="shared" si="156"/>
        <v>0</v>
      </c>
      <c r="Z251" s="227"/>
      <c r="AA251" s="228">
        <f t="shared" si="142"/>
        <v>0</v>
      </c>
      <c r="AB251" s="227">
        <v>0</v>
      </c>
      <c r="AC251" s="228">
        <f t="shared" si="173"/>
        <v>0</v>
      </c>
      <c r="AD251" s="227"/>
      <c r="AE251" s="228">
        <f t="shared" si="143"/>
        <v>0</v>
      </c>
      <c r="AF251" s="227">
        <v>0</v>
      </c>
      <c r="AG251" s="228">
        <f t="shared" si="172"/>
        <v>0</v>
      </c>
      <c r="AH251" s="227"/>
      <c r="AI251" s="228">
        <f t="shared" si="144"/>
        <v>0</v>
      </c>
      <c r="AJ251" s="227">
        <v>0</v>
      </c>
      <c r="AK251" s="228">
        <f t="shared" si="162"/>
        <v>0</v>
      </c>
      <c r="AL251" s="227"/>
      <c r="AM251" s="228">
        <f t="shared" si="145"/>
        <v>0</v>
      </c>
      <c r="AN251" s="227">
        <v>0</v>
      </c>
      <c r="AO251" s="228">
        <f t="shared" si="163"/>
        <v>0</v>
      </c>
      <c r="AP251" s="227"/>
      <c r="AQ251" s="228">
        <f t="shared" si="146"/>
        <v>0</v>
      </c>
      <c r="AR251" s="228">
        <v>0</v>
      </c>
      <c r="AS251" s="228">
        <f t="shared" ref="AS251:AS267" si="175">K251*AR251</f>
        <v>0</v>
      </c>
      <c r="AT251" s="227"/>
      <c r="AU251" s="228">
        <f t="shared" si="147"/>
        <v>0</v>
      </c>
      <c r="AV251" s="227">
        <v>0</v>
      </c>
      <c r="AW251" s="228">
        <f t="shared" ref="AW251:AW267" si="176">K251*AV251</f>
        <v>0</v>
      </c>
      <c r="AX251" s="227"/>
      <c r="AY251" s="228">
        <f t="shared" si="148"/>
        <v>0</v>
      </c>
      <c r="AZ251" s="227">
        <v>0</v>
      </c>
      <c r="BA251" s="228">
        <f t="shared" si="168"/>
        <v>0</v>
      </c>
      <c r="BB251" s="228"/>
      <c r="BC251" s="228">
        <f t="shared" si="149"/>
        <v>0</v>
      </c>
      <c r="BD251" s="228"/>
      <c r="BE251" s="228">
        <f t="shared" si="169"/>
        <v>0</v>
      </c>
      <c r="BF251" s="228"/>
      <c r="BG251" s="228">
        <f t="shared" si="150"/>
        <v>0</v>
      </c>
      <c r="BH251" s="228"/>
      <c r="BI251" s="228">
        <f t="shared" si="166"/>
        <v>0</v>
      </c>
      <c r="BJ251" s="228"/>
      <c r="BK251" s="228">
        <f t="shared" si="151"/>
        <v>0</v>
      </c>
      <c r="BL251" s="228" t="s">
        <v>1457</v>
      </c>
      <c r="BM251" s="220">
        <f t="shared" si="174"/>
        <v>0</v>
      </c>
      <c r="BN251" s="220"/>
      <c r="BO251" s="220">
        <f t="shared" si="152"/>
        <v>0</v>
      </c>
      <c r="BP251" s="220">
        <f t="shared" si="153"/>
        <v>0</v>
      </c>
      <c r="BQ251" s="220">
        <f t="shared" si="154"/>
        <v>0</v>
      </c>
      <c r="BR251" s="220">
        <f t="shared" si="155"/>
        <v>0</v>
      </c>
      <c r="BS251" s="254" t="s">
        <v>39</v>
      </c>
      <c r="BT251" s="229" t="s">
        <v>39</v>
      </c>
      <c r="BU251" s="230"/>
      <c r="BV251" s="230" t="s">
        <v>935</v>
      </c>
      <c r="BW251" s="231"/>
    </row>
    <row r="252" s="209" customFormat="1" ht="36" customHeight="1" spans="1:75">
      <c r="A252" s="219">
        <v>293</v>
      </c>
      <c r="B252" s="220" t="s">
        <v>1000</v>
      </c>
      <c r="C252" s="221" t="s">
        <v>874</v>
      </c>
      <c r="D252" s="221" t="s">
        <v>921</v>
      </c>
      <c r="E252" s="221" t="s">
        <v>922</v>
      </c>
      <c r="F252" s="219" t="s">
        <v>47</v>
      </c>
      <c r="G252" s="222" t="s">
        <v>374</v>
      </c>
      <c r="H252" s="233" t="s">
        <v>70</v>
      </c>
      <c r="I252" s="237" t="s">
        <v>939</v>
      </c>
      <c r="J252" s="233" t="s">
        <v>940</v>
      </c>
      <c r="K252" s="223" cm="1">
        <f t="array" ref="K252">_xlfn.XLOOKUP(D252&amp;E252&amp;H252&amp;I252&amp;J252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2" s="223"/>
      <c r="M252" s="224"/>
      <c r="N252" s="225"/>
      <c r="O252" s="226">
        <v>720000</v>
      </c>
      <c r="P252" s="277">
        <v>0.05</v>
      </c>
      <c r="Q252" s="228">
        <f t="shared" si="164"/>
        <v>0</v>
      </c>
      <c r="R252" s="227"/>
      <c r="S252" s="228">
        <f t="shared" si="140"/>
        <v>0</v>
      </c>
      <c r="T252" s="227">
        <v>0</v>
      </c>
      <c r="U252" s="228">
        <f t="shared" si="171"/>
        <v>0</v>
      </c>
      <c r="V252" s="227"/>
      <c r="W252" s="228">
        <f t="shared" si="141"/>
        <v>0</v>
      </c>
      <c r="X252" s="227">
        <v>0</v>
      </c>
      <c r="Y252" s="228">
        <f t="shared" si="156"/>
        <v>0</v>
      </c>
      <c r="Z252" s="227"/>
      <c r="AA252" s="228">
        <f t="shared" si="142"/>
        <v>0</v>
      </c>
      <c r="AB252" s="227">
        <v>0</v>
      </c>
      <c r="AC252" s="228">
        <f t="shared" si="173"/>
        <v>0</v>
      </c>
      <c r="AD252" s="227"/>
      <c r="AE252" s="228">
        <f t="shared" si="143"/>
        <v>0</v>
      </c>
      <c r="AF252" s="227">
        <v>0</v>
      </c>
      <c r="AG252" s="228">
        <f t="shared" si="172"/>
        <v>0</v>
      </c>
      <c r="AH252" s="227"/>
      <c r="AI252" s="228">
        <f t="shared" si="144"/>
        <v>0</v>
      </c>
      <c r="AJ252" s="227">
        <v>0</v>
      </c>
      <c r="AK252" s="228">
        <f t="shared" si="162"/>
        <v>0</v>
      </c>
      <c r="AL252" s="227"/>
      <c r="AM252" s="228">
        <f t="shared" si="145"/>
        <v>0</v>
      </c>
      <c r="AN252" s="227">
        <v>0</v>
      </c>
      <c r="AO252" s="228">
        <f t="shared" si="163"/>
        <v>0</v>
      </c>
      <c r="AP252" s="227"/>
      <c r="AQ252" s="228">
        <f t="shared" si="146"/>
        <v>0</v>
      </c>
      <c r="AR252" s="228">
        <v>0</v>
      </c>
      <c r="AS252" s="228">
        <f t="shared" si="175"/>
        <v>0</v>
      </c>
      <c r="AT252" s="227"/>
      <c r="AU252" s="228">
        <f t="shared" si="147"/>
        <v>0</v>
      </c>
      <c r="AV252" s="227">
        <v>0</v>
      </c>
      <c r="AW252" s="228">
        <f t="shared" si="176"/>
        <v>0</v>
      </c>
      <c r="AX252" s="227"/>
      <c r="AY252" s="228">
        <f t="shared" si="148"/>
        <v>0</v>
      </c>
      <c r="AZ252" s="227">
        <v>0</v>
      </c>
      <c r="BA252" s="228">
        <f t="shared" si="168"/>
        <v>0</v>
      </c>
      <c r="BB252" s="228"/>
      <c r="BC252" s="228">
        <f t="shared" si="149"/>
        <v>0</v>
      </c>
      <c r="BD252" s="228"/>
      <c r="BE252" s="228">
        <f t="shared" si="169"/>
        <v>0</v>
      </c>
      <c r="BF252" s="228"/>
      <c r="BG252" s="228">
        <f t="shared" si="150"/>
        <v>0</v>
      </c>
      <c r="BH252" s="228"/>
      <c r="BI252" s="228">
        <f t="shared" si="166"/>
        <v>0</v>
      </c>
      <c r="BJ252" s="228"/>
      <c r="BK252" s="228">
        <f t="shared" si="151"/>
        <v>0</v>
      </c>
      <c r="BL252" s="228" t="s">
        <v>1457</v>
      </c>
      <c r="BM252" s="220">
        <f t="shared" si="174"/>
        <v>0</v>
      </c>
      <c r="BN252" s="220"/>
      <c r="BO252" s="220">
        <f t="shared" si="152"/>
        <v>0</v>
      </c>
      <c r="BP252" s="220">
        <f t="shared" si="153"/>
        <v>0</v>
      </c>
      <c r="BQ252" s="220">
        <f t="shared" si="154"/>
        <v>0</v>
      </c>
      <c r="BR252" s="220">
        <f t="shared" si="155"/>
        <v>0</v>
      </c>
      <c r="BS252" s="254" t="s">
        <v>39</v>
      </c>
      <c r="BT252" s="229" t="s">
        <v>39</v>
      </c>
      <c r="BU252" s="230"/>
      <c r="BV252" s="230" t="s">
        <v>935</v>
      </c>
      <c r="BW252" s="231"/>
    </row>
    <row r="253" s="209" customFormat="1" ht="36" customHeight="1" spans="1:75">
      <c r="A253" s="219">
        <v>294</v>
      </c>
      <c r="B253" s="220" t="s">
        <v>1003</v>
      </c>
      <c r="C253" s="221" t="s">
        <v>874</v>
      </c>
      <c r="D253" s="221" t="s">
        <v>921</v>
      </c>
      <c r="E253" s="221" t="s">
        <v>922</v>
      </c>
      <c r="F253" s="219" t="s">
        <v>47</v>
      </c>
      <c r="G253" s="222" t="s">
        <v>374</v>
      </c>
      <c r="H253" s="233" t="s">
        <v>74</v>
      </c>
      <c r="I253" s="237" t="s">
        <v>942</v>
      </c>
      <c r="J253" s="233" t="s">
        <v>943</v>
      </c>
      <c r="K253" s="223" cm="1">
        <f t="array" ref="K253">_xlfn.XLOOKUP(D253&amp;E253&amp;H253&amp;I253&amp;J253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3" s="223"/>
      <c r="M253" s="224"/>
      <c r="N253" s="225"/>
      <c r="O253" s="226">
        <v>360000</v>
      </c>
      <c r="P253" s="277">
        <v>0.1</v>
      </c>
      <c r="Q253" s="228">
        <f t="shared" si="164"/>
        <v>0</v>
      </c>
      <c r="R253" s="227"/>
      <c r="S253" s="228">
        <f t="shared" si="140"/>
        <v>0</v>
      </c>
      <c r="T253" s="227">
        <v>0</v>
      </c>
      <c r="U253" s="228">
        <f t="shared" si="171"/>
        <v>0</v>
      </c>
      <c r="V253" s="227"/>
      <c r="W253" s="228">
        <f t="shared" si="141"/>
        <v>0</v>
      </c>
      <c r="X253" s="227">
        <v>0</v>
      </c>
      <c r="Y253" s="228">
        <f t="shared" si="156"/>
        <v>0</v>
      </c>
      <c r="Z253" s="227"/>
      <c r="AA253" s="228">
        <f t="shared" si="142"/>
        <v>0</v>
      </c>
      <c r="AB253" s="227">
        <v>0</v>
      </c>
      <c r="AC253" s="228">
        <f t="shared" si="173"/>
        <v>0</v>
      </c>
      <c r="AD253" s="227"/>
      <c r="AE253" s="228">
        <f t="shared" si="143"/>
        <v>0</v>
      </c>
      <c r="AF253" s="227">
        <v>0</v>
      </c>
      <c r="AG253" s="228">
        <f t="shared" si="172"/>
        <v>0</v>
      </c>
      <c r="AH253" s="227"/>
      <c r="AI253" s="228">
        <f t="shared" si="144"/>
        <v>0</v>
      </c>
      <c r="AJ253" s="227">
        <v>0</v>
      </c>
      <c r="AK253" s="228">
        <f t="shared" si="162"/>
        <v>0</v>
      </c>
      <c r="AL253" s="227"/>
      <c r="AM253" s="228">
        <f t="shared" si="145"/>
        <v>0</v>
      </c>
      <c r="AN253" s="227">
        <v>0</v>
      </c>
      <c r="AO253" s="228">
        <f t="shared" si="163"/>
        <v>0</v>
      </c>
      <c r="AP253" s="227"/>
      <c r="AQ253" s="228">
        <f t="shared" si="146"/>
        <v>0</v>
      </c>
      <c r="AR253" s="228">
        <v>0</v>
      </c>
      <c r="AS253" s="228">
        <f t="shared" si="175"/>
        <v>0</v>
      </c>
      <c r="AT253" s="227"/>
      <c r="AU253" s="228">
        <f t="shared" si="147"/>
        <v>0</v>
      </c>
      <c r="AV253" s="227">
        <v>0</v>
      </c>
      <c r="AW253" s="228">
        <f t="shared" si="176"/>
        <v>0</v>
      </c>
      <c r="AX253" s="227"/>
      <c r="AY253" s="228">
        <f t="shared" si="148"/>
        <v>0</v>
      </c>
      <c r="AZ253" s="227">
        <v>0</v>
      </c>
      <c r="BA253" s="228">
        <f t="shared" si="168"/>
        <v>0</v>
      </c>
      <c r="BB253" s="228"/>
      <c r="BC253" s="228">
        <f t="shared" si="149"/>
        <v>0</v>
      </c>
      <c r="BD253" s="228"/>
      <c r="BE253" s="228">
        <f t="shared" si="169"/>
        <v>0</v>
      </c>
      <c r="BF253" s="228"/>
      <c r="BG253" s="228">
        <f t="shared" si="150"/>
        <v>0</v>
      </c>
      <c r="BH253" s="228"/>
      <c r="BI253" s="228">
        <f t="shared" si="166"/>
        <v>0</v>
      </c>
      <c r="BJ253" s="228"/>
      <c r="BK253" s="228">
        <f t="shared" si="151"/>
        <v>0</v>
      </c>
      <c r="BL253" s="228" t="s">
        <v>1457</v>
      </c>
      <c r="BM253" s="220">
        <f t="shared" si="174"/>
        <v>0</v>
      </c>
      <c r="BN253" s="220"/>
      <c r="BO253" s="220">
        <f t="shared" si="152"/>
        <v>0</v>
      </c>
      <c r="BP253" s="220">
        <f t="shared" si="153"/>
        <v>0</v>
      </c>
      <c r="BQ253" s="220">
        <f t="shared" si="154"/>
        <v>0</v>
      </c>
      <c r="BR253" s="220">
        <f t="shared" si="155"/>
        <v>0</v>
      </c>
      <c r="BS253" s="254" t="s">
        <v>39</v>
      </c>
      <c r="BT253" s="229" t="s">
        <v>39</v>
      </c>
      <c r="BU253" s="230"/>
      <c r="BV253" s="230" t="s">
        <v>935</v>
      </c>
      <c r="BW253" s="231"/>
    </row>
    <row r="254" s="209" customFormat="1" ht="24" customHeight="1" spans="1:75">
      <c r="A254" s="219">
        <v>296</v>
      </c>
      <c r="B254" s="220" t="s">
        <v>1008</v>
      </c>
      <c r="C254" s="221" t="s">
        <v>874</v>
      </c>
      <c r="D254" s="221" t="s">
        <v>945</v>
      </c>
      <c r="E254" s="221" t="s">
        <v>946</v>
      </c>
      <c r="F254" s="219" t="s">
        <v>81</v>
      </c>
      <c r="G254" s="222" t="s">
        <v>374</v>
      </c>
      <c r="H254" s="233" t="s">
        <v>39</v>
      </c>
      <c r="I254" s="237" t="s">
        <v>240</v>
      </c>
      <c r="J254" s="233" t="s">
        <v>948</v>
      </c>
      <c r="K254" s="223" cm="1">
        <f t="array" ref="K254">_xlfn.XLOOKUP(D254&amp;E254&amp;H254&amp;I254&amp;J254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4" s="223"/>
      <c r="M254" s="224"/>
      <c r="N254" s="328">
        <v>71039</v>
      </c>
      <c r="O254" s="226">
        <v>1488000</v>
      </c>
      <c r="P254" s="277">
        <v>0.11</v>
      </c>
      <c r="Q254" s="228">
        <f t="shared" si="164"/>
        <v>0</v>
      </c>
      <c r="R254" s="227">
        <v>46955.1</v>
      </c>
      <c r="S254" s="228">
        <f t="shared" si="140"/>
        <v>-46955.1</v>
      </c>
      <c r="T254" s="277">
        <v>0.01</v>
      </c>
      <c r="U254" s="228">
        <f t="shared" si="171"/>
        <v>0</v>
      </c>
      <c r="V254" s="329">
        <v>3995.06</v>
      </c>
      <c r="W254" s="228">
        <f t="shared" ref="W254:W267" si="177">U254-Z254</f>
        <v>0</v>
      </c>
      <c r="X254" s="227">
        <v>0</v>
      </c>
      <c r="Y254" s="228">
        <f t="shared" si="156"/>
        <v>0</v>
      </c>
      <c r="Z254" s="227">
        <v>0</v>
      </c>
      <c r="AA254" s="228">
        <f t="shared" si="142"/>
        <v>0</v>
      </c>
      <c r="AB254" s="277">
        <v>0.02</v>
      </c>
      <c r="AC254" s="228">
        <f t="shared" si="173"/>
        <v>0</v>
      </c>
      <c r="AD254" s="227">
        <v>7363.14</v>
      </c>
      <c r="AE254" s="228">
        <f t="shared" si="143"/>
        <v>-7363.14</v>
      </c>
      <c r="AF254" s="277">
        <v>0.01</v>
      </c>
      <c r="AG254" s="228">
        <f t="shared" si="172"/>
        <v>0</v>
      </c>
      <c r="AH254" s="227">
        <v>3995.06</v>
      </c>
      <c r="AI254" s="228">
        <f t="shared" si="144"/>
        <v>-3995.06</v>
      </c>
      <c r="AJ254" s="277">
        <v>0.01</v>
      </c>
      <c r="AK254" s="228">
        <f t="shared" si="162"/>
        <v>0</v>
      </c>
      <c r="AL254" s="227">
        <v>3995.06</v>
      </c>
      <c r="AM254" s="228">
        <f t="shared" si="145"/>
        <v>-3995.06</v>
      </c>
      <c r="AN254" s="227">
        <v>0</v>
      </c>
      <c r="AO254" s="228">
        <f t="shared" si="163"/>
        <v>0</v>
      </c>
      <c r="AP254" s="227">
        <v>0</v>
      </c>
      <c r="AQ254" s="228">
        <f t="shared" si="146"/>
        <v>0</v>
      </c>
      <c r="AR254" s="228"/>
      <c r="AS254" s="228">
        <f>AT254-AS262-AS255</f>
        <v>28204</v>
      </c>
      <c r="AT254" s="227">
        <v>28204</v>
      </c>
      <c r="AU254" s="228">
        <f t="shared" si="147"/>
        <v>0</v>
      </c>
      <c r="AV254" s="240"/>
      <c r="AW254" s="228">
        <f>AX254-AW262-AW255</f>
        <v>2329</v>
      </c>
      <c r="AX254" s="227">
        <v>2329</v>
      </c>
      <c r="AY254" s="228">
        <f t="shared" si="148"/>
        <v>0</v>
      </c>
      <c r="AZ254" s="227">
        <v>0</v>
      </c>
      <c r="BA254" s="228">
        <f t="shared" si="168"/>
        <v>0</v>
      </c>
      <c r="BB254" s="227">
        <v>0</v>
      </c>
      <c r="BC254" s="228">
        <f t="shared" si="149"/>
        <v>0</v>
      </c>
      <c r="BD254" s="235"/>
      <c r="BE254" s="228">
        <f t="shared" si="169"/>
        <v>0</v>
      </c>
      <c r="BF254" s="227">
        <v>0</v>
      </c>
      <c r="BG254" s="228">
        <f t="shared" si="150"/>
        <v>0</v>
      </c>
      <c r="BH254" s="235"/>
      <c r="BI254" s="228">
        <f>BJ254</f>
        <v>15601.28</v>
      </c>
      <c r="BJ254" s="227">
        <v>15601.28</v>
      </c>
      <c r="BK254" s="228">
        <f t="shared" si="151"/>
        <v>0</v>
      </c>
      <c r="BL254" s="228" t="s">
        <v>1457</v>
      </c>
      <c r="BM254" s="220">
        <f t="shared" si="174"/>
        <v>120224</v>
      </c>
      <c r="BN254" s="220">
        <v>120224</v>
      </c>
      <c r="BO254" s="220">
        <f t="shared" si="152"/>
        <v>0</v>
      </c>
      <c r="BP254" s="220">
        <f t="shared" si="153"/>
        <v>237397.28</v>
      </c>
      <c r="BQ254" s="220">
        <f t="shared" si="154"/>
        <v>303700.7</v>
      </c>
      <c r="BR254" s="220">
        <f t="shared" si="155"/>
        <v>-66303.42</v>
      </c>
      <c r="BS254" s="254" t="s">
        <v>39</v>
      </c>
      <c r="BT254" s="229" t="s">
        <v>39</v>
      </c>
      <c r="BU254" s="230"/>
      <c r="BV254" s="230" t="s">
        <v>949</v>
      </c>
      <c r="BW254" s="231"/>
    </row>
    <row r="255" s="209" customFormat="1" ht="24" customHeight="1" spans="1:75">
      <c r="A255" s="219">
        <v>297</v>
      </c>
      <c r="B255" s="220" t="s">
        <v>1010</v>
      </c>
      <c r="C255" s="221" t="s">
        <v>874</v>
      </c>
      <c r="D255" s="221" t="s">
        <v>945</v>
      </c>
      <c r="E255" s="221" t="s">
        <v>946</v>
      </c>
      <c r="F255" s="219" t="s">
        <v>81</v>
      </c>
      <c r="G255" s="222" t="s">
        <v>374</v>
      </c>
      <c r="H255" s="233" t="s">
        <v>39</v>
      </c>
      <c r="I255" s="237" t="s">
        <v>952</v>
      </c>
      <c r="J255" s="233" t="s">
        <v>953</v>
      </c>
      <c r="K255" s="223" cm="1">
        <f t="array" ref="K255">_xlfn.XLOOKUP(D255&amp;E255&amp;H255&amp;I255&amp;J255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5" s="223"/>
      <c r="M255" s="224"/>
      <c r="N255" s="328"/>
      <c r="O255" s="226">
        <v>510000</v>
      </c>
      <c r="P255" s="277">
        <v>0.13</v>
      </c>
      <c r="Q255" s="228">
        <f t="shared" si="164"/>
        <v>0</v>
      </c>
      <c r="R255" s="227"/>
      <c r="S255" s="228">
        <f t="shared" si="140"/>
        <v>0</v>
      </c>
      <c r="T255" s="277">
        <v>0.01</v>
      </c>
      <c r="U255" s="228">
        <f t="shared" si="171"/>
        <v>0</v>
      </c>
      <c r="V255" s="329"/>
      <c r="W255" s="228">
        <f t="shared" si="177"/>
        <v>0</v>
      </c>
      <c r="X255" s="227">
        <v>0</v>
      </c>
      <c r="Y255" s="228">
        <f t="shared" si="156"/>
        <v>0</v>
      </c>
      <c r="Z255" s="227"/>
      <c r="AA255" s="228">
        <f t="shared" si="142"/>
        <v>0</v>
      </c>
      <c r="AB255" s="277">
        <v>0.02</v>
      </c>
      <c r="AC255" s="228">
        <f t="shared" si="173"/>
        <v>0</v>
      </c>
      <c r="AD255" s="227"/>
      <c r="AE255" s="228">
        <f t="shared" si="143"/>
        <v>0</v>
      </c>
      <c r="AF255" s="277">
        <v>0.01</v>
      </c>
      <c r="AG255" s="228">
        <f t="shared" si="172"/>
        <v>0</v>
      </c>
      <c r="AH255" s="227"/>
      <c r="AI255" s="228">
        <f t="shared" si="144"/>
        <v>0</v>
      </c>
      <c r="AJ255" s="277">
        <v>0.01</v>
      </c>
      <c r="AK255" s="228">
        <f t="shared" si="162"/>
        <v>0</v>
      </c>
      <c r="AL255" s="227"/>
      <c r="AM255" s="228">
        <f t="shared" si="145"/>
        <v>0</v>
      </c>
      <c r="AN255" s="227">
        <v>0</v>
      </c>
      <c r="AO255" s="228">
        <f t="shared" si="163"/>
        <v>0</v>
      </c>
      <c r="AP255" s="227"/>
      <c r="AQ255" s="228">
        <f t="shared" si="146"/>
        <v>0</v>
      </c>
      <c r="AR255" s="247">
        <v>0.04</v>
      </c>
      <c r="AS255" s="228">
        <f t="shared" si="175"/>
        <v>0</v>
      </c>
      <c r="AT255" s="227"/>
      <c r="AU255" s="228">
        <f t="shared" si="147"/>
        <v>0</v>
      </c>
      <c r="AV255" s="277">
        <v>0.01</v>
      </c>
      <c r="AW255" s="228">
        <f t="shared" si="176"/>
        <v>0</v>
      </c>
      <c r="AX255" s="227"/>
      <c r="AY255" s="228">
        <f t="shared" si="148"/>
        <v>0</v>
      </c>
      <c r="AZ255" s="227">
        <v>0</v>
      </c>
      <c r="BA255" s="228">
        <f t="shared" si="168"/>
        <v>0</v>
      </c>
      <c r="BB255" s="227"/>
      <c r="BC255" s="228">
        <f t="shared" si="149"/>
        <v>0</v>
      </c>
      <c r="BD255" s="235"/>
      <c r="BE255" s="228">
        <f t="shared" si="169"/>
        <v>0</v>
      </c>
      <c r="BF255" s="227"/>
      <c r="BG255" s="228">
        <f t="shared" si="150"/>
        <v>0</v>
      </c>
      <c r="BH255" s="235"/>
      <c r="BI255" s="228">
        <f t="shared" si="166"/>
        <v>0</v>
      </c>
      <c r="BJ255" s="227"/>
      <c r="BK255" s="228">
        <f t="shared" si="151"/>
        <v>0</v>
      </c>
      <c r="BL255" s="228" t="s">
        <v>1457</v>
      </c>
      <c r="BM255" s="220">
        <f t="shared" si="174"/>
        <v>0</v>
      </c>
      <c r="BN255" s="220"/>
      <c r="BO255" s="220">
        <f t="shared" si="152"/>
        <v>0</v>
      </c>
      <c r="BP255" s="220">
        <f t="shared" si="153"/>
        <v>0</v>
      </c>
      <c r="BQ255" s="220">
        <f t="shared" si="154"/>
        <v>0</v>
      </c>
      <c r="BR255" s="220">
        <f t="shared" si="155"/>
        <v>0</v>
      </c>
      <c r="BS255" s="254" t="s">
        <v>39</v>
      </c>
      <c r="BT255" s="229" t="s">
        <v>39</v>
      </c>
      <c r="BU255" s="230"/>
      <c r="BV255" s="230" t="s">
        <v>949</v>
      </c>
      <c r="BW255" s="231"/>
    </row>
    <row r="256" s="209" customFormat="1" ht="24" customHeight="1" spans="1:75">
      <c r="A256" s="219">
        <v>298</v>
      </c>
      <c r="B256" s="220" t="s">
        <v>1014</v>
      </c>
      <c r="C256" s="221" t="s">
        <v>874</v>
      </c>
      <c r="D256" s="221" t="s">
        <v>945</v>
      </c>
      <c r="E256" s="221" t="s">
        <v>946</v>
      </c>
      <c r="F256" s="219" t="s">
        <v>81</v>
      </c>
      <c r="G256" s="222" t="s">
        <v>374</v>
      </c>
      <c r="H256" s="233" t="s">
        <v>39</v>
      </c>
      <c r="I256" s="237" t="s">
        <v>955</v>
      </c>
      <c r="J256" s="233" t="s">
        <v>956</v>
      </c>
      <c r="K256" s="223" cm="1">
        <f t="array" ref="K256">_xlfn.XLOOKUP(D256&amp;E256&amp;H256&amp;I256&amp;J256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6" s="223"/>
      <c r="M256" s="224"/>
      <c r="N256" s="328"/>
      <c r="O256" s="226">
        <v>510000</v>
      </c>
      <c r="P256" s="277">
        <v>0.14</v>
      </c>
      <c r="Q256" s="228">
        <f t="shared" si="164"/>
        <v>0</v>
      </c>
      <c r="R256" s="227"/>
      <c r="S256" s="228">
        <f t="shared" si="140"/>
        <v>0</v>
      </c>
      <c r="T256" s="277">
        <v>0.01</v>
      </c>
      <c r="U256" s="228">
        <f t="shared" si="171"/>
        <v>0</v>
      </c>
      <c r="V256" s="329"/>
      <c r="W256" s="228">
        <f t="shared" si="177"/>
        <v>0</v>
      </c>
      <c r="X256" s="227">
        <v>0</v>
      </c>
      <c r="Y256" s="228">
        <f t="shared" si="156"/>
        <v>0</v>
      </c>
      <c r="Z256" s="227"/>
      <c r="AA256" s="228">
        <f t="shared" si="142"/>
        <v>0</v>
      </c>
      <c r="AB256" s="277">
        <v>0.02</v>
      </c>
      <c r="AC256" s="228">
        <f t="shared" si="173"/>
        <v>0</v>
      </c>
      <c r="AD256" s="227"/>
      <c r="AE256" s="228">
        <f t="shared" si="143"/>
        <v>0</v>
      </c>
      <c r="AF256" s="277">
        <v>0.01</v>
      </c>
      <c r="AG256" s="228">
        <f t="shared" si="172"/>
        <v>0</v>
      </c>
      <c r="AH256" s="227"/>
      <c r="AI256" s="228">
        <f t="shared" si="144"/>
        <v>0</v>
      </c>
      <c r="AJ256" s="277">
        <v>0.01</v>
      </c>
      <c r="AK256" s="228">
        <f t="shared" si="162"/>
        <v>0</v>
      </c>
      <c r="AL256" s="227"/>
      <c r="AM256" s="228">
        <f t="shared" si="145"/>
        <v>0</v>
      </c>
      <c r="AN256" s="227">
        <v>0</v>
      </c>
      <c r="AO256" s="228">
        <f t="shared" si="163"/>
        <v>0</v>
      </c>
      <c r="AP256" s="227"/>
      <c r="AQ256" s="228">
        <f t="shared" si="146"/>
        <v>0</v>
      </c>
      <c r="AR256" s="228"/>
      <c r="AS256" s="228">
        <f t="shared" si="175"/>
        <v>0</v>
      </c>
      <c r="AT256" s="227"/>
      <c r="AU256" s="228">
        <f t="shared" si="147"/>
        <v>0</v>
      </c>
      <c r="AV256" s="240"/>
      <c r="AW256" s="228">
        <f t="shared" si="176"/>
        <v>0</v>
      </c>
      <c r="AX256" s="227"/>
      <c r="AY256" s="228">
        <f t="shared" si="148"/>
        <v>0</v>
      </c>
      <c r="AZ256" s="227">
        <v>0</v>
      </c>
      <c r="BA256" s="228">
        <f t="shared" si="168"/>
        <v>0</v>
      </c>
      <c r="BB256" s="227"/>
      <c r="BC256" s="228">
        <f t="shared" si="149"/>
        <v>0</v>
      </c>
      <c r="BD256" s="235"/>
      <c r="BE256" s="228">
        <f t="shared" si="169"/>
        <v>0</v>
      </c>
      <c r="BF256" s="227"/>
      <c r="BG256" s="228">
        <f t="shared" si="150"/>
        <v>0</v>
      </c>
      <c r="BH256" s="235"/>
      <c r="BI256" s="228">
        <f t="shared" si="166"/>
        <v>0</v>
      </c>
      <c r="BJ256" s="227"/>
      <c r="BK256" s="228">
        <f t="shared" si="151"/>
        <v>0</v>
      </c>
      <c r="BL256" s="228" t="s">
        <v>1457</v>
      </c>
      <c r="BM256" s="220">
        <f t="shared" si="174"/>
        <v>0</v>
      </c>
      <c r="BN256" s="220"/>
      <c r="BO256" s="220">
        <f t="shared" si="152"/>
        <v>0</v>
      </c>
      <c r="BP256" s="220">
        <f t="shared" si="153"/>
        <v>0</v>
      </c>
      <c r="BQ256" s="220">
        <f t="shared" si="154"/>
        <v>0</v>
      </c>
      <c r="BR256" s="220">
        <f t="shared" si="155"/>
        <v>0</v>
      </c>
      <c r="BS256" s="254" t="s">
        <v>39</v>
      </c>
      <c r="BT256" s="229" t="s">
        <v>39</v>
      </c>
      <c r="BU256" s="230"/>
      <c r="BV256" s="230" t="s">
        <v>949</v>
      </c>
      <c r="BW256" s="231"/>
    </row>
    <row r="257" s="209" customFormat="1" ht="24" customHeight="1" spans="1:75">
      <c r="A257" s="219">
        <v>299</v>
      </c>
      <c r="B257" s="220" t="s">
        <v>1017</v>
      </c>
      <c r="C257" s="221" t="s">
        <v>874</v>
      </c>
      <c r="D257" s="221" t="s">
        <v>945</v>
      </c>
      <c r="E257" s="221" t="s">
        <v>946</v>
      </c>
      <c r="F257" s="219" t="s">
        <v>81</v>
      </c>
      <c r="G257" s="222" t="s">
        <v>374</v>
      </c>
      <c r="H257" s="233" t="s">
        <v>39</v>
      </c>
      <c r="I257" s="237" t="s">
        <v>958</v>
      </c>
      <c r="J257" s="233" t="s">
        <v>959</v>
      </c>
      <c r="K257" s="223" cm="1">
        <f t="array" ref="K257">_xlfn.XLOOKUP(D257&amp;E257&amp;H257&amp;I257&amp;J257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7" s="223"/>
      <c r="M257" s="224"/>
      <c r="N257" s="328"/>
      <c r="O257" s="226">
        <v>759428.571428571</v>
      </c>
      <c r="P257" s="277">
        <v>0.13</v>
      </c>
      <c r="Q257" s="228">
        <f t="shared" si="164"/>
        <v>0</v>
      </c>
      <c r="R257" s="227"/>
      <c r="S257" s="228">
        <f t="shared" si="140"/>
        <v>0</v>
      </c>
      <c r="T257" s="277">
        <v>0.01</v>
      </c>
      <c r="U257" s="228">
        <f t="shared" si="171"/>
        <v>0</v>
      </c>
      <c r="V257" s="329"/>
      <c r="W257" s="228">
        <f t="shared" si="177"/>
        <v>0</v>
      </c>
      <c r="X257" s="227">
        <v>0</v>
      </c>
      <c r="Y257" s="228">
        <f t="shared" si="156"/>
        <v>0</v>
      </c>
      <c r="Z257" s="227"/>
      <c r="AA257" s="228">
        <f t="shared" si="142"/>
        <v>0</v>
      </c>
      <c r="AB257" s="277">
        <v>0.02</v>
      </c>
      <c r="AC257" s="228">
        <f t="shared" si="173"/>
        <v>0</v>
      </c>
      <c r="AD257" s="227"/>
      <c r="AE257" s="228">
        <f t="shared" si="143"/>
        <v>0</v>
      </c>
      <c r="AF257" s="277">
        <v>0.01</v>
      </c>
      <c r="AG257" s="228">
        <f t="shared" si="172"/>
        <v>0</v>
      </c>
      <c r="AH257" s="227"/>
      <c r="AI257" s="228">
        <f t="shared" si="144"/>
        <v>0</v>
      </c>
      <c r="AJ257" s="277">
        <v>0.01</v>
      </c>
      <c r="AK257" s="228">
        <f t="shared" si="162"/>
        <v>0</v>
      </c>
      <c r="AL257" s="227"/>
      <c r="AM257" s="228">
        <f t="shared" si="145"/>
        <v>0</v>
      </c>
      <c r="AN257" s="227">
        <v>0</v>
      </c>
      <c r="AO257" s="228">
        <f t="shared" si="163"/>
        <v>0</v>
      </c>
      <c r="AP257" s="227"/>
      <c r="AQ257" s="228">
        <f t="shared" si="146"/>
        <v>0</v>
      </c>
      <c r="AR257" s="228"/>
      <c r="AS257" s="228">
        <f t="shared" si="175"/>
        <v>0</v>
      </c>
      <c r="AT257" s="227"/>
      <c r="AU257" s="228">
        <f t="shared" si="147"/>
        <v>0</v>
      </c>
      <c r="AV257" s="240"/>
      <c r="AW257" s="228">
        <f t="shared" si="176"/>
        <v>0</v>
      </c>
      <c r="AX257" s="227"/>
      <c r="AY257" s="228">
        <f t="shared" si="148"/>
        <v>0</v>
      </c>
      <c r="AZ257" s="227">
        <v>0</v>
      </c>
      <c r="BA257" s="228">
        <f t="shared" si="168"/>
        <v>0</v>
      </c>
      <c r="BB257" s="227"/>
      <c r="BC257" s="228">
        <f t="shared" si="149"/>
        <v>0</v>
      </c>
      <c r="BD257" s="235"/>
      <c r="BE257" s="228">
        <f t="shared" si="169"/>
        <v>0</v>
      </c>
      <c r="BF257" s="227"/>
      <c r="BG257" s="228">
        <f t="shared" si="150"/>
        <v>0</v>
      </c>
      <c r="BH257" s="235"/>
      <c r="BI257" s="228">
        <f t="shared" si="166"/>
        <v>0</v>
      </c>
      <c r="BJ257" s="227"/>
      <c r="BK257" s="228">
        <f t="shared" si="151"/>
        <v>0</v>
      </c>
      <c r="BL257" s="228" t="s">
        <v>1457</v>
      </c>
      <c r="BM257" s="220">
        <f t="shared" si="174"/>
        <v>0</v>
      </c>
      <c r="BN257" s="220"/>
      <c r="BO257" s="220">
        <f t="shared" si="152"/>
        <v>0</v>
      </c>
      <c r="BP257" s="220">
        <f t="shared" si="153"/>
        <v>0</v>
      </c>
      <c r="BQ257" s="220">
        <f t="shared" si="154"/>
        <v>0</v>
      </c>
      <c r="BR257" s="220">
        <f t="shared" si="155"/>
        <v>0</v>
      </c>
      <c r="BS257" s="254" t="s">
        <v>39</v>
      </c>
      <c r="BT257" s="229" t="s">
        <v>39</v>
      </c>
      <c r="BU257" s="230"/>
      <c r="BV257" s="230" t="s">
        <v>949</v>
      </c>
      <c r="BW257" s="231"/>
    </row>
    <row r="258" s="209" customFormat="1" ht="24" customHeight="1" spans="1:75">
      <c r="A258" s="219">
        <v>300</v>
      </c>
      <c r="B258" s="220" t="s">
        <v>1019</v>
      </c>
      <c r="C258" s="221" t="s">
        <v>874</v>
      </c>
      <c r="D258" s="221" t="s">
        <v>945</v>
      </c>
      <c r="E258" s="221" t="s">
        <v>946</v>
      </c>
      <c r="F258" s="219" t="s">
        <v>81</v>
      </c>
      <c r="G258" s="222" t="s">
        <v>374</v>
      </c>
      <c r="H258" s="233" t="s">
        <v>39</v>
      </c>
      <c r="I258" s="237" t="s">
        <v>522</v>
      </c>
      <c r="J258" s="233" t="s">
        <v>961</v>
      </c>
      <c r="K258" s="223" cm="1">
        <f t="array" ref="K258">_xlfn.XLOOKUP(D258&amp;E258&amp;H258&amp;I258&amp;J258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8" s="223"/>
      <c r="M258" s="224"/>
      <c r="N258" s="328"/>
      <c r="O258" s="226">
        <v>807428.571428571</v>
      </c>
      <c r="P258" s="277">
        <v>0.13</v>
      </c>
      <c r="Q258" s="228">
        <f t="shared" si="164"/>
        <v>0</v>
      </c>
      <c r="R258" s="227"/>
      <c r="S258" s="228">
        <f t="shared" si="140"/>
        <v>0</v>
      </c>
      <c r="T258" s="277">
        <v>0.01</v>
      </c>
      <c r="U258" s="228">
        <f t="shared" si="171"/>
        <v>0</v>
      </c>
      <c r="V258" s="329"/>
      <c r="W258" s="228">
        <f t="shared" si="177"/>
        <v>0</v>
      </c>
      <c r="X258" s="227">
        <v>0</v>
      </c>
      <c r="Y258" s="228">
        <f t="shared" si="156"/>
        <v>0</v>
      </c>
      <c r="Z258" s="227"/>
      <c r="AA258" s="228">
        <f t="shared" si="142"/>
        <v>0</v>
      </c>
      <c r="AB258" s="277">
        <v>0.02</v>
      </c>
      <c r="AC258" s="228">
        <f t="shared" si="173"/>
        <v>0</v>
      </c>
      <c r="AD258" s="227"/>
      <c r="AE258" s="228">
        <f t="shared" si="143"/>
        <v>0</v>
      </c>
      <c r="AF258" s="277">
        <v>0.01</v>
      </c>
      <c r="AG258" s="228">
        <f t="shared" si="172"/>
        <v>0</v>
      </c>
      <c r="AH258" s="227"/>
      <c r="AI258" s="228">
        <f t="shared" si="144"/>
        <v>0</v>
      </c>
      <c r="AJ258" s="277">
        <v>0.01</v>
      </c>
      <c r="AK258" s="228">
        <f t="shared" si="162"/>
        <v>0</v>
      </c>
      <c r="AL258" s="227"/>
      <c r="AM258" s="228">
        <f t="shared" si="145"/>
        <v>0</v>
      </c>
      <c r="AN258" s="227">
        <v>0</v>
      </c>
      <c r="AO258" s="228">
        <f t="shared" si="163"/>
        <v>0</v>
      </c>
      <c r="AP258" s="227"/>
      <c r="AQ258" s="228">
        <f t="shared" si="146"/>
        <v>0</v>
      </c>
      <c r="AR258" s="228"/>
      <c r="AS258" s="228">
        <f t="shared" si="175"/>
        <v>0</v>
      </c>
      <c r="AT258" s="227"/>
      <c r="AU258" s="228">
        <f t="shared" si="147"/>
        <v>0</v>
      </c>
      <c r="AV258" s="240"/>
      <c r="AW258" s="228">
        <f t="shared" si="176"/>
        <v>0</v>
      </c>
      <c r="AX258" s="227"/>
      <c r="AY258" s="228">
        <f t="shared" si="148"/>
        <v>0</v>
      </c>
      <c r="AZ258" s="227">
        <v>0</v>
      </c>
      <c r="BA258" s="228">
        <f t="shared" si="168"/>
        <v>0</v>
      </c>
      <c r="BB258" s="227"/>
      <c r="BC258" s="228">
        <f t="shared" si="149"/>
        <v>0</v>
      </c>
      <c r="BD258" s="235"/>
      <c r="BE258" s="228">
        <f t="shared" si="169"/>
        <v>0</v>
      </c>
      <c r="BF258" s="227"/>
      <c r="BG258" s="228">
        <f t="shared" si="150"/>
        <v>0</v>
      </c>
      <c r="BH258" s="235"/>
      <c r="BI258" s="228">
        <f t="shared" si="166"/>
        <v>0</v>
      </c>
      <c r="BJ258" s="227"/>
      <c r="BK258" s="228">
        <f t="shared" si="151"/>
        <v>0</v>
      </c>
      <c r="BL258" s="228" t="s">
        <v>1457</v>
      </c>
      <c r="BM258" s="220">
        <f t="shared" si="174"/>
        <v>0</v>
      </c>
      <c r="BN258" s="220"/>
      <c r="BO258" s="220">
        <f t="shared" si="152"/>
        <v>0</v>
      </c>
      <c r="BP258" s="220">
        <f t="shared" si="153"/>
        <v>0</v>
      </c>
      <c r="BQ258" s="220">
        <f t="shared" si="154"/>
        <v>0</v>
      </c>
      <c r="BR258" s="220">
        <f t="shared" si="155"/>
        <v>0</v>
      </c>
      <c r="BS258" s="254" t="s">
        <v>39</v>
      </c>
      <c r="BT258" s="229" t="s">
        <v>39</v>
      </c>
      <c r="BU258" s="230"/>
      <c r="BV258" s="230" t="s">
        <v>949</v>
      </c>
      <c r="BW258" s="231"/>
    </row>
    <row r="259" s="209" customFormat="1" ht="24" customHeight="1" spans="1:75">
      <c r="A259" s="219">
        <v>301</v>
      </c>
      <c r="B259" s="220" t="s">
        <v>1021</v>
      </c>
      <c r="C259" s="221" t="s">
        <v>874</v>
      </c>
      <c r="D259" s="221" t="s">
        <v>945</v>
      </c>
      <c r="E259" s="221" t="s">
        <v>946</v>
      </c>
      <c r="F259" s="219" t="s">
        <v>81</v>
      </c>
      <c r="G259" s="222" t="s">
        <v>374</v>
      </c>
      <c r="H259" s="233" t="s">
        <v>39</v>
      </c>
      <c r="I259" s="237" t="s">
        <v>186</v>
      </c>
      <c r="J259" s="233" t="s">
        <v>963</v>
      </c>
      <c r="K259" s="223" cm="1">
        <f t="array" ref="K259">_xlfn.XLOOKUP(D259&amp;E259&amp;H259&amp;I259&amp;J259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9" s="223"/>
      <c r="M259" s="224"/>
      <c r="N259" s="328"/>
      <c r="O259" s="226">
        <v>1014857.14285714</v>
      </c>
      <c r="P259" s="277">
        <v>0.12</v>
      </c>
      <c r="Q259" s="228">
        <f t="shared" si="164"/>
        <v>0</v>
      </c>
      <c r="R259" s="227"/>
      <c r="S259" s="228">
        <f t="shared" ref="S259:S322" si="178">Q259-R259</f>
        <v>0</v>
      </c>
      <c r="T259" s="277">
        <v>0.01</v>
      </c>
      <c r="U259" s="228">
        <f t="shared" si="171"/>
        <v>0</v>
      </c>
      <c r="V259" s="329"/>
      <c r="W259" s="228">
        <f t="shared" si="177"/>
        <v>0</v>
      </c>
      <c r="X259" s="227">
        <v>0</v>
      </c>
      <c r="Y259" s="228">
        <f t="shared" si="156"/>
        <v>0</v>
      </c>
      <c r="Z259" s="227"/>
      <c r="AA259" s="228">
        <f t="shared" ref="AA259:AA322" si="179">Y259-Z259</f>
        <v>0</v>
      </c>
      <c r="AB259" s="277">
        <v>0.02</v>
      </c>
      <c r="AC259" s="228">
        <f t="shared" si="173"/>
        <v>0</v>
      </c>
      <c r="AD259" s="227"/>
      <c r="AE259" s="228">
        <f t="shared" ref="AE259:AE322" si="180">AC259-AD259</f>
        <v>0</v>
      </c>
      <c r="AF259" s="277">
        <v>0.01</v>
      </c>
      <c r="AG259" s="228">
        <f t="shared" si="172"/>
        <v>0</v>
      </c>
      <c r="AH259" s="227"/>
      <c r="AI259" s="228">
        <f t="shared" ref="AI259:AI322" si="181">AG259-AH259</f>
        <v>0</v>
      </c>
      <c r="AJ259" s="277">
        <v>0.01</v>
      </c>
      <c r="AK259" s="228">
        <f t="shared" si="162"/>
        <v>0</v>
      </c>
      <c r="AL259" s="227"/>
      <c r="AM259" s="228">
        <f t="shared" ref="AM259:AM322" si="182">AK259-AL259</f>
        <v>0</v>
      </c>
      <c r="AN259" s="227">
        <v>0</v>
      </c>
      <c r="AO259" s="228">
        <f t="shared" si="163"/>
        <v>0</v>
      </c>
      <c r="AP259" s="227"/>
      <c r="AQ259" s="228">
        <f t="shared" ref="AQ259:AQ322" si="183">AO259-AP259</f>
        <v>0</v>
      </c>
      <c r="AR259" s="228"/>
      <c r="AS259" s="228">
        <f t="shared" si="175"/>
        <v>0</v>
      </c>
      <c r="AT259" s="227"/>
      <c r="AU259" s="228">
        <f t="shared" ref="AU259:AU322" si="184">AS259-AT259</f>
        <v>0</v>
      </c>
      <c r="AV259" s="240"/>
      <c r="AW259" s="228">
        <f t="shared" si="176"/>
        <v>0</v>
      </c>
      <c r="AX259" s="227"/>
      <c r="AY259" s="228">
        <f t="shared" ref="AY259:AY322" si="185">AW259-AX259</f>
        <v>0</v>
      </c>
      <c r="AZ259" s="227">
        <v>0</v>
      </c>
      <c r="BA259" s="228">
        <f t="shared" si="168"/>
        <v>0</v>
      </c>
      <c r="BB259" s="227"/>
      <c r="BC259" s="228">
        <f t="shared" ref="BC259:BC322" si="186">BA259-BB259</f>
        <v>0</v>
      </c>
      <c r="BD259" s="235"/>
      <c r="BE259" s="228">
        <f t="shared" si="169"/>
        <v>0</v>
      </c>
      <c r="BF259" s="227"/>
      <c r="BG259" s="228">
        <f t="shared" ref="BG259:BG322" si="187">BE259-BF259</f>
        <v>0</v>
      </c>
      <c r="BH259" s="235"/>
      <c r="BI259" s="228">
        <f t="shared" si="166"/>
        <v>0</v>
      </c>
      <c r="BJ259" s="227"/>
      <c r="BK259" s="228">
        <f t="shared" ref="BK259:BK322" si="188">BI259-BJ259</f>
        <v>0</v>
      </c>
      <c r="BL259" s="228" t="s">
        <v>1457</v>
      </c>
      <c r="BM259" s="220">
        <f t="shared" si="174"/>
        <v>0</v>
      </c>
      <c r="BN259" s="220"/>
      <c r="BO259" s="220">
        <f t="shared" ref="BO259:BO322" si="189">BM259-BN259</f>
        <v>0</v>
      </c>
      <c r="BP259" s="220">
        <f t="shared" ref="BP259:BP322" si="190">N259+Q259+U259+Y259+AC259+AG259+AK259+AO259+AS259+AW259+BA259+BE259+BI259+BM259</f>
        <v>0</v>
      </c>
      <c r="BQ259" s="220">
        <f t="shared" ref="BQ259:BQ322" si="191">N259+R259+V259+Z259+AD259+AH259+AL259+AP259+AT259+AX259+BB259+BF259+BJ259+BN259</f>
        <v>0</v>
      </c>
      <c r="BR259" s="220">
        <f t="shared" ref="BR259:BR322" si="192">BP259-BQ259</f>
        <v>0</v>
      </c>
      <c r="BS259" s="254" t="s">
        <v>39</v>
      </c>
      <c r="BT259" s="229" t="s">
        <v>39</v>
      </c>
      <c r="BU259" s="230"/>
      <c r="BV259" s="230" t="s">
        <v>949</v>
      </c>
      <c r="BW259" s="231"/>
    </row>
    <row r="260" s="209" customFormat="1" ht="24" customHeight="1" spans="1:75">
      <c r="A260" s="219">
        <v>302</v>
      </c>
      <c r="B260" s="220" t="s">
        <v>1024</v>
      </c>
      <c r="C260" s="221" t="s">
        <v>874</v>
      </c>
      <c r="D260" s="221" t="s">
        <v>945</v>
      </c>
      <c r="E260" s="221" t="s">
        <v>946</v>
      </c>
      <c r="F260" s="219" t="s">
        <v>81</v>
      </c>
      <c r="G260" s="222" t="s">
        <v>374</v>
      </c>
      <c r="H260" s="233" t="s">
        <v>39</v>
      </c>
      <c r="I260" s="237" t="s">
        <v>965</v>
      </c>
      <c r="J260" s="233" t="s">
        <v>966</v>
      </c>
      <c r="K260" s="223" cm="1">
        <f t="array" ref="K260">_xlfn.XLOOKUP(D260&amp;E260&amp;H260&amp;I260&amp;J260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0" s="223"/>
      <c r="M260" s="224"/>
      <c r="N260" s="328"/>
      <c r="O260" s="226">
        <v>750857.142857143</v>
      </c>
      <c r="P260" s="277">
        <v>0.15</v>
      </c>
      <c r="Q260" s="228">
        <f t="shared" si="164"/>
        <v>0</v>
      </c>
      <c r="R260" s="227"/>
      <c r="S260" s="228">
        <f t="shared" si="178"/>
        <v>0</v>
      </c>
      <c r="T260" s="277">
        <v>0.01</v>
      </c>
      <c r="U260" s="228">
        <f t="shared" si="171"/>
        <v>0</v>
      </c>
      <c r="V260" s="329"/>
      <c r="W260" s="228">
        <f t="shared" si="177"/>
        <v>0</v>
      </c>
      <c r="X260" s="227">
        <v>0</v>
      </c>
      <c r="Y260" s="228">
        <f t="shared" si="156"/>
        <v>0</v>
      </c>
      <c r="Z260" s="227"/>
      <c r="AA260" s="228">
        <f t="shared" si="179"/>
        <v>0</v>
      </c>
      <c r="AB260" s="277">
        <v>0.02</v>
      </c>
      <c r="AC260" s="228">
        <f t="shared" si="173"/>
        <v>0</v>
      </c>
      <c r="AD260" s="227"/>
      <c r="AE260" s="228">
        <f t="shared" si="180"/>
        <v>0</v>
      </c>
      <c r="AF260" s="277">
        <v>0.01</v>
      </c>
      <c r="AG260" s="228">
        <f t="shared" si="172"/>
        <v>0</v>
      </c>
      <c r="AH260" s="227"/>
      <c r="AI260" s="228">
        <f t="shared" si="181"/>
        <v>0</v>
      </c>
      <c r="AJ260" s="277">
        <v>0.01</v>
      </c>
      <c r="AK260" s="228">
        <f t="shared" si="162"/>
        <v>0</v>
      </c>
      <c r="AL260" s="227"/>
      <c r="AM260" s="228">
        <f t="shared" si="182"/>
        <v>0</v>
      </c>
      <c r="AN260" s="227">
        <v>0</v>
      </c>
      <c r="AO260" s="228">
        <f t="shared" si="163"/>
        <v>0</v>
      </c>
      <c r="AP260" s="227"/>
      <c r="AQ260" s="228">
        <f t="shared" si="183"/>
        <v>0</v>
      </c>
      <c r="AR260" s="228"/>
      <c r="AS260" s="228">
        <f t="shared" si="175"/>
        <v>0</v>
      </c>
      <c r="AT260" s="227"/>
      <c r="AU260" s="228">
        <f t="shared" si="184"/>
        <v>0</v>
      </c>
      <c r="AV260" s="240"/>
      <c r="AW260" s="228">
        <f t="shared" si="176"/>
        <v>0</v>
      </c>
      <c r="AX260" s="227"/>
      <c r="AY260" s="228">
        <f t="shared" si="185"/>
        <v>0</v>
      </c>
      <c r="AZ260" s="227">
        <v>0</v>
      </c>
      <c r="BA260" s="228">
        <f t="shared" si="168"/>
        <v>0</v>
      </c>
      <c r="BB260" s="227"/>
      <c r="BC260" s="228">
        <f t="shared" si="186"/>
        <v>0</v>
      </c>
      <c r="BD260" s="235"/>
      <c r="BE260" s="228">
        <f t="shared" si="169"/>
        <v>0</v>
      </c>
      <c r="BF260" s="227"/>
      <c r="BG260" s="228">
        <f t="shared" si="187"/>
        <v>0</v>
      </c>
      <c r="BH260" s="235"/>
      <c r="BI260" s="228">
        <f t="shared" si="166"/>
        <v>0</v>
      </c>
      <c r="BJ260" s="227"/>
      <c r="BK260" s="228">
        <f t="shared" si="188"/>
        <v>0</v>
      </c>
      <c r="BL260" s="228" t="s">
        <v>1457</v>
      </c>
      <c r="BM260" s="220">
        <f t="shared" si="174"/>
        <v>0</v>
      </c>
      <c r="BN260" s="220"/>
      <c r="BO260" s="220">
        <f t="shared" si="189"/>
        <v>0</v>
      </c>
      <c r="BP260" s="220">
        <f t="shared" si="190"/>
        <v>0</v>
      </c>
      <c r="BQ260" s="220">
        <f t="shared" si="191"/>
        <v>0</v>
      </c>
      <c r="BR260" s="220">
        <f t="shared" si="192"/>
        <v>0</v>
      </c>
      <c r="BS260" s="254" t="s">
        <v>39</v>
      </c>
      <c r="BT260" s="229" t="s">
        <v>39</v>
      </c>
      <c r="BU260" s="230"/>
      <c r="BV260" s="230" t="s">
        <v>949</v>
      </c>
      <c r="BW260" s="231"/>
    </row>
    <row r="261" s="209" customFormat="1" ht="24" customHeight="1" spans="1:75">
      <c r="A261" s="219">
        <v>303</v>
      </c>
      <c r="B261" s="220" t="s">
        <v>1028</v>
      </c>
      <c r="C261" s="221" t="s">
        <v>874</v>
      </c>
      <c r="D261" s="221" t="s">
        <v>945</v>
      </c>
      <c r="E261" s="221" t="s">
        <v>946</v>
      </c>
      <c r="F261" s="219" t="s">
        <v>81</v>
      </c>
      <c r="G261" s="222" t="s">
        <v>374</v>
      </c>
      <c r="H261" s="233" t="s">
        <v>39</v>
      </c>
      <c r="I261" s="237" t="s">
        <v>485</v>
      </c>
      <c r="J261" s="233" t="s">
        <v>968</v>
      </c>
      <c r="K261" s="223" cm="1">
        <f t="array" ref="K261">_xlfn.XLOOKUP(D261&amp;E261&amp;H261&amp;I261&amp;J261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1" s="223"/>
      <c r="M261" s="224"/>
      <c r="N261" s="328"/>
      <c r="O261" s="226">
        <v>992571.428571428</v>
      </c>
      <c r="P261" s="277">
        <v>0.11</v>
      </c>
      <c r="Q261" s="228">
        <f t="shared" si="164"/>
        <v>0</v>
      </c>
      <c r="R261" s="227"/>
      <c r="S261" s="228">
        <f t="shared" si="178"/>
        <v>0</v>
      </c>
      <c r="T261" s="277">
        <v>0.01</v>
      </c>
      <c r="U261" s="228">
        <f t="shared" si="171"/>
        <v>0</v>
      </c>
      <c r="V261" s="329"/>
      <c r="W261" s="228">
        <f t="shared" si="177"/>
        <v>0</v>
      </c>
      <c r="X261" s="227">
        <v>0</v>
      </c>
      <c r="Y261" s="228">
        <f t="shared" si="156"/>
        <v>0</v>
      </c>
      <c r="Z261" s="227"/>
      <c r="AA261" s="228">
        <f t="shared" si="179"/>
        <v>0</v>
      </c>
      <c r="AB261" s="277">
        <v>0.02</v>
      </c>
      <c r="AC261" s="228">
        <f t="shared" si="173"/>
        <v>0</v>
      </c>
      <c r="AD261" s="227"/>
      <c r="AE261" s="228">
        <f t="shared" si="180"/>
        <v>0</v>
      </c>
      <c r="AF261" s="277">
        <v>0.01</v>
      </c>
      <c r="AG261" s="228">
        <f t="shared" si="172"/>
        <v>0</v>
      </c>
      <c r="AH261" s="227"/>
      <c r="AI261" s="228">
        <f t="shared" si="181"/>
        <v>0</v>
      </c>
      <c r="AJ261" s="277">
        <v>0.01</v>
      </c>
      <c r="AK261" s="228">
        <f t="shared" si="162"/>
        <v>0</v>
      </c>
      <c r="AL261" s="227"/>
      <c r="AM261" s="228">
        <f t="shared" si="182"/>
        <v>0</v>
      </c>
      <c r="AN261" s="227">
        <v>0</v>
      </c>
      <c r="AO261" s="228">
        <f t="shared" si="163"/>
        <v>0</v>
      </c>
      <c r="AP261" s="227"/>
      <c r="AQ261" s="228">
        <f t="shared" si="183"/>
        <v>0</v>
      </c>
      <c r="AR261" s="228"/>
      <c r="AS261" s="228">
        <f t="shared" si="175"/>
        <v>0</v>
      </c>
      <c r="AT261" s="227"/>
      <c r="AU261" s="228">
        <f t="shared" si="184"/>
        <v>0</v>
      </c>
      <c r="AV261" s="240"/>
      <c r="AW261" s="228">
        <f t="shared" si="176"/>
        <v>0</v>
      </c>
      <c r="AX261" s="227"/>
      <c r="AY261" s="228">
        <f t="shared" si="185"/>
        <v>0</v>
      </c>
      <c r="AZ261" s="227">
        <v>0</v>
      </c>
      <c r="BA261" s="228">
        <f t="shared" si="168"/>
        <v>0</v>
      </c>
      <c r="BB261" s="227"/>
      <c r="BC261" s="228">
        <f t="shared" si="186"/>
        <v>0</v>
      </c>
      <c r="BD261" s="235"/>
      <c r="BE261" s="228">
        <f t="shared" si="169"/>
        <v>0</v>
      </c>
      <c r="BF261" s="227"/>
      <c r="BG261" s="228">
        <f t="shared" si="187"/>
        <v>0</v>
      </c>
      <c r="BH261" s="235"/>
      <c r="BI261" s="228">
        <f t="shared" si="166"/>
        <v>0</v>
      </c>
      <c r="BJ261" s="227"/>
      <c r="BK261" s="228">
        <f t="shared" si="188"/>
        <v>0</v>
      </c>
      <c r="BL261" s="228" t="s">
        <v>1457</v>
      </c>
      <c r="BM261" s="220">
        <f t="shared" si="174"/>
        <v>0</v>
      </c>
      <c r="BN261" s="220"/>
      <c r="BO261" s="220">
        <f t="shared" si="189"/>
        <v>0</v>
      </c>
      <c r="BP261" s="220">
        <f t="shared" si="190"/>
        <v>0</v>
      </c>
      <c r="BQ261" s="220">
        <f t="shared" si="191"/>
        <v>0</v>
      </c>
      <c r="BR261" s="220">
        <f t="shared" si="192"/>
        <v>0</v>
      </c>
      <c r="BS261" s="254" t="s">
        <v>39</v>
      </c>
      <c r="BT261" s="229" t="s">
        <v>39</v>
      </c>
      <c r="BU261" s="230"/>
      <c r="BV261" s="230" t="s">
        <v>949</v>
      </c>
      <c r="BW261" s="231"/>
    </row>
    <row r="262" s="209" customFormat="1" ht="24" customHeight="1" spans="1:75">
      <c r="A262" s="219">
        <v>304</v>
      </c>
      <c r="B262" s="220" t="s">
        <v>1033</v>
      </c>
      <c r="C262" s="221" t="s">
        <v>874</v>
      </c>
      <c r="D262" s="221" t="s">
        <v>945</v>
      </c>
      <c r="E262" s="221" t="s">
        <v>946</v>
      </c>
      <c r="F262" s="219" t="s">
        <v>81</v>
      </c>
      <c r="G262" s="222" t="s">
        <v>374</v>
      </c>
      <c r="H262" s="233" t="s">
        <v>39</v>
      </c>
      <c r="I262" s="237" t="s">
        <v>240</v>
      </c>
      <c r="J262" s="233" t="s">
        <v>970</v>
      </c>
      <c r="K262" s="223" cm="1">
        <f t="array" ref="K262">_xlfn.XLOOKUP(D262&amp;E262&amp;H262&amp;I262&amp;J262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2" s="223"/>
      <c r="M262" s="224"/>
      <c r="N262" s="328"/>
      <c r="O262" s="226">
        <v>480000</v>
      </c>
      <c r="P262" s="277">
        <v>0.06</v>
      </c>
      <c r="Q262" s="228">
        <f t="shared" si="164"/>
        <v>0</v>
      </c>
      <c r="R262" s="227"/>
      <c r="S262" s="228">
        <f t="shared" si="178"/>
        <v>0</v>
      </c>
      <c r="T262" s="277">
        <v>0.01</v>
      </c>
      <c r="U262" s="228">
        <f t="shared" si="171"/>
        <v>0</v>
      </c>
      <c r="V262" s="329"/>
      <c r="W262" s="228">
        <f t="shared" si="177"/>
        <v>0</v>
      </c>
      <c r="X262" s="227">
        <v>0</v>
      </c>
      <c r="Y262" s="228">
        <f t="shared" ref="Y262:Y325" si="193">K262*X262</f>
        <v>0</v>
      </c>
      <c r="Z262" s="227"/>
      <c r="AA262" s="228">
        <f t="shared" si="179"/>
        <v>0</v>
      </c>
      <c r="AB262" s="277">
        <v>0.02</v>
      </c>
      <c r="AC262" s="228">
        <f t="shared" si="173"/>
        <v>0</v>
      </c>
      <c r="AD262" s="227"/>
      <c r="AE262" s="228">
        <f t="shared" si="180"/>
        <v>0</v>
      </c>
      <c r="AF262" s="277">
        <v>0.01</v>
      </c>
      <c r="AG262" s="228">
        <f t="shared" si="172"/>
        <v>0</v>
      </c>
      <c r="AH262" s="227"/>
      <c r="AI262" s="228">
        <f t="shared" si="181"/>
        <v>0</v>
      </c>
      <c r="AJ262" s="277">
        <v>0.01</v>
      </c>
      <c r="AK262" s="228">
        <f t="shared" si="162"/>
        <v>0</v>
      </c>
      <c r="AL262" s="227"/>
      <c r="AM262" s="228">
        <f t="shared" si="182"/>
        <v>0</v>
      </c>
      <c r="AN262" s="227">
        <v>0</v>
      </c>
      <c r="AO262" s="228">
        <f t="shared" si="163"/>
        <v>0</v>
      </c>
      <c r="AP262" s="227"/>
      <c r="AQ262" s="228">
        <f t="shared" si="183"/>
        <v>0</v>
      </c>
      <c r="AR262" s="247">
        <v>0.04</v>
      </c>
      <c r="AS262" s="228">
        <f t="shared" si="175"/>
        <v>0</v>
      </c>
      <c r="AT262" s="227"/>
      <c r="AU262" s="228">
        <f t="shared" si="184"/>
        <v>0</v>
      </c>
      <c r="AV262" s="277">
        <v>0.01</v>
      </c>
      <c r="AW262" s="228">
        <f t="shared" si="176"/>
        <v>0</v>
      </c>
      <c r="AX262" s="227"/>
      <c r="AY262" s="228">
        <f t="shared" si="185"/>
        <v>0</v>
      </c>
      <c r="AZ262" s="227">
        <v>0</v>
      </c>
      <c r="BA262" s="228">
        <f t="shared" si="168"/>
        <v>0</v>
      </c>
      <c r="BB262" s="227"/>
      <c r="BC262" s="228">
        <f t="shared" si="186"/>
        <v>0</v>
      </c>
      <c r="BD262" s="235"/>
      <c r="BE262" s="228">
        <f t="shared" si="169"/>
        <v>0</v>
      </c>
      <c r="BF262" s="227"/>
      <c r="BG262" s="228">
        <f t="shared" si="187"/>
        <v>0</v>
      </c>
      <c r="BH262" s="235"/>
      <c r="BI262" s="228">
        <f t="shared" si="166"/>
        <v>0</v>
      </c>
      <c r="BJ262" s="227"/>
      <c r="BK262" s="228">
        <f t="shared" si="188"/>
        <v>0</v>
      </c>
      <c r="BL262" s="228" t="s">
        <v>1457</v>
      </c>
      <c r="BM262" s="220">
        <f t="shared" si="174"/>
        <v>0</v>
      </c>
      <c r="BN262" s="220"/>
      <c r="BO262" s="220">
        <f t="shared" si="189"/>
        <v>0</v>
      </c>
      <c r="BP262" s="220">
        <f t="shared" si="190"/>
        <v>0</v>
      </c>
      <c r="BQ262" s="220">
        <f t="shared" si="191"/>
        <v>0</v>
      </c>
      <c r="BR262" s="220">
        <f t="shared" si="192"/>
        <v>0</v>
      </c>
      <c r="BS262" s="254" t="s">
        <v>39</v>
      </c>
      <c r="BT262" s="229" t="s">
        <v>39</v>
      </c>
      <c r="BU262" s="230"/>
      <c r="BV262" s="230" t="s">
        <v>949</v>
      </c>
      <c r="BW262" s="231"/>
    </row>
    <row r="263" s="209" customFormat="1" ht="24" customHeight="1" spans="1:75">
      <c r="A263" s="219">
        <v>305</v>
      </c>
      <c r="B263" s="220" t="s">
        <v>1035</v>
      </c>
      <c r="C263" s="221" t="s">
        <v>874</v>
      </c>
      <c r="D263" s="221" t="s">
        <v>945</v>
      </c>
      <c r="E263" s="221" t="s">
        <v>946</v>
      </c>
      <c r="F263" s="219" t="s">
        <v>81</v>
      </c>
      <c r="G263" s="222" t="s">
        <v>374</v>
      </c>
      <c r="H263" s="233" t="s">
        <v>39</v>
      </c>
      <c r="I263" s="237" t="s">
        <v>818</v>
      </c>
      <c r="J263" s="233" t="s">
        <v>972</v>
      </c>
      <c r="K263" s="223" cm="1">
        <f t="array" ref="K263">_xlfn.XLOOKUP(D263&amp;E263&amp;H263&amp;I263&amp;J263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3" s="223"/>
      <c r="M263" s="224"/>
      <c r="N263" s="328"/>
      <c r="O263" s="226">
        <v>510000</v>
      </c>
      <c r="P263" s="277">
        <v>0.14</v>
      </c>
      <c r="Q263" s="228">
        <f t="shared" si="164"/>
        <v>0</v>
      </c>
      <c r="R263" s="227"/>
      <c r="S263" s="228">
        <f t="shared" si="178"/>
        <v>0</v>
      </c>
      <c r="T263" s="277">
        <v>0.01</v>
      </c>
      <c r="U263" s="228">
        <f t="shared" si="171"/>
        <v>0</v>
      </c>
      <c r="V263" s="329"/>
      <c r="W263" s="228">
        <f t="shared" si="177"/>
        <v>0</v>
      </c>
      <c r="X263" s="227">
        <v>0</v>
      </c>
      <c r="Y263" s="228">
        <f t="shared" si="193"/>
        <v>0</v>
      </c>
      <c r="Z263" s="227"/>
      <c r="AA263" s="228">
        <f t="shared" si="179"/>
        <v>0</v>
      </c>
      <c r="AB263" s="277">
        <v>0.02</v>
      </c>
      <c r="AC263" s="228">
        <f t="shared" si="173"/>
        <v>0</v>
      </c>
      <c r="AD263" s="227"/>
      <c r="AE263" s="228">
        <f t="shared" si="180"/>
        <v>0</v>
      </c>
      <c r="AF263" s="277">
        <v>0.01</v>
      </c>
      <c r="AG263" s="228">
        <f t="shared" si="172"/>
        <v>0</v>
      </c>
      <c r="AH263" s="227"/>
      <c r="AI263" s="228">
        <f t="shared" si="181"/>
        <v>0</v>
      </c>
      <c r="AJ263" s="277">
        <v>0.01</v>
      </c>
      <c r="AK263" s="228">
        <f t="shared" si="162"/>
        <v>0</v>
      </c>
      <c r="AL263" s="227"/>
      <c r="AM263" s="228">
        <f t="shared" si="182"/>
        <v>0</v>
      </c>
      <c r="AN263" s="227">
        <v>0</v>
      </c>
      <c r="AO263" s="228">
        <f t="shared" si="163"/>
        <v>0</v>
      </c>
      <c r="AP263" s="227"/>
      <c r="AQ263" s="228">
        <f t="shared" si="183"/>
        <v>0</v>
      </c>
      <c r="AR263" s="228"/>
      <c r="AS263" s="228">
        <f t="shared" si="175"/>
        <v>0</v>
      </c>
      <c r="AT263" s="227"/>
      <c r="AU263" s="228">
        <f t="shared" si="184"/>
        <v>0</v>
      </c>
      <c r="AV263" s="240"/>
      <c r="AW263" s="228">
        <f t="shared" si="176"/>
        <v>0</v>
      </c>
      <c r="AX263" s="227"/>
      <c r="AY263" s="228">
        <f t="shared" si="185"/>
        <v>0</v>
      </c>
      <c r="AZ263" s="227">
        <v>0</v>
      </c>
      <c r="BA263" s="228">
        <f t="shared" si="168"/>
        <v>0</v>
      </c>
      <c r="BB263" s="227"/>
      <c r="BC263" s="228">
        <f t="shared" si="186"/>
        <v>0</v>
      </c>
      <c r="BD263" s="235"/>
      <c r="BE263" s="228">
        <f t="shared" si="169"/>
        <v>0</v>
      </c>
      <c r="BF263" s="227"/>
      <c r="BG263" s="228">
        <f t="shared" si="187"/>
        <v>0</v>
      </c>
      <c r="BH263" s="235"/>
      <c r="BI263" s="228">
        <f t="shared" si="166"/>
        <v>0</v>
      </c>
      <c r="BJ263" s="227"/>
      <c r="BK263" s="228">
        <f t="shared" si="188"/>
        <v>0</v>
      </c>
      <c r="BL263" s="228" t="s">
        <v>1457</v>
      </c>
      <c r="BM263" s="220">
        <f t="shared" si="174"/>
        <v>0</v>
      </c>
      <c r="BN263" s="220"/>
      <c r="BO263" s="220">
        <f t="shared" si="189"/>
        <v>0</v>
      </c>
      <c r="BP263" s="220">
        <f t="shared" si="190"/>
        <v>0</v>
      </c>
      <c r="BQ263" s="220">
        <f t="shared" si="191"/>
        <v>0</v>
      </c>
      <c r="BR263" s="220">
        <f t="shared" si="192"/>
        <v>0</v>
      </c>
      <c r="BS263" s="254" t="s">
        <v>39</v>
      </c>
      <c r="BT263" s="229" t="s">
        <v>39</v>
      </c>
      <c r="BU263" s="230"/>
      <c r="BV263" s="230" t="s">
        <v>949</v>
      </c>
      <c r="BW263" s="231"/>
    </row>
    <row r="264" s="209" customFormat="1" ht="24" customHeight="1" spans="1:75">
      <c r="A264" s="219">
        <v>306</v>
      </c>
      <c r="B264" s="220" t="s">
        <v>1038</v>
      </c>
      <c r="C264" s="221" t="s">
        <v>874</v>
      </c>
      <c r="D264" s="221" t="s">
        <v>945</v>
      </c>
      <c r="E264" s="221" t="s">
        <v>946</v>
      </c>
      <c r="F264" s="219" t="s">
        <v>81</v>
      </c>
      <c r="G264" s="222" t="s">
        <v>374</v>
      </c>
      <c r="H264" s="233" t="s">
        <v>39</v>
      </c>
      <c r="I264" s="237" t="s">
        <v>888</v>
      </c>
      <c r="J264" s="233" t="s">
        <v>974</v>
      </c>
      <c r="K264" s="223" cm="1">
        <f t="array" ref="K264">_xlfn.XLOOKUP(D264&amp;E264&amp;H264&amp;I264&amp;J264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4" s="223"/>
      <c r="M264" s="224"/>
      <c r="N264" s="328"/>
      <c r="O264" s="226">
        <v>396000</v>
      </c>
      <c r="P264" s="277">
        <v>0.15</v>
      </c>
      <c r="Q264" s="228">
        <f t="shared" si="164"/>
        <v>0</v>
      </c>
      <c r="R264" s="227"/>
      <c r="S264" s="228">
        <f t="shared" si="178"/>
        <v>0</v>
      </c>
      <c r="T264" s="277">
        <v>0.01</v>
      </c>
      <c r="U264" s="228">
        <f t="shared" si="171"/>
        <v>0</v>
      </c>
      <c r="V264" s="329"/>
      <c r="W264" s="228">
        <f t="shared" si="177"/>
        <v>0</v>
      </c>
      <c r="X264" s="227">
        <v>0</v>
      </c>
      <c r="Y264" s="228">
        <f t="shared" si="193"/>
        <v>0</v>
      </c>
      <c r="Z264" s="227"/>
      <c r="AA264" s="228">
        <f t="shared" si="179"/>
        <v>0</v>
      </c>
      <c r="AB264" s="277">
        <v>0.02</v>
      </c>
      <c r="AC264" s="228">
        <f t="shared" si="173"/>
        <v>0</v>
      </c>
      <c r="AD264" s="227"/>
      <c r="AE264" s="228">
        <f t="shared" si="180"/>
        <v>0</v>
      </c>
      <c r="AF264" s="277">
        <v>0.01</v>
      </c>
      <c r="AG264" s="228">
        <f t="shared" si="172"/>
        <v>0</v>
      </c>
      <c r="AH264" s="227"/>
      <c r="AI264" s="228">
        <f t="shared" si="181"/>
        <v>0</v>
      </c>
      <c r="AJ264" s="277">
        <v>0.01</v>
      </c>
      <c r="AK264" s="228">
        <f t="shared" si="162"/>
        <v>0</v>
      </c>
      <c r="AL264" s="227"/>
      <c r="AM264" s="228">
        <f t="shared" si="182"/>
        <v>0</v>
      </c>
      <c r="AN264" s="227">
        <v>0</v>
      </c>
      <c r="AO264" s="228">
        <f t="shared" si="163"/>
        <v>0</v>
      </c>
      <c r="AP264" s="227"/>
      <c r="AQ264" s="228">
        <f t="shared" si="183"/>
        <v>0</v>
      </c>
      <c r="AR264" s="228"/>
      <c r="AS264" s="228">
        <f t="shared" si="175"/>
        <v>0</v>
      </c>
      <c r="AT264" s="227"/>
      <c r="AU264" s="228">
        <f t="shared" si="184"/>
        <v>0</v>
      </c>
      <c r="AV264" s="240"/>
      <c r="AW264" s="228">
        <f t="shared" si="176"/>
        <v>0</v>
      </c>
      <c r="AX264" s="227"/>
      <c r="AY264" s="228">
        <f t="shared" si="185"/>
        <v>0</v>
      </c>
      <c r="AZ264" s="227">
        <v>0</v>
      </c>
      <c r="BA264" s="228">
        <f t="shared" si="168"/>
        <v>0</v>
      </c>
      <c r="BB264" s="227"/>
      <c r="BC264" s="228">
        <f t="shared" si="186"/>
        <v>0</v>
      </c>
      <c r="BD264" s="235"/>
      <c r="BE264" s="228">
        <f t="shared" si="169"/>
        <v>0</v>
      </c>
      <c r="BF264" s="227"/>
      <c r="BG264" s="228">
        <f t="shared" si="187"/>
        <v>0</v>
      </c>
      <c r="BH264" s="235"/>
      <c r="BI264" s="228">
        <f t="shared" si="166"/>
        <v>0</v>
      </c>
      <c r="BJ264" s="227"/>
      <c r="BK264" s="228">
        <f t="shared" si="188"/>
        <v>0</v>
      </c>
      <c r="BL264" s="228" t="s">
        <v>1457</v>
      </c>
      <c r="BM264" s="220">
        <f t="shared" si="174"/>
        <v>0</v>
      </c>
      <c r="BN264" s="220"/>
      <c r="BO264" s="220">
        <f t="shared" si="189"/>
        <v>0</v>
      </c>
      <c r="BP264" s="220">
        <f t="shared" si="190"/>
        <v>0</v>
      </c>
      <c r="BQ264" s="220">
        <f t="shared" si="191"/>
        <v>0</v>
      </c>
      <c r="BR264" s="220">
        <f t="shared" si="192"/>
        <v>0</v>
      </c>
      <c r="BS264" s="254" t="s">
        <v>39</v>
      </c>
      <c r="BT264" s="229" t="s">
        <v>39</v>
      </c>
      <c r="BU264" s="230"/>
      <c r="BV264" s="230" t="s">
        <v>949</v>
      </c>
      <c r="BW264" s="231"/>
    </row>
    <row r="265" s="209" customFormat="1" ht="24" customHeight="1" spans="1:75">
      <c r="A265" s="219">
        <v>307</v>
      </c>
      <c r="B265" s="220" t="s">
        <v>1041</v>
      </c>
      <c r="C265" s="221" t="s">
        <v>874</v>
      </c>
      <c r="D265" s="221" t="s">
        <v>945</v>
      </c>
      <c r="E265" s="221" t="s">
        <v>946</v>
      </c>
      <c r="F265" s="219" t="s">
        <v>81</v>
      </c>
      <c r="G265" s="222" t="s">
        <v>374</v>
      </c>
      <c r="H265" s="233" t="s">
        <v>39</v>
      </c>
      <c r="I265" s="237" t="s">
        <v>709</v>
      </c>
      <c r="J265" s="233" t="s">
        <v>976</v>
      </c>
      <c r="K265" s="223" cm="1">
        <f t="array" ref="K265">_xlfn.XLOOKUP(D265&amp;E265&amp;H265&amp;I265&amp;J265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5" s="223"/>
      <c r="M265" s="224"/>
      <c r="N265" s="328"/>
      <c r="O265" s="226">
        <v>466285.714285714</v>
      </c>
      <c r="P265" s="277">
        <v>0.15</v>
      </c>
      <c r="Q265" s="228">
        <f t="shared" si="164"/>
        <v>0</v>
      </c>
      <c r="R265" s="227"/>
      <c r="S265" s="228">
        <f t="shared" si="178"/>
        <v>0</v>
      </c>
      <c r="T265" s="277">
        <v>0.01</v>
      </c>
      <c r="U265" s="228">
        <f t="shared" si="171"/>
        <v>0</v>
      </c>
      <c r="V265" s="329"/>
      <c r="W265" s="228">
        <f t="shared" si="177"/>
        <v>0</v>
      </c>
      <c r="X265" s="227">
        <v>0</v>
      </c>
      <c r="Y265" s="228">
        <f t="shared" si="193"/>
        <v>0</v>
      </c>
      <c r="Z265" s="227"/>
      <c r="AA265" s="228">
        <f t="shared" si="179"/>
        <v>0</v>
      </c>
      <c r="AB265" s="277">
        <v>0.02</v>
      </c>
      <c r="AC265" s="228">
        <f t="shared" si="173"/>
        <v>0</v>
      </c>
      <c r="AD265" s="227"/>
      <c r="AE265" s="228">
        <f t="shared" si="180"/>
        <v>0</v>
      </c>
      <c r="AF265" s="277">
        <v>0.01</v>
      </c>
      <c r="AG265" s="228">
        <f t="shared" si="172"/>
        <v>0</v>
      </c>
      <c r="AH265" s="227"/>
      <c r="AI265" s="228">
        <f t="shared" si="181"/>
        <v>0</v>
      </c>
      <c r="AJ265" s="277">
        <v>0.01</v>
      </c>
      <c r="AK265" s="228">
        <f t="shared" si="162"/>
        <v>0</v>
      </c>
      <c r="AL265" s="227"/>
      <c r="AM265" s="228">
        <f t="shared" si="182"/>
        <v>0</v>
      </c>
      <c r="AN265" s="227">
        <v>0</v>
      </c>
      <c r="AO265" s="228">
        <f t="shared" si="163"/>
        <v>0</v>
      </c>
      <c r="AP265" s="227"/>
      <c r="AQ265" s="228">
        <f t="shared" si="183"/>
        <v>0</v>
      </c>
      <c r="AR265" s="228"/>
      <c r="AS265" s="228">
        <f t="shared" si="175"/>
        <v>0</v>
      </c>
      <c r="AT265" s="227"/>
      <c r="AU265" s="228">
        <f t="shared" si="184"/>
        <v>0</v>
      </c>
      <c r="AV265" s="240"/>
      <c r="AW265" s="228">
        <f t="shared" si="176"/>
        <v>0</v>
      </c>
      <c r="AX265" s="227"/>
      <c r="AY265" s="228">
        <f t="shared" si="185"/>
        <v>0</v>
      </c>
      <c r="AZ265" s="227">
        <v>0</v>
      </c>
      <c r="BA265" s="228">
        <f t="shared" si="168"/>
        <v>0</v>
      </c>
      <c r="BB265" s="227"/>
      <c r="BC265" s="228">
        <f t="shared" si="186"/>
        <v>0</v>
      </c>
      <c r="BD265" s="235"/>
      <c r="BE265" s="228">
        <f t="shared" si="169"/>
        <v>0</v>
      </c>
      <c r="BF265" s="227"/>
      <c r="BG265" s="228">
        <f t="shared" si="187"/>
        <v>0</v>
      </c>
      <c r="BH265" s="235"/>
      <c r="BI265" s="228">
        <f t="shared" si="166"/>
        <v>0</v>
      </c>
      <c r="BJ265" s="227"/>
      <c r="BK265" s="228">
        <f t="shared" si="188"/>
        <v>0</v>
      </c>
      <c r="BL265" s="228" t="s">
        <v>1457</v>
      </c>
      <c r="BM265" s="220">
        <f t="shared" si="174"/>
        <v>0</v>
      </c>
      <c r="BN265" s="220"/>
      <c r="BO265" s="220">
        <f t="shared" si="189"/>
        <v>0</v>
      </c>
      <c r="BP265" s="220">
        <f t="shared" si="190"/>
        <v>0</v>
      </c>
      <c r="BQ265" s="220">
        <f t="shared" si="191"/>
        <v>0</v>
      </c>
      <c r="BR265" s="220">
        <f t="shared" si="192"/>
        <v>0</v>
      </c>
      <c r="BS265" s="254" t="s">
        <v>39</v>
      </c>
      <c r="BT265" s="229" t="s">
        <v>39</v>
      </c>
      <c r="BU265" s="230"/>
      <c r="BV265" s="230" t="s">
        <v>949</v>
      </c>
      <c r="BW265" s="231"/>
    </row>
    <row r="266" s="209" customFormat="1" ht="24" customHeight="1" spans="1:75">
      <c r="A266" s="219">
        <v>308</v>
      </c>
      <c r="B266" s="220" t="s">
        <v>1044</v>
      </c>
      <c r="C266" s="221" t="s">
        <v>874</v>
      </c>
      <c r="D266" s="221" t="s">
        <v>945</v>
      </c>
      <c r="E266" s="221" t="s">
        <v>946</v>
      </c>
      <c r="F266" s="219" t="s">
        <v>81</v>
      </c>
      <c r="G266" s="222" t="s">
        <v>374</v>
      </c>
      <c r="H266" s="233" t="s">
        <v>39</v>
      </c>
      <c r="I266" s="237" t="s">
        <v>978</v>
      </c>
      <c r="J266" s="233" t="s">
        <v>979</v>
      </c>
      <c r="K266" s="223" cm="1">
        <f t="array" ref="K266">_xlfn.XLOOKUP(D266&amp;E266&amp;H266&amp;I266&amp;J266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6" s="223"/>
      <c r="M266" s="224"/>
      <c r="N266" s="328"/>
      <c r="O266" s="226">
        <v>690857.142857143</v>
      </c>
      <c r="P266" s="277">
        <v>0.13</v>
      </c>
      <c r="Q266" s="228">
        <f t="shared" si="164"/>
        <v>0</v>
      </c>
      <c r="R266" s="227"/>
      <c r="S266" s="228">
        <f t="shared" si="178"/>
        <v>0</v>
      </c>
      <c r="T266" s="277">
        <v>0.01</v>
      </c>
      <c r="U266" s="228">
        <f t="shared" si="171"/>
        <v>0</v>
      </c>
      <c r="V266" s="329"/>
      <c r="W266" s="228">
        <f t="shared" si="177"/>
        <v>0</v>
      </c>
      <c r="X266" s="227">
        <v>0</v>
      </c>
      <c r="Y266" s="228">
        <f t="shared" si="193"/>
        <v>0</v>
      </c>
      <c r="Z266" s="227"/>
      <c r="AA266" s="228">
        <f t="shared" si="179"/>
        <v>0</v>
      </c>
      <c r="AB266" s="277">
        <v>0.02</v>
      </c>
      <c r="AC266" s="228">
        <f t="shared" si="173"/>
        <v>0</v>
      </c>
      <c r="AD266" s="227"/>
      <c r="AE266" s="228">
        <f t="shared" si="180"/>
        <v>0</v>
      </c>
      <c r="AF266" s="277">
        <v>0.01</v>
      </c>
      <c r="AG266" s="228">
        <f t="shared" si="172"/>
        <v>0</v>
      </c>
      <c r="AH266" s="227"/>
      <c r="AI266" s="228">
        <f t="shared" si="181"/>
        <v>0</v>
      </c>
      <c r="AJ266" s="277">
        <v>0.01</v>
      </c>
      <c r="AK266" s="228">
        <f t="shared" si="162"/>
        <v>0</v>
      </c>
      <c r="AL266" s="227"/>
      <c r="AM266" s="228">
        <f t="shared" si="182"/>
        <v>0</v>
      </c>
      <c r="AN266" s="227">
        <v>0</v>
      </c>
      <c r="AO266" s="228">
        <f t="shared" si="163"/>
        <v>0</v>
      </c>
      <c r="AP266" s="227"/>
      <c r="AQ266" s="228">
        <f t="shared" si="183"/>
        <v>0</v>
      </c>
      <c r="AR266" s="228"/>
      <c r="AS266" s="228">
        <f t="shared" si="175"/>
        <v>0</v>
      </c>
      <c r="AT266" s="227"/>
      <c r="AU266" s="228">
        <f t="shared" si="184"/>
        <v>0</v>
      </c>
      <c r="AV266" s="240"/>
      <c r="AW266" s="228">
        <f t="shared" si="176"/>
        <v>0</v>
      </c>
      <c r="AX266" s="227"/>
      <c r="AY266" s="228">
        <f t="shared" si="185"/>
        <v>0</v>
      </c>
      <c r="AZ266" s="227">
        <v>0</v>
      </c>
      <c r="BA266" s="228">
        <f t="shared" si="168"/>
        <v>0</v>
      </c>
      <c r="BB266" s="227"/>
      <c r="BC266" s="228">
        <f t="shared" si="186"/>
        <v>0</v>
      </c>
      <c r="BD266" s="235"/>
      <c r="BE266" s="228">
        <f t="shared" si="169"/>
        <v>0</v>
      </c>
      <c r="BF266" s="227"/>
      <c r="BG266" s="228">
        <f t="shared" si="187"/>
        <v>0</v>
      </c>
      <c r="BH266" s="235"/>
      <c r="BI266" s="228">
        <f t="shared" si="166"/>
        <v>0</v>
      </c>
      <c r="BJ266" s="227"/>
      <c r="BK266" s="228">
        <f t="shared" si="188"/>
        <v>0</v>
      </c>
      <c r="BL266" s="228" t="s">
        <v>1457</v>
      </c>
      <c r="BM266" s="220">
        <f t="shared" si="174"/>
        <v>0</v>
      </c>
      <c r="BN266" s="220"/>
      <c r="BO266" s="220">
        <f t="shared" si="189"/>
        <v>0</v>
      </c>
      <c r="BP266" s="220">
        <f t="shared" si="190"/>
        <v>0</v>
      </c>
      <c r="BQ266" s="220">
        <f t="shared" si="191"/>
        <v>0</v>
      </c>
      <c r="BR266" s="220">
        <f t="shared" si="192"/>
        <v>0</v>
      </c>
      <c r="BS266" s="254" t="s">
        <v>39</v>
      </c>
      <c r="BT266" s="229" t="s">
        <v>39</v>
      </c>
      <c r="BU266" s="230"/>
      <c r="BV266" s="230" t="s">
        <v>949</v>
      </c>
      <c r="BW266" s="231"/>
    </row>
    <row r="267" s="209" customFormat="1" ht="24" customHeight="1" spans="1:75">
      <c r="A267" s="219">
        <v>309</v>
      </c>
      <c r="B267" s="220" t="s">
        <v>1047</v>
      </c>
      <c r="C267" s="221" t="s">
        <v>874</v>
      </c>
      <c r="D267" s="221" t="s">
        <v>945</v>
      </c>
      <c r="E267" s="221" t="s">
        <v>946</v>
      </c>
      <c r="F267" s="219" t="s">
        <v>81</v>
      </c>
      <c r="G267" s="222" t="s">
        <v>374</v>
      </c>
      <c r="H267" s="233" t="s">
        <v>39</v>
      </c>
      <c r="I267" s="237" t="s">
        <v>488</v>
      </c>
      <c r="J267" s="233" t="s">
        <v>981</v>
      </c>
      <c r="K267" s="223" cm="1">
        <f t="array" ref="K267">_xlfn.XLOOKUP(D267&amp;E267&amp;H267&amp;I267&amp;J267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7" s="223"/>
      <c r="M267" s="224"/>
      <c r="N267" s="328"/>
      <c r="O267" s="226">
        <v>459428.571428571</v>
      </c>
      <c r="P267" s="277">
        <v>0.07</v>
      </c>
      <c r="Q267" s="228">
        <f t="shared" si="164"/>
        <v>0</v>
      </c>
      <c r="R267" s="227"/>
      <c r="S267" s="228">
        <f t="shared" si="178"/>
        <v>0</v>
      </c>
      <c r="T267" s="277">
        <v>0.01</v>
      </c>
      <c r="U267" s="228">
        <f t="shared" si="171"/>
        <v>0</v>
      </c>
      <c r="V267" s="329"/>
      <c r="W267" s="228">
        <f t="shared" si="177"/>
        <v>0</v>
      </c>
      <c r="X267" s="227">
        <v>0</v>
      </c>
      <c r="Y267" s="228">
        <f t="shared" si="193"/>
        <v>0</v>
      </c>
      <c r="Z267" s="227"/>
      <c r="AA267" s="228">
        <f t="shared" si="179"/>
        <v>0</v>
      </c>
      <c r="AB267" s="227">
        <v>0</v>
      </c>
      <c r="AC267" s="228">
        <f t="shared" si="173"/>
        <v>0</v>
      </c>
      <c r="AD267" s="227"/>
      <c r="AE267" s="228">
        <f t="shared" si="180"/>
        <v>0</v>
      </c>
      <c r="AF267" s="277">
        <v>0.01</v>
      </c>
      <c r="AG267" s="228">
        <f t="shared" si="172"/>
        <v>0</v>
      </c>
      <c r="AH267" s="227"/>
      <c r="AI267" s="228">
        <f t="shared" si="181"/>
        <v>0</v>
      </c>
      <c r="AJ267" s="277">
        <v>0.01</v>
      </c>
      <c r="AK267" s="228">
        <f t="shared" si="162"/>
        <v>0</v>
      </c>
      <c r="AL267" s="227"/>
      <c r="AM267" s="228">
        <f t="shared" si="182"/>
        <v>0</v>
      </c>
      <c r="AN267" s="227">
        <v>0</v>
      </c>
      <c r="AO267" s="228">
        <f t="shared" si="163"/>
        <v>0</v>
      </c>
      <c r="AP267" s="227"/>
      <c r="AQ267" s="228">
        <f t="shared" si="183"/>
        <v>0</v>
      </c>
      <c r="AR267" s="228"/>
      <c r="AS267" s="228">
        <f t="shared" si="175"/>
        <v>0</v>
      </c>
      <c r="AT267" s="227"/>
      <c r="AU267" s="228">
        <f t="shared" si="184"/>
        <v>0</v>
      </c>
      <c r="AV267" s="240"/>
      <c r="AW267" s="228">
        <f t="shared" si="176"/>
        <v>0</v>
      </c>
      <c r="AX267" s="227"/>
      <c r="AY267" s="228">
        <f t="shared" si="185"/>
        <v>0</v>
      </c>
      <c r="AZ267" s="227">
        <v>0</v>
      </c>
      <c r="BA267" s="228">
        <f t="shared" si="168"/>
        <v>0</v>
      </c>
      <c r="BB267" s="227"/>
      <c r="BC267" s="228">
        <f t="shared" si="186"/>
        <v>0</v>
      </c>
      <c r="BD267" s="235"/>
      <c r="BE267" s="228">
        <f t="shared" si="169"/>
        <v>0</v>
      </c>
      <c r="BF267" s="227"/>
      <c r="BG267" s="228">
        <f t="shared" si="187"/>
        <v>0</v>
      </c>
      <c r="BH267" s="235"/>
      <c r="BI267" s="228">
        <f t="shared" si="166"/>
        <v>0</v>
      </c>
      <c r="BJ267" s="227"/>
      <c r="BK267" s="228">
        <f t="shared" si="188"/>
        <v>0</v>
      </c>
      <c r="BL267" s="228" t="s">
        <v>1457</v>
      </c>
      <c r="BM267" s="220">
        <f t="shared" si="174"/>
        <v>0</v>
      </c>
      <c r="BN267" s="220"/>
      <c r="BO267" s="220">
        <f t="shared" si="189"/>
        <v>0</v>
      </c>
      <c r="BP267" s="220">
        <f t="shared" si="190"/>
        <v>0</v>
      </c>
      <c r="BQ267" s="220">
        <f t="shared" si="191"/>
        <v>0</v>
      </c>
      <c r="BR267" s="220">
        <f t="shared" si="192"/>
        <v>0</v>
      </c>
      <c r="BS267" s="254" t="s">
        <v>39</v>
      </c>
      <c r="BT267" s="229" t="s">
        <v>39</v>
      </c>
      <c r="BU267" s="230"/>
      <c r="BV267" s="230" t="s">
        <v>949</v>
      </c>
      <c r="BW267" s="231"/>
    </row>
    <row r="268" s="209" customFormat="1" ht="24" customHeight="1" spans="1:75">
      <c r="A268" s="219">
        <v>311</v>
      </c>
      <c r="B268" s="220" t="s">
        <v>1054</v>
      </c>
      <c r="C268" s="221" t="s">
        <v>874</v>
      </c>
      <c r="D268" s="221" t="s">
        <v>984</v>
      </c>
      <c r="E268" s="221" t="s">
        <v>985</v>
      </c>
      <c r="F268" s="219" t="s">
        <v>81</v>
      </c>
      <c r="G268" s="222" t="s">
        <v>374</v>
      </c>
      <c r="H268" s="233" t="s">
        <v>39</v>
      </c>
      <c r="I268" s="237" t="s">
        <v>987</v>
      </c>
      <c r="J268" s="233" t="s">
        <v>988</v>
      </c>
      <c r="K268" s="223" cm="1">
        <f t="array" ref="K268">_xlfn.XLOOKUP(D268&amp;E268&amp;H268&amp;I268&amp;J268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8" s="330">
        <v>130000</v>
      </c>
      <c r="M268" s="224"/>
      <c r="N268" s="225">
        <v>115662</v>
      </c>
      <c r="O268" s="226">
        <v>1140000</v>
      </c>
      <c r="P268" s="277">
        <v>0.17</v>
      </c>
      <c r="Q268" s="228">
        <f>IF(K268&lt;=L268,K268*P268,L268*P268+(K268-L268)*(P268-2%))</f>
        <v>0</v>
      </c>
      <c r="R268" s="276">
        <v>107048.19</v>
      </c>
      <c r="S268" s="228">
        <f t="shared" si="178"/>
        <v>-107048.19</v>
      </c>
      <c r="T268" s="227">
        <v>0</v>
      </c>
      <c r="U268" s="228">
        <f t="shared" si="171"/>
        <v>0</v>
      </c>
      <c r="V268" s="227">
        <v>0</v>
      </c>
      <c r="W268" s="228">
        <f t="shared" ref="W268:W331" si="194">U268-V268</f>
        <v>0</v>
      </c>
      <c r="X268" s="227">
        <v>0</v>
      </c>
      <c r="Y268" s="228">
        <f t="shared" si="193"/>
        <v>0</v>
      </c>
      <c r="Z268" s="227">
        <v>0</v>
      </c>
      <c r="AA268" s="228">
        <f t="shared" si="179"/>
        <v>0</v>
      </c>
      <c r="AB268" s="227">
        <v>0</v>
      </c>
      <c r="AC268" s="228">
        <f t="shared" si="173"/>
        <v>0</v>
      </c>
      <c r="AD268" s="227"/>
      <c r="AE268" s="228">
        <f t="shared" si="180"/>
        <v>0</v>
      </c>
      <c r="AF268" s="227">
        <v>0</v>
      </c>
      <c r="AG268" s="228">
        <f t="shared" si="172"/>
        <v>0</v>
      </c>
      <c r="AH268" s="227">
        <v>0</v>
      </c>
      <c r="AI268" s="228">
        <f t="shared" si="181"/>
        <v>0</v>
      </c>
      <c r="AJ268" s="227">
        <v>0</v>
      </c>
      <c r="AK268" s="228">
        <f t="shared" si="162"/>
        <v>0</v>
      </c>
      <c r="AL268" s="227">
        <v>0</v>
      </c>
      <c r="AM268" s="228">
        <f t="shared" si="182"/>
        <v>0</v>
      </c>
      <c r="AN268" s="227">
        <v>0</v>
      </c>
      <c r="AO268" s="228">
        <f t="shared" si="163"/>
        <v>0</v>
      </c>
      <c r="AP268" s="228">
        <v>0</v>
      </c>
      <c r="AQ268" s="228">
        <f t="shared" si="183"/>
        <v>0</v>
      </c>
      <c r="AR268" s="228"/>
      <c r="AS268" s="228">
        <f>AT268</f>
        <v>17372.47</v>
      </c>
      <c r="AT268" s="228">
        <v>17372.47</v>
      </c>
      <c r="AU268" s="228">
        <f t="shared" si="184"/>
        <v>0</v>
      </c>
      <c r="AV268" s="240"/>
      <c r="AW268" s="228">
        <f>AX268</f>
        <v>12379.64</v>
      </c>
      <c r="AX268" s="227">
        <v>12379.64</v>
      </c>
      <c r="AY268" s="228">
        <f t="shared" si="185"/>
        <v>0</v>
      </c>
      <c r="AZ268" s="227">
        <v>0</v>
      </c>
      <c r="BA268" s="228">
        <f t="shared" si="168"/>
        <v>0</v>
      </c>
      <c r="BB268" s="228">
        <v>0</v>
      </c>
      <c r="BC268" s="228">
        <f t="shared" si="186"/>
        <v>0</v>
      </c>
      <c r="BD268" s="235"/>
      <c r="BE268" s="228">
        <f t="shared" si="169"/>
        <v>0</v>
      </c>
      <c r="BF268" s="235">
        <v>0</v>
      </c>
      <c r="BG268" s="228">
        <f t="shared" si="187"/>
        <v>0</v>
      </c>
      <c r="BH268" s="235"/>
      <c r="BI268" s="228">
        <f t="shared" si="166"/>
        <v>0</v>
      </c>
      <c r="BJ268" s="235">
        <v>0</v>
      </c>
      <c r="BK268" s="228">
        <f t="shared" si="188"/>
        <v>0</v>
      </c>
      <c r="BL268" s="228" t="s">
        <v>1457</v>
      </c>
      <c r="BM268" s="220">
        <f t="shared" si="174"/>
        <v>160180</v>
      </c>
      <c r="BN268" s="220">
        <v>160180</v>
      </c>
      <c r="BO268" s="220">
        <f t="shared" si="189"/>
        <v>0</v>
      </c>
      <c r="BP268" s="220">
        <f t="shared" si="190"/>
        <v>305594.11</v>
      </c>
      <c r="BQ268" s="220">
        <f t="shared" si="191"/>
        <v>412642.3</v>
      </c>
      <c r="BR268" s="220">
        <f t="shared" si="192"/>
        <v>-107048.19</v>
      </c>
      <c r="BS268" s="254" t="s">
        <v>39</v>
      </c>
      <c r="BT268" s="229" t="s">
        <v>39</v>
      </c>
      <c r="BU268" s="230"/>
      <c r="BV268" s="230" t="s">
        <v>949</v>
      </c>
      <c r="BW268" s="231"/>
    </row>
    <row r="269" s="209" customFormat="1" ht="24" customHeight="1" spans="1:75">
      <c r="A269" s="219">
        <v>312</v>
      </c>
      <c r="B269" s="220" t="s">
        <v>1057</v>
      </c>
      <c r="C269" s="221" t="s">
        <v>874</v>
      </c>
      <c r="D269" s="221" t="s">
        <v>984</v>
      </c>
      <c r="E269" s="221" t="s">
        <v>985</v>
      </c>
      <c r="F269" s="219" t="s">
        <v>81</v>
      </c>
      <c r="G269" s="222" t="s">
        <v>374</v>
      </c>
      <c r="H269" s="233" t="s">
        <v>39</v>
      </c>
      <c r="I269" s="237" t="s">
        <v>991</v>
      </c>
      <c r="J269" s="233" t="s">
        <v>992</v>
      </c>
      <c r="K269" s="223" cm="1">
        <f t="array" ref="K269">_xlfn.XLOOKUP(D269&amp;E269&amp;H269&amp;I269&amp;J269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9" s="330">
        <v>130000</v>
      </c>
      <c r="M269" s="224"/>
      <c r="N269" s="225"/>
      <c r="O269" s="226">
        <v>1106000</v>
      </c>
      <c r="P269" s="277">
        <v>0.17</v>
      </c>
      <c r="Q269" s="228">
        <f t="shared" ref="Q269:Q276" si="195">IF(K269&lt;=L269,K269*P269,L269*P269+(K269-L269)*(P269-2%))</f>
        <v>0</v>
      </c>
      <c r="R269" s="227"/>
      <c r="S269" s="228">
        <f t="shared" si="178"/>
        <v>0</v>
      </c>
      <c r="T269" s="227">
        <v>0</v>
      </c>
      <c r="U269" s="228">
        <f t="shared" si="171"/>
        <v>0</v>
      </c>
      <c r="V269" s="227"/>
      <c r="W269" s="228">
        <f t="shared" si="194"/>
        <v>0</v>
      </c>
      <c r="X269" s="227">
        <v>0</v>
      </c>
      <c r="Y269" s="228">
        <f t="shared" si="193"/>
        <v>0</v>
      </c>
      <c r="Z269" s="227"/>
      <c r="AA269" s="228">
        <f t="shared" si="179"/>
        <v>0</v>
      </c>
      <c r="AB269" s="227">
        <v>0</v>
      </c>
      <c r="AC269" s="228">
        <f t="shared" si="173"/>
        <v>0</v>
      </c>
      <c r="AD269" s="227"/>
      <c r="AE269" s="228">
        <f t="shared" si="180"/>
        <v>0</v>
      </c>
      <c r="AF269" s="227">
        <v>0</v>
      </c>
      <c r="AG269" s="228">
        <f t="shared" si="172"/>
        <v>0</v>
      </c>
      <c r="AH269" s="227"/>
      <c r="AI269" s="228">
        <f t="shared" si="181"/>
        <v>0</v>
      </c>
      <c r="AJ269" s="227">
        <v>0</v>
      </c>
      <c r="AK269" s="228">
        <f t="shared" si="162"/>
        <v>0</v>
      </c>
      <c r="AL269" s="227"/>
      <c r="AM269" s="228">
        <f t="shared" si="182"/>
        <v>0</v>
      </c>
      <c r="AN269" s="227">
        <v>0</v>
      </c>
      <c r="AO269" s="228">
        <f t="shared" si="163"/>
        <v>0</v>
      </c>
      <c r="AP269" s="228"/>
      <c r="AQ269" s="228">
        <f t="shared" si="183"/>
        <v>0</v>
      </c>
      <c r="AR269" s="228"/>
      <c r="AS269" s="228">
        <f t="shared" ref="AS269:AS290" si="196">K269*AR269</f>
        <v>0</v>
      </c>
      <c r="AT269" s="228"/>
      <c r="AU269" s="228">
        <f t="shared" si="184"/>
        <v>0</v>
      </c>
      <c r="AV269" s="240"/>
      <c r="AW269" s="228">
        <f t="shared" ref="AW269:AW298" si="197">K269*AV269</f>
        <v>0</v>
      </c>
      <c r="AX269" s="227"/>
      <c r="AY269" s="228">
        <f t="shared" si="185"/>
        <v>0</v>
      </c>
      <c r="AZ269" s="227">
        <v>0</v>
      </c>
      <c r="BA269" s="228">
        <f t="shared" si="168"/>
        <v>0</v>
      </c>
      <c r="BB269" s="228"/>
      <c r="BC269" s="228">
        <f t="shared" si="186"/>
        <v>0</v>
      </c>
      <c r="BD269" s="235"/>
      <c r="BE269" s="228">
        <f t="shared" si="169"/>
        <v>0</v>
      </c>
      <c r="BF269" s="235"/>
      <c r="BG269" s="228">
        <f t="shared" si="187"/>
        <v>0</v>
      </c>
      <c r="BH269" s="235"/>
      <c r="BI269" s="228">
        <f t="shared" si="166"/>
        <v>0</v>
      </c>
      <c r="BJ269" s="235"/>
      <c r="BK269" s="228">
        <f t="shared" si="188"/>
        <v>0</v>
      </c>
      <c r="BL269" s="228" t="s">
        <v>1457</v>
      </c>
      <c r="BM269" s="220">
        <f t="shared" si="174"/>
        <v>0</v>
      </c>
      <c r="BN269" s="220"/>
      <c r="BO269" s="220">
        <f t="shared" si="189"/>
        <v>0</v>
      </c>
      <c r="BP269" s="220">
        <f t="shared" si="190"/>
        <v>0</v>
      </c>
      <c r="BQ269" s="220">
        <f t="shared" si="191"/>
        <v>0</v>
      </c>
      <c r="BR269" s="220">
        <f t="shared" si="192"/>
        <v>0</v>
      </c>
      <c r="BS269" s="254" t="s">
        <v>39</v>
      </c>
      <c r="BT269" s="229" t="s">
        <v>39</v>
      </c>
      <c r="BU269" s="230"/>
      <c r="BV269" s="230" t="s">
        <v>949</v>
      </c>
      <c r="BW269" s="231"/>
    </row>
    <row r="270" s="209" customFormat="1" ht="24" customHeight="1" spans="1:75">
      <c r="A270" s="219">
        <v>313</v>
      </c>
      <c r="B270" s="220" t="s">
        <v>1060</v>
      </c>
      <c r="C270" s="221" t="s">
        <v>874</v>
      </c>
      <c r="D270" s="221" t="s">
        <v>984</v>
      </c>
      <c r="E270" s="221" t="s">
        <v>985</v>
      </c>
      <c r="F270" s="219" t="s">
        <v>81</v>
      </c>
      <c r="G270" s="222" t="s">
        <v>374</v>
      </c>
      <c r="H270" s="233" t="s">
        <v>39</v>
      </c>
      <c r="I270" s="237" t="s">
        <v>888</v>
      </c>
      <c r="J270" s="233" t="s">
        <v>994</v>
      </c>
      <c r="K270" s="223" cm="1">
        <f t="array" ref="K270">_xlfn.XLOOKUP(D270&amp;E270&amp;H270&amp;I270&amp;J270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14052.8</v>
      </c>
      <c r="L270" s="330">
        <v>80000</v>
      </c>
      <c r="M270" s="224"/>
      <c r="N270" s="225"/>
      <c r="O270" s="226">
        <v>680000</v>
      </c>
      <c r="P270" s="277">
        <v>0.2</v>
      </c>
      <c r="Q270" s="228">
        <f t="shared" si="195"/>
        <v>2810.56</v>
      </c>
      <c r="R270" s="227"/>
      <c r="S270" s="228">
        <f t="shared" si="178"/>
        <v>2810.56</v>
      </c>
      <c r="T270" s="227">
        <v>0</v>
      </c>
      <c r="U270" s="228">
        <f t="shared" si="171"/>
        <v>0</v>
      </c>
      <c r="V270" s="227"/>
      <c r="W270" s="228">
        <f t="shared" si="194"/>
        <v>0</v>
      </c>
      <c r="X270" s="227">
        <v>0</v>
      </c>
      <c r="Y270" s="228">
        <f t="shared" si="193"/>
        <v>0</v>
      </c>
      <c r="Z270" s="227"/>
      <c r="AA270" s="228">
        <f t="shared" si="179"/>
        <v>0</v>
      </c>
      <c r="AB270" s="227">
        <v>0</v>
      </c>
      <c r="AC270" s="228">
        <f t="shared" si="173"/>
        <v>0</v>
      </c>
      <c r="AD270" s="227"/>
      <c r="AE270" s="228">
        <f t="shared" si="180"/>
        <v>0</v>
      </c>
      <c r="AF270" s="227">
        <v>0</v>
      </c>
      <c r="AG270" s="228">
        <f t="shared" si="172"/>
        <v>0</v>
      </c>
      <c r="AH270" s="227"/>
      <c r="AI270" s="228">
        <f t="shared" si="181"/>
        <v>0</v>
      </c>
      <c r="AJ270" s="227">
        <v>0</v>
      </c>
      <c r="AK270" s="228">
        <f t="shared" si="162"/>
        <v>0</v>
      </c>
      <c r="AL270" s="227"/>
      <c r="AM270" s="228">
        <f t="shared" si="182"/>
        <v>0</v>
      </c>
      <c r="AN270" s="227">
        <v>0</v>
      </c>
      <c r="AO270" s="228">
        <f t="shared" si="163"/>
        <v>0</v>
      </c>
      <c r="AP270" s="228"/>
      <c r="AQ270" s="228">
        <f t="shared" si="183"/>
        <v>0</v>
      </c>
      <c r="AR270" s="228"/>
      <c r="AS270" s="228">
        <f t="shared" si="196"/>
        <v>0</v>
      </c>
      <c r="AT270" s="228"/>
      <c r="AU270" s="228">
        <f t="shared" si="184"/>
        <v>0</v>
      </c>
      <c r="AV270" s="240"/>
      <c r="AW270" s="228">
        <f t="shared" si="197"/>
        <v>0</v>
      </c>
      <c r="AX270" s="227"/>
      <c r="AY270" s="228">
        <f t="shared" si="185"/>
        <v>0</v>
      </c>
      <c r="AZ270" s="227">
        <v>0</v>
      </c>
      <c r="BA270" s="228">
        <f t="shared" si="168"/>
        <v>0</v>
      </c>
      <c r="BB270" s="228"/>
      <c r="BC270" s="228">
        <f t="shared" si="186"/>
        <v>0</v>
      </c>
      <c r="BD270" s="235"/>
      <c r="BE270" s="228">
        <f t="shared" si="169"/>
        <v>0</v>
      </c>
      <c r="BF270" s="235"/>
      <c r="BG270" s="228">
        <f t="shared" si="187"/>
        <v>0</v>
      </c>
      <c r="BH270" s="235"/>
      <c r="BI270" s="228">
        <f t="shared" si="166"/>
        <v>0</v>
      </c>
      <c r="BJ270" s="235"/>
      <c r="BK270" s="228">
        <f t="shared" si="188"/>
        <v>0</v>
      </c>
      <c r="BL270" s="228" t="s">
        <v>1457</v>
      </c>
      <c r="BM270" s="220">
        <f t="shared" si="174"/>
        <v>0</v>
      </c>
      <c r="BN270" s="220"/>
      <c r="BO270" s="220">
        <f t="shared" si="189"/>
        <v>0</v>
      </c>
      <c r="BP270" s="220">
        <f t="shared" si="190"/>
        <v>2810.56</v>
      </c>
      <c r="BQ270" s="220">
        <f t="shared" si="191"/>
        <v>0</v>
      </c>
      <c r="BR270" s="220">
        <f t="shared" si="192"/>
        <v>2810.56</v>
      </c>
      <c r="BS270" s="254" t="s">
        <v>39</v>
      </c>
      <c r="BT270" s="229" t="s">
        <v>39</v>
      </c>
      <c r="BU270" s="230"/>
      <c r="BV270" s="230" t="s">
        <v>949</v>
      </c>
      <c r="BW270" s="231"/>
    </row>
    <row r="271" s="209" customFormat="1" ht="24" customHeight="1" spans="1:75">
      <c r="A271" s="219">
        <v>314</v>
      </c>
      <c r="B271" s="220" t="s">
        <v>1064</v>
      </c>
      <c r="C271" s="221" t="s">
        <v>874</v>
      </c>
      <c r="D271" s="221" t="s">
        <v>984</v>
      </c>
      <c r="E271" s="221" t="s">
        <v>985</v>
      </c>
      <c r="F271" s="219" t="s">
        <v>81</v>
      </c>
      <c r="G271" s="222" t="s">
        <v>374</v>
      </c>
      <c r="H271" s="233" t="s">
        <v>39</v>
      </c>
      <c r="I271" s="237" t="s">
        <v>319</v>
      </c>
      <c r="J271" s="233" t="s">
        <v>996</v>
      </c>
      <c r="K271" s="223" cm="1">
        <f t="array" ref="K271">_xlfn.XLOOKUP(D271&amp;E271&amp;H271&amp;I271&amp;J271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33430.81</v>
      </c>
      <c r="L271" s="330">
        <v>90000</v>
      </c>
      <c r="M271" s="224"/>
      <c r="N271" s="225"/>
      <c r="O271" s="226">
        <v>780000</v>
      </c>
      <c r="P271" s="277">
        <v>0.2</v>
      </c>
      <c r="Q271" s="228">
        <f t="shared" si="195"/>
        <v>6686.162</v>
      </c>
      <c r="R271" s="227"/>
      <c r="S271" s="228">
        <f t="shared" si="178"/>
        <v>6686.162</v>
      </c>
      <c r="T271" s="227">
        <v>0</v>
      </c>
      <c r="U271" s="228">
        <f t="shared" si="171"/>
        <v>0</v>
      </c>
      <c r="V271" s="227"/>
      <c r="W271" s="228">
        <f t="shared" si="194"/>
        <v>0</v>
      </c>
      <c r="X271" s="227">
        <v>0</v>
      </c>
      <c r="Y271" s="228">
        <f t="shared" si="193"/>
        <v>0</v>
      </c>
      <c r="Z271" s="227"/>
      <c r="AA271" s="228">
        <f t="shared" si="179"/>
        <v>0</v>
      </c>
      <c r="AB271" s="227">
        <v>0</v>
      </c>
      <c r="AC271" s="228">
        <f t="shared" si="173"/>
        <v>0</v>
      </c>
      <c r="AD271" s="227"/>
      <c r="AE271" s="228">
        <f t="shared" si="180"/>
        <v>0</v>
      </c>
      <c r="AF271" s="227">
        <v>0</v>
      </c>
      <c r="AG271" s="228">
        <f t="shared" si="172"/>
        <v>0</v>
      </c>
      <c r="AH271" s="227"/>
      <c r="AI271" s="228">
        <f t="shared" si="181"/>
        <v>0</v>
      </c>
      <c r="AJ271" s="227">
        <v>0</v>
      </c>
      <c r="AK271" s="228">
        <f t="shared" si="162"/>
        <v>0</v>
      </c>
      <c r="AL271" s="227"/>
      <c r="AM271" s="228">
        <f t="shared" si="182"/>
        <v>0</v>
      </c>
      <c r="AN271" s="227">
        <v>0</v>
      </c>
      <c r="AO271" s="228">
        <f t="shared" si="163"/>
        <v>0</v>
      </c>
      <c r="AP271" s="228"/>
      <c r="AQ271" s="228">
        <f t="shared" si="183"/>
        <v>0</v>
      </c>
      <c r="AR271" s="228"/>
      <c r="AS271" s="228">
        <f t="shared" si="196"/>
        <v>0</v>
      </c>
      <c r="AT271" s="228"/>
      <c r="AU271" s="228">
        <f t="shared" si="184"/>
        <v>0</v>
      </c>
      <c r="AV271" s="240"/>
      <c r="AW271" s="228">
        <f t="shared" si="197"/>
        <v>0</v>
      </c>
      <c r="AX271" s="227"/>
      <c r="AY271" s="228">
        <f t="shared" si="185"/>
        <v>0</v>
      </c>
      <c r="AZ271" s="227">
        <v>0</v>
      </c>
      <c r="BA271" s="228">
        <f t="shared" si="168"/>
        <v>0</v>
      </c>
      <c r="BB271" s="228"/>
      <c r="BC271" s="228">
        <f t="shared" si="186"/>
        <v>0</v>
      </c>
      <c r="BD271" s="235"/>
      <c r="BE271" s="228">
        <f t="shared" si="169"/>
        <v>0</v>
      </c>
      <c r="BF271" s="235"/>
      <c r="BG271" s="228">
        <f t="shared" si="187"/>
        <v>0</v>
      </c>
      <c r="BH271" s="235"/>
      <c r="BI271" s="228">
        <f t="shared" si="166"/>
        <v>0</v>
      </c>
      <c r="BJ271" s="235"/>
      <c r="BK271" s="228">
        <f t="shared" si="188"/>
        <v>0</v>
      </c>
      <c r="BL271" s="228" t="s">
        <v>1457</v>
      </c>
      <c r="BM271" s="220">
        <f t="shared" si="174"/>
        <v>0</v>
      </c>
      <c r="BN271" s="220"/>
      <c r="BO271" s="220">
        <f t="shared" si="189"/>
        <v>0</v>
      </c>
      <c r="BP271" s="220">
        <f t="shared" si="190"/>
        <v>6686.162</v>
      </c>
      <c r="BQ271" s="220">
        <f t="shared" si="191"/>
        <v>0</v>
      </c>
      <c r="BR271" s="220">
        <f t="shared" si="192"/>
        <v>6686.162</v>
      </c>
      <c r="BS271" s="254" t="s">
        <v>39</v>
      </c>
      <c r="BT271" s="229" t="s">
        <v>39</v>
      </c>
      <c r="BU271" s="230"/>
      <c r="BV271" s="230" t="s">
        <v>949</v>
      </c>
      <c r="BW271" s="231"/>
    </row>
    <row r="272" s="209" customFormat="1" ht="24" customHeight="1" spans="1:75">
      <c r="A272" s="219">
        <v>315</v>
      </c>
      <c r="B272" s="220" t="s">
        <v>1066</v>
      </c>
      <c r="C272" s="221" t="s">
        <v>874</v>
      </c>
      <c r="D272" s="221" t="s">
        <v>984</v>
      </c>
      <c r="E272" s="221" t="s">
        <v>985</v>
      </c>
      <c r="F272" s="219" t="s">
        <v>81</v>
      </c>
      <c r="G272" s="222" t="s">
        <v>374</v>
      </c>
      <c r="H272" s="233" t="s">
        <v>39</v>
      </c>
      <c r="I272" s="237" t="s">
        <v>998</v>
      </c>
      <c r="J272" s="233" t="s">
        <v>999</v>
      </c>
      <c r="K272" s="223" cm="1">
        <f t="array" ref="K272">_xlfn.XLOOKUP(D272&amp;E272&amp;H272&amp;I272&amp;J272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72" s="330">
        <v>80000</v>
      </c>
      <c r="M272" s="224"/>
      <c r="N272" s="225"/>
      <c r="O272" s="226">
        <v>700000</v>
      </c>
      <c r="P272" s="277">
        <v>0.2</v>
      </c>
      <c r="Q272" s="228">
        <f t="shared" si="195"/>
        <v>0</v>
      </c>
      <c r="R272" s="227"/>
      <c r="S272" s="228">
        <f t="shared" si="178"/>
        <v>0</v>
      </c>
      <c r="T272" s="227">
        <v>0</v>
      </c>
      <c r="U272" s="228">
        <f t="shared" si="171"/>
        <v>0</v>
      </c>
      <c r="V272" s="227"/>
      <c r="W272" s="228">
        <f t="shared" si="194"/>
        <v>0</v>
      </c>
      <c r="X272" s="227">
        <v>0</v>
      </c>
      <c r="Y272" s="228">
        <f t="shared" si="193"/>
        <v>0</v>
      </c>
      <c r="Z272" s="227"/>
      <c r="AA272" s="228">
        <f t="shared" si="179"/>
        <v>0</v>
      </c>
      <c r="AB272" s="227">
        <v>0</v>
      </c>
      <c r="AC272" s="228">
        <f t="shared" si="173"/>
        <v>0</v>
      </c>
      <c r="AD272" s="227"/>
      <c r="AE272" s="228">
        <f t="shared" si="180"/>
        <v>0</v>
      </c>
      <c r="AF272" s="227">
        <v>0</v>
      </c>
      <c r="AG272" s="228">
        <f t="shared" si="172"/>
        <v>0</v>
      </c>
      <c r="AH272" s="227"/>
      <c r="AI272" s="228">
        <f t="shared" si="181"/>
        <v>0</v>
      </c>
      <c r="AJ272" s="227">
        <v>0</v>
      </c>
      <c r="AK272" s="228">
        <f t="shared" si="162"/>
        <v>0</v>
      </c>
      <c r="AL272" s="227"/>
      <c r="AM272" s="228">
        <f t="shared" si="182"/>
        <v>0</v>
      </c>
      <c r="AN272" s="227">
        <v>0</v>
      </c>
      <c r="AO272" s="228">
        <f t="shared" si="163"/>
        <v>0</v>
      </c>
      <c r="AP272" s="228"/>
      <c r="AQ272" s="228">
        <f t="shared" si="183"/>
        <v>0</v>
      </c>
      <c r="AR272" s="228"/>
      <c r="AS272" s="228">
        <f t="shared" si="196"/>
        <v>0</v>
      </c>
      <c r="AT272" s="228"/>
      <c r="AU272" s="228">
        <f t="shared" si="184"/>
        <v>0</v>
      </c>
      <c r="AV272" s="240"/>
      <c r="AW272" s="228">
        <f t="shared" si="197"/>
        <v>0</v>
      </c>
      <c r="AX272" s="227"/>
      <c r="AY272" s="228">
        <f t="shared" si="185"/>
        <v>0</v>
      </c>
      <c r="AZ272" s="227">
        <v>0</v>
      </c>
      <c r="BA272" s="228">
        <f t="shared" si="168"/>
        <v>0</v>
      </c>
      <c r="BB272" s="228"/>
      <c r="BC272" s="228">
        <f t="shared" si="186"/>
        <v>0</v>
      </c>
      <c r="BD272" s="235"/>
      <c r="BE272" s="228">
        <f t="shared" si="169"/>
        <v>0</v>
      </c>
      <c r="BF272" s="235"/>
      <c r="BG272" s="228">
        <f t="shared" si="187"/>
        <v>0</v>
      </c>
      <c r="BH272" s="235"/>
      <c r="BI272" s="228">
        <f t="shared" si="166"/>
        <v>0</v>
      </c>
      <c r="BJ272" s="235"/>
      <c r="BK272" s="228">
        <f t="shared" si="188"/>
        <v>0</v>
      </c>
      <c r="BL272" s="228" t="s">
        <v>1457</v>
      </c>
      <c r="BM272" s="220">
        <f t="shared" si="174"/>
        <v>0</v>
      </c>
      <c r="BN272" s="220"/>
      <c r="BO272" s="220">
        <f t="shared" si="189"/>
        <v>0</v>
      </c>
      <c r="BP272" s="220">
        <f t="shared" si="190"/>
        <v>0</v>
      </c>
      <c r="BQ272" s="220">
        <f t="shared" si="191"/>
        <v>0</v>
      </c>
      <c r="BR272" s="220">
        <f t="shared" si="192"/>
        <v>0</v>
      </c>
      <c r="BS272" s="254" t="s">
        <v>39</v>
      </c>
      <c r="BT272" s="229" t="s">
        <v>39</v>
      </c>
      <c r="BU272" s="230"/>
      <c r="BV272" s="230" t="s">
        <v>949</v>
      </c>
      <c r="BW272" s="231"/>
    </row>
    <row r="273" s="209" customFormat="1" ht="24" customHeight="1" spans="1:75">
      <c r="A273" s="219">
        <v>316</v>
      </c>
      <c r="B273" s="220" t="s">
        <v>1068</v>
      </c>
      <c r="C273" s="221" t="s">
        <v>874</v>
      </c>
      <c r="D273" s="221" t="s">
        <v>984</v>
      </c>
      <c r="E273" s="221" t="s">
        <v>985</v>
      </c>
      <c r="F273" s="219" t="s">
        <v>81</v>
      </c>
      <c r="G273" s="222" t="s">
        <v>374</v>
      </c>
      <c r="H273" s="233" t="s">
        <v>39</v>
      </c>
      <c r="I273" s="237" t="s">
        <v>1001</v>
      </c>
      <c r="J273" s="233" t="s">
        <v>1002</v>
      </c>
      <c r="K273" s="223" cm="1">
        <f t="array" ref="K273">_xlfn.XLOOKUP(D273&amp;E273&amp;H273&amp;I273&amp;J273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3649.32</v>
      </c>
      <c r="L273" s="330">
        <v>70000</v>
      </c>
      <c r="M273" s="224"/>
      <c r="N273" s="225"/>
      <c r="O273" s="226">
        <v>620000</v>
      </c>
      <c r="P273" s="277">
        <v>0.17</v>
      </c>
      <c r="Q273" s="228">
        <f t="shared" si="195"/>
        <v>620.3844</v>
      </c>
      <c r="R273" s="227"/>
      <c r="S273" s="228">
        <f t="shared" si="178"/>
        <v>620.3844</v>
      </c>
      <c r="T273" s="227">
        <v>0</v>
      </c>
      <c r="U273" s="228">
        <f t="shared" si="171"/>
        <v>0</v>
      </c>
      <c r="V273" s="227"/>
      <c r="W273" s="228">
        <f t="shared" si="194"/>
        <v>0</v>
      </c>
      <c r="X273" s="227">
        <v>0</v>
      </c>
      <c r="Y273" s="228">
        <f t="shared" si="193"/>
        <v>0</v>
      </c>
      <c r="Z273" s="227"/>
      <c r="AA273" s="228">
        <f t="shared" si="179"/>
        <v>0</v>
      </c>
      <c r="AB273" s="227">
        <v>0</v>
      </c>
      <c r="AC273" s="228">
        <f t="shared" si="173"/>
        <v>0</v>
      </c>
      <c r="AD273" s="227"/>
      <c r="AE273" s="228">
        <f t="shared" si="180"/>
        <v>0</v>
      </c>
      <c r="AF273" s="227">
        <v>0</v>
      </c>
      <c r="AG273" s="228">
        <f t="shared" si="172"/>
        <v>0</v>
      </c>
      <c r="AH273" s="227"/>
      <c r="AI273" s="228">
        <f t="shared" si="181"/>
        <v>0</v>
      </c>
      <c r="AJ273" s="227">
        <v>0</v>
      </c>
      <c r="AK273" s="228">
        <f t="shared" si="162"/>
        <v>0</v>
      </c>
      <c r="AL273" s="227"/>
      <c r="AM273" s="228">
        <f t="shared" si="182"/>
        <v>0</v>
      </c>
      <c r="AN273" s="227">
        <v>0</v>
      </c>
      <c r="AO273" s="228">
        <f t="shared" si="163"/>
        <v>0</v>
      </c>
      <c r="AP273" s="228"/>
      <c r="AQ273" s="228">
        <f t="shared" si="183"/>
        <v>0</v>
      </c>
      <c r="AR273" s="228"/>
      <c r="AS273" s="228">
        <f t="shared" si="196"/>
        <v>0</v>
      </c>
      <c r="AT273" s="228"/>
      <c r="AU273" s="228">
        <f t="shared" si="184"/>
        <v>0</v>
      </c>
      <c r="AV273" s="240"/>
      <c r="AW273" s="228">
        <f t="shared" si="197"/>
        <v>0</v>
      </c>
      <c r="AX273" s="227"/>
      <c r="AY273" s="228">
        <f t="shared" si="185"/>
        <v>0</v>
      </c>
      <c r="AZ273" s="227">
        <v>0</v>
      </c>
      <c r="BA273" s="228">
        <f t="shared" si="168"/>
        <v>0</v>
      </c>
      <c r="BB273" s="228"/>
      <c r="BC273" s="228">
        <f t="shared" si="186"/>
        <v>0</v>
      </c>
      <c r="BD273" s="235"/>
      <c r="BE273" s="228">
        <f t="shared" si="169"/>
        <v>0</v>
      </c>
      <c r="BF273" s="235"/>
      <c r="BG273" s="228">
        <f t="shared" si="187"/>
        <v>0</v>
      </c>
      <c r="BH273" s="235"/>
      <c r="BI273" s="228">
        <f t="shared" si="166"/>
        <v>0</v>
      </c>
      <c r="BJ273" s="235"/>
      <c r="BK273" s="228">
        <f t="shared" si="188"/>
        <v>0</v>
      </c>
      <c r="BL273" s="228" t="s">
        <v>1457</v>
      </c>
      <c r="BM273" s="220">
        <f t="shared" si="174"/>
        <v>0</v>
      </c>
      <c r="BN273" s="220"/>
      <c r="BO273" s="220">
        <f t="shared" si="189"/>
        <v>0</v>
      </c>
      <c r="BP273" s="220">
        <f t="shared" si="190"/>
        <v>620.3844</v>
      </c>
      <c r="BQ273" s="220">
        <f t="shared" si="191"/>
        <v>0</v>
      </c>
      <c r="BR273" s="220">
        <f t="shared" si="192"/>
        <v>620.3844</v>
      </c>
      <c r="BS273" s="254" t="s">
        <v>39</v>
      </c>
      <c r="BT273" s="229" t="s">
        <v>39</v>
      </c>
      <c r="BU273" s="230"/>
      <c r="BV273" s="230" t="s">
        <v>949</v>
      </c>
      <c r="BW273" s="231"/>
    </row>
    <row r="274" s="209" customFormat="1" ht="24" customHeight="1" spans="1:75">
      <c r="A274" s="219">
        <v>317</v>
      </c>
      <c r="B274" s="220" t="s">
        <v>1070</v>
      </c>
      <c r="C274" s="221" t="s">
        <v>874</v>
      </c>
      <c r="D274" s="221" t="s">
        <v>984</v>
      </c>
      <c r="E274" s="221" t="s">
        <v>985</v>
      </c>
      <c r="F274" s="219" t="s">
        <v>81</v>
      </c>
      <c r="G274" s="222" t="s">
        <v>374</v>
      </c>
      <c r="H274" s="233" t="s">
        <v>39</v>
      </c>
      <c r="I274" s="237" t="s">
        <v>1004</v>
      </c>
      <c r="J274" s="233" t="s">
        <v>1005</v>
      </c>
      <c r="K274" s="223" cm="1">
        <f t="array" ref="K274">_xlfn.XLOOKUP(D274&amp;E274&amp;H274&amp;I274&amp;J274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74" s="330">
        <v>70000</v>
      </c>
      <c r="M274" s="224"/>
      <c r="N274" s="225"/>
      <c r="O274" s="226">
        <v>620000</v>
      </c>
      <c r="P274" s="277">
        <v>0.19</v>
      </c>
      <c r="Q274" s="228">
        <f t="shared" si="195"/>
        <v>0</v>
      </c>
      <c r="R274" s="227"/>
      <c r="S274" s="228">
        <f t="shared" si="178"/>
        <v>0</v>
      </c>
      <c r="T274" s="227">
        <v>0</v>
      </c>
      <c r="U274" s="228">
        <f t="shared" si="171"/>
        <v>0</v>
      </c>
      <c r="V274" s="227"/>
      <c r="W274" s="228">
        <f t="shared" si="194"/>
        <v>0</v>
      </c>
      <c r="X274" s="227">
        <v>0</v>
      </c>
      <c r="Y274" s="228">
        <f t="shared" si="193"/>
        <v>0</v>
      </c>
      <c r="Z274" s="227"/>
      <c r="AA274" s="228">
        <f t="shared" si="179"/>
        <v>0</v>
      </c>
      <c r="AB274" s="227">
        <v>0</v>
      </c>
      <c r="AC274" s="228">
        <f t="shared" si="173"/>
        <v>0</v>
      </c>
      <c r="AD274" s="227"/>
      <c r="AE274" s="228">
        <f t="shared" si="180"/>
        <v>0</v>
      </c>
      <c r="AF274" s="227">
        <v>0</v>
      </c>
      <c r="AG274" s="228">
        <f t="shared" si="172"/>
        <v>0</v>
      </c>
      <c r="AH274" s="227"/>
      <c r="AI274" s="228">
        <f t="shared" si="181"/>
        <v>0</v>
      </c>
      <c r="AJ274" s="227">
        <v>0</v>
      </c>
      <c r="AK274" s="228">
        <f t="shared" ref="AK274:AK337" si="198">K274*AJ274</f>
        <v>0</v>
      </c>
      <c r="AL274" s="227"/>
      <c r="AM274" s="228">
        <f t="shared" si="182"/>
        <v>0</v>
      </c>
      <c r="AN274" s="227">
        <v>0</v>
      </c>
      <c r="AO274" s="228">
        <f t="shared" ref="AO274:AO337" si="199">K274*AN274</f>
        <v>0</v>
      </c>
      <c r="AP274" s="228"/>
      <c r="AQ274" s="228">
        <f t="shared" si="183"/>
        <v>0</v>
      </c>
      <c r="AR274" s="228"/>
      <c r="AS274" s="228">
        <f t="shared" si="196"/>
        <v>0</v>
      </c>
      <c r="AT274" s="228"/>
      <c r="AU274" s="228">
        <f t="shared" si="184"/>
        <v>0</v>
      </c>
      <c r="AV274" s="240"/>
      <c r="AW274" s="228">
        <f t="shared" si="197"/>
        <v>0</v>
      </c>
      <c r="AX274" s="227"/>
      <c r="AY274" s="228">
        <f t="shared" si="185"/>
        <v>0</v>
      </c>
      <c r="AZ274" s="227">
        <v>0</v>
      </c>
      <c r="BA274" s="228">
        <f t="shared" si="168"/>
        <v>0</v>
      </c>
      <c r="BB274" s="228"/>
      <c r="BC274" s="228">
        <f t="shared" si="186"/>
        <v>0</v>
      </c>
      <c r="BD274" s="235"/>
      <c r="BE274" s="228">
        <f t="shared" si="169"/>
        <v>0</v>
      </c>
      <c r="BF274" s="235"/>
      <c r="BG274" s="228">
        <f t="shared" si="187"/>
        <v>0</v>
      </c>
      <c r="BH274" s="235"/>
      <c r="BI274" s="228">
        <f t="shared" si="166"/>
        <v>0</v>
      </c>
      <c r="BJ274" s="235"/>
      <c r="BK274" s="228">
        <f t="shared" si="188"/>
        <v>0</v>
      </c>
      <c r="BL274" s="228" t="s">
        <v>1457</v>
      </c>
      <c r="BM274" s="220">
        <f t="shared" si="174"/>
        <v>0</v>
      </c>
      <c r="BN274" s="220"/>
      <c r="BO274" s="220">
        <f t="shared" si="189"/>
        <v>0</v>
      </c>
      <c r="BP274" s="220">
        <f t="shared" si="190"/>
        <v>0</v>
      </c>
      <c r="BQ274" s="220">
        <f t="shared" si="191"/>
        <v>0</v>
      </c>
      <c r="BR274" s="220">
        <f t="shared" si="192"/>
        <v>0</v>
      </c>
      <c r="BS274" s="254" t="s">
        <v>39</v>
      </c>
      <c r="BT274" s="229" t="s">
        <v>39</v>
      </c>
      <c r="BU274" s="230"/>
      <c r="BV274" s="230" t="s">
        <v>949</v>
      </c>
      <c r="BW274" s="231"/>
    </row>
    <row r="275" s="209" customFormat="1" ht="24" customHeight="1" spans="1:75">
      <c r="A275" s="219">
        <v>318</v>
      </c>
      <c r="B275" s="220" t="s">
        <v>1073</v>
      </c>
      <c r="C275" s="221" t="s">
        <v>874</v>
      </c>
      <c r="D275" s="221" t="s">
        <v>984</v>
      </c>
      <c r="E275" s="221" t="s">
        <v>985</v>
      </c>
      <c r="F275" s="219" t="s">
        <v>81</v>
      </c>
      <c r="G275" s="222" t="s">
        <v>374</v>
      </c>
      <c r="H275" s="233" t="s">
        <v>39</v>
      </c>
      <c r="I275" s="237" t="s">
        <v>1007</v>
      </c>
      <c r="J275" s="233" t="s">
        <v>1005</v>
      </c>
      <c r="K275" s="223" cm="1">
        <f t="array" ref="K275">_xlfn.XLOOKUP(D275&amp;E275&amp;H275&amp;I275&amp;J275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50842.42</v>
      </c>
      <c r="L275" s="330">
        <v>70000</v>
      </c>
      <c r="M275" s="224"/>
      <c r="N275" s="225"/>
      <c r="O275" s="226">
        <v>640000</v>
      </c>
      <c r="P275" s="277">
        <v>0.19</v>
      </c>
      <c r="Q275" s="228">
        <f t="shared" si="195"/>
        <v>9660.0598</v>
      </c>
      <c r="R275" s="227"/>
      <c r="S275" s="228">
        <f t="shared" si="178"/>
        <v>9660.0598</v>
      </c>
      <c r="T275" s="227">
        <v>0</v>
      </c>
      <c r="U275" s="228">
        <f t="shared" si="171"/>
        <v>0</v>
      </c>
      <c r="V275" s="227"/>
      <c r="W275" s="228">
        <f t="shared" si="194"/>
        <v>0</v>
      </c>
      <c r="X275" s="227">
        <v>0</v>
      </c>
      <c r="Y275" s="228">
        <f t="shared" si="193"/>
        <v>0</v>
      </c>
      <c r="Z275" s="227"/>
      <c r="AA275" s="228">
        <f t="shared" si="179"/>
        <v>0</v>
      </c>
      <c r="AB275" s="227">
        <v>0</v>
      </c>
      <c r="AC275" s="228">
        <f t="shared" si="173"/>
        <v>0</v>
      </c>
      <c r="AD275" s="227"/>
      <c r="AE275" s="228">
        <f t="shared" si="180"/>
        <v>0</v>
      </c>
      <c r="AF275" s="227">
        <v>0</v>
      </c>
      <c r="AG275" s="228">
        <f t="shared" si="172"/>
        <v>0</v>
      </c>
      <c r="AH275" s="227"/>
      <c r="AI275" s="228">
        <f t="shared" si="181"/>
        <v>0</v>
      </c>
      <c r="AJ275" s="227">
        <v>0</v>
      </c>
      <c r="AK275" s="228">
        <f t="shared" si="198"/>
        <v>0</v>
      </c>
      <c r="AL275" s="227"/>
      <c r="AM275" s="228">
        <f t="shared" si="182"/>
        <v>0</v>
      </c>
      <c r="AN275" s="227">
        <v>0</v>
      </c>
      <c r="AO275" s="228">
        <f t="shared" si="199"/>
        <v>0</v>
      </c>
      <c r="AP275" s="228"/>
      <c r="AQ275" s="228">
        <f t="shared" si="183"/>
        <v>0</v>
      </c>
      <c r="AR275" s="228"/>
      <c r="AS275" s="228">
        <f t="shared" si="196"/>
        <v>0</v>
      </c>
      <c r="AT275" s="228"/>
      <c r="AU275" s="228">
        <f t="shared" si="184"/>
        <v>0</v>
      </c>
      <c r="AV275" s="240"/>
      <c r="AW275" s="228">
        <f t="shared" si="197"/>
        <v>0</v>
      </c>
      <c r="AX275" s="227"/>
      <c r="AY275" s="228">
        <f t="shared" si="185"/>
        <v>0</v>
      </c>
      <c r="AZ275" s="227">
        <v>0</v>
      </c>
      <c r="BA275" s="228">
        <f t="shared" si="168"/>
        <v>0</v>
      </c>
      <c r="BB275" s="228"/>
      <c r="BC275" s="228">
        <f t="shared" si="186"/>
        <v>0</v>
      </c>
      <c r="BD275" s="235"/>
      <c r="BE275" s="228">
        <f t="shared" si="169"/>
        <v>0</v>
      </c>
      <c r="BF275" s="235"/>
      <c r="BG275" s="228">
        <f t="shared" si="187"/>
        <v>0</v>
      </c>
      <c r="BH275" s="235"/>
      <c r="BI275" s="228">
        <f t="shared" si="166"/>
        <v>0</v>
      </c>
      <c r="BJ275" s="235"/>
      <c r="BK275" s="228">
        <f t="shared" si="188"/>
        <v>0</v>
      </c>
      <c r="BL275" s="228" t="s">
        <v>1457</v>
      </c>
      <c r="BM275" s="220">
        <f t="shared" si="174"/>
        <v>0</v>
      </c>
      <c r="BN275" s="220"/>
      <c r="BO275" s="220">
        <f t="shared" si="189"/>
        <v>0</v>
      </c>
      <c r="BP275" s="220">
        <f t="shared" si="190"/>
        <v>9660.0598</v>
      </c>
      <c r="BQ275" s="220">
        <f t="shared" si="191"/>
        <v>0</v>
      </c>
      <c r="BR275" s="220">
        <f t="shared" si="192"/>
        <v>9660.0598</v>
      </c>
      <c r="BS275" s="254" t="s">
        <v>39</v>
      </c>
      <c r="BT275" s="229" t="s">
        <v>39</v>
      </c>
      <c r="BU275" s="230"/>
      <c r="BV275" s="230" t="s">
        <v>949</v>
      </c>
      <c r="BW275" s="231"/>
    </row>
    <row r="276" s="209" customFormat="1" ht="24" customHeight="1" spans="1:75">
      <c r="A276" s="219">
        <v>319</v>
      </c>
      <c r="B276" s="220" t="s">
        <v>1075</v>
      </c>
      <c r="C276" s="221" t="s">
        <v>874</v>
      </c>
      <c r="D276" s="221" t="s">
        <v>984</v>
      </c>
      <c r="E276" s="221" t="s">
        <v>985</v>
      </c>
      <c r="F276" s="219" t="s">
        <v>81</v>
      </c>
      <c r="G276" s="222" t="s">
        <v>374</v>
      </c>
      <c r="H276" s="233" t="s">
        <v>39</v>
      </c>
      <c r="I276" s="237" t="s">
        <v>1009</v>
      </c>
      <c r="J276" s="233" t="s">
        <v>966</v>
      </c>
      <c r="K276" s="223" cm="1">
        <f t="array" ref="K276">_xlfn.XLOOKUP(D276&amp;E276&amp;H276&amp;I276&amp;J276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76" s="330">
        <v>60000</v>
      </c>
      <c r="M276" s="224"/>
      <c r="N276" s="225"/>
      <c r="O276" s="226">
        <v>560000</v>
      </c>
      <c r="P276" s="277">
        <v>0.2</v>
      </c>
      <c r="Q276" s="228">
        <f t="shared" si="195"/>
        <v>0</v>
      </c>
      <c r="R276" s="227"/>
      <c r="S276" s="228">
        <f t="shared" si="178"/>
        <v>0</v>
      </c>
      <c r="T276" s="227">
        <v>0</v>
      </c>
      <c r="U276" s="228">
        <f t="shared" si="171"/>
        <v>0</v>
      </c>
      <c r="V276" s="227"/>
      <c r="W276" s="228">
        <f t="shared" si="194"/>
        <v>0</v>
      </c>
      <c r="X276" s="227">
        <v>0</v>
      </c>
      <c r="Y276" s="228">
        <f t="shared" si="193"/>
        <v>0</v>
      </c>
      <c r="Z276" s="227"/>
      <c r="AA276" s="228">
        <f t="shared" si="179"/>
        <v>0</v>
      </c>
      <c r="AB276" s="227">
        <v>0</v>
      </c>
      <c r="AC276" s="228">
        <f t="shared" si="173"/>
        <v>0</v>
      </c>
      <c r="AD276" s="227"/>
      <c r="AE276" s="228">
        <f t="shared" si="180"/>
        <v>0</v>
      </c>
      <c r="AF276" s="227">
        <v>0</v>
      </c>
      <c r="AG276" s="228">
        <f t="shared" si="172"/>
        <v>0</v>
      </c>
      <c r="AH276" s="227"/>
      <c r="AI276" s="228">
        <f t="shared" si="181"/>
        <v>0</v>
      </c>
      <c r="AJ276" s="227">
        <v>0</v>
      </c>
      <c r="AK276" s="228">
        <f t="shared" si="198"/>
        <v>0</v>
      </c>
      <c r="AL276" s="227"/>
      <c r="AM276" s="228">
        <f t="shared" si="182"/>
        <v>0</v>
      </c>
      <c r="AN276" s="227">
        <v>0</v>
      </c>
      <c r="AO276" s="228">
        <f t="shared" si="199"/>
        <v>0</v>
      </c>
      <c r="AP276" s="228"/>
      <c r="AQ276" s="228">
        <f t="shared" si="183"/>
        <v>0</v>
      </c>
      <c r="AR276" s="228"/>
      <c r="AS276" s="228">
        <f t="shared" si="196"/>
        <v>0</v>
      </c>
      <c r="AT276" s="228"/>
      <c r="AU276" s="228">
        <f t="shared" si="184"/>
        <v>0</v>
      </c>
      <c r="AV276" s="240"/>
      <c r="AW276" s="228">
        <f t="shared" si="197"/>
        <v>0</v>
      </c>
      <c r="AX276" s="227"/>
      <c r="AY276" s="228">
        <f t="shared" si="185"/>
        <v>0</v>
      </c>
      <c r="AZ276" s="227">
        <v>0</v>
      </c>
      <c r="BA276" s="228">
        <f t="shared" si="168"/>
        <v>0</v>
      </c>
      <c r="BB276" s="228"/>
      <c r="BC276" s="228">
        <f t="shared" si="186"/>
        <v>0</v>
      </c>
      <c r="BD276" s="235"/>
      <c r="BE276" s="228">
        <f t="shared" si="169"/>
        <v>0</v>
      </c>
      <c r="BF276" s="235"/>
      <c r="BG276" s="228">
        <f t="shared" si="187"/>
        <v>0</v>
      </c>
      <c r="BH276" s="235"/>
      <c r="BI276" s="228">
        <f t="shared" si="166"/>
        <v>0</v>
      </c>
      <c r="BJ276" s="235"/>
      <c r="BK276" s="228">
        <f t="shared" si="188"/>
        <v>0</v>
      </c>
      <c r="BL276" s="228" t="s">
        <v>1457</v>
      </c>
      <c r="BM276" s="220">
        <f t="shared" si="174"/>
        <v>0</v>
      </c>
      <c r="BN276" s="220"/>
      <c r="BO276" s="220">
        <f t="shared" si="189"/>
        <v>0</v>
      </c>
      <c r="BP276" s="220">
        <f t="shared" si="190"/>
        <v>0</v>
      </c>
      <c r="BQ276" s="220">
        <f t="shared" si="191"/>
        <v>0</v>
      </c>
      <c r="BR276" s="220">
        <f t="shared" si="192"/>
        <v>0</v>
      </c>
      <c r="BS276" s="254" t="s">
        <v>39</v>
      </c>
      <c r="BT276" s="229" t="s">
        <v>39</v>
      </c>
      <c r="BU276" s="230"/>
      <c r="BV276" s="230" t="s">
        <v>949</v>
      </c>
      <c r="BW276" s="231"/>
    </row>
    <row r="277" s="209" customFormat="1" ht="24" customHeight="1" spans="1:75">
      <c r="A277" s="219">
        <v>320</v>
      </c>
      <c r="B277" s="220" t="s">
        <v>1078</v>
      </c>
      <c r="C277" s="221" t="s">
        <v>874</v>
      </c>
      <c r="D277" s="221" t="s">
        <v>984</v>
      </c>
      <c r="E277" s="221" t="s">
        <v>985</v>
      </c>
      <c r="F277" s="219" t="s">
        <v>81</v>
      </c>
      <c r="G277" s="222" t="s">
        <v>374</v>
      </c>
      <c r="H277" s="233" t="s">
        <v>39</v>
      </c>
      <c r="I277" s="237" t="s">
        <v>1011</v>
      </c>
      <c r="J277" s="233" t="s">
        <v>1012</v>
      </c>
      <c r="K277" s="223" cm="1">
        <f t="array" ref="K277">_xlfn.XLOOKUP(D277&amp;E277&amp;H277&amp;I277&amp;J277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2928.58</v>
      </c>
      <c r="L277" s="330"/>
      <c r="M277" s="224"/>
      <c r="N277" s="225"/>
      <c r="O277" s="226">
        <v>360000</v>
      </c>
      <c r="P277" s="227">
        <v>120000</v>
      </c>
      <c r="Q277" s="228">
        <v>12000</v>
      </c>
      <c r="R277" s="227"/>
      <c r="S277" s="228">
        <f t="shared" si="178"/>
        <v>12000</v>
      </c>
      <c r="T277" s="227">
        <v>0</v>
      </c>
      <c r="U277" s="228">
        <f t="shared" si="171"/>
        <v>0</v>
      </c>
      <c r="V277" s="227"/>
      <c r="W277" s="228">
        <f t="shared" si="194"/>
        <v>0</v>
      </c>
      <c r="X277" s="227">
        <v>0</v>
      </c>
      <c r="Y277" s="228">
        <f t="shared" si="193"/>
        <v>0</v>
      </c>
      <c r="Z277" s="227"/>
      <c r="AA277" s="228">
        <f t="shared" si="179"/>
        <v>0</v>
      </c>
      <c r="AB277" s="285">
        <v>0.045</v>
      </c>
      <c r="AC277" s="228">
        <f t="shared" si="173"/>
        <v>131.7861</v>
      </c>
      <c r="AD277" s="227"/>
      <c r="AE277" s="228">
        <f t="shared" si="180"/>
        <v>131.7861</v>
      </c>
      <c r="AF277" s="227">
        <v>0</v>
      </c>
      <c r="AG277" s="228">
        <f t="shared" si="172"/>
        <v>0</v>
      </c>
      <c r="AH277" s="227"/>
      <c r="AI277" s="228">
        <f t="shared" si="181"/>
        <v>0</v>
      </c>
      <c r="AJ277" s="227">
        <v>0</v>
      </c>
      <c r="AK277" s="228">
        <f t="shared" si="198"/>
        <v>0</v>
      </c>
      <c r="AL277" s="227"/>
      <c r="AM277" s="228">
        <f t="shared" si="182"/>
        <v>0</v>
      </c>
      <c r="AN277" s="227">
        <v>0</v>
      </c>
      <c r="AO277" s="228">
        <f t="shared" si="199"/>
        <v>0</v>
      </c>
      <c r="AP277" s="228"/>
      <c r="AQ277" s="228">
        <f t="shared" si="183"/>
        <v>0</v>
      </c>
      <c r="AR277" s="228">
        <v>0</v>
      </c>
      <c r="AS277" s="228">
        <f t="shared" si="196"/>
        <v>0</v>
      </c>
      <c r="AT277" s="228"/>
      <c r="AU277" s="228">
        <f t="shared" si="184"/>
        <v>0</v>
      </c>
      <c r="AV277" s="240"/>
      <c r="AW277" s="228">
        <f t="shared" si="197"/>
        <v>0</v>
      </c>
      <c r="AX277" s="227"/>
      <c r="AY277" s="228">
        <f t="shared" si="185"/>
        <v>0</v>
      </c>
      <c r="AZ277" s="227">
        <v>0</v>
      </c>
      <c r="BA277" s="228">
        <f t="shared" si="168"/>
        <v>0</v>
      </c>
      <c r="BB277" s="228"/>
      <c r="BC277" s="228">
        <f t="shared" si="186"/>
        <v>0</v>
      </c>
      <c r="BD277" s="235"/>
      <c r="BE277" s="228">
        <f t="shared" si="169"/>
        <v>0</v>
      </c>
      <c r="BF277" s="235"/>
      <c r="BG277" s="228">
        <f t="shared" si="187"/>
        <v>0</v>
      </c>
      <c r="BH277" s="235"/>
      <c r="BI277" s="228">
        <f t="shared" si="166"/>
        <v>0</v>
      </c>
      <c r="BJ277" s="235"/>
      <c r="BK277" s="228">
        <f t="shared" si="188"/>
        <v>0</v>
      </c>
      <c r="BL277" s="228" t="s">
        <v>1457</v>
      </c>
      <c r="BM277" s="220">
        <f t="shared" si="174"/>
        <v>0</v>
      </c>
      <c r="BN277" s="220"/>
      <c r="BO277" s="220">
        <f t="shared" si="189"/>
        <v>0</v>
      </c>
      <c r="BP277" s="220">
        <f t="shared" si="190"/>
        <v>12131.7861</v>
      </c>
      <c r="BQ277" s="220">
        <f t="shared" si="191"/>
        <v>0</v>
      </c>
      <c r="BR277" s="220">
        <f t="shared" si="192"/>
        <v>12131.7861</v>
      </c>
      <c r="BS277" s="254" t="s">
        <v>39</v>
      </c>
      <c r="BT277" s="229" t="s">
        <v>39</v>
      </c>
      <c r="BU277" s="230" t="s">
        <v>1013</v>
      </c>
      <c r="BV277" s="230" t="s">
        <v>949</v>
      </c>
      <c r="BW277" s="231"/>
    </row>
    <row r="278" s="209" customFormat="1" ht="24" customHeight="1" spans="1:75">
      <c r="A278" s="219">
        <v>321</v>
      </c>
      <c r="B278" s="220" t="s">
        <v>1082</v>
      </c>
      <c r="C278" s="221" t="s">
        <v>874</v>
      </c>
      <c r="D278" s="221" t="s">
        <v>984</v>
      </c>
      <c r="E278" s="221" t="s">
        <v>985</v>
      </c>
      <c r="F278" s="219" t="s">
        <v>81</v>
      </c>
      <c r="G278" s="222" t="s">
        <v>374</v>
      </c>
      <c r="H278" s="233" t="s">
        <v>39</v>
      </c>
      <c r="I278" s="237" t="s">
        <v>1015</v>
      </c>
      <c r="J278" s="233" t="s">
        <v>1016</v>
      </c>
      <c r="K278" s="223" cm="1">
        <f t="array" ref="K278">_xlfn.XLOOKUP(D278&amp;E278&amp;H278&amp;I278&amp;J278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3140.47</v>
      </c>
      <c r="L278" s="330">
        <v>110000</v>
      </c>
      <c r="M278" s="224"/>
      <c r="N278" s="225"/>
      <c r="O278" s="226">
        <v>920000</v>
      </c>
      <c r="P278" s="277">
        <v>0.2</v>
      </c>
      <c r="Q278" s="228">
        <f>IF(K278&lt;=L278,K278*P278,L278*P278+(K278-L278)*(P278-2%))</f>
        <v>628.094</v>
      </c>
      <c r="R278" s="227"/>
      <c r="S278" s="228">
        <f t="shared" si="178"/>
        <v>628.094</v>
      </c>
      <c r="T278" s="227">
        <v>0</v>
      </c>
      <c r="U278" s="228">
        <f t="shared" si="171"/>
        <v>0</v>
      </c>
      <c r="V278" s="227"/>
      <c r="W278" s="228">
        <f t="shared" si="194"/>
        <v>0</v>
      </c>
      <c r="X278" s="227">
        <v>0</v>
      </c>
      <c r="Y278" s="228">
        <f t="shared" si="193"/>
        <v>0</v>
      </c>
      <c r="Z278" s="227"/>
      <c r="AA278" s="228">
        <f t="shared" si="179"/>
        <v>0</v>
      </c>
      <c r="AB278" s="227">
        <v>0</v>
      </c>
      <c r="AC278" s="228">
        <f t="shared" si="173"/>
        <v>0</v>
      </c>
      <c r="AD278" s="227"/>
      <c r="AE278" s="228">
        <f t="shared" si="180"/>
        <v>0</v>
      </c>
      <c r="AF278" s="227">
        <v>0</v>
      </c>
      <c r="AG278" s="228">
        <f t="shared" si="172"/>
        <v>0</v>
      </c>
      <c r="AH278" s="227"/>
      <c r="AI278" s="228">
        <f t="shared" si="181"/>
        <v>0</v>
      </c>
      <c r="AJ278" s="227">
        <v>0</v>
      </c>
      <c r="AK278" s="228">
        <f t="shared" si="198"/>
        <v>0</v>
      </c>
      <c r="AL278" s="227"/>
      <c r="AM278" s="228">
        <f t="shared" si="182"/>
        <v>0</v>
      </c>
      <c r="AN278" s="227">
        <v>0</v>
      </c>
      <c r="AO278" s="228">
        <f t="shared" si="199"/>
        <v>0</v>
      </c>
      <c r="AP278" s="228"/>
      <c r="AQ278" s="228">
        <f t="shared" si="183"/>
        <v>0</v>
      </c>
      <c r="AR278" s="228"/>
      <c r="AS278" s="228">
        <f t="shared" si="196"/>
        <v>0</v>
      </c>
      <c r="AT278" s="228"/>
      <c r="AU278" s="228">
        <f t="shared" si="184"/>
        <v>0</v>
      </c>
      <c r="AV278" s="240"/>
      <c r="AW278" s="228">
        <f t="shared" si="197"/>
        <v>0</v>
      </c>
      <c r="AX278" s="227"/>
      <c r="AY278" s="228">
        <f t="shared" si="185"/>
        <v>0</v>
      </c>
      <c r="AZ278" s="227">
        <v>0</v>
      </c>
      <c r="BA278" s="228">
        <f t="shared" si="168"/>
        <v>0</v>
      </c>
      <c r="BB278" s="228"/>
      <c r="BC278" s="228">
        <f t="shared" si="186"/>
        <v>0</v>
      </c>
      <c r="BD278" s="235"/>
      <c r="BE278" s="228">
        <f t="shared" si="169"/>
        <v>0</v>
      </c>
      <c r="BF278" s="235"/>
      <c r="BG278" s="228">
        <f t="shared" si="187"/>
        <v>0</v>
      </c>
      <c r="BH278" s="235"/>
      <c r="BI278" s="228">
        <f t="shared" si="166"/>
        <v>0</v>
      </c>
      <c r="BJ278" s="235"/>
      <c r="BK278" s="228">
        <f t="shared" si="188"/>
        <v>0</v>
      </c>
      <c r="BL278" s="228" t="s">
        <v>1457</v>
      </c>
      <c r="BM278" s="220">
        <f t="shared" si="174"/>
        <v>0</v>
      </c>
      <c r="BN278" s="220"/>
      <c r="BO278" s="220">
        <f t="shared" si="189"/>
        <v>0</v>
      </c>
      <c r="BP278" s="220">
        <f t="shared" si="190"/>
        <v>628.094</v>
      </c>
      <c r="BQ278" s="220">
        <f t="shared" si="191"/>
        <v>0</v>
      </c>
      <c r="BR278" s="220">
        <f t="shared" si="192"/>
        <v>628.094</v>
      </c>
      <c r="BS278" s="254" t="s">
        <v>39</v>
      </c>
      <c r="BT278" s="229" t="s">
        <v>39</v>
      </c>
      <c r="BU278" s="230"/>
      <c r="BV278" s="230" t="s">
        <v>949</v>
      </c>
      <c r="BW278" s="231"/>
    </row>
    <row r="279" s="209" customFormat="1" ht="24" customHeight="1" spans="1:75">
      <c r="A279" s="219">
        <v>322</v>
      </c>
      <c r="B279" s="220" t="s">
        <v>1085</v>
      </c>
      <c r="C279" s="221" t="s">
        <v>874</v>
      </c>
      <c r="D279" s="221" t="s">
        <v>984</v>
      </c>
      <c r="E279" s="221" t="s">
        <v>985</v>
      </c>
      <c r="F279" s="219" t="s">
        <v>81</v>
      </c>
      <c r="G279" s="222" t="s">
        <v>374</v>
      </c>
      <c r="H279" s="233" t="s">
        <v>39</v>
      </c>
      <c r="I279" s="237" t="s">
        <v>1018</v>
      </c>
      <c r="J279" s="233" t="s">
        <v>1016</v>
      </c>
      <c r="K279" s="223" cm="1">
        <f t="array" ref="K279">_xlfn.XLOOKUP(D279&amp;E279&amp;H279&amp;I279&amp;J279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22043.9</v>
      </c>
      <c r="L279" s="330"/>
      <c r="M279" s="224"/>
      <c r="N279" s="225"/>
      <c r="O279" s="226">
        <v>700000</v>
      </c>
      <c r="P279" s="277">
        <v>0.1</v>
      </c>
      <c r="Q279" s="228">
        <f>K279*P279</f>
        <v>2204.39</v>
      </c>
      <c r="R279" s="227"/>
      <c r="S279" s="228">
        <f t="shared" si="178"/>
        <v>2204.39</v>
      </c>
      <c r="T279" s="227">
        <v>0</v>
      </c>
      <c r="U279" s="228">
        <f t="shared" si="171"/>
        <v>0</v>
      </c>
      <c r="V279" s="227"/>
      <c r="W279" s="228">
        <f t="shared" si="194"/>
        <v>0</v>
      </c>
      <c r="X279" s="227">
        <v>0</v>
      </c>
      <c r="Y279" s="228">
        <f t="shared" si="193"/>
        <v>0</v>
      </c>
      <c r="Z279" s="227"/>
      <c r="AA279" s="228">
        <f t="shared" si="179"/>
        <v>0</v>
      </c>
      <c r="AB279" s="227">
        <v>0</v>
      </c>
      <c r="AC279" s="228">
        <f t="shared" si="173"/>
        <v>0</v>
      </c>
      <c r="AD279" s="227"/>
      <c r="AE279" s="228">
        <f t="shared" si="180"/>
        <v>0</v>
      </c>
      <c r="AF279" s="227">
        <v>0</v>
      </c>
      <c r="AG279" s="228">
        <f t="shared" si="172"/>
        <v>0</v>
      </c>
      <c r="AH279" s="227"/>
      <c r="AI279" s="228">
        <f t="shared" si="181"/>
        <v>0</v>
      </c>
      <c r="AJ279" s="227">
        <v>0</v>
      </c>
      <c r="AK279" s="228">
        <f t="shared" si="198"/>
        <v>0</v>
      </c>
      <c r="AL279" s="227"/>
      <c r="AM279" s="228">
        <f t="shared" si="182"/>
        <v>0</v>
      </c>
      <c r="AN279" s="227">
        <v>0</v>
      </c>
      <c r="AO279" s="228">
        <f t="shared" si="199"/>
        <v>0</v>
      </c>
      <c r="AP279" s="228"/>
      <c r="AQ279" s="228">
        <f t="shared" si="183"/>
        <v>0</v>
      </c>
      <c r="AR279" s="228"/>
      <c r="AS279" s="228">
        <f t="shared" si="196"/>
        <v>0</v>
      </c>
      <c r="AT279" s="228"/>
      <c r="AU279" s="228">
        <f t="shared" si="184"/>
        <v>0</v>
      </c>
      <c r="AV279" s="240"/>
      <c r="AW279" s="228">
        <f t="shared" si="197"/>
        <v>0</v>
      </c>
      <c r="AX279" s="227"/>
      <c r="AY279" s="228">
        <f t="shared" si="185"/>
        <v>0</v>
      </c>
      <c r="AZ279" s="227">
        <v>0</v>
      </c>
      <c r="BA279" s="228">
        <f t="shared" si="168"/>
        <v>0</v>
      </c>
      <c r="BB279" s="228"/>
      <c r="BC279" s="228">
        <f t="shared" si="186"/>
        <v>0</v>
      </c>
      <c r="BD279" s="235"/>
      <c r="BE279" s="228">
        <f t="shared" si="169"/>
        <v>0</v>
      </c>
      <c r="BF279" s="235"/>
      <c r="BG279" s="228">
        <f t="shared" si="187"/>
        <v>0</v>
      </c>
      <c r="BH279" s="235"/>
      <c r="BI279" s="228">
        <f t="shared" si="166"/>
        <v>0</v>
      </c>
      <c r="BJ279" s="235"/>
      <c r="BK279" s="228">
        <f t="shared" si="188"/>
        <v>0</v>
      </c>
      <c r="BL279" s="228" t="s">
        <v>1457</v>
      </c>
      <c r="BM279" s="220">
        <f t="shared" si="174"/>
        <v>0</v>
      </c>
      <c r="BN279" s="220"/>
      <c r="BO279" s="220">
        <f t="shared" si="189"/>
        <v>0</v>
      </c>
      <c r="BP279" s="220">
        <f t="shared" si="190"/>
        <v>2204.39</v>
      </c>
      <c r="BQ279" s="220">
        <f t="shared" si="191"/>
        <v>0</v>
      </c>
      <c r="BR279" s="220">
        <f t="shared" si="192"/>
        <v>2204.39</v>
      </c>
      <c r="BS279" s="254" t="s">
        <v>39</v>
      </c>
      <c r="BT279" s="229" t="s">
        <v>39</v>
      </c>
      <c r="BU279" s="230"/>
      <c r="BV279" s="230" t="s">
        <v>949</v>
      </c>
      <c r="BW279" s="231"/>
    </row>
    <row r="280" s="209" customFormat="1" ht="24" customHeight="1" spans="1:75">
      <c r="A280" s="219">
        <v>323</v>
      </c>
      <c r="B280" s="220" t="s">
        <v>1089</v>
      </c>
      <c r="C280" s="221" t="s">
        <v>874</v>
      </c>
      <c r="D280" s="221" t="s">
        <v>984</v>
      </c>
      <c r="E280" s="221" t="s">
        <v>985</v>
      </c>
      <c r="F280" s="219" t="s">
        <v>81</v>
      </c>
      <c r="G280" s="222" t="s">
        <v>374</v>
      </c>
      <c r="H280" s="233" t="s">
        <v>39</v>
      </c>
      <c r="I280" s="237" t="s">
        <v>459</v>
      </c>
      <c r="J280" s="233" t="s">
        <v>1020</v>
      </c>
      <c r="K280" s="223" cm="1">
        <f t="array" ref="K280">_xlfn.XLOOKUP(D280&amp;E280&amp;H280&amp;I280&amp;J280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1766.13</v>
      </c>
      <c r="L280" s="330">
        <v>25000</v>
      </c>
      <c r="M280" s="224"/>
      <c r="N280" s="225"/>
      <c r="O280" s="226">
        <v>230000</v>
      </c>
      <c r="P280" s="277">
        <v>0.18</v>
      </c>
      <c r="Q280" s="228">
        <f>IF(K280&lt;=L280,K280*P280,L280*P280+(K280-L280)*(P280-2%))</f>
        <v>317.9034</v>
      </c>
      <c r="R280" s="227"/>
      <c r="S280" s="228">
        <f t="shared" si="178"/>
        <v>317.9034</v>
      </c>
      <c r="T280" s="227">
        <v>0</v>
      </c>
      <c r="U280" s="228">
        <f t="shared" si="171"/>
        <v>0</v>
      </c>
      <c r="V280" s="227"/>
      <c r="W280" s="228">
        <f t="shared" si="194"/>
        <v>0</v>
      </c>
      <c r="X280" s="227">
        <v>0</v>
      </c>
      <c r="Y280" s="228">
        <f t="shared" si="193"/>
        <v>0</v>
      </c>
      <c r="Z280" s="227"/>
      <c r="AA280" s="228">
        <f t="shared" si="179"/>
        <v>0</v>
      </c>
      <c r="AB280" s="227">
        <v>0</v>
      </c>
      <c r="AC280" s="228">
        <f t="shared" si="173"/>
        <v>0</v>
      </c>
      <c r="AD280" s="227"/>
      <c r="AE280" s="228">
        <f t="shared" si="180"/>
        <v>0</v>
      </c>
      <c r="AF280" s="227">
        <v>0</v>
      </c>
      <c r="AG280" s="228">
        <f t="shared" si="172"/>
        <v>0</v>
      </c>
      <c r="AH280" s="227"/>
      <c r="AI280" s="228">
        <f t="shared" si="181"/>
        <v>0</v>
      </c>
      <c r="AJ280" s="227">
        <v>0</v>
      </c>
      <c r="AK280" s="228">
        <f t="shared" si="198"/>
        <v>0</v>
      </c>
      <c r="AL280" s="227"/>
      <c r="AM280" s="228">
        <f t="shared" si="182"/>
        <v>0</v>
      </c>
      <c r="AN280" s="227">
        <v>0</v>
      </c>
      <c r="AO280" s="228">
        <f t="shared" si="199"/>
        <v>0</v>
      </c>
      <c r="AP280" s="228"/>
      <c r="AQ280" s="228">
        <f t="shared" si="183"/>
        <v>0</v>
      </c>
      <c r="AR280" s="228"/>
      <c r="AS280" s="228">
        <f t="shared" si="196"/>
        <v>0</v>
      </c>
      <c r="AT280" s="228"/>
      <c r="AU280" s="228">
        <f t="shared" si="184"/>
        <v>0</v>
      </c>
      <c r="AV280" s="240"/>
      <c r="AW280" s="228">
        <f t="shared" si="197"/>
        <v>0</v>
      </c>
      <c r="AX280" s="227"/>
      <c r="AY280" s="228">
        <f t="shared" si="185"/>
        <v>0</v>
      </c>
      <c r="AZ280" s="227">
        <v>0</v>
      </c>
      <c r="BA280" s="228">
        <f t="shared" si="168"/>
        <v>0</v>
      </c>
      <c r="BB280" s="228"/>
      <c r="BC280" s="228">
        <f t="shared" si="186"/>
        <v>0</v>
      </c>
      <c r="BD280" s="235"/>
      <c r="BE280" s="228">
        <f t="shared" si="169"/>
        <v>0</v>
      </c>
      <c r="BF280" s="235"/>
      <c r="BG280" s="228">
        <f t="shared" si="187"/>
        <v>0</v>
      </c>
      <c r="BH280" s="235"/>
      <c r="BI280" s="228">
        <f t="shared" si="166"/>
        <v>0</v>
      </c>
      <c r="BJ280" s="235"/>
      <c r="BK280" s="228">
        <f t="shared" si="188"/>
        <v>0</v>
      </c>
      <c r="BL280" s="228" t="s">
        <v>1457</v>
      </c>
      <c r="BM280" s="220">
        <f t="shared" si="174"/>
        <v>0</v>
      </c>
      <c r="BN280" s="220"/>
      <c r="BO280" s="220">
        <f t="shared" si="189"/>
        <v>0</v>
      </c>
      <c r="BP280" s="220">
        <f t="shared" si="190"/>
        <v>317.9034</v>
      </c>
      <c r="BQ280" s="220">
        <f t="shared" si="191"/>
        <v>0</v>
      </c>
      <c r="BR280" s="220">
        <f t="shared" si="192"/>
        <v>317.9034</v>
      </c>
      <c r="BS280" s="254" t="s">
        <v>39</v>
      </c>
      <c r="BT280" s="229" t="s">
        <v>39</v>
      </c>
      <c r="BU280" s="230"/>
      <c r="BV280" s="230" t="s">
        <v>949</v>
      </c>
      <c r="BW280" s="231"/>
    </row>
    <row r="281" s="209" customFormat="1" ht="24" customHeight="1" spans="1:75">
      <c r="A281" s="219">
        <v>324</v>
      </c>
      <c r="B281" s="220" t="s">
        <v>1091</v>
      </c>
      <c r="C281" s="221" t="s">
        <v>874</v>
      </c>
      <c r="D281" s="221" t="s">
        <v>984</v>
      </c>
      <c r="E281" s="221" t="s">
        <v>985</v>
      </c>
      <c r="F281" s="219" t="s">
        <v>81</v>
      </c>
      <c r="G281" s="222" t="s">
        <v>374</v>
      </c>
      <c r="H281" s="233" t="s">
        <v>39</v>
      </c>
      <c r="I281" s="237" t="s">
        <v>87</v>
      </c>
      <c r="J281" s="233" t="s">
        <v>912</v>
      </c>
      <c r="K281" s="223" cm="1">
        <f t="array" ref="K281">_xlfn.XLOOKUP(D281&amp;E281&amp;H281&amp;I281&amp;J281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4156.1</v>
      </c>
      <c r="L281" s="330"/>
      <c r="M281" s="224"/>
      <c r="N281" s="225"/>
      <c r="O281" s="226">
        <v>520000</v>
      </c>
      <c r="P281" s="227">
        <v>200000</v>
      </c>
      <c r="Q281" s="228">
        <v>20000</v>
      </c>
      <c r="R281" s="227"/>
      <c r="S281" s="228">
        <f t="shared" si="178"/>
        <v>20000</v>
      </c>
      <c r="T281" s="227">
        <v>0</v>
      </c>
      <c r="U281" s="228">
        <f t="shared" si="171"/>
        <v>0</v>
      </c>
      <c r="V281" s="227"/>
      <c r="W281" s="228">
        <f t="shared" si="194"/>
        <v>0</v>
      </c>
      <c r="X281" s="227">
        <v>0</v>
      </c>
      <c r="Y281" s="228">
        <f t="shared" si="193"/>
        <v>0</v>
      </c>
      <c r="Z281" s="227"/>
      <c r="AA281" s="228">
        <f t="shared" si="179"/>
        <v>0</v>
      </c>
      <c r="AB281" s="227">
        <v>0</v>
      </c>
      <c r="AC281" s="228">
        <f t="shared" si="173"/>
        <v>0</v>
      </c>
      <c r="AD281" s="227"/>
      <c r="AE281" s="228">
        <f t="shared" si="180"/>
        <v>0</v>
      </c>
      <c r="AF281" s="227">
        <v>0</v>
      </c>
      <c r="AG281" s="228">
        <f t="shared" si="172"/>
        <v>0</v>
      </c>
      <c r="AH281" s="227"/>
      <c r="AI281" s="228">
        <f t="shared" si="181"/>
        <v>0</v>
      </c>
      <c r="AJ281" s="227">
        <v>0</v>
      </c>
      <c r="AK281" s="228">
        <f t="shared" si="198"/>
        <v>0</v>
      </c>
      <c r="AL281" s="227"/>
      <c r="AM281" s="228">
        <f t="shared" si="182"/>
        <v>0</v>
      </c>
      <c r="AN281" s="227">
        <v>0</v>
      </c>
      <c r="AO281" s="228">
        <f t="shared" si="199"/>
        <v>0</v>
      </c>
      <c r="AP281" s="228"/>
      <c r="AQ281" s="228">
        <f t="shared" si="183"/>
        <v>0</v>
      </c>
      <c r="AR281" s="228">
        <v>0</v>
      </c>
      <c r="AS281" s="228">
        <f t="shared" si="196"/>
        <v>0</v>
      </c>
      <c r="AT281" s="228"/>
      <c r="AU281" s="228">
        <f t="shared" si="184"/>
        <v>0</v>
      </c>
      <c r="AV281" s="228"/>
      <c r="AW281" s="228">
        <f t="shared" si="197"/>
        <v>0</v>
      </c>
      <c r="AX281" s="227"/>
      <c r="AY281" s="228">
        <f t="shared" si="185"/>
        <v>0</v>
      </c>
      <c r="AZ281" s="227">
        <v>0</v>
      </c>
      <c r="BA281" s="228">
        <f t="shared" si="168"/>
        <v>0</v>
      </c>
      <c r="BB281" s="228"/>
      <c r="BC281" s="228">
        <f t="shared" si="186"/>
        <v>0</v>
      </c>
      <c r="BD281" s="228"/>
      <c r="BE281" s="228">
        <f t="shared" si="169"/>
        <v>0</v>
      </c>
      <c r="BF281" s="228"/>
      <c r="BG281" s="228">
        <f t="shared" si="187"/>
        <v>0</v>
      </c>
      <c r="BH281" s="228"/>
      <c r="BI281" s="228">
        <f t="shared" ref="BI281:BI344" si="200">K281*BH281</f>
        <v>0</v>
      </c>
      <c r="BJ281" s="228"/>
      <c r="BK281" s="228">
        <f t="shared" si="188"/>
        <v>0</v>
      </c>
      <c r="BL281" s="228">
        <v>0</v>
      </c>
      <c r="BM281" s="220">
        <f>K281*BL281</f>
        <v>0</v>
      </c>
      <c r="BN281" s="220"/>
      <c r="BO281" s="220">
        <f t="shared" si="189"/>
        <v>0</v>
      </c>
      <c r="BP281" s="220">
        <f t="shared" si="190"/>
        <v>20000</v>
      </c>
      <c r="BQ281" s="220">
        <f t="shared" si="191"/>
        <v>0</v>
      </c>
      <c r="BR281" s="220">
        <f t="shared" si="192"/>
        <v>20000</v>
      </c>
      <c r="BS281" s="254" t="s">
        <v>39</v>
      </c>
      <c r="BT281" s="229" t="s">
        <v>39</v>
      </c>
      <c r="BU281" s="230" t="s">
        <v>1022</v>
      </c>
      <c r="BV281" s="230" t="s">
        <v>1023</v>
      </c>
      <c r="BW281" s="231"/>
    </row>
    <row r="282" s="209" customFormat="1" ht="36" customHeight="1" spans="1:75">
      <c r="A282" s="219">
        <v>326</v>
      </c>
      <c r="B282" s="220" t="s">
        <v>1098</v>
      </c>
      <c r="C282" s="221" t="s">
        <v>874</v>
      </c>
      <c r="D282" s="221" t="s">
        <v>1025</v>
      </c>
      <c r="E282" s="221" t="s">
        <v>1026</v>
      </c>
      <c r="F282" s="219" t="s">
        <v>81</v>
      </c>
      <c r="G282" s="222" t="s">
        <v>38</v>
      </c>
      <c r="H282" s="233" t="s">
        <v>39</v>
      </c>
      <c r="I282" s="237" t="s">
        <v>1029</v>
      </c>
      <c r="J282" s="233" t="s">
        <v>1030</v>
      </c>
      <c r="K282" s="223" cm="1">
        <f t="array" ref="K282">_xlfn.XLOOKUP(D282&amp;E282&amp;H282&amp;I282&amp;J282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2" s="223"/>
      <c r="M282" s="224"/>
      <c r="N282" s="257"/>
      <c r="O282" s="226">
        <v>1080000</v>
      </c>
      <c r="P282" s="235">
        <v>0.14</v>
      </c>
      <c r="Q282" s="228">
        <f t="shared" ref="Q282:Q336" si="201">K282*P282</f>
        <v>0</v>
      </c>
      <c r="R282" s="259"/>
      <c r="S282" s="228">
        <f t="shared" si="178"/>
        <v>0</v>
      </c>
      <c r="T282" s="235">
        <v>0</v>
      </c>
      <c r="U282" s="228">
        <f t="shared" si="171"/>
        <v>0</v>
      </c>
      <c r="V282" s="228"/>
      <c r="W282" s="228">
        <f t="shared" si="194"/>
        <v>0</v>
      </c>
      <c r="X282" s="235">
        <v>0.02</v>
      </c>
      <c r="Y282" s="228">
        <f t="shared" si="193"/>
        <v>0</v>
      </c>
      <c r="Z282" s="259"/>
      <c r="AA282" s="228">
        <f t="shared" si="179"/>
        <v>0</v>
      </c>
      <c r="AB282" s="235">
        <v>0</v>
      </c>
      <c r="AC282" s="228">
        <f t="shared" si="173"/>
        <v>0</v>
      </c>
      <c r="AD282" s="228"/>
      <c r="AE282" s="228">
        <f t="shared" si="180"/>
        <v>0</v>
      </c>
      <c r="AF282" s="235">
        <v>0</v>
      </c>
      <c r="AG282" s="228">
        <f t="shared" si="172"/>
        <v>0</v>
      </c>
      <c r="AH282" s="228"/>
      <c r="AI282" s="228">
        <f t="shared" si="181"/>
        <v>0</v>
      </c>
      <c r="AJ282" s="235">
        <v>0</v>
      </c>
      <c r="AK282" s="228">
        <f t="shared" si="198"/>
        <v>0</v>
      </c>
      <c r="AL282" s="228"/>
      <c r="AM282" s="228">
        <f t="shared" si="182"/>
        <v>0</v>
      </c>
      <c r="AN282" s="235">
        <v>0</v>
      </c>
      <c r="AO282" s="228">
        <f t="shared" si="199"/>
        <v>0</v>
      </c>
      <c r="AP282" s="228"/>
      <c r="AQ282" s="228">
        <f t="shared" si="183"/>
        <v>0</v>
      </c>
      <c r="AR282" s="247">
        <v>0.02</v>
      </c>
      <c r="AS282" s="228">
        <f t="shared" si="196"/>
        <v>0</v>
      </c>
      <c r="AT282" s="259"/>
      <c r="AU282" s="228">
        <f t="shared" si="184"/>
        <v>0</v>
      </c>
      <c r="AV282" s="235">
        <v>0.07</v>
      </c>
      <c r="AW282" s="228">
        <f t="shared" si="197"/>
        <v>0</v>
      </c>
      <c r="AX282" s="259"/>
      <c r="AY282" s="331">
        <f t="shared" si="185"/>
        <v>0</v>
      </c>
      <c r="AZ282" s="235" t="s">
        <v>1457</v>
      </c>
      <c r="BA282" s="228">
        <f t="shared" ref="BA282:BA297" si="202">BB282</f>
        <v>0</v>
      </c>
      <c r="BB282" s="228"/>
      <c r="BC282" s="228">
        <f t="shared" si="186"/>
        <v>0</v>
      </c>
      <c r="BD282" s="235">
        <v>0</v>
      </c>
      <c r="BE282" s="228">
        <f t="shared" si="169"/>
        <v>0</v>
      </c>
      <c r="BF282" s="228"/>
      <c r="BG282" s="228">
        <f t="shared" si="187"/>
        <v>0</v>
      </c>
      <c r="BH282" s="235">
        <v>0</v>
      </c>
      <c r="BI282" s="228">
        <f t="shared" si="200"/>
        <v>0</v>
      </c>
      <c r="BJ282" s="228"/>
      <c r="BK282" s="228">
        <f t="shared" si="188"/>
        <v>0</v>
      </c>
      <c r="BL282" s="235" t="s">
        <v>1457</v>
      </c>
      <c r="BM282" s="220">
        <f t="shared" ref="BM282:BM297" si="203">BN282</f>
        <v>0</v>
      </c>
      <c r="BN282" s="332"/>
      <c r="BO282" s="220">
        <f t="shared" si="189"/>
        <v>0</v>
      </c>
      <c r="BP282" s="220">
        <f t="shared" si="190"/>
        <v>0</v>
      </c>
      <c r="BQ282" s="220">
        <f t="shared" si="191"/>
        <v>0</v>
      </c>
      <c r="BR282" s="220">
        <f t="shared" si="192"/>
        <v>0</v>
      </c>
      <c r="BS282" s="236" t="s">
        <v>39</v>
      </c>
      <c r="BT282" s="236" t="s">
        <v>39</v>
      </c>
      <c r="BU282" s="230" t="s">
        <v>1031</v>
      </c>
      <c r="BV282" s="230" t="s">
        <v>1032</v>
      </c>
      <c r="BW282" s="231"/>
    </row>
    <row r="283" s="209" customFormat="1" ht="36" customHeight="1" spans="1:75">
      <c r="A283" s="219">
        <v>327</v>
      </c>
      <c r="B283" s="220" t="s">
        <v>1101</v>
      </c>
      <c r="C283" s="221" t="s">
        <v>874</v>
      </c>
      <c r="D283" s="221" t="s">
        <v>1025</v>
      </c>
      <c r="E283" s="221" t="s">
        <v>1026</v>
      </c>
      <c r="F283" s="219" t="s">
        <v>81</v>
      </c>
      <c r="G283" s="222" t="s">
        <v>38</v>
      </c>
      <c r="H283" s="233" t="s">
        <v>39</v>
      </c>
      <c r="I283" s="237" t="s">
        <v>130</v>
      </c>
      <c r="J283" s="222" t="s">
        <v>1034</v>
      </c>
      <c r="K283" s="223" cm="1">
        <f t="array" ref="K283">_xlfn.XLOOKUP(D283&amp;E283&amp;H283&amp;I283&amp;J283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3" s="223"/>
      <c r="M283" s="224"/>
      <c r="N283" s="257"/>
      <c r="O283" s="226">
        <v>800000</v>
      </c>
      <c r="P283" s="235">
        <v>0.15</v>
      </c>
      <c r="Q283" s="228">
        <f t="shared" si="201"/>
        <v>0</v>
      </c>
      <c r="R283" s="259"/>
      <c r="S283" s="228">
        <f t="shared" si="178"/>
        <v>0</v>
      </c>
      <c r="T283" s="235">
        <v>0</v>
      </c>
      <c r="U283" s="228">
        <f t="shared" si="171"/>
        <v>0</v>
      </c>
      <c r="V283" s="228"/>
      <c r="W283" s="228">
        <f t="shared" si="194"/>
        <v>0</v>
      </c>
      <c r="X283" s="235">
        <v>0.02</v>
      </c>
      <c r="Y283" s="228">
        <f t="shared" si="193"/>
        <v>0</v>
      </c>
      <c r="Z283" s="259"/>
      <c r="AA283" s="228">
        <f t="shared" si="179"/>
        <v>0</v>
      </c>
      <c r="AB283" s="235">
        <v>0</v>
      </c>
      <c r="AC283" s="228">
        <f t="shared" si="173"/>
        <v>0</v>
      </c>
      <c r="AD283" s="228"/>
      <c r="AE283" s="228">
        <f t="shared" si="180"/>
        <v>0</v>
      </c>
      <c r="AF283" s="235">
        <v>0</v>
      </c>
      <c r="AG283" s="228">
        <f t="shared" si="172"/>
        <v>0</v>
      </c>
      <c r="AH283" s="228"/>
      <c r="AI283" s="228">
        <f t="shared" si="181"/>
        <v>0</v>
      </c>
      <c r="AJ283" s="235">
        <v>0</v>
      </c>
      <c r="AK283" s="228">
        <f t="shared" si="198"/>
        <v>0</v>
      </c>
      <c r="AL283" s="228"/>
      <c r="AM283" s="228">
        <f t="shared" si="182"/>
        <v>0</v>
      </c>
      <c r="AN283" s="235">
        <v>0</v>
      </c>
      <c r="AO283" s="228">
        <f t="shared" si="199"/>
        <v>0</v>
      </c>
      <c r="AP283" s="228"/>
      <c r="AQ283" s="228">
        <f t="shared" si="183"/>
        <v>0</v>
      </c>
      <c r="AR283" s="247">
        <v>0.02</v>
      </c>
      <c r="AS283" s="228">
        <f t="shared" si="196"/>
        <v>0</v>
      </c>
      <c r="AT283" s="259"/>
      <c r="AU283" s="228">
        <f t="shared" si="184"/>
        <v>0</v>
      </c>
      <c r="AV283" s="235">
        <v>0.07</v>
      </c>
      <c r="AW283" s="228">
        <f t="shared" si="197"/>
        <v>0</v>
      </c>
      <c r="AX283" s="259"/>
      <c r="AY283" s="331">
        <f t="shared" si="185"/>
        <v>0</v>
      </c>
      <c r="AZ283" s="235" t="s">
        <v>1457</v>
      </c>
      <c r="BA283" s="228">
        <f t="shared" si="202"/>
        <v>0</v>
      </c>
      <c r="BB283" s="228"/>
      <c r="BC283" s="228">
        <f t="shared" si="186"/>
        <v>0</v>
      </c>
      <c r="BD283" s="235">
        <v>0</v>
      </c>
      <c r="BE283" s="228">
        <f t="shared" si="169"/>
        <v>0</v>
      </c>
      <c r="BF283" s="228"/>
      <c r="BG283" s="228">
        <f t="shared" si="187"/>
        <v>0</v>
      </c>
      <c r="BH283" s="235">
        <v>0</v>
      </c>
      <c r="BI283" s="228">
        <f t="shared" si="200"/>
        <v>0</v>
      </c>
      <c r="BJ283" s="228"/>
      <c r="BK283" s="228">
        <f t="shared" si="188"/>
        <v>0</v>
      </c>
      <c r="BL283" s="235" t="s">
        <v>1457</v>
      </c>
      <c r="BM283" s="220">
        <f t="shared" si="203"/>
        <v>0</v>
      </c>
      <c r="BN283" s="332"/>
      <c r="BO283" s="220">
        <f t="shared" si="189"/>
        <v>0</v>
      </c>
      <c r="BP283" s="220">
        <f t="shared" si="190"/>
        <v>0</v>
      </c>
      <c r="BQ283" s="220">
        <f t="shared" si="191"/>
        <v>0</v>
      </c>
      <c r="BR283" s="220">
        <f t="shared" si="192"/>
        <v>0</v>
      </c>
      <c r="BS283" s="236" t="s">
        <v>39</v>
      </c>
      <c r="BT283" s="236" t="s">
        <v>39</v>
      </c>
      <c r="BU283" s="230" t="s">
        <v>1031</v>
      </c>
      <c r="BV283" s="230" t="s">
        <v>1032</v>
      </c>
      <c r="BW283" s="231"/>
    </row>
    <row r="284" s="209" customFormat="1" ht="36" customHeight="1" spans="1:75">
      <c r="A284" s="219">
        <v>328</v>
      </c>
      <c r="B284" s="220" t="s">
        <v>1104</v>
      </c>
      <c r="C284" s="221" t="s">
        <v>874</v>
      </c>
      <c r="D284" s="221" t="s">
        <v>1025</v>
      </c>
      <c r="E284" s="221" t="s">
        <v>1026</v>
      </c>
      <c r="F284" s="219" t="s">
        <v>81</v>
      </c>
      <c r="G284" s="222" t="s">
        <v>38</v>
      </c>
      <c r="H284" s="233" t="s">
        <v>39</v>
      </c>
      <c r="I284" s="237" t="s">
        <v>1036</v>
      </c>
      <c r="J284" s="222" t="s">
        <v>1037</v>
      </c>
      <c r="K284" s="223" cm="1">
        <f t="array" ref="K284">_xlfn.XLOOKUP(D284&amp;E284&amp;H284&amp;I284&amp;J284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4" s="223"/>
      <c r="M284" s="224"/>
      <c r="N284" s="257"/>
      <c r="O284" s="226">
        <v>800000</v>
      </c>
      <c r="P284" s="235">
        <v>0.15</v>
      </c>
      <c r="Q284" s="228">
        <f t="shared" si="201"/>
        <v>0</v>
      </c>
      <c r="R284" s="259"/>
      <c r="S284" s="228">
        <f t="shared" si="178"/>
        <v>0</v>
      </c>
      <c r="T284" s="235">
        <v>0</v>
      </c>
      <c r="U284" s="228">
        <f t="shared" si="171"/>
        <v>0</v>
      </c>
      <c r="V284" s="228"/>
      <c r="W284" s="228">
        <f t="shared" si="194"/>
        <v>0</v>
      </c>
      <c r="X284" s="235">
        <v>0.02</v>
      </c>
      <c r="Y284" s="228">
        <f t="shared" si="193"/>
        <v>0</v>
      </c>
      <c r="Z284" s="259"/>
      <c r="AA284" s="228">
        <f t="shared" si="179"/>
        <v>0</v>
      </c>
      <c r="AB284" s="235">
        <v>0</v>
      </c>
      <c r="AC284" s="228">
        <f t="shared" si="173"/>
        <v>0</v>
      </c>
      <c r="AD284" s="228"/>
      <c r="AE284" s="228">
        <f t="shared" si="180"/>
        <v>0</v>
      </c>
      <c r="AF284" s="235">
        <v>0</v>
      </c>
      <c r="AG284" s="228">
        <f t="shared" si="172"/>
        <v>0</v>
      </c>
      <c r="AH284" s="228"/>
      <c r="AI284" s="228">
        <f t="shared" si="181"/>
        <v>0</v>
      </c>
      <c r="AJ284" s="235">
        <v>0</v>
      </c>
      <c r="AK284" s="228">
        <f t="shared" si="198"/>
        <v>0</v>
      </c>
      <c r="AL284" s="228"/>
      <c r="AM284" s="228">
        <f t="shared" si="182"/>
        <v>0</v>
      </c>
      <c r="AN284" s="235">
        <v>0</v>
      </c>
      <c r="AO284" s="228">
        <f t="shared" si="199"/>
        <v>0</v>
      </c>
      <c r="AP284" s="228"/>
      <c r="AQ284" s="228">
        <f t="shared" si="183"/>
        <v>0</v>
      </c>
      <c r="AR284" s="247">
        <v>0.02</v>
      </c>
      <c r="AS284" s="228">
        <f t="shared" si="196"/>
        <v>0</v>
      </c>
      <c r="AT284" s="259"/>
      <c r="AU284" s="228">
        <f t="shared" si="184"/>
        <v>0</v>
      </c>
      <c r="AV284" s="235">
        <v>0.07</v>
      </c>
      <c r="AW284" s="228">
        <f t="shared" si="197"/>
        <v>0</v>
      </c>
      <c r="AX284" s="259"/>
      <c r="AY284" s="331">
        <f t="shared" si="185"/>
        <v>0</v>
      </c>
      <c r="AZ284" s="235" t="s">
        <v>1457</v>
      </c>
      <c r="BA284" s="228">
        <f t="shared" si="202"/>
        <v>0</v>
      </c>
      <c r="BB284" s="228"/>
      <c r="BC284" s="228">
        <f t="shared" si="186"/>
        <v>0</v>
      </c>
      <c r="BD284" s="235">
        <v>0</v>
      </c>
      <c r="BE284" s="228">
        <f t="shared" si="169"/>
        <v>0</v>
      </c>
      <c r="BF284" s="228"/>
      <c r="BG284" s="228">
        <f t="shared" si="187"/>
        <v>0</v>
      </c>
      <c r="BH284" s="235">
        <v>0</v>
      </c>
      <c r="BI284" s="228">
        <f t="shared" si="200"/>
        <v>0</v>
      </c>
      <c r="BJ284" s="228"/>
      <c r="BK284" s="228">
        <f t="shared" si="188"/>
        <v>0</v>
      </c>
      <c r="BL284" s="235" t="s">
        <v>1457</v>
      </c>
      <c r="BM284" s="220">
        <f t="shared" si="203"/>
        <v>0</v>
      </c>
      <c r="BN284" s="332"/>
      <c r="BO284" s="220">
        <f t="shared" si="189"/>
        <v>0</v>
      </c>
      <c r="BP284" s="220">
        <f t="shared" si="190"/>
        <v>0</v>
      </c>
      <c r="BQ284" s="220">
        <f t="shared" si="191"/>
        <v>0</v>
      </c>
      <c r="BR284" s="220">
        <f t="shared" si="192"/>
        <v>0</v>
      </c>
      <c r="BS284" s="236" t="s">
        <v>39</v>
      </c>
      <c r="BT284" s="236" t="s">
        <v>39</v>
      </c>
      <c r="BU284" s="230" t="s">
        <v>1031</v>
      </c>
      <c r="BV284" s="230" t="s">
        <v>1032</v>
      </c>
      <c r="BW284" s="231"/>
    </row>
    <row r="285" s="209" customFormat="1" ht="36" customHeight="1" spans="1:75">
      <c r="A285" s="219">
        <v>329</v>
      </c>
      <c r="B285" s="220" t="s">
        <v>1107</v>
      </c>
      <c r="C285" s="221" t="s">
        <v>874</v>
      </c>
      <c r="D285" s="221" t="s">
        <v>1025</v>
      </c>
      <c r="E285" s="221" t="s">
        <v>1026</v>
      </c>
      <c r="F285" s="219" t="s">
        <v>81</v>
      </c>
      <c r="G285" s="222" t="s">
        <v>38</v>
      </c>
      <c r="H285" s="233" t="s">
        <v>39</v>
      </c>
      <c r="I285" s="237" t="s">
        <v>1039</v>
      </c>
      <c r="J285" s="222" t="s">
        <v>1040</v>
      </c>
      <c r="K285" s="223" cm="1">
        <f t="array" ref="K285">_xlfn.XLOOKUP(D285&amp;E285&amp;H285&amp;I285&amp;J285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5" s="223"/>
      <c r="M285" s="224"/>
      <c r="N285" s="257"/>
      <c r="O285" s="226">
        <v>560000</v>
      </c>
      <c r="P285" s="235">
        <v>0.15</v>
      </c>
      <c r="Q285" s="228">
        <f t="shared" si="201"/>
        <v>0</v>
      </c>
      <c r="R285" s="259"/>
      <c r="S285" s="228">
        <f t="shared" si="178"/>
        <v>0</v>
      </c>
      <c r="T285" s="235">
        <v>0</v>
      </c>
      <c r="U285" s="228">
        <f t="shared" si="171"/>
        <v>0</v>
      </c>
      <c r="V285" s="228"/>
      <c r="W285" s="228">
        <f t="shared" si="194"/>
        <v>0</v>
      </c>
      <c r="X285" s="235">
        <v>0.02</v>
      </c>
      <c r="Y285" s="228">
        <f t="shared" si="193"/>
        <v>0</v>
      </c>
      <c r="Z285" s="259"/>
      <c r="AA285" s="228">
        <f t="shared" si="179"/>
        <v>0</v>
      </c>
      <c r="AB285" s="235">
        <v>0</v>
      </c>
      <c r="AC285" s="228">
        <f t="shared" si="173"/>
        <v>0</v>
      </c>
      <c r="AD285" s="228"/>
      <c r="AE285" s="228">
        <f t="shared" si="180"/>
        <v>0</v>
      </c>
      <c r="AF285" s="235">
        <v>0</v>
      </c>
      <c r="AG285" s="228">
        <f t="shared" si="172"/>
        <v>0</v>
      </c>
      <c r="AH285" s="228"/>
      <c r="AI285" s="228">
        <f t="shared" si="181"/>
        <v>0</v>
      </c>
      <c r="AJ285" s="235">
        <v>0</v>
      </c>
      <c r="AK285" s="228">
        <f t="shared" si="198"/>
        <v>0</v>
      </c>
      <c r="AL285" s="228"/>
      <c r="AM285" s="228">
        <f t="shared" si="182"/>
        <v>0</v>
      </c>
      <c r="AN285" s="235">
        <v>0</v>
      </c>
      <c r="AO285" s="228">
        <f t="shared" si="199"/>
        <v>0</v>
      </c>
      <c r="AP285" s="228"/>
      <c r="AQ285" s="228">
        <f t="shared" si="183"/>
        <v>0</v>
      </c>
      <c r="AR285" s="247">
        <v>0.02</v>
      </c>
      <c r="AS285" s="228">
        <f t="shared" si="196"/>
        <v>0</v>
      </c>
      <c r="AT285" s="259"/>
      <c r="AU285" s="228">
        <f t="shared" si="184"/>
        <v>0</v>
      </c>
      <c r="AV285" s="235">
        <v>0.07</v>
      </c>
      <c r="AW285" s="228">
        <f t="shared" si="197"/>
        <v>0</v>
      </c>
      <c r="AX285" s="259"/>
      <c r="AY285" s="331">
        <f t="shared" si="185"/>
        <v>0</v>
      </c>
      <c r="AZ285" s="235" t="s">
        <v>1457</v>
      </c>
      <c r="BA285" s="228">
        <f t="shared" si="202"/>
        <v>0</v>
      </c>
      <c r="BB285" s="228"/>
      <c r="BC285" s="228">
        <f t="shared" si="186"/>
        <v>0</v>
      </c>
      <c r="BD285" s="235">
        <v>0</v>
      </c>
      <c r="BE285" s="228">
        <f t="shared" si="169"/>
        <v>0</v>
      </c>
      <c r="BF285" s="228"/>
      <c r="BG285" s="228">
        <f t="shared" si="187"/>
        <v>0</v>
      </c>
      <c r="BH285" s="235">
        <v>0</v>
      </c>
      <c r="BI285" s="228">
        <f t="shared" si="200"/>
        <v>0</v>
      </c>
      <c r="BJ285" s="228"/>
      <c r="BK285" s="228">
        <f t="shared" si="188"/>
        <v>0</v>
      </c>
      <c r="BL285" s="235" t="s">
        <v>1457</v>
      </c>
      <c r="BM285" s="220">
        <f t="shared" si="203"/>
        <v>0</v>
      </c>
      <c r="BN285" s="332"/>
      <c r="BO285" s="220">
        <f t="shared" si="189"/>
        <v>0</v>
      </c>
      <c r="BP285" s="220">
        <f t="shared" si="190"/>
        <v>0</v>
      </c>
      <c r="BQ285" s="220">
        <f t="shared" si="191"/>
        <v>0</v>
      </c>
      <c r="BR285" s="220">
        <f t="shared" si="192"/>
        <v>0</v>
      </c>
      <c r="BS285" s="236" t="s">
        <v>39</v>
      </c>
      <c r="BT285" s="236" t="s">
        <v>39</v>
      </c>
      <c r="BU285" s="230" t="s">
        <v>1031</v>
      </c>
      <c r="BV285" s="230" t="s">
        <v>1032</v>
      </c>
      <c r="BW285" s="231"/>
    </row>
    <row r="286" s="209" customFormat="1" ht="36" customHeight="1" spans="1:75">
      <c r="A286" s="219">
        <v>330</v>
      </c>
      <c r="B286" s="220" t="s">
        <v>1109</v>
      </c>
      <c r="C286" s="221" t="s">
        <v>874</v>
      </c>
      <c r="D286" s="221" t="s">
        <v>1025</v>
      </c>
      <c r="E286" s="221" t="s">
        <v>1026</v>
      </c>
      <c r="F286" s="219" t="s">
        <v>81</v>
      </c>
      <c r="G286" s="222" t="s">
        <v>38</v>
      </c>
      <c r="H286" s="233" t="s">
        <v>39</v>
      </c>
      <c r="I286" s="237" t="s">
        <v>1042</v>
      </c>
      <c r="J286" s="222" t="s">
        <v>1043</v>
      </c>
      <c r="K286" s="223" cm="1">
        <f t="array" ref="K286">_xlfn.XLOOKUP(D286&amp;E286&amp;H286&amp;I286&amp;J286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6" s="223"/>
      <c r="M286" s="224"/>
      <c r="N286" s="257"/>
      <c r="O286" s="226">
        <v>2760000</v>
      </c>
      <c r="P286" s="235">
        <v>0.15</v>
      </c>
      <c r="Q286" s="228">
        <f t="shared" si="201"/>
        <v>0</v>
      </c>
      <c r="R286" s="259"/>
      <c r="S286" s="228">
        <f t="shared" si="178"/>
        <v>0</v>
      </c>
      <c r="T286" s="235">
        <v>0</v>
      </c>
      <c r="U286" s="228">
        <f t="shared" si="171"/>
        <v>0</v>
      </c>
      <c r="V286" s="228"/>
      <c r="W286" s="228">
        <f t="shared" si="194"/>
        <v>0</v>
      </c>
      <c r="X286" s="235">
        <v>0.02</v>
      </c>
      <c r="Y286" s="228">
        <f t="shared" si="193"/>
        <v>0</v>
      </c>
      <c r="Z286" s="259"/>
      <c r="AA286" s="228">
        <f t="shared" si="179"/>
        <v>0</v>
      </c>
      <c r="AB286" s="235">
        <v>0</v>
      </c>
      <c r="AC286" s="228">
        <f t="shared" si="173"/>
        <v>0</v>
      </c>
      <c r="AD286" s="228"/>
      <c r="AE286" s="228">
        <f t="shared" si="180"/>
        <v>0</v>
      </c>
      <c r="AF286" s="235">
        <v>0</v>
      </c>
      <c r="AG286" s="228">
        <f t="shared" si="172"/>
        <v>0</v>
      </c>
      <c r="AH286" s="228"/>
      <c r="AI286" s="228">
        <f t="shared" si="181"/>
        <v>0</v>
      </c>
      <c r="AJ286" s="235">
        <v>0</v>
      </c>
      <c r="AK286" s="228">
        <f t="shared" si="198"/>
        <v>0</v>
      </c>
      <c r="AL286" s="228"/>
      <c r="AM286" s="228">
        <f t="shared" si="182"/>
        <v>0</v>
      </c>
      <c r="AN286" s="235">
        <v>0</v>
      </c>
      <c r="AO286" s="228">
        <f t="shared" si="199"/>
        <v>0</v>
      </c>
      <c r="AP286" s="228"/>
      <c r="AQ286" s="228">
        <f t="shared" si="183"/>
        <v>0</v>
      </c>
      <c r="AR286" s="247">
        <v>0.02</v>
      </c>
      <c r="AS286" s="228">
        <f t="shared" si="196"/>
        <v>0</v>
      </c>
      <c r="AT286" s="259"/>
      <c r="AU286" s="228">
        <f t="shared" si="184"/>
        <v>0</v>
      </c>
      <c r="AV286" s="235">
        <v>0.07</v>
      </c>
      <c r="AW286" s="228">
        <f t="shared" si="197"/>
        <v>0</v>
      </c>
      <c r="AX286" s="259"/>
      <c r="AY286" s="331">
        <f t="shared" si="185"/>
        <v>0</v>
      </c>
      <c r="AZ286" s="235" t="s">
        <v>1457</v>
      </c>
      <c r="BA286" s="228">
        <f t="shared" si="202"/>
        <v>0</v>
      </c>
      <c r="BB286" s="228"/>
      <c r="BC286" s="228">
        <f t="shared" si="186"/>
        <v>0</v>
      </c>
      <c r="BD286" s="235">
        <v>0</v>
      </c>
      <c r="BE286" s="228">
        <f t="shared" si="169"/>
        <v>0</v>
      </c>
      <c r="BF286" s="228"/>
      <c r="BG286" s="228">
        <f t="shared" si="187"/>
        <v>0</v>
      </c>
      <c r="BH286" s="235">
        <v>0</v>
      </c>
      <c r="BI286" s="228">
        <f t="shared" si="200"/>
        <v>0</v>
      </c>
      <c r="BJ286" s="228"/>
      <c r="BK286" s="228">
        <f t="shared" si="188"/>
        <v>0</v>
      </c>
      <c r="BL286" s="235" t="s">
        <v>1457</v>
      </c>
      <c r="BM286" s="220">
        <f t="shared" si="203"/>
        <v>0</v>
      </c>
      <c r="BN286" s="332"/>
      <c r="BO286" s="220">
        <f t="shared" si="189"/>
        <v>0</v>
      </c>
      <c r="BP286" s="220">
        <f t="shared" si="190"/>
        <v>0</v>
      </c>
      <c r="BQ286" s="220">
        <f t="shared" si="191"/>
        <v>0</v>
      </c>
      <c r="BR286" s="220">
        <f t="shared" si="192"/>
        <v>0</v>
      </c>
      <c r="BS286" s="236" t="s">
        <v>39</v>
      </c>
      <c r="BT286" s="236" t="s">
        <v>39</v>
      </c>
      <c r="BU286" s="230" t="s">
        <v>1031</v>
      </c>
      <c r="BV286" s="230" t="s">
        <v>1032</v>
      </c>
      <c r="BW286" s="231"/>
    </row>
    <row r="287" s="209" customFormat="1" ht="36" customHeight="1" spans="1:75">
      <c r="A287" s="219">
        <v>331</v>
      </c>
      <c r="B287" s="220" t="s">
        <v>1113</v>
      </c>
      <c r="C287" s="221" t="s">
        <v>874</v>
      </c>
      <c r="D287" s="221" t="s">
        <v>1025</v>
      </c>
      <c r="E287" s="221" t="s">
        <v>1026</v>
      </c>
      <c r="F287" s="219" t="s">
        <v>81</v>
      </c>
      <c r="G287" s="222" t="s">
        <v>38</v>
      </c>
      <c r="H287" s="233" t="s">
        <v>39</v>
      </c>
      <c r="I287" s="237" t="s">
        <v>1045</v>
      </c>
      <c r="J287" s="222" t="s">
        <v>1046</v>
      </c>
      <c r="K287" s="223" cm="1">
        <f t="array" ref="K287">_xlfn.XLOOKUP(D287&amp;E287&amp;H287&amp;I287&amp;J287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7" s="223"/>
      <c r="M287" s="224"/>
      <c r="N287" s="257"/>
      <c r="O287" s="226">
        <v>580000</v>
      </c>
      <c r="P287" s="235">
        <v>0.15</v>
      </c>
      <c r="Q287" s="228">
        <f t="shared" si="201"/>
        <v>0</v>
      </c>
      <c r="R287" s="259"/>
      <c r="S287" s="228">
        <f t="shared" si="178"/>
        <v>0</v>
      </c>
      <c r="T287" s="235">
        <v>0</v>
      </c>
      <c r="U287" s="228">
        <f t="shared" si="171"/>
        <v>0</v>
      </c>
      <c r="V287" s="228"/>
      <c r="W287" s="228">
        <f t="shared" si="194"/>
        <v>0</v>
      </c>
      <c r="X287" s="235">
        <v>0.02</v>
      </c>
      <c r="Y287" s="228">
        <f t="shared" si="193"/>
        <v>0</v>
      </c>
      <c r="Z287" s="259"/>
      <c r="AA287" s="228">
        <f t="shared" si="179"/>
        <v>0</v>
      </c>
      <c r="AB287" s="235">
        <v>0</v>
      </c>
      <c r="AC287" s="228">
        <f t="shared" si="173"/>
        <v>0</v>
      </c>
      <c r="AD287" s="228"/>
      <c r="AE287" s="228">
        <f t="shared" si="180"/>
        <v>0</v>
      </c>
      <c r="AF287" s="235">
        <v>0</v>
      </c>
      <c r="AG287" s="228">
        <f t="shared" si="172"/>
        <v>0</v>
      </c>
      <c r="AH287" s="228"/>
      <c r="AI287" s="228">
        <f t="shared" si="181"/>
        <v>0</v>
      </c>
      <c r="AJ287" s="235">
        <v>0</v>
      </c>
      <c r="AK287" s="228">
        <f t="shared" si="198"/>
        <v>0</v>
      </c>
      <c r="AL287" s="228"/>
      <c r="AM287" s="228">
        <f t="shared" si="182"/>
        <v>0</v>
      </c>
      <c r="AN287" s="235">
        <v>0</v>
      </c>
      <c r="AO287" s="228">
        <f t="shared" si="199"/>
        <v>0</v>
      </c>
      <c r="AP287" s="228"/>
      <c r="AQ287" s="228">
        <f t="shared" si="183"/>
        <v>0</v>
      </c>
      <c r="AR287" s="247">
        <v>0.02</v>
      </c>
      <c r="AS287" s="228">
        <f t="shared" si="196"/>
        <v>0</v>
      </c>
      <c r="AT287" s="259"/>
      <c r="AU287" s="228">
        <f t="shared" si="184"/>
        <v>0</v>
      </c>
      <c r="AV287" s="235">
        <v>0.07</v>
      </c>
      <c r="AW287" s="228">
        <f t="shared" si="197"/>
        <v>0</v>
      </c>
      <c r="AX287" s="259"/>
      <c r="AY287" s="331">
        <f t="shared" si="185"/>
        <v>0</v>
      </c>
      <c r="AZ287" s="235" t="s">
        <v>1457</v>
      </c>
      <c r="BA287" s="228">
        <f t="shared" si="202"/>
        <v>0</v>
      </c>
      <c r="BB287" s="228"/>
      <c r="BC287" s="228">
        <f t="shared" si="186"/>
        <v>0</v>
      </c>
      <c r="BD287" s="235">
        <v>0</v>
      </c>
      <c r="BE287" s="228">
        <f t="shared" si="169"/>
        <v>0</v>
      </c>
      <c r="BF287" s="228"/>
      <c r="BG287" s="228">
        <f t="shared" si="187"/>
        <v>0</v>
      </c>
      <c r="BH287" s="235">
        <v>0</v>
      </c>
      <c r="BI287" s="228">
        <f t="shared" si="200"/>
        <v>0</v>
      </c>
      <c r="BJ287" s="228"/>
      <c r="BK287" s="228">
        <f t="shared" si="188"/>
        <v>0</v>
      </c>
      <c r="BL287" s="235" t="s">
        <v>1457</v>
      </c>
      <c r="BM287" s="220">
        <f t="shared" si="203"/>
        <v>0</v>
      </c>
      <c r="BN287" s="332"/>
      <c r="BO287" s="220">
        <f t="shared" si="189"/>
        <v>0</v>
      </c>
      <c r="BP287" s="220">
        <f t="shared" si="190"/>
        <v>0</v>
      </c>
      <c r="BQ287" s="220">
        <f t="shared" si="191"/>
        <v>0</v>
      </c>
      <c r="BR287" s="220">
        <f t="shared" si="192"/>
        <v>0</v>
      </c>
      <c r="BS287" s="236" t="s">
        <v>39</v>
      </c>
      <c r="BT287" s="236" t="s">
        <v>39</v>
      </c>
      <c r="BU287" s="230" t="s">
        <v>1031</v>
      </c>
      <c r="BV287" s="230" t="s">
        <v>1032</v>
      </c>
      <c r="BW287" s="231"/>
    </row>
    <row r="288" s="209" customFormat="1" ht="36" customHeight="1" spans="1:75">
      <c r="A288" s="219">
        <v>332</v>
      </c>
      <c r="B288" s="220" t="s">
        <v>1117</v>
      </c>
      <c r="C288" s="221" t="s">
        <v>874</v>
      </c>
      <c r="D288" s="221" t="s">
        <v>1025</v>
      </c>
      <c r="E288" s="221" t="s">
        <v>1026</v>
      </c>
      <c r="F288" s="219" t="s">
        <v>81</v>
      </c>
      <c r="G288" s="222" t="s">
        <v>38</v>
      </c>
      <c r="H288" s="233" t="s">
        <v>39</v>
      </c>
      <c r="I288" s="237" t="s">
        <v>1048</v>
      </c>
      <c r="J288" s="222" t="s">
        <v>1049</v>
      </c>
      <c r="K288" s="223" cm="1">
        <f t="array" ref="K288">_xlfn.XLOOKUP(D288&amp;E288&amp;H288&amp;I288&amp;J288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8" s="223"/>
      <c r="M288" s="224"/>
      <c r="N288" s="257"/>
      <c r="O288" s="226">
        <v>640000</v>
      </c>
      <c r="P288" s="235">
        <v>0.12</v>
      </c>
      <c r="Q288" s="228">
        <f t="shared" si="201"/>
        <v>0</v>
      </c>
      <c r="R288" s="259"/>
      <c r="S288" s="228">
        <f t="shared" si="178"/>
        <v>0</v>
      </c>
      <c r="T288" s="235">
        <v>0</v>
      </c>
      <c r="U288" s="228">
        <f t="shared" si="171"/>
        <v>0</v>
      </c>
      <c r="V288" s="228"/>
      <c r="W288" s="228">
        <f t="shared" si="194"/>
        <v>0</v>
      </c>
      <c r="X288" s="235">
        <v>0.02</v>
      </c>
      <c r="Y288" s="228">
        <f t="shared" si="193"/>
        <v>0</v>
      </c>
      <c r="Z288" s="259"/>
      <c r="AA288" s="228">
        <f t="shared" si="179"/>
        <v>0</v>
      </c>
      <c r="AB288" s="235">
        <v>0</v>
      </c>
      <c r="AC288" s="228">
        <f t="shared" si="173"/>
        <v>0</v>
      </c>
      <c r="AD288" s="228"/>
      <c r="AE288" s="228">
        <f t="shared" si="180"/>
        <v>0</v>
      </c>
      <c r="AF288" s="235">
        <v>0</v>
      </c>
      <c r="AG288" s="228">
        <f t="shared" si="172"/>
        <v>0</v>
      </c>
      <c r="AH288" s="228"/>
      <c r="AI288" s="228">
        <f t="shared" si="181"/>
        <v>0</v>
      </c>
      <c r="AJ288" s="235">
        <v>0</v>
      </c>
      <c r="AK288" s="228">
        <f t="shared" si="198"/>
        <v>0</v>
      </c>
      <c r="AL288" s="228"/>
      <c r="AM288" s="228">
        <f t="shared" si="182"/>
        <v>0</v>
      </c>
      <c r="AN288" s="235">
        <v>0</v>
      </c>
      <c r="AO288" s="228">
        <f t="shared" si="199"/>
        <v>0</v>
      </c>
      <c r="AP288" s="228"/>
      <c r="AQ288" s="228">
        <f t="shared" si="183"/>
        <v>0</v>
      </c>
      <c r="AR288" s="247">
        <v>0.02</v>
      </c>
      <c r="AS288" s="228">
        <f t="shared" si="196"/>
        <v>0</v>
      </c>
      <c r="AT288" s="259"/>
      <c r="AU288" s="228">
        <f t="shared" si="184"/>
        <v>0</v>
      </c>
      <c r="AV288" s="235">
        <v>0.07</v>
      </c>
      <c r="AW288" s="228">
        <f t="shared" si="197"/>
        <v>0</v>
      </c>
      <c r="AX288" s="259"/>
      <c r="AY288" s="331">
        <f t="shared" si="185"/>
        <v>0</v>
      </c>
      <c r="AZ288" s="235" t="s">
        <v>1457</v>
      </c>
      <c r="BA288" s="228">
        <f t="shared" si="202"/>
        <v>0</v>
      </c>
      <c r="BB288" s="228"/>
      <c r="BC288" s="228">
        <f t="shared" si="186"/>
        <v>0</v>
      </c>
      <c r="BD288" s="235">
        <v>0</v>
      </c>
      <c r="BE288" s="228">
        <f t="shared" si="169"/>
        <v>0</v>
      </c>
      <c r="BF288" s="228"/>
      <c r="BG288" s="228">
        <f t="shared" si="187"/>
        <v>0</v>
      </c>
      <c r="BH288" s="235">
        <v>0</v>
      </c>
      <c r="BI288" s="228">
        <f t="shared" si="200"/>
        <v>0</v>
      </c>
      <c r="BJ288" s="228"/>
      <c r="BK288" s="228">
        <f t="shared" si="188"/>
        <v>0</v>
      </c>
      <c r="BL288" s="235" t="s">
        <v>1457</v>
      </c>
      <c r="BM288" s="220">
        <f t="shared" si="203"/>
        <v>0</v>
      </c>
      <c r="BN288" s="332"/>
      <c r="BO288" s="220">
        <f t="shared" si="189"/>
        <v>0</v>
      </c>
      <c r="BP288" s="220">
        <f t="shared" si="190"/>
        <v>0</v>
      </c>
      <c r="BQ288" s="220">
        <f t="shared" si="191"/>
        <v>0</v>
      </c>
      <c r="BR288" s="220">
        <f t="shared" si="192"/>
        <v>0</v>
      </c>
      <c r="BS288" s="236" t="s">
        <v>39</v>
      </c>
      <c r="BT288" s="236" t="s">
        <v>39</v>
      </c>
      <c r="BU288" s="230" t="s">
        <v>1031</v>
      </c>
      <c r="BV288" s="230" t="s">
        <v>1032</v>
      </c>
      <c r="BW288" s="231"/>
    </row>
    <row r="289" s="209" customFormat="1" ht="36" customHeight="1" spans="1:75">
      <c r="A289" s="219">
        <v>333</v>
      </c>
      <c r="B289" s="220" t="s">
        <v>1119</v>
      </c>
      <c r="C289" s="221" t="s">
        <v>874</v>
      </c>
      <c r="D289" s="221" t="s">
        <v>1025</v>
      </c>
      <c r="E289" s="221" t="s">
        <v>1026</v>
      </c>
      <c r="F289" s="219" t="s">
        <v>81</v>
      </c>
      <c r="G289" s="222" t="s">
        <v>38</v>
      </c>
      <c r="H289" s="233" t="s">
        <v>39</v>
      </c>
      <c r="I289" s="237" t="s">
        <v>1052</v>
      </c>
      <c r="J289" s="222" t="s">
        <v>1053</v>
      </c>
      <c r="K289" s="223" cm="1">
        <f t="array" ref="K289">_xlfn.XLOOKUP(D289&amp;E289&amp;H289&amp;I289&amp;J289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9" s="223"/>
      <c r="M289" s="224"/>
      <c r="N289" s="257"/>
      <c r="O289" s="226">
        <v>300000</v>
      </c>
      <c r="P289" s="235">
        <v>0.1</v>
      </c>
      <c r="Q289" s="228">
        <f t="shared" si="201"/>
        <v>0</v>
      </c>
      <c r="R289" s="259"/>
      <c r="S289" s="228">
        <f t="shared" si="178"/>
        <v>0</v>
      </c>
      <c r="T289" s="235">
        <v>0</v>
      </c>
      <c r="U289" s="228">
        <f t="shared" si="171"/>
        <v>0</v>
      </c>
      <c r="V289" s="228"/>
      <c r="W289" s="228">
        <f t="shared" si="194"/>
        <v>0</v>
      </c>
      <c r="X289" s="235">
        <v>0.02</v>
      </c>
      <c r="Y289" s="228">
        <f t="shared" si="193"/>
        <v>0</v>
      </c>
      <c r="Z289" s="259"/>
      <c r="AA289" s="228">
        <f t="shared" si="179"/>
        <v>0</v>
      </c>
      <c r="AB289" s="235">
        <v>0</v>
      </c>
      <c r="AC289" s="228">
        <f t="shared" si="173"/>
        <v>0</v>
      </c>
      <c r="AD289" s="228"/>
      <c r="AE289" s="228">
        <f t="shared" si="180"/>
        <v>0</v>
      </c>
      <c r="AF289" s="235">
        <v>0</v>
      </c>
      <c r="AG289" s="228">
        <f t="shared" si="172"/>
        <v>0</v>
      </c>
      <c r="AH289" s="228"/>
      <c r="AI289" s="228">
        <f t="shared" si="181"/>
        <v>0</v>
      </c>
      <c r="AJ289" s="235">
        <v>0</v>
      </c>
      <c r="AK289" s="228">
        <f t="shared" si="198"/>
        <v>0</v>
      </c>
      <c r="AL289" s="228"/>
      <c r="AM289" s="228">
        <f t="shared" si="182"/>
        <v>0</v>
      </c>
      <c r="AN289" s="235">
        <v>0</v>
      </c>
      <c r="AO289" s="228">
        <f t="shared" si="199"/>
        <v>0</v>
      </c>
      <c r="AP289" s="228"/>
      <c r="AQ289" s="228">
        <f t="shared" si="183"/>
        <v>0</v>
      </c>
      <c r="AR289" s="247">
        <v>0.02</v>
      </c>
      <c r="AS289" s="228">
        <f t="shared" si="196"/>
        <v>0</v>
      </c>
      <c r="AT289" s="259"/>
      <c r="AU289" s="228">
        <f t="shared" si="184"/>
        <v>0</v>
      </c>
      <c r="AV289" s="235">
        <v>0.07</v>
      </c>
      <c r="AW289" s="228">
        <f t="shared" si="197"/>
        <v>0</v>
      </c>
      <c r="AX289" s="259"/>
      <c r="AY289" s="331">
        <f t="shared" si="185"/>
        <v>0</v>
      </c>
      <c r="AZ289" s="235" t="s">
        <v>1457</v>
      </c>
      <c r="BA289" s="228">
        <f t="shared" si="202"/>
        <v>0</v>
      </c>
      <c r="BB289" s="228"/>
      <c r="BC289" s="228">
        <f t="shared" si="186"/>
        <v>0</v>
      </c>
      <c r="BD289" s="235">
        <v>0</v>
      </c>
      <c r="BE289" s="228">
        <f t="shared" si="169"/>
        <v>0</v>
      </c>
      <c r="BF289" s="228"/>
      <c r="BG289" s="228">
        <f t="shared" si="187"/>
        <v>0</v>
      </c>
      <c r="BH289" s="235">
        <v>0</v>
      </c>
      <c r="BI289" s="228">
        <f t="shared" si="200"/>
        <v>0</v>
      </c>
      <c r="BJ289" s="228"/>
      <c r="BK289" s="228">
        <f t="shared" si="188"/>
        <v>0</v>
      </c>
      <c r="BL289" s="235" t="s">
        <v>1457</v>
      </c>
      <c r="BM289" s="220">
        <f t="shared" si="203"/>
        <v>0</v>
      </c>
      <c r="BN289" s="332"/>
      <c r="BO289" s="220">
        <f t="shared" si="189"/>
        <v>0</v>
      </c>
      <c r="BP289" s="220">
        <f t="shared" si="190"/>
        <v>0</v>
      </c>
      <c r="BQ289" s="220">
        <f t="shared" si="191"/>
        <v>0</v>
      </c>
      <c r="BR289" s="220">
        <f t="shared" si="192"/>
        <v>0</v>
      </c>
      <c r="BS289" s="236" t="s">
        <v>39</v>
      </c>
      <c r="BT289" s="236" t="s">
        <v>39</v>
      </c>
      <c r="BU289" s="230" t="s">
        <v>1031</v>
      </c>
      <c r="BV289" s="230" t="s">
        <v>1032</v>
      </c>
      <c r="BW289" s="231"/>
    </row>
    <row r="290" s="209" customFormat="1" ht="36" customHeight="1" spans="1:75">
      <c r="A290" s="219">
        <v>334</v>
      </c>
      <c r="B290" s="220" t="s">
        <v>1122</v>
      </c>
      <c r="C290" s="221" t="s">
        <v>874</v>
      </c>
      <c r="D290" s="221" t="s">
        <v>1025</v>
      </c>
      <c r="E290" s="221" t="s">
        <v>1026</v>
      </c>
      <c r="F290" s="219" t="s">
        <v>81</v>
      </c>
      <c r="G290" s="222" t="s">
        <v>38</v>
      </c>
      <c r="H290" s="233" t="s">
        <v>39</v>
      </c>
      <c r="I290" s="237" t="s">
        <v>1055</v>
      </c>
      <c r="J290" s="222" t="s">
        <v>1056</v>
      </c>
      <c r="K290" s="223" cm="1">
        <f t="array" ref="K290">_xlfn.XLOOKUP(D290&amp;E290&amp;H290&amp;I290&amp;J290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0" s="223"/>
      <c r="M290" s="224"/>
      <c r="N290" s="257">
        <v>46748.49</v>
      </c>
      <c r="O290" s="226">
        <v>640000</v>
      </c>
      <c r="P290" s="235">
        <v>0.09</v>
      </c>
      <c r="Q290" s="228">
        <f t="shared" si="201"/>
        <v>0</v>
      </c>
      <c r="R290" s="259">
        <v>35013.1349</v>
      </c>
      <c r="S290" s="228">
        <f t="shared" si="178"/>
        <v>-35013.1349</v>
      </c>
      <c r="T290" s="235">
        <v>0</v>
      </c>
      <c r="U290" s="228">
        <f t="shared" si="171"/>
        <v>0</v>
      </c>
      <c r="V290" s="228">
        <v>0</v>
      </c>
      <c r="W290" s="228">
        <f t="shared" si="194"/>
        <v>0</v>
      </c>
      <c r="X290" s="235">
        <v>0.02</v>
      </c>
      <c r="Y290" s="228">
        <f t="shared" si="193"/>
        <v>0</v>
      </c>
      <c r="Z290" s="259">
        <v>5049.9382</v>
      </c>
      <c r="AA290" s="228">
        <f t="shared" si="179"/>
        <v>-5049.9382</v>
      </c>
      <c r="AB290" s="235">
        <v>0</v>
      </c>
      <c r="AC290" s="228">
        <f t="shared" si="173"/>
        <v>0</v>
      </c>
      <c r="AD290" s="228">
        <v>0</v>
      </c>
      <c r="AE290" s="228">
        <f t="shared" si="180"/>
        <v>0</v>
      </c>
      <c r="AF290" s="235">
        <v>0</v>
      </c>
      <c r="AG290" s="228">
        <f t="shared" si="172"/>
        <v>0</v>
      </c>
      <c r="AH290" s="228">
        <v>0</v>
      </c>
      <c r="AI290" s="228">
        <f t="shared" si="181"/>
        <v>0</v>
      </c>
      <c r="AJ290" s="235">
        <v>0</v>
      </c>
      <c r="AK290" s="228">
        <f t="shared" si="198"/>
        <v>0</v>
      </c>
      <c r="AL290" s="228">
        <v>0</v>
      </c>
      <c r="AM290" s="228">
        <f t="shared" si="182"/>
        <v>0</v>
      </c>
      <c r="AN290" s="235">
        <v>0</v>
      </c>
      <c r="AO290" s="228">
        <f t="shared" si="199"/>
        <v>0</v>
      </c>
      <c r="AP290" s="228">
        <v>0</v>
      </c>
      <c r="AQ290" s="228">
        <f t="shared" si="183"/>
        <v>0</v>
      </c>
      <c r="AR290" s="247">
        <v>0.02</v>
      </c>
      <c r="AS290" s="228">
        <f t="shared" si="196"/>
        <v>0</v>
      </c>
      <c r="AT290" s="259">
        <v>5049.9382</v>
      </c>
      <c r="AU290" s="228">
        <f t="shared" si="184"/>
        <v>-5049.9382</v>
      </c>
      <c r="AV290" s="235">
        <v>0.07</v>
      </c>
      <c r="AW290" s="228">
        <f t="shared" si="197"/>
        <v>0</v>
      </c>
      <c r="AX290" s="259">
        <v>17674.79</v>
      </c>
      <c r="AY290" s="331">
        <f t="shared" si="185"/>
        <v>-17674.79</v>
      </c>
      <c r="AZ290" s="235" t="s">
        <v>1457</v>
      </c>
      <c r="BA290" s="228">
        <f t="shared" si="202"/>
        <v>0</v>
      </c>
      <c r="BB290" s="228">
        <v>0</v>
      </c>
      <c r="BC290" s="228">
        <f t="shared" si="186"/>
        <v>0</v>
      </c>
      <c r="BD290" s="235">
        <v>0</v>
      </c>
      <c r="BE290" s="228">
        <f t="shared" si="169"/>
        <v>0</v>
      </c>
      <c r="BF290" s="228">
        <v>0</v>
      </c>
      <c r="BG290" s="228">
        <f t="shared" si="187"/>
        <v>0</v>
      </c>
      <c r="BH290" s="235">
        <v>0</v>
      </c>
      <c r="BI290" s="228">
        <f t="shared" si="200"/>
        <v>0</v>
      </c>
      <c r="BJ290" s="228">
        <v>0</v>
      </c>
      <c r="BK290" s="228">
        <f t="shared" si="188"/>
        <v>0</v>
      </c>
      <c r="BL290" s="235" t="s">
        <v>1457</v>
      </c>
      <c r="BM290" s="220">
        <f t="shared" si="203"/>
        <v>123692.08</v>
      </c>
      <c r="BN290" s="332">
        <v>123692.08</v>
      </c>
      <c r="BO290" s="220">
        <f t="shared" si="189"/>
        <v>0</v>
      </c>
      <c r="BP290" s="220">
        <f t="shared" si="190"/>
        <v>170440.57</v>
      </c>
      <c r="BQ290" s="220">
        <f t="shared" si="191"/>
        <v>233228.3713</v>
      </c>
      <c r="BR290" s="220">
        <f t="shared" si="192"/>
        <v>-62787.8013</v>
      </c>
      <c r="BS290" s="236" t="s">
        <v>39</v>
      </c>
      <c r="BT290" s="236" t="s">
        <v>39</v>
      </c>
      <c r="BU290" s="230" t="s">
        <v>1031</v>
      </c>
      <c r="BV290" s="230" t="s">
        <v>1032</v>
      </c>
      <c r="BW290" s="231"/>
    </row>
    <row r="291" s="209" customFormat="1" ht="48" customHeight="1" spans="1:75">
      <c r="A291" s="219">
        <v>336</v>
      </c>
      <c r="B291" s="220" t="s">
        <v>1128</v>
      </c>
      <c r="C291" s="221" t="s">
        <v>874</v>
      </c>
      <c r="D291" s="221" t="s">
        <v>1058</v>
      </c>
      <c r="E291" s="221" t="s">
        <v>1059</v>
      </c>
      <c r="F291" s="219" t="s">
        <v>81</v>
      </c>
      <c r="G291" s="222" t="s">
        <v>38</v>
      </c>
      <c r="H291" s="233" t="s">
        <v>39</v>
      </c>
      <c r="I291" s="237" t="s">
        <v>240</v>
      </c>
      <c r="J291" s="222" t="s">
        <v>1061</v>
      </c>
      <c r="K291" s="223" cm="1">
        <f t="array" ref="K291">_xlfn.XLOOKUP(D291&amp;E291&amp;H291&amp;I291&amp;J291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1" s="223"/>
      <c r="M291" s="224"/>
      <c r="N291" s="333"/>
      <c r="O291" s="226">
        <v>1940000</v>
      </c>
      <c r="P291" s="235">
        <v>0.11</v>
      </c>
      <c r="Q291" s="228">
        <f t="shared" si="201"/>
        <v>0</v>
      </c>
      <c r="R291" s="260"/>
      <c r="S291" s="228">
        <f t="shared" si="178"/>
        <v>0</v>
      </c>
      <c r="T291" s="235">
        <v>0.01</v>
      </c>
      <c r="U291" s="228">
        <f t="shared" si="171"/>
        <v>0</v>
      </c>
      <c r="V291" s="228"/>
      <c r="W291" s="228">
        <f t="shared" si="194"/>
        <v>0</v>
      </c>
      <c r="X291" s="235">
        <v>0</v>
      </c>
      <c r="Y291" s="228">
        <f t="shared" si="193"/>
        <v>0</v>
      </c>
      <c r="Z291" s="258"/>
      <c r="AA291" s="228">
        <f t="shared" si="179"/>
        <v>0</v>
      </c>
      <c r="AB291" s="235">
        <v>0.01</v>
      </c>
      <c r="AC291" s="228">
        <f t="shared" si="173"/>
        <v>0</v>
      </c>
      <c r="AD291" s="228"/>
      <c r="AE291" s="228">
        <f t="shared" si="180"/>
        <v>0</v>
      </c>
      <c r="AF291" s="235">
        <v>0.01</v>
      </c>
      <c r="AG291" s="228">
        <f t="shared" si="172"/>
        <v>0</v>
      </c>
      <c r="AH291" s="228"/>
      <c r="AI291" s="228">
        <f t="shared" si="181"/>
        <v>0</v>
      </c>
      <c r="AJ291" s="235">
        <v>0</v>
      </c>
      <c r="AK291" s="228">
        <f t="shared" si="198"/>
        <v>0</v>
      </c>
      <c r="AL291" s="228"/>
      <c r="AM291" s="228">
        <f t="shared" si="182"/>
        <v>0</v>
      </c>
      <c r="AN291" s="235">
        <v>0</v>
      </c>
      <c r="AO291" s="228">
        <f t="shared" si="199"/>
        <v>0</v>
      </c>
      <c r="AP291" s="228"/>
      <c r="AQ291" s="228">
        <f t="shared" si="183"/>
        <v>0</v>
      </c>
      <c r="AR291" s="228" t="s">
        <v>1532</v>
      </c>
      <c r="AS291" s="228">
        <f>AT291</f>
        <v>0</v>
      </c>
      <c r="AT291" s="228"/>
      <c r="AU291" s="228">
        <f t="shared" si="184"/>
        <v>0</v>
      </c>
      <c r="AV291" s="235">
        <v>0.07</v>
      </c>
      <c r="AW291" s="228">
        <f t="shared" si="197"/>
        <v>0</v>
      </c>
      <c r="AX291" s="228"/>
      <c r="AY291" s="228">
        <f t="shared" si="185"/>
        <v>0</v>
      </c>
      <c r="AZ291" s="235" t="s">
        <v>1457</v>
      </c>
      <c r="BA291" s="228">
        <f t="shared" si="202"/>
        <v>0</v>
      </c>
      <c r="BB291" s="228"/>
      <c r="BC291" s="228">
        <f t="shared" si="186"/>
        <v>0</v>
      </c>
      <c r="BD291" s="235">
        <v>0</v>
      </c>
      <c r="BE291" s="228">
        <f t="shared" si="169"/>
        <v>0</v>
      </c>
      <c r="BF291" s="235"/>
      <c r="BG291" s="228">
        <f t="shared" si="187"/>
        <v>0</v>
      </c>
      <c r="BH291" s="235">
        <v>0</v>
      </c>
      <c r="BI291" s="228">
        <f t="shared" si="200"/>
        <v>0</v>
      </c>
      <c r="BJ291" s="235"/>
      <c r="BK291" s="228">
        <f t="shared" si="188"/>
        <v>0</v>
      </c>
      <c r="BL291" s="235" t="s">
        <v>1457</v>
      </c>
      <c r="BM291" s="220">
        <f t="shared" si="203"/>
        <v>0</v>
      </c>
      <c r="BN291" s="334"/>
      <c r="BO291" s="220">
        <f t="shared" si="189"/>
        <v>0</v>
      </c>
      <c r="BP291" s="220">
        <f t="shared" si="190"/>
        <v>0</v>
      </c>
      <c r="BQ291" s="220">
        <f t="shared" si="191"/>
        <v>0</v>
      </c>
      <c r="BR291" s="220">
        <f t="shared" si="192"/>
        <v>0</v>
      </c>
      <c r="BS291" s="236" t="s">
        <v>39</v>
      </c>
      <c r="BT291" s="236" t="s">
        <v>39</v>
      </c>
      <c r="BU291" s="230" t="s">
        <v>1062</v>
      </c>
      <c r="BV291" s="230" t="s">
        <v>1063</v>
      </c>
      <c r="BW291" s="231"/>
    </row>
    <row r="292" s="209" customFormat="1" ht="48" customHeight="1" spans="1:75">
      <c r="A292" s="219">
        <v>337</v>
      </c>
      <c r="B292" s="220" t="s">
        <v>1131</v>
      </c>
      <c r="C292" s="221" t="s">
        <v>874</v>
      </c>
      <c r="D292" s="221" t="s">
        <v>1058</v>
      </c>
      <c r="E292" s="221" t="s">
        <v>1059</v>
      </c>
      <c r="F292" s="219" t="s">
        <v>81</v>
      </c>
      <c r="G292" s="222" t="s">
        <v>38</v>
      </c>
      <c r="H292" s="233" t="s">
        <v>39</v>
      </c>
      <c r="I292" s="237" t="s">
        <v>846</v>
      </c>
      <c r="J292" s="222" t="s">
        <v>1065</v>
      </c>
      <c r="K292" s="223" cm="1">
        <f t="array" ref="K292">_xlfn.XLOOKUP(D292&amp;E292&amp;H292&amp;I292&amp;J292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2" s="223"/>
      <c r="M292" s="224"/>
      <c r="N292" s="333"/>
      <c r="O292" s="226">
        <v>420000</v>
      </c>
      <c r="P292" s="235">
        <v>0.14</v>
      </c>
      <c r="Q292" s="228">
        <f t="shared" si="201"/>
        <v>0</v>
      </c>
      <c r="R292" s="260"/>
      <c r="S292" s="228">
        <f t="shared" si="178"/>
        <v>0</v>
      </c>
      <c r="T292" s="235">
        <v>0.01</v>
      </c>
      <c r="U292" s="228">
        <f t="shared" si="171"/>
        <v>0</v>
      </c>
      <c r="V292" s="228"/>
      <c r="W292" s="228">
        <f t="shared" si="194"/>
        <v>0</v>
      </c>
      <c r="X292" s="235">
        <v>0</v>
      </c>
      <c r="Y292" s="228">
        <f t="shared" si="193"/>
        <v>0</v>
      </c>
      <c r="Z292" s="258"/>
      <c r="AA292" s="228">
        <f t="shared" si="179"/>
        <v>0</v>
      </c>
      <c r="AB292" s="235">
        <v>0.01</v>
      </c>
      <c r="AC292" s="228">
        <f t="shared" si="173"/>
        <v>0</v>
      </c>
      <c r="AD292" s="228"/>
      <c r="AE292" s="228">
        <f t="shared" si="180"/>
        <v>0</v>
      </c>
      <c r="AF292" s="235">
        <v>0.01</v>
      </c>
      <c r="AG292" s="228">
        <f t="shared" si="172"/>
        <v>0</v>
      </c>
      <c r="AH292" s="228"/>
      <c r="AI292" s="228">
        <f t="shared" si="181"/>
        <v>0</v>
      </c>
      <c r="AJ292" s="235">
        <v>0</v>
      </c>
      <c r="AK292" s="228">
        <f t="shared" si="198"/>
        <v>0</v>
      </c>
      <c r="AL292" s="228"/>
      <c r="AM292" s="228">
        <f t="shared" si="182"/>
        <v>0</v>
      </c>
      <c r="AN292" s="235">
        <v>0</v>
      </c>
      <c r="AO292" s="228">
        <f t="shared" si="199"/>
        <v>0</v>
      </c>
      <c r="AP292" s="228"/>
      <c r="AQ292" s="228">
        <f t="shared" si="183"/>
        <v>0</v>
      </c>
      <c r="AR292" s="228" t="s">
        <v>1532</v>
      </c>
      <c r="AS292" s="228">
        <f t="shared" ref="AS292:AS297" si="204">AT292</f>
        <v>0</v>
      </c>
      <c r="AT292" s="228"/>
      <c r="AU292" s="228">
        <f t="shared" si="184"/>
        <v>0</v>
      </c>
      <c r="AV292" s="235">
        <v>0.07</v>
      </c>
      <c r="AW292" s="228">
        <f t="shared" si="197"/>
        <v>0</v>
      </c>
      <c r="AX292" s="228"/>
      <c r="AY292" s="228">
        <f t="shared" si="185"/>
        <v>0</v>
      </c>
      <c r="AZ292" s="235" t="s">
        <v>1457</v>
      </c>
      <c r="BA292" s="228">
        <f t="shared" si="202"/>
        <v>0</v>
      </c>
      <c r="BB292" s="228"/>
      <c r="BC292" s="228">
        <f t="shared" si="186"/>
        <v>0</v>
      </c>
      <c r="BD292" s="235">
        <v>0</v>
      </c>
      <c r="BE292" s="228">
        <f t="shared" si="169"/>
        <v>0</v>
      </c>
      <c r="BF292" s="235"/>
      <c r="BG292" s="228">
        <f t="shared" si="187"/>
        <v>0</v>
      </c>
      <c r="BH292" s="235">
        <v>0</v>
      </c>
      <c r="BI292" s="228">
        <f t="shared" si="200"/>
        <v>0</v>
      </c>
      <c r="BJ292" s="235"/>
      <c r="BK292" s="228">
        <f t="shared" si="188"/>
        <v>0</v>
      </c>
      <c r="BL292" s="235" t="s">
        <v>1457</v>
      </c>
      <c r="BM292" s="220">
        <f t="shared" si="203"/>
        <v>0</v>
      </c>
      <c r="BN292" s="334"/>
      <c r="BO292" s="220">
        <f t="shared" si="189"/>
        <v>0</v>
      </c>
      <c r="BP292" s="220">
        <f t="shared" si="190"/>
        <v>0</v>
      </c>
      <c r="BQ292" s="220">
        <f t="shared" si="191"/>
        <v>0</v>
      </c>
      <c r="BR292" s="220">
        <f t="shared" si="192"/>
        <v>0</v>
      </c>
      <c r="BS292" s="236" t="s">
        <v>39</v>
      </c>
      <c r="BT292" s="236" t="s">
        <v>39</v>
      </c>
      <c r="BU292" s="230" t="s">
        <v>1062</v>
      </c>
      <c r="BV292" s="230" t="s">
        <v>1063</v>
      </c>
      <c r="BW292" s="231"/>
    </row>
    <row r="293" s="209" customFormat="1" ht="48" customHeight="1" spans="1:75">
      <c r="A293" s="219">
        <v>338</v>
      </c>
      <c r="B293" s="220" t="s">
        <v>1133</v>
      </c>
      <c r="C293" s="221" t="s">
        <v>874</v>
      </c>
      <c r="D293" s="221" t="s">
        <v>1058</v>
      </c>
      <c r="E293" s="221" t="s">
        <v>1059</v>
      </c>
      <c r="F293" s="219" t="s">
        <v>81</v>
      </c>
      <c r="G293" s="222" t="s">
        <v>38</v>
      </c>
      <c r="H293" s="233" t="s">
        <v>39</v>
      </c>
      <c r="I293" s="237" t="s">
        <v>419</v>
      </c>
      <c r="J293" s="222" t="s">
        <v>1067</v>
      </c>
      <c r="K293" s="223" cm="1">
        <f t="array" ref="K293">_xlfn.XLOOKUP(D293&amp;E293&amp;H293&amp;I293&amp;J293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3" s="223"/>
      <c r="M293" s="224"/>
      <c r="N293" s="333"/>
      <c r="O293" s="226">
        <v>420000</v>
      </c>
      <c r="P293" s="235">
        <v>0.14</v>
      </c>
      <c r="Q293" s="228">
        <f t="shared" si="201"/>
        <v>0</v>
      </c>
      <c r="R293" s="260"/>
      <c r="S293" s="228">
        <f t="shared" si="178"/>
        <v>0</v>
      </c>
      <c r="T293" s="235">
        <v>0.01</v>
      </c>
      <c r="U293" s="228">
        <f t="shared" si="171"/>
        <v>0</v>
      </c>
      <c r="V293" s="228"/>
      <c r="W293" s="228">
        <f t="shared" si="194"/>
        <v>0</v>
      </c>
      <c r="X293" s="235">
        <v>0</v>
      </c>
      <c r="Y293" s="228">
        <f t="shared" si="193"/>
        <v>0</v>
      </c>
      <c r="Z293" s="258"/>
      <c r="AA293" s="228">
        <f t="shared" si="179"/>
        <v>0</v>
      </c>
      <c r="AB293" s="235">
        <v>0.01</v>
      </c>
      <c r="AC293" s="228">
        <f t="shared" si="173"/>
        <v>0</v>
      </c>
      <c r="AD293" s="228"/>
      <c r="AE293" s="228">
        <f t="shared" si="180"/>
        <v>0</v>
      </c>
      <c r="AF293" s="235">
        <v>0.01</v>
      </c>
      <c r="AG293" s="228">
        <f t="shared" si="172"/>
        <v>0</v>
      </c>
      <c r="AH293" s="228"/>
      <c r="AI293" s="228">
        <f t="shared" si="181"/>
        <v>0</v>
      </c>
      <c r="AJ293" s="235">
        <v>0</v>
      </c>
      <c r="AK293" s="228">
        <f t="shared" si="198"/>
        <v>0</v>
      </c>
      <c r="AL293" s="228"/>
      <c r="AM293" s="228">
        <f t="shared" si="182"/>
        <v>0</v>
      </c>
      <c r="AN293" s="235">
        <v>0</v>
      </c>
      <c r="AO293" s="228">
        <f t="shared" si="199"/>
        <v>0</v>
      </c>
      <c r="AP293" s="228"/>
      <c r="AQ293" s="228">
        <f t="shared" si="183"/>
        <v>0</v>
      </c>
      <c r="AR293" s="228" t="s">
        <v>1532</v>
      </c>
      <c r="AS293" s="228">
        <f t="shared" si="204"/>
        <v>0</v>
      </c>
      <c r="AT293" s="228"/>
      <c r="AU293" s="228">
        <f t="shared" si="184"/>
        <v>0</v>
      </c>
      <c r="AV293" s="235">
        <v>0.07</v>
      </c>
      <c r="AW293" s="228">
        <f t="shared" si="197"/>
        <v>0</v>
      </c>
      <c r="AX293" s="228"/>
      <c r="AY293" s="228">
        <f t="shared" si="185"/>
        <v>0</v>
      </c>
      <c r="AZ293" s="235" t="s">
        <v>1457</v>
      </c>
      <c r="BA293" s="228">
        <f t="shared" si="202"/>
        <v>0</v>
      </c>
      <c r="BB293" s="228"/>
      <c r="BC293" s="228">
        <f t="shared" si="186"/>
        <v>0</v>
      </c>
      <c r="BD293" s="235">
        <v>0</v>
      </c>
      <c r="BE293" s="228">
        <f t="shared" si="169"/>
        <v>0</v>
      </c>
      <c r="BF293" s="235"/>
      <c r="BG293" s="228">
        <f t="shared" si="187"/>
        <v>0</v>
      </c>
      <c r="BH293" s="235">
        <v>0</v>
      </c>
      <c r="BI293" s="228">
        <f t="shared" si="200"/>
        <v>0</v>
      </c>
      <c r="BJ293" s="235"/>
      <c r="BK293" s="228">
        <f t="shared" si="188"/>
        <v>0</v>
      </c>
      <c r="BL293" s="235" t="s">
        <v>1457</v>
      </c>
      <c r="BM293" s="220">
        <f t="shared" si="203"/>
        <v>0</v>
      </c>
      <c r="BN293" s="334"/>
      <c r="BO293" s="220">
        <f t="shared" si="189"/>
        <v>0</v>
      </c>
      <c r="BP293" s="220">
        <f t="shared" si="190"/>
        <v>0</v>
      </c>
      <c r="BQ293" s="220">
        <f t="shared" si="191"/>
        <v>0</v>
      </c>
      <c r="BR293" s="220">
        <f t="shared" si="192"/>
        <v>0</v>
      </c>
      <c r="BS293" s="236" t="s">
        <v>39</v>
      </c>
      <c r="BT293" s="236" t="s">
        <v>39</v>
      </c>
      <c r="BU293" s="230" t="s">
        <v>1062</v>
      </c>
      <c r="BV293" s="230" t="s">
        <v>1063</v>
      </c>
      <c r="BW293" s="231"/>
    </row>
    <row r="294" s="209" customFormat="1" ht="48" customHeight="1" spans="1:75">
      <c r="A294" s="219">
        <v>339</v>
      </c>
      <c r="B294" s="220" t="s">
        <v>1135</v>
      </c>
      <c r="C294" s="221" t="s">
        <v>874</v>
      </c>
      <c r="D294" s="221" t="s">
        <v>1058</v>
      </c>
      <c r="E294" s="221" t="s">
        <v>1059</v>
      </c>
      <c r="F294" s="219" t="s">
        <v>81</v>
      </c>
      <c r="G294" s="222" t="s">
        <v>38</v>
      </c>
      <c r="H294" s="233" t="s">
        <v>39</v>
      </c>
      <c r="I294" s="237" t="s">
        <v>1069</v>
      </c>
      <c r="J294" s="222" t="s">
        <v>1061</v>
      </c>
      <c r="K294" s="223" cm="1">
        <f t="array" ref="K294">_xlfn.XLOOKUP(D294&amp;E294&amp;H294&amp;I294&amp;J294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5285</v>
      </c>
      <c r="L294" s="223"/>
      <c r="M294" s="224"/>
      <c r="N294" s="333"/>
      <c r="O294" s="226">
        <v>780000</v>
      </c>
      <c r="P294" s="235">
        <v>0.16</v>
      </c>
      <c r="Q294" s="228">
        <f t="shared" si="201"/>
        <v>845.6</v>
      </c>
      <c r="R294" s="260"/>
      <c r="S294" s="228">
        <f t="shared" si="178"/>
        <v>845.6</v>
      </c>
      <c r="T294" s="235">
        <v>0.01</v>
      </c>
      <c r="U294" s="228">
        <f t="shared" si="171"/>
        <v>52.85</v>
      </c>
      <c r="V294" s="228"/>
      <c r="W294" s="228">
        <f t="shared" si="194"/>
        <v>52.85</v>
      </c>
      <c r="X294" s="235">
        <v>0</v>
      </c>
      <c r="Y294" s="228">
        <f t="shared" si="193"/>
        <v>0</v>
      </c>
      <c r="Z294" s="258"/>
      <c r="AA294" s="228">
        <f t="shared" si="179"/>
        <v>0</v>
      </c>
      <c r="AB294" s="235">
        <v>0.01</v>
      </c>
      <c r="AC294" s="228">
        <f t="shared" si="173"/>
        <v>52.85</v>
      </c>
      <c r="AD294" s="228"/>
      <c r="AE294" s="228">
        <f t="shared" si="180"/>
        <v>52.85</v>
      </c>
      <c r="AF294" s="235">
        <v>0.01</v>
      </c>
      <c r="AG294" s="228">
        <f t="shared" si="172"/>
        <v>52.85</v>
      </c>
      <c r="AH294" s="228"/>
      <c r="AI294" s="228">
        <f t="shared" si="181"/>
        <v>52.85</v>
      </c>
      <c r="AJ294" s="235">
        <v>0</v>
      </c>
      <c r="AK294" s="228">
        <f t="shared" si="198"/>
        <v>0</v>
      </c>
      <c r="AL294" s="228"/>
      <c r="AM294" s="228">
        <f t="shared" si="182"/>
        <v>0</v>
      </c>
      <c r="AN294" s="235">
        <v>0</v>
      </c>
      <c r="AO294" s="228">
        <f t="shared" si="199"/>
        <v>0</v>
      </c>
      <c r="AP294" s="228"/>
      <c r="AQ294" s="228">
        <f t="shared" si="183"/>
        <v>0</v>
      </c>
      <c r="AR294" s="228" t="s">
        <v>1532</v>
      </c>
      <c r="AS294" s="228">
        <f t="shared" si="204"/>
        <v>0</v>
      </c>
      <c r="AT294" s="228"/>
      <c r="AU294" s="228">
        <f t="shared" si="184"/>
        <v>0</v>
      </c>
      <c r="AV294" s="235">
        <v>0.07</v>
      </c>
      <c r="AW294" s="228">
        <f t="shared" si="197"/>
        <v>369.95</v>
      </c>
      <c r="AX294" s="228"/>
      <c r="AY294" s="228">
        <f t="shared" si="185"/>
        <v>369.95</v>
      </c>
      <c r="AZ294" s="235" t="s">
        <v>1457</v>
      </c>
      <c r="BA294" s="228">
        <f t="shared" si="202"/>
        <v>0</v>
      </c>
      <c r="BB294" s="228"/>
      <c r="BC294" s="228">
        <f t="shared" si="186"/>
        <v>0</v>
      </c>
      <c r="BD294" s="235">
        <v>0</v>
      </c>
      <c r="BE294" s="228">
        <f t="shared" si="169"/>
        <v>0</v>
      </c>
      <c r="BF294" s="235"/>
      <c r="BG294" s="228">
        <f t="shared" si="187"/>
        <v>0</v>
      </c>
      <c r="BH294" s="235">
        <v>0</v>
      </c>
      <c r="BI294" s="228">
        <f t="shared" si="200"/>
        <v>0</v>
      </c>
      <c r="BJ294" s="235"/>
      <c r="BK294" s="228">
        <f t="shared" si="188"/>
        <v>0</v>
      </c>
      <c r="BL294" s="235" t="s">
        <v>1457</v>
      </c>
      <c r="BM294" s="220">
        <f t="shared" si="203"/>
        <v>0</v>
      </c>
      <c r="BN294" s="334"/>
      <c r="BO294" s="220">
        <f t="shared" si="189"/>
        <v>0</v>
      </c>
      <c r="BP294" s="220">
        <f t="shared" si="190"/>
        <v>1374.1</v>
      </c>
      <c r="BQ294" s="220">
        <f t="shared" si="191"/>
        <v>0</v>
      </c>
      <c r="BR294" s="220">
        <f t="shared" si="192"/>
        <v>1374.1</v>
      </c>
      <c r="BS294" s="236" t="s">
        <v>39</v>
      </c>
      <c r="BT294" s="236" t="s">
        <v>39</v>
      </c>
      <c r="BU294" s="230" t="s">
        <v>1062</v>
      </c>
      <c r="BV294" s="230" t="s">
        <v>1063</v>
      </c>
      <c r="BW294" s="231"/>
    </row>
    <row r="295" s="209" customFormat="1" ht="48" customHeight="1" spans="1:75">
      <c r="A295" s="219">
        <v>340</v>
      </c>
      <c r="B295" s="220" t="s">
        <v>1138</v>
      </c>
      <c r="C295" s="221" t="s">
        <v>874</v>
      </c>
      <c r="D295" s="221" t="s">
        <v>1058</v>
      </c>
      <c r="E295" s="221" t="s">
        <v>1059</v>
      </c>
      <c r="F295" s="219" t="s">
        <v>81</v>
      </c>
      <c r="G295" s="222" t="s">
        <v>38</v>
      </c>
      <c r="H295" s="233" t="s">
        <v>39</v>
      </c>
      <c r="I295" s="237" t="s">
        <v>1071</v>
      </c>
      <c r="J295" s="222" t="s">
        <v>1072</v>
      </c>
      <c r="K295" s="223" cm="1">
        <f t="array" ref="K295">_xlfn.XLOOKUP(D295&amp;E295&amp;H295&amp;I295&amp;J295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5" s="223"/>
      <c r="M295" s="224"/>
      <c r="N295" s="333"/>
      <c r="O295" s="226">
        <v>420000</v>
      </c>
      <c r="P295" s="235">
        <v>0.16</v>
      </c>
      <c r="Q295" s="228">
        <f t="shared" si="201"/>
        <v>0</v>
      </c>
      <c r="R295" s="260"/>
      <c r="S295" s="228">
        <f t="shared" si="178"/>
        <v>0</v>
      </c>
      <c r="T295" s="235">
        <v>0.01</v>
      </c>
      <c r="U295" s="228">
        <f t="shared" si="171"/>
        <v>0</v>
      </c>
      <c r="V295" s="228"/>
      <c r="W295" s="228">
        <f t="shared" si="194"/>
        <v>0</v>
      </c>
      <c r="X295" s="235">
        <v>0</v>
      </c>
      <c r="Y295" s="228">
        <f t="shared" si="193"/>
        <v>0</v>
      </c>
      <c r="Z295" s="258"/>
      <c r="AA295" s="228">
        <f t="shared" si="179"/>
        <v>0</v>
      </c>
      <c r="AB295" s="235">
        <v>0.01</v>
      </c>
      <c r="AC295" s="228">
        <f t="shared" si="173"/>
        <v>0</v>
      </c>
      <c r="AD295" s="228"/>
      <c r="AE295" s="228">
        <f t="shared" si="180"/>
        <v>0</v>
      </c>
      <c r="AF295" s="235">
        <v>0.01</v>
      </c>
      <c r="AG295" s="228">
        <f t="shared" si="172"/>
        <v>0</v>
      </c>
      <c r="AH295" s="228"/>
      <c r="AI295" s="228">
        <f t="shared" si="181"/>
        <v>0</v>
      </c>
      <c r="AJ295" s="235">
        <v>0</v>
      </c>
      <c r="AK295" s="228">
        <f t="shared" si="198"/>
        <v>0</v>
      </c>
      <c r="AL295" s="228"/>
      <c r="AM295" s="228">
        <f t="shared" si="182"/>
        <v>0</v>
      </c>
      <c r="AN295" s="235">
        <v>0</v>
      </c>
      <c r="AO295" s="228">
        <f t="shared" si="199"/>
        <v>0</v>
      </c>
      <c r="AP295" s="228"/>
      <c r="AQ295" s="228">
        <f t="shared" si="183"/>
        <v>0</v>
      </c>
      <c r="AR295" s="228" t="s">
        <v>1532</v>
      </c>
      <c r="AS295" s="228">
        <f t="shared" si="204"/>
        <v>0</v>
      </c>
      <c r="AT295" s="228"/>
      <c r="AU295" s="228">
        <f t="shared" si="184"/>
        <v>0</v>
      </c>
      <c r="AV295" s="235">
        <v>0.07</v>
      </c>
      <c r="AW295" s="228">
        <f t="shared" si="197"/>
        <v>0</v>
      </c>
      <c r="AX295" s="228"/>
      <c r="AY295" s="228">
        <f t="shared" si="185"/>
        <v>0</v>
      </c>
      <c r="AZ295" s="235" t="s">
        <v>1457</v>
      </c>
      <c r="BA295" s="228">
        <f t="shared" si="202"/>
        <v>0</v>
      </c>
      <c r="BB295" s="228"/>
      <c r="BC295" s="228">
        <f t="shared" si="186"/>
        <v>0</v>
      </c>
      <c r="BD295" s="235">
        <v>0</v>
      </c>
      <c r="BE295" s="228">
        <f t="shared" si="169"/>
        <v>0</v>
      </c>
      <c r="BF295" s="235"/>
      <c r="BG295" s="228">
        <f t="shared" si="187"/>
        <v>0</v>
      </c>
      <c r="BH295" s="235">
        <v>0</v>
      </c>
      <c r="BI295" s="228">
        <f t="shared" si="200"/>
        <v>0</v>
      </c>
      <c r="BJ295" s="235"/>
      <c r="BK295" s="228">
        <f t="shared" si="188"/>
        <v>0</v>
      </c>
      <c r="BL295" s="235" t="s">
        <v>1457</v>
      </c>
      <c r="BM295" s="220">
        <f t="shared" si="203"/>
        <v>0</v>
      </c>
      <c r="BN295" s="334"/>
      <c r="BO295" s="220">
        <f t="shared" si="189"/>
        <v>0</v>
      </c>
      <c r="BP295" s="220">
        <f t="shared" si="190"/>
        <v>0</v>
      </c>
      <c r="BQ295" s="220">
        <f t="shared" si="191"/>
        <v>0</v>
      </c>
      <c r="BR295" s="220">
        <f t="shared" si="192"/>
        <v>0</v>
      </c>
      <c r="BS295" s="236" t="s">
        <v>39</v>
      </c>
      <c r="BT295" s="236" t="s">
        <v>39</v>
      </c>
      <c r="BU295" s="230" t="s">
        <v>1062</v>
      </c>
      <c r="BV295" s="230" t="s">
        <v>1063</v>
      </c>
      <c r="BW295" s="231"/>
    </row>
    <row r="296" s="209" customFormat="1" ht="36" customHeight="1" spans="1:75">
      <c r="A296" s="219">
        <v>341</v>
      </c>
      <c r="B296" s="220" t="s">
        <v>1141</v>
      </c>
      <c r="C296" s="221" t="s">
        <v>874</v>
      </c>
      <c r="D296" s="221" t="s">
        <v>1058</v>
      </c>
      <c r="E296" s="221" t="s">
        <v>1059</v>
      </c>
      <c r="F296" s="219" t="s">
        <v>81</v>
      </c>
      <c r="G296" s="222" t="s">
        <v>38</v>
      </c>
      <c r="H296" s="233" t="s">
        <v>39</v>
      </c>
      <c r="I296" s="237" t="s">
        <v>843</v>
      </c>
      <c r="J296" s="222" t="s">
        <v>1074</v>
      </c>
      <c r="K296" s="223" cm="1">
        <f t="array" ref="K296">_xlfn.XLOOKUP(D296&amp;E296&amp;H296&amp;I296&amp;J296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6" s="223"/>
      <c r="M296" s="224"/>
      <c r="N296" s="333"/>
      <c r="O296" s="226">
        <v>200000</v>
      </c>
      <c r="P296" s="235">
        <v>0.12</v>
      </c>
      <c r="Q296" s="228">
        <f t="shared" si="201"/>
        <v>0</v>
      </c>
      <c r="R296" s="260"/>
      <c r="S296" s="228">
        <f t="shared" si="178"/>
        <v>0</v>
      </c>
      <c r="T296" s="235">
        <v>0.01</v>
      </c>
      <c r="U296" s="228">
        <f t="shared" si="171"/>
        <v>0</v>
      </c>
      <c r="V296" s="228"/>
      <c r="W296" s="228">
        <f t="shared" si="194"/>
        <v>0</v>
      </c>
      <c r="X296" s="235">
        <v>0</v>
      </c>
      <c r="Y296" s="228">
        <f t="shared" si="193"/>
        <v>0</v>
      </c>
      <c r="Z296" s="258"/>
      <c r="AA296" s="228">
        <f t="shared" si="179"/>
        <v>0</v>
      </c>
      <c r="AB296" s="235">
        <v>0.01</v>
      </c>
      <c r="AC296" s="228">
        <f t="shared" si="173"/>
        <v>0</v>
      </c>
      <c r="AD296" s="228"/>
      <c r="AE296" s="228">
        <f t="shared" si="180"/>
        <v>0</v>
      </c>
      <c r="AF296" s="235">
        <v>0.01</v>
      </c>
      <c r="AG296" s="228">
        <f t="shared" si="172"/>
        <v>0</v>
      </c>
      <c r="AH296" s="228"/>
      <c r="AI296" s="228">
        <f t="shared" si="181"/>
        <v>0</v>
      </c>
      <c r="AJ296" s="235">
        <v>0</v>
      </c>
      <c r="AK296" s="228">
        <f t="shared" si="198"/>
        <v>0</v>
      </c>
      <c r="AL296" s="228"/>
      <c r="AM296" s="228">
        <f t="shared" si="182"/>
        <v>0</v>
      </c>
      <c r="AN296" s="235">
        <v>0</v>
      </c>
      <c r="AO296" s="228">
        <f t="shared" si="199"/>
        <v>0</v>
      </c>
      <c r="AP296" s="228"/>
      <c r="AQ296" s="228">
        <f t="shared" si="183"/>
        <v>0</v>
      </c>
      <c r="AR296" s="228" t="s">
        <v>1533</v>
      </c>
      <c r="AS296" s="228">
        <f t="shared" si="204"/>
        <v>0</v>
      </c>
      <c r="AT296" s="228"/>
      <c r="AU296" s="228">
        <f t="shared" si="184"/>
        <v>0</v>
      </c>
      <c r="AV296" s="235">
        <v>0.07</v>
      </c>
      <c r="AW296" s="228">
        <f t="shared" si="197"/>
        <v>0</v>
      </c>
      <c r="AX296" s="228"/>
      <c r="AY296" s="228">
        <f t="shared" si="185"/>
        <v>0</v>
      </c>
      <c r="AZ296" s="235" t="s">
        <v>1457</v>
      </c>
      <c r="BA296" s="228">
        <f t="shared" si="202"/>
        <v>0</v>
      </c>
      <c r="BB296" s="228"/>
      <c r="BC296" s="228">
        <f t="shared" si="186"/>
        <v>0</v>
      </c>
      <c r="BD296" s="235">
        <v>0</v>
      </c>
      <c r="BE296" s="228">
        <f t="shared" si="169"/>
        <v>0</v>
      </c>
      <c r="BF296" s="235"/>
      <c r="BG296" s="228">
        <f t="shared" si="187"/>
        <v>0</v>
      </c>
      <c r="BH296" s="235">
        <v>0</v>
      </c>
      <c r="BI296" s="228">
        <f t="shared" si="200"/>
        <v>0</v>
      </c>
      <c r="BJ296" s="235"/>
      <c r="BK296" s="228">
        <f t="shared" si="188"/>
        <v>0</v>
      </c>
      <c r="BL296" s="235" t="s">
        <v>1457</v>
      </c>
      <c r="BM296" s="220">
        <f t="shared" si="203"/>
        <v>0</v>
      </c>
      <c r="BN296" s="334"/>
      <c r="BO296" s="220">
        <f t="shared" si="189"/>
        <v>0</v>
      </c>
      <c r="BP296" s="220">
        <f t="shared" si="190"/>
        <v>0</v>
      </c>
      <c r="BQ296" s="220">
        <f t="shared" si="191"/>
        <v>0</v>
      </c>
      <c r="BR296" s="220">
        <f t="shared" si="192"/>
        <v>0</v>
      </c>
      <c r="BS296" s="236" t="s">
        <v>39</v>
      </c>
      <c r="BT296" s="236" t="s">
        <v>39</v>
      </c>
      <c r="BU296" s="230" t="s">
        <v>1062</v>
      </c>
      <c r="BV296" s="230" t="s">
        <v>1063</v>
      </c>
      <c r="BW296" s="231"/>
    </row>
    <row r="297" s="209" customFormat="1" ht="36" customHeight="1" spans="1:75">
      <c r="A297" s="219">
        <v>342</v>
      </c>
      <c r="B297" s="220" t="s">
        <v>1145</v>
      </c>
      <c r="C297" s="221" t="s">
        <v>874</v>
      </c>
      <c r="D297" s="221" t="s">
        <v>1058</v>
      </c>
      <c r="E297" s="221" t="s">
        <v>1059</v>
      </c>
      <c r="F297" s="219" t="s">
        <v>81</v>
      </c>
      <c r="G297" s="222" t="s">
        <v>38</v>
      </c>
      <c r="H297" s="233" t="s">
        <v>39</v>
      </c>
      <c r="I297" s="237" t="s">
        <v>488</v>
      </c>
      <c r="J297" s="222" t="s">
        <v>1076</v>
      </c>
      <c r="K297" s="223" cm="1">
        <f t="array" ref="K297">_xlfn.XLOOKUP(D297&amp;E297&amp;H297&amp;I297&amp;J297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7" s="223"/>
      <c r="M297" s="224"/>
      <c r="N297" s="333">
        <v>51769.07</v>
      </c>
      <c r="O297" s="226">
        <v>380000</v>
      </c>
      <c r="P297" s="235">
        <v>0.11</v>
      </c>
      <c r="Q297" s="228">
        <f t="shared" si="201"/>
        <v>0</v>
      </c>
      <c r="R297" s="260">
        <v>29865.6353</v>
      </c>
      <c r="S297" s="228">
        <f t="shared" si="178"/>
        <v>-29865.6353</v>
      </c>
      <c r="T297" s="235">
        <v>0.01</v>
      </c>
      <c r="U297" s="228">
        <f t="shared" si="171"/>
        <v>0</v>
      </c>
      <c r="V297" s="228">
        <v>2303.8361</v>
      </c>
      <c r="W297" s="228">
        <f t="shared" si="194"/>
        <v>-2303.8361</v>
      </c>
      <c r="X297" s="235">
        <v>0</v>
      </c>
      <c r="Y297" s="228">
        <f t="shared" si="193"/>
        <v>0</v>
      </c>
      <c r="Z297" s="258">
        <v>0</v>
      </c>
      <c r="AA297" s="228">
        <f t="shared" si="179"/>
        <v>0</v>
      </c>
      <c r="AB297" s="235">
        <v>0.01</v>
      </c>
      <c r="AC297" s="228">
        <f t="shared" si="173"/>
        <v>0</v>
      </c>
      <c r="AD297" s="228">
        <v>2303.8361</v>
      </c>
      <c r="AE297" s="228">
        <f t="shared" si="180"/>
        <v>-2303.8361</v>
      </c>
      <c r="AF297" s="235">
        <v>0.01</v>
      </c>
      <c r="AG297" s="228">
        <f t="shared" si="172"/>
        <v>0</v>
      </c>
      <c r="AH297" s="228">
        <v>2303.8361</v>
      </c>
      <c r="AI297" s="228">
        <f t="shared" si="181"/>
        <v>-2303.8361</v>
      </c>
      <c r="AJ297" s="235">
        <v>0</v>
      </c>
      <c r="AK297" s="228">
        <f t="shared" si="198"/>
        <v>0</v>
      </c>
      <c r="AL297" s="228">
        <v>0</v>
      </c>
      <c r="AM297" s="228">
        <f t="shared" si="182"/>
        <v>0</v>
      </c>
      <c r="AN297" s="235">
        <v>0</v>
      </c>
      <c r="AO297" s="228">
        <f t="shared" si="199"/>
        <v>0</v>
      </c>
      <c r="AP297" s="228">
        <v>0</v>
      </c>
      <c r="AQ297" s="228">
        <f t="shared" si="183"/>
        <v>0</v>
      </c>
      <c r="AR297" s="228" t="s">
        <v>1533</v>
      </c>
      <c r="AS297" s="228">
        <f t="shared" si="204"/>
        <v>3633.33</v>
      </c>
      <c r="AT297" s="228">
        <v>3633.33</v>
      </c>
      <c r="AU297" s="228">
        <f t="shared" si="184"/>
        <v>0</v>
      </c>
      <c r="AV297" s="235">
        <v>0.07</v>
      </c>
      <c r="AW297" s="228">
        <f t="shared" si="197"/>
        <v>0</v>
      </c>
      <c r="AX297" s="228">
        <v>16126.8527</v>
      </c>
      <c r="AY297" s="228">
        <f t="shared" si="185"/>
        <v>-16126.8527</v>
      </c>
      <c r="AZ297" s="235" t="s">
        <v>1457</v>
      </c>
      <c r="BA297" s="228">
        <f t="shared" si="202"/>
        <v>5145.05</v>
      </c>
      <c r="BB297" s="228">
        <v>5145.05</v>
      </c>
      <c r="BC297" s="228">
        <f t="shared" si="186"/>
        <v>0</v>
      </c>
      <c r="BD297" s="228">
        <v>0</v>
      </c>
      <c r="BE297" s="228">
        <f t="shared" ref="BE297:BE344" si="205">K297*BD297</f>
        <v>0</v>
      </c>
      <c r="BF297" s="228">
        <v>0</v>
      </c>
      <c r="BG297" s="228">
        <f t="shared" si="187"/>
        <v>0</v>
      </c>
      <c r="BH297" s="228">
        <v>0</v>
      </c>
      <c r="BI297" s="228">
        <f t="shared" si="200"/>
        <v>0</v>
      </c>
      <c r="BJ297" s="228">
        <v>0</v>
      </c>
      <c r="BK297" s="228">
        <f t="shared" si="188"/>
        <v>0</v>
      </c>
      <c r="BL297" s="228" t="s">
        <v>1457</v>
      </c>
      <c r="BM297" s="220">
        <f t="shared" si="203"/>
        <v>108379.57</v>
      </c>
      <c r="BN297" s="334">
        <v>108379.57</v>
      </c>
      <c r="BO297" s="220">
        <f t="shared" si="189"/>
        <v>0</v>
      </c>
      <c r="BP297" s="220">
        <f t="shared" si="190"/>
        <v>168927.02</v>
      </c>
      <c r="BQ297" s="220">
        <f t="shared" si="191"/>
        <v>221831.0163</v>
      </c>
      <c r="BR297" s="220">
        <f t="shared" si="192"/>
        <v>-52903.9963</v>
      </c>
      <c r="BS297" s="236" t="s">
        <v>39</v>
      </c>
      <c r="BT297" s="236" t="s">
        <v>39</v>
      </c>
      <c r="BU297" s="230" t="s">
        <v>1062</v>
      </c>
      <c r="BV297" s="230" t="s">
        <v>1063</v>
      </c>
      <c r="BW297" s="231"/>
    </row>
    <row r="298" s="209" customFormat="1" spans="1:75">
      <c r="A298" s="219">
        <v>344</v>
      </c>
      <c r="B298" s="220" t="s">
        <v>1153</v>
      </c>
      <c r="C298" s="221" t="s">
        <v>874</v>
      </c>
      <c r="D298" s="221" t="s">
        <v>1083</v>
      </c>
      <c r="E298" s="221" t="s">
        <v>1084</v>
      </c>
      <c r="F298" s="222" t="s">
        <v>53</v>
      </c>
      <c r="G298" s="222" t="s">
        <v>38</v>
      </c>
      <c r="H298" s="222" t="s">
        <v>39</v>
      </c>
      <c r="I298" s="237" t="s">
        <v>39</v>
      </c>
      <c r="J298" s="222" t="s">
        <v>39</v>
      </c>
      <c r="K298" s="223" cm="1">
        <f t="array" ref="K298">_xlfn.XLOOKUP(D298&amp;E298&amp;H298&amp;I298&amp;J298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8" s="223"/>
      <c r="M298" s="224"/>
      <c r="N298" s="225"/>
      <c r="O298" s="226">
        <v>612000</v>
      </c>
      <c r="P298" s="235">
        <v>0</v>
      </c>
      <c r="Q298" s="228">
        <f t="shared" si="201"/>
        <v>0</v>
      </c>
      <c r="R298" s="259"/>
      <c r="S298" s="228">
        <f t="shared" si="178"/>
        <v>0</v>
      </c>
      <c r="T298" s="235">
        <v>0</v>
      </c>
      <c r="U298" s="228">
        <f t="shared" si="171"/>
        <v>0</v>
      </c>
      <c r="V298" s="228"/>
      <c r="W298" s="228">
        <f t="shared" si="194"/>
        <v>0</v>
      </c>
      <c r="X298" s="235">
        <v>0</v>
      </c>
      <c r="Y298" s="228">
        <f t="shared" si="193"/>
        <v>0</v>
      </c>
      <c r="Z298" s="228"/>
      <c r="AA298" s="228">
        <f t="shared" si="179"/>
        <v>0</v>
      </c>
      <c r="AB298" s="235">
        <v>0</v>
      </c>
      <c r="AC298" s="228">
        <f t="shared" si="173"/>
        <v>0</v>
      </c>
      <c r="AD298" s="228"/>
      <c r="AE298" s="228">
        <f t="shared" si="180"/>
        <v>0</v>
      </c>
      <c r="AF298" s="235">
        <v>0</v>
      </c>
      <c r="AG298" s="228">
        <f t="shared" si="172"/>
        <v>0</v>
      </c>
      <c r="AH298" s="228"/>
      <c r="AI298" s="228">
        <f t="shared" si="181"/>
        <v>0</v>
      </c>
      <c r="AJ298" s="235">
        <v>0</v>
      </c>
      <c r="AK298" s="228">
        <f t="shared" si="198"/>
        <v>0</v>
      </c>
      <c r="AL298" s="228"/>
      <c r="AM298" s="228">
        <f t="shared" si="182"/>
        <v>0</v>
      </c>
      <c r="AN298" s="235">
        <v>0</v>
      </c>
      <c r="AO298" s="228">
        <f t="shared" si="199"/>
        <v>0</v>
      </c>
      <c r="AP298" s="228"/>
      <c r="AQ298" s="228">
        <f t="shared" si="183"/>
        <v>0</v>
      </c>
      <c r="AR298" s="228">
        <v>0</v>
      </c>
      <c r="AS298" s="228">
        <f t="shared" ref="AS298:AS304" si="206">K298*AR298</f>
        <v>0</v>
      </c>
      <c r="AT298" s="228"/>
      <c r="AU298" s="228">
        <f t="shared" si="184"/>
        <v>0</v>
      </c>
      <c r="AV298" s="235">
        <v>0</v>
      </c>
      <c r="AW298" s="228">
        <f t="shared" si="197"/>
        <v>0</v>
      </c>
      <c r="AX298" s="228"/>
      <c r="AY298" s="228">
        <f t="shared" si="185"/>
        <v>0</v>
      </c>
      <c r="AZ298" s="235">
        <v>0</v>
      </c>
      <c r="BA298" s="228">
        <f>K298*AZ298</f>
        <v>0</v>
      </c>
      <c r="BB298" s="228"/>
      <c r="BC298" s="228">
        <f t="shared" si="186"/>
        <v>0</v>
      </c>
      <c r="BD298" s="228"/>
      <c r="BE298" s="228">
        <f t="shared" si="205"/>
        <v>0</v>
      </c>
      <c r="BF298" s="228"/>
      <c r="BG298" s="228">
        <f t="shared" si="187"/>
        <v>0</v>
      </c>
      <c r="BH298" s="228"/>
      <c r="BI298" s="228">
        <f t="shared" si="200"/>
        <v>0</v>
      </c>
      <c r="BJ298" s="228"/>
      <c r="BK298" s="228">
        <f t="shared" si="188"/>
        <v>0</v>
      </c>
      <c r="BL298" s="228">
        <v>0</v>
      </c>
      <c r="BM298" s="220">
        <f>K298*BL298</f>
        <v>0</v>
      </c>
      <c r="BN298" s="220"/>
      <c r="BO298" s="220">
        <f t="shared" si="189"/>
        <v>0</v>
      </c>
      <c r="BP298" s="220">
        <f t="shared" si="190"/>
        <v>0</v>
      </c>
      <c r="BQ298" s="220">
        <f t="shared" si="191"/>
        <v>0</v>
      </c>
      <c r="BR298" s="220">
        <f t="shared" si="192"/>
        <v>0</v>
      </c>
      <c r="BS298" s="236" t="s">
        <v>39</v>
      </c>
      <c r="BT298" s="236" t="s">
        <v>39</v>
      </c>
      <c r="BU298" s="230"/>
      <c r="BV298" s="230"/>
      <c r="BW298" s="231"/>
    </row>
    <row r="299" s="209" customFormat="1" ht="24" customHeight="1" spans="1:75">
      <c r="A299" s="219">
        <v>346</v>
      </c>
      <c r="B299" s="220" t="s">
        <v>1159</v>
      </c>
      <c r="C299" s="221" t="s">
        <v>874</v>
      </c>
      <c r="D299" s="221" t="s">
        <v>1086</v>
      </c>
      <c r="E299" s="221" t="s">
        <v>1087</v>
      </c>
      <c r="F299" s="219" t="s">
        <v>47</v>
      </c>
      <c r="G299" s="222" t="s">
        <v>1462</v>
      </c>
      <c r="H299" s="233" t="s">
        <v>39</v>
      </c>
      <c r="I299" s="237" t="s">
        <v>130</v>
      </c>
      <c r="J299" s="222" t="s">
        <v>1090</v>
      </c>
      <c r="K299" s="223" cm="1">
        <f t="array" ref="K299">_xlfn.XLOOKUP(D299&amp;E299&amp;H299&amp;I299&amp;J299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9" s="223"/>
      <c r="M299" s="224"/>
      <c r="N299" s="335">
        <v>219777.56</v>
      </c>
      <c r="O299" s="226">
        <v>3830000</v>
      </c>
      <c r="P299" s="251">
        <v>0.18</v>
      </c>
      <c r="Q299" s="228">
        <f t="shared" si="201"/>
        <v>0</v>
      </c>
      <c r="R299" s="259">
        <v>23862.06</v>
      </c>
      <c r="S299" s="228">
        <f t="shared" si="178"/>
        <v>-23862.06</v>
      </c>
      <c r="T299" s="235">
        <v>0</v>
      </c>
      <c r="U299" s="228">
        <f t="shared" si="171"/>
        <v>0</v>
      </c>
      <c r="V299" s="228"/>
      <c r="W299" s="228">
        <f t="shared" si="194"/>
        <v>0</v>
      </c>
      <c r="X299" s="235">
        <v>0</v>
      </c>
      <c r="Y299" s="228">
        <f t="shared" si="193"/>
        <v>0</v>
      </c>
      <c r="Z299" s="228"/>
      <c r="AA299" s="228">
        <f t="shared" si="179"/>
        <v>0</v>
      </c>
      <c r="AB299" s="235">
        <v>0</v>
      </c>
      <c r="AC299" s="228">
        <f t="shared" si="173"/>
        <v>0</v>
      </c>
      <c r="AD299" s="228"/>
      <c r="AE299" s="228">
        <f t="shared" si="180"/>
        <v>0</v>
      </c>
      <c r="AF299" s="235">
        <v>0</v>
      </c>
      <c r="AG299" s="228">
        <f t="shared" si="172"/>
        <v>0</v>
      </c>
      <c r="AH299" s="228"/>
      <c r="AI299" s="228">
        <f t="shared" si="181"/>
        <v>0</v>
      </c>
      <c r="AJ299" s="235">
        <v>0</v>
      </c>
      <c r="AK299" s="228">
        <f t="shared" si="198"/>
        <v>0</v>
      </c>
      <c r="AL299" s="228"/>
      <c r="AM299" s="228">
        <f t="shared" si="182"/>
        <v>0</v>
      </c>
      <c r="AN299" s="235">
        <v>0</v>
      </c>
      <c r="AO299" s="228">
        <f t="shared" si="199"/>
        <v>0</v>
      </c>
      <c r="AP299" s="228"/>
      <c r="AQ299" s="228">
        <f t="shared" si="183"/>
        <v>0</v>
      </c>
      <c r="AR299" s="228">
        <v>0</v>
      </c>
      <c r="AS299" s="228">
        <f t="shared" si="206"/>
        <v>0</v>
      </c>
      <c r="AT299" s="228"/>
      <c r="AU299" s="228">
        <f t="shared" si="184"/>
        <v>0</v>
      </c>
      <c r="AV299" s="235" t="s">
        <v>1457</v>
      </c>
      <c r="AW299" s="228">
        <f>AX299</f>
        <v>0</v>
      </c>
      <c r="AX299" s="336"/>
      <c r="AY299" s="228">
        <f t="shared" si="185"/>
        <v>0</v>
      </c>
      <c r="AZ299" s="228" t="s">
        <v>1515</v>
      </c>
      <c r="BA299" s="228">
        <f t="shared" ref="BA299:BA335" si="207">BB299</f>
        <v>0</v>
      </c>
      <c r="BB299" s="228"/>
      <c r="BC299" s="228">
        <f t="shared" si="186"/>
        <v>0</v>
      </c>
      <c r="BD299" s="247">
        <v>0</v>
      </c>
      <c r="BE299" s="228">
        <f t="shared" si="205"/>
        <v>0</v>
      </c>
      <c r="BF299" s="247"/>
      <c r="BG299" s="228">
        <f t="shared" si="187"/>
        <v>0</v>
      </c>
      <c r="BH299" s="247">
        <v>0</v>
      </c>
      <c r="BI299" s="228">
        <f t="shared" si="200"/>
        <v>0</v>
      </c>
      <c r="BJ299" s="228"/>
      <c r="BK299" s="228">
        <f t="shared" si="188"/>
        <v>0</v>
      </c>
      <c r="BL299" s="228" t="s">
        <v>1515</v>
      </c>
      <c r="BM299" s="220">
        <f t="shared" ref="BM299:BM335" si="208">BN299</f>
        <v>125048.41</v>
      </c>
      <c r="BN299" s="259">
        <v>125048.41</v>
      </c>
      <c r="BO299" s="220">
        <f t="shared" si="189"/>
        <v>0</v>
      </c>
      <c r="BP299" s="220">
        <f t="shared" si="190"/>
        <v>344825.97</v>
      </c>
      <c r="BQ299" s="220">
        <f t="shared" si="191"/>
        <v>368688.03</v>
      </c>
      <c r="BR299" s="220">
        <f t="shared" si="192"/>
        <v>-23862.0600000001</v>
      </c>
      <c r="BS299" s="254" t="s">
        <v>39</v>
      </c>
      <c r="BT299" s="229" t="s">
        <v>39</v>
      </c>
      <c r="BU299" s="250"/>
      <c r="BV299" s="230" t="s">
        <v>244</v>
      </c>
      <c r="BW299" s="231"/>
    </row>
    <row r="300" s="209" customFormat="1" ht="24" customHeight="1" spans="1:75">
      <c r="A300" s="219">
        <v>347</v>
      </c>
      <c r="B300" s="220" t="s">
        <v>1161</v>
      </c>
      <c r="C300" s="221" t="s">
        <v>874</v>
      </c>
      <c r="D300" s="221" t="s">
        <v>1086</v>
      </c>
      <c r="E300" s="221" t="s">
        <v>1087</v>
      </c>
      <c r="F300" s="219" t="s">
        <v>47</v>
      </c>
      <c r="G300" s="222" t="s">
        <v>1462</v>
      </c>
      <c r="H300" s="233" t="s">
        <v>39</v>
      </c>
      <c r="I300" s="237" t="s">
        <v>1092</v>
      </c>
      <c r="J300" s="222" t="s">
        <v>1093</v>
      </c>
      <c r="K300" s="223" cm="1">
        <f t="array" ref="K300">_xlfn.XLOOKUP(D300&amp;E300&amp;H300&amp;I300&amp;J300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0" s="223"/>
      <c r="M300" s="224"/>
      <c r="N300" s="335"/>
      <c r="O300" s="226">
        <v>930000</v>
      </c>
      <c r="P300" s="251">
        <v>0.19</v>
      </c>
      <c r="Q300" s="228">
        <f t="shared" si="201"/>
        <v>0</v>
      </c>
      <c r="R300" s="259"/>
      <c r="S300" s="228">
        <f t="shared" si="178"/>
        <v>0</v>
      </c>
      <c r="T300" s="235">
        <v>0</v>
      </c>
      <c r="U300" s="228">
        <f t="shared" si="171"/>
        <v>0</v>
      </c>
      <c r="V300" s="228"/>
      <c r="W300" s="228">
        <f t="shared" si="194"/>
        <v>0</v>
      </c>
      <c r="X300" s="235">
        <v>0</v>
      </c>
      <c r="Y300" s="228">
        <f t="shared" si="193"/>
        <v>0</v>
      </c>
      <c r="Z300" s="228"/>
      <c r="AA300" s="228">
        <f t="shared" si="179"/>
        <v>0</v>
      </c>
      <c r="AB300" s="235">
        <v>0</v>
      </c>
      <c r="AC300" s="228">
        <f t="shared" si="173"/>
        <v>0</v>
      </c>
      <c r="AD300" s="228"/>
      <c r="AE300" s="228">
        <f t="shared" si="180"/>
        <v>0</v>
      </c>
      <c r="AF300" s="235">
        <v>0</v>
      </c>
      <c r="AG300" s="228">
        <f t="shared" si="172"/>
        <v>0</v>
      </c>
      <c r="AH300" s="228"/>
      <c r="AI300" s="228">
        <f t="shared" si="181"/>
        <v>0</v>
      </c>
      <c r="AJ300" s="235">
        <v>0</v>
      </c>
      <c r="AK300" s="228">
        <f t="shared" si="198"/>
        <v>0</v>
      </c>
      <c r="AL300" s="228"/>
      <c r="AM300" s="228">
        <f t="shared" si="182"/>
        <v>0</v>
      </c>
      <c r="AN300" s="235">
        <v>0</v>
      </c>
      <c r="AO300" s="228">
        <f t="shared" si="199"/>
        <v>0</v>
      </c>
      <c r="AP300" s="228"/>
      <c r="AQ300" s="228">
        <f t="shared" si="183"/>
        <v>0</v>
      </c>
      <c r="AR300" s="228">
        <v>0</v>
      </c>
      <c r="AS300" s="228">
        <f t="shared" si="206"/>
        <v>0</v>
      </c>
      <c r="AT300" s="228"/>
      <c r="AU300" s="228">
        <f t="shared" si="184"/>
        <v>0</v>
      </c>
      <c r="AV300" s="235" t="s">
        <v>1457</v>
      </c>
      <c r="AW300" s="228">
        <f>AX300</f>
        <v>0</v>
      </c>
      <c r="AX300" s="336"/>
      <c r="AY300" s="228">
        <f t="shared" si="185"/>
        <v>0</v>
      </c>
      <c r="AZ300" s="228" t="s">
        <v>1515</v>
      </c>
      <c r="BA300" s="228">
        <f t="shared" si="207"/>
        <v>0</v>
      </c>
      <c r="BB300" s="228"/>
      <c r="BC300" s="228">
        <f t="shared" si="186"/>
        <v>0</v>
      </c>
      <c r="BD300" s="247">
        <v>0</v>
      </c>
      <c r="BE300" s="228">
        <f t="shared" si="205"/>
        <v>0</v>
      </c>
      <c r="BF300" s="247"/>
      <c r="BG300" s="228">
        <f t="shared" si="187"/>
        <v>0</v>
      </c>
      <c r="BH300" s="247">
        <v>0</v>
      </c>
      <c r="BI300" s="228">
        <f t="shared" si="200"/>
        <v>0</v>
      </c>
      <c r="BJ300" s="228"/>
      <c r="BK300" s="228">
        <f t="shared" si="188"/>
        <v>0</v>
      </c>
      <c r="BL300" s="228" t="s">
        <v>1515</v>
      </c>
      <c r="BM300" s="220">
        <f t="shared" si="208"/>
        <v>0</v>
      </c>
      <c r="BN300" s="259"/>
      <c r="BO300" s="220">
        <f t="shared" si="189"/>
        <v>0</v>
      </c>
      <c r="BP300" s="220">
        <f t="shared" si="190"/>
        <v>0</v>
      </c>
      <c r="BQ300" s="220">
        <f t="shared" si="191"/>
        <v>0</v>
      </c>
      <c r="BR300" s="220">
        <f t="shared" si="192"/>
        <v>0</v>
      </c>
      <c r="BS300" s="254" t="s">
        <v>39</v>
      </c>
      <c r="BT300" s="229" t="s">
        <v>39</v>
      </c>
      <c r="BU300" s="250"/>
      <c r="BV300" s="230" t="s">
        <v>244</v>
      </c>
      <c r="BW300" s="231"/>
    </row>
    <row r="301" s="209" customFormat="1" ht="24" customHeight="1" spans="1:75">
      <c r="A301" s="219">
        <v>349</v>
      </c>
      <c r="B301" s="220" t="s">
        <v>1167</v>
      </c>
      <c r="C301" s="221" t="s">
        <v>874</v>
      </c>
      <c r="D301" s="221" t="s">
        <v>1095</v>
      </c>
      <c r="E301" s="221" t="s">
        <v>1096</v>
      </c>
      <c r="F301" s="219" t="s">
        <v>47</v>
      </c>
      <c r="G301" s="222" t="s">
        <v>1462</v>
      </c>
      <c r="H301" s="233" t="s">
        <v>39</v>
      </c>
      <c r="I301" s="237" t="s">
        <v>1099</v>
      </c>
      <c r="J301" s="222" t="s">
        <v>1100</v>
      </c>
      <c r="K301" s="223" cm="1">
        <f t="array" ref="K301">_xlfn.XLOOKUP(D301&amp;E301&amp;H301&amp;I301&amp;J301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1" s="223"/>
      <c r="M301" s="224"/>
      <c r="N301" s="335">
        <v>221257.16</v>
      </c>
      <c r="O301" s="226">
        <v>1280000</v>
      </c>
      <c r="P301" s="251">
        <v>0.1</v>
      </c>
      <c r="Q301" s="228">
        <f t="shared" si="201"/>
        <v>0</v>
      </c>
      <c r="R301" s="259">
        <v>5107.4</v>
      </c>
      <c r="S301" s="228">
        <f t="shared" si="178"/>
        <v>-5107.4</v>
      </c>
      <c r="T301" s="235">
        <v>0</v>
      </c>
      <c r="U301" s="228">
        <f t="shared" si="171"/>
        <v>0</v>
      </c>
      <c r="V301" s="228"/>
      <c r="W301" s="228">
        <f t="shared" si="194"/>
        <v>0</v>
      </c>
      <c r="X301" s="235">
        <v>0</v>
      </c>
      <c r="Y301" s="228">
        <f t="shared" si="193"/>
        <v>0</v>
      </c>
      <c r="Z301" s="228"/>
      <c r="AA301" s="228">
        <f t="shared" si="179"/>
        <v>0</v>
      </c>
      <c r="AB301" s="235">
        <v>0</v>
      </c>
      <c r="AC301" s="228">
        <f t="shared" si="173"/>
        <v>0</v>
      </c>
      <c r="AD301" s="228"/>
      <c r="AE301" s="228">
        <f t="shared" si="180"/>
        <v>0</v>
      </c>
      <c r="AF301" s="235">
        <v>0</v>
      </c>
      <c r="AG301" s="228">
        <f t="shared" si="172"/>
        <v>0</v>
      </c>
      <c r="AH301" s="228"/>
      <c r="AI301" s="228">
        <f t="shared" si="181"/>
        <v>0</v>
      </c>
      <c r="AJ301" s="235">
        <v>0</v>
      </c>
      <c r="AK301" s="228">
        <f t="shared" si="198"/>
        <v>0</v>
      </c>
      <c r="AL301" s="228"/>
      <c r="AM301" s="228">
        <f t="shared" si="182"/>
        <v>0</v>
      </c>
      <c r="AN301" s="235">
        <v>0</v>
      </c>
      <c r="AO301" s="228">
        <f t="shared" si="199"/>
        <v>0</v>
      </c>
      <c r="AP301" s="228"/>
      <c r="AQ301" s="228">
        <f t="shared" si="183"/>
        <v>0</v>
      </c>
      <c r="AR301" s="228">
        <v>0</v>
      </c>
      <c r="AS301" s="228">
        <f t="shared" si="206"/>
        <v>0</v>
      </c>
      <c r="AT301" s="228"/>
      <c r="AU301" s="228">
        <f t="shared" si="184"/>
        <v>0</v>
      </c>
      <c r="AV301" s="228" t="s">
        <v>1457</v>
      </c>
      <c r="AW301" s="228">
        <f>AX301</f>
        <v>0</v>
      </c>
      <c r="AX301" s="336"/>
      <c r="AY301" s="228">
        <f t="shared" si="185"/>
        <v>0</v>
      </c>
      <c r="AZ301" s="228" t="s">
        <v>1515</v>
      </c>
      <c r="BA301" s="228">
        <f t="shared" si="207"/>
        <v>0</v>
      </c>
      <c r="BB301" s="228"/>
      <c r="BC301" s="228">
        <f t="shared" si="186"/>
        <v>0</v>
      </c>
      <c r="BD301" s="247">
        <v>0</v>
      </c>
      <c r="BE301" s="228">
        <f t="shared" si="205"/>
        <v>0</v>
      </c>
      <c r="BF301" s="247"/>
      <c r="BG301" s="228">
        <f t="shared" si="187"/>
        <v>0</v>
      </c>
      <c r="BH301" s="247">
        <v>0</v>
      </c>
      <c r="BI301" s="228">
        <f t="shared" si="200"/>
        <v>0</v>
      </c>
      <c r="BJ301" s="228"/>
      <c r="BK301" s="228">
        <f t="shared" si="188"/>
        <v>0</v>
      </c>
      <c r="BL301" s="228" t="s">
        <v>1515</v>
      </c>
      <c r="BM301" s="220">
        <f t="shared" si="208"/>
        <v>62294.72</v>
      </c>
      <c r="BN301" s="259">
        <v>62294.72</v>
      </c>
      <c r="BO301" s="220">
        <f t="shared" si="189"/>
        <v>0</v>
      </c>
      <c r="BP301" s="220">
        <f t="shared" si="190"/>
        <v>283551.88</v>
      </c>
      <c r="BQ301" s="220">
        <f t="shared" si="191"/>
        <v>288659.28</v>
      </c>
      <c r="BR301" s="220">
        <f t="shared" si="192"/>
        <v>-5107.40000000002</v>
      </c>
      <c r="BS301" s="254" t="s">
        <v>39</v>
      </c>
      <c r="BT301" s="229" t="s">
        <v>39</v>
      </c>
      <c r="BU301" s="230"/>
      <c r="BV301" s="230" t="s">
        <v>244</v>
      </c>
      <c r="BW301" s="231"/>
    </row>
    <row r="302" s="209" customFormat="1" ht="24" customHeight="1" spans="1:75">
      <c r="A302" s="219">
        <v>351</v>
      </c>
      <c r="B302" s="220" t="s">
        <v>1175</v>
      </c>
      <c r="C302" s="221" t="s">
        <v>874</v>
      </c>
      <c r="D302" s="221" t="s">
        <v>1095</v>
      </c>
      <c r="E302" s="221" t="s">
        <v>1102</v>
      </c>
      <c r="F302" s="219" t="s">
        <v>47</v>
      </c>
      <c r="G302" s="222" t="s">
        <v>1462</v>
      </c>
      <c r="H302" s="233" t="s">
        <v>39</v>
      </c>
      <c r="I302" s="237" t="s">
        <v>1105</v>
      </c>
      <c r="J302" s="222" t="s">
        <v>1106</v>
      </c>
      <c r="K302" s="223" cm="1">
        <f t="array" ref="K302">_xlfn.XLOOKUP(D302&amp;E302&amp;H302&amp;I302&amp;J302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2" s="223"/>
      <c r="M302" s="224"/>
      <c r="N302" s="234">
        <v>192792.35</v>
      </c>
      <c r="O302" s="226">
        <v>730000</v>
      </c>
      <c r="P302" s="247">
        <v>0.25</v>
      </c>
      <c r="Q302" s="228">
        <f t="shared" si="201"/>
        <v>0</v>
      </c>
      <c r="R302" s="336">
        <v>34459.25</v>
      </c>
      <c r="S302" s="228">
        <f t="shared" si="178"/>
        <v>-34459.25</v>
      </c>
      <c r="T302" s="235">
        <v>0</v>
      </c>
      <c r="U302" s="228">
        <f t="shared" ref="U302:U365" si="209">K302*T302</f>
        <v>0</v>
      </c>
      <c r="V302" s="228"/>
      <c r="W302" s="228">
        <f t="shared" si="194"/>
        <v>0</v>
      </c>
      <c r="X302" s="235">
        <v>0</v>
      </c>
      <c r="Y302" s="228">
        <f t="shared" si="193"/>
        <v>0</v>
      </c>
      <c r="Z302" s="228"/>
      <c r="AA302" s="228">
        <f t="shared" si="179"/>
        <v>0</v>
      </c>
      <c r="AB302" s="235">
        <v>0</v>
      </c>
      <c r="AC302" s="228">
        <f t="shared" si="173"/>
        <v>0</v>
      </c>
      <c r="AD302" s="228"/>
      <c r="AE302" s="228">
        <f t="shared" si="180"/>
        <v>0</v>
      </c>
      <c r="AF302" s="235">
        <v>0</v>
      </c>
      <c r="AG302" s="228">
        <f t="shared" ref="AG302:AG365" si="210">K302*AF302</f>
        <v>0</v>
      </c>
      <c r="AH302" s="228"/>
      <c r="AI302" s="228">
        <f t="shared" si="181"/>
        <v>0</v>
      </c>
      <c r="AJ302" s="235">
        <v>0</v>
      </c>
      <c r="AK302" s="228">
        <f t="shared" si="198"/>
        <v>0</v>
      </c>
      <c r="AL302" s="228"/>
      <c r="AM302" s="228">
        <f t="shared" si="182"/>
        <v>0</v>
      </c>
      <c r="AN302" s="235">
        <v>0</v>
      </c>
      <c r="AO302" s="228">
        <f t="shared" si="199"/>
        <v>0</v>
      </c>
      <c r="AP302" s="228"/>
      <c r="AQ302" s="228">
        <f t="shared" si="183"/>
        <v>0</v>
      </c>
      <c r="AR302" s="228">
        <v>0</v>
      </c>
      <c r="AS302" s="228">
        <f t="shared" si="206"/>
        <v>0</v>
      </c>
      <c r="AT302" s="228"/>
      <c r="AU302" s="228">
        <f t="shared" si="184"/>
        <v>0</v>
      </c>
      <c r="AV302" s="235">
        <v>0</v>
      </c>
      <c r="AW302" s="228">
        <f t="shared" ref="AW302:AW318" si="211">K302*AV302</f>
        <v>0</v>
      </c>
      <c r="AX302" s="336">
        <v>0</v>
      </c>
      <c r="AY302" s="228">
        <f t="shared" si="185"/>
        <v>0</v>
      </c>
      <c r="AZ302" s="228" t="s">
        <v>1515</v>
      </c>
      <c r="BA302" s="228">
        <f t="shared" si="207"/>
        <v>0</v>
      </c>
      <c r="BB302" s="228"/>
      <c r="BC302" s="228">
        <f t="shared" si="186"/>
        <v>0</v>
      </c>
      <c r="BD302" s="228">
        <v>0</v>
      </c>
      <c r="BE302" s="228">
        <f t="shared" si="205"/>
        <v>0</v>
      </c>
      <c r="BF302" s="228"/>
      <c r="BG302" s="228">
        <f t="shared" si="187"/>
        <v>0</v>
      </c>
      <c r="BH302" s="228">
        <v>0</v>
      </c>
      <c r="BI302" s="228">
        <f t="shared" si="200"/>
        <v>0</v>
      </c>
      <c r="BJ302" s="228"/>
      <c r="BK302" s="228">
        <f t="shared" si="188"/>
        <v>0</v>
      </c>
      <c r="BL302" s="228" t="s">
        <v>1515</v>
      </c>
      <c r="BM302" s="220">
        <f t="shared" si="208"/>
        <v>66161.76</v>
      </c>
      <c r="BN302" s="336">
        <v>66161.76</v>
      </c>
      <c r="BO302" s="220">
        <f t="shared" si="189"/>
        <v>0</v>
      </c>
      <c r="BP302" s="220">
        <f t="shared" si="190"/>
        <v>258954.11</v>
      </c>
      <c r="BQ302" s="220">
        <f t="shared" si="191"/>
        <v>293413.36</v>
      </c>
      <c r="BR302" s="220">
        <f t="shared" si="192"/>
        <v>-34459.25</v>
      </c>
      <c r="BS302" s="254" t="s">
        <v>39</v>
      </c>
      <c r="BT302" s="229" t="s">
        <v>39</v>
      </c>
      <c r="BU302" s="230"/>
      <c r="BV302" s="230" t="s">
        <v>244</v>
      </c>
      <c r="BW302" s="231"/>
    </row>
    <row r="303" s="209" customFormat="1" ht="24" customHeight="1" spans="1:75">
      <c r="A303" s="219">
        <v>352</v>
      </c>
      <c r="B303" s="220" t="s">
        <v>1180</v>
      </c>
      <c r="C303" s="221" t="s">
        <v>874</v>
      </c>
      <c r="D303" s="221" t="s">
        <v>1095</v>
      </c>
      <c r="E303" s="221" t="s">
        <v>1102</v>
      </c>
      <c r="F303" s="219" t="s">
        <v>47</v>
      </c>
      <c r="G303" s="222" t="s">
        <v>1462</v>
      </c>
      <c r="H303" s="233" t="s">
        <v>39</v>
      </c>
      <c r="I303" s="237" t="s">
        <v>448</v>
      </c>
      <c r="J303" s="222" t="s">
        <v>1108</v>
      </c>
      <c r="K303" s="223" cm="1">
        <f t="array" ref="K303">_xlfn.XLOOKUP(D303&amp;E303&amp;H303&amp;I303&amp;J303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3" s="223"/>
      <c r="M303" s="224"/>
      <c r="N303" s="253"/>
      <c r="O303" s="226">
        <v>1250000</v>
      </c>
      <c r="P303" s="247">
        <v>0.25</v>
      </c>
      <c r="Q303" s="228">
        <f t="shared" si="201"/>
        <v>0</v>
      </c>
      <c r="R303" s="228"/>
      <c r="S303" s="228">
        <f t="shared" si="178"/>
        <v>0</v>
      </c>
      <c r="T303" s="235">
        <v>0</v>
      </c>
      <c r="U303" s="228">
        <f t="shared" si="209"/>
        <v>0</v>
      </c>
      <c r="V303" s="228"/>
      <c r="W303" s="228">
        <f t="shared" si="194"/>
        <v>0</v>
      </c>
      <c r="X303" s="235">
        <v>0</v>
      </c>
      <c r="Y303" s="228">
        <f t="shared" si="193"/>
        <v>0</v>
      </c>
      <c r="Z303" s="228"/>
      <c r="AA303" s="228">
        <f t="shared" si="179"/>
        <v>0</v>
      </c>
      <c r="AB303" s="235">
        <v>0</v>
      </c>
      <c r="AC303" s="228">
        <f t="shared" si="173"/>
        <v>0</v>
      </c>
      <c r="AD303" s="228"/>
      <c r="AE303" s="228">
        <f t="shared" si="180"/>
        <v>0</v>
      </c>
      <c r="AF303" s="235">
        <v>0</v>
      </c>
      <c r="AG303" s="228">
        <f t="shared" si="210"/>
        <v>0</v>
      </c>
      <c r="AH303" s="228"/>
      <c r="AI303" s="228">
        <f t="shared" si="181"/>
        <v>0</v>
      </c>
      <c r="AJ303" s="235">
        <v>0</v>
      </c>
      <c r="AK303" s="228">
        <f t="shared" si="198"/>
        <v>0</v>
      </c>
      <c r="AL303" s="228"/>
      <c r="AM303" s="228">
        <f t="shared" si="182"/>
        <v>0</v>
      </c>
      <c r="AN303" s="235">
        <v>0</v>
      </c>
      <c r="AO303" s="228">
        <f t="shared" si="199"/>
        <v>0</v>
      </c>
      <c r="AP303" s="228"/>
      <c r="AQ303" s="228">
        <f t="shared" si="183"/>
        <v>0</v>
      </c>
      <c r="AR303" s="228">
        <v>0</v>
      </c>
      <c r="AS303" s="228">
        <f t="shared" si="206"/>
        <v>0</v>
      </c>
      <c r="AT303" s="228"/>
      <c r="AU303" s="228">
        <f t="shared" si="184"/>
        <v>0</v>
      </c>
      <c r="AV303" s="235">
        <v>0</v>
      </c>
      <c r="AW303" s="228">
        <f t="shared" si="211"/>
        <v>0</v>
      </c>
      <c r="AX303" s="228"/>
      <c r="AY303" s="228">
        <f t="shared" si="185"/>
        <v>0</v>
      </c>
      <c r="AZ303" s="228" t="s">
        <v>1515</v>
      </c>
      <c r="BA303" s="228">
        <f t="shared" si="207"/>
        <v>0</v>
      </c>
      <c r="BB303" s="228"/>
      <c r="BC303" s="228">
        <f t="shared" si="186"/>
        <v>0</v>
      </c>
      <c r="BD303" s="228">
        <v>0</v>
      </c>
      <c r="BE303" s="228">
        <f t="shared" si="205"/>
        <v>0</v>
      </c>
      <c r="BF303" s="228"/>
      <c r="BG303" s="228">
        <f t="shared" si="187"/>
        <v>0</v>
      </c>
      <c r="BH303" s="228">
        <v>0</v>
      </c>
      <c r="BI303" s="228">
        <f t="shared" si="200"/>
        <v>0</v>
      </c>
      <c r="BJ303" s="228"/>
      <c r="BK303" s="228">
        <f t="shared" si="188"/>
        <v>0</v>
      </c>
      <c r="BL303" s="228" t="s">
        <v>1515</v>
      </c>
      <c r="BM303" s="220">
        <f t="shared" si="208"/>
        <v>0</v>
      </c>
      <c r="BN303" s="220"/>
      <c r="BO303" s="220">
        <f t="shared" si="189"/>
        <v>0</v>
      </c>
      <c r="BP303" s="220">
        <f t="shared" si="190"/>
        <v>0</v>
      </c>
      <c r="BQ303" s="220">
        <f t="shared" si="191"/>
        <v>0</v>
      </c>
      <c r="BR303" s="220">
        <f t="shared" si="192"/>
        <v>0</v>
      </c>
      <c r="BS303" s="254" t="s">
        <v>39</v>
      </c>
      <c r="BT303" s="229" t="s">
        <v>39</v>
      </c>
      <c r="BU303" s="230"/>
      <c r="BV303" s="230" t="s">
        <v>244</v>
      </c>
      <c r="BW303" s="231"/>
    </row>
    <row r="304" s="209" customFormat="1" ht="24" customHeight="1" spans="1:75">
      <c r="A304" s="219">
        <v>353</v>
      </c>
      <c r="B304" s="220" t="s">
        <v>1183</v>
      </c>
      <c r="C304" s="221" t="s">
        <v>874</v>
      </c>
      <c r="D304" s="221" t="s">
        <v>1095</v>
      </c>
      <c r="E304" s="221" t="s">
        <v>1102</v>
      </c>
      <c r="F304" s="219" t="s">
        <v>47</v>
      </c>
      <c r="G304" s="222" t="s">
        <v>1462</v>
      </c>
      <c r="H304" s="233" t="s">
        <v>39</v>
      </c>
      <c r="I304" s="237" t="s">
        <v>217</v>
      </c>
      <c r="J304" s="222" t="s">
        <v>1110</v>
      </c>
      <c r="K304" s="223" cm="1">
        <f t="array" ref="K304">_xlfn.XLOOKUP(D304&amp;E304&amp;H304&amp;I304&amp;J304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4" s="223"/>
      <c r="M304" s="224"/>
      <c r="N304" s="253"/>
      <c r="O304" s="226">
        <v>890000</v>
      </c>
      <c r="P304" s="247">
        <v>0.25</v>
      </c>
      <c r="Q304" s="228">
        <f t="shared" si="201"/>
        <v>0</v>
      </c>
      <c r="R304" s="228"/>
      <c r="S304" s="228">
        <f t="shared" si="178"/>
        <v>0</v>
      </c>
      <c r="T304" s="235">
        <v>0</v>
      </c>
      <c r="U304" s="228">
        <f t="shared" si="209"/>
        <v>0</v>
      </c>
      <c r="V304" s="228"/>
      <c r="W304" s="228">
        <f t="shared" si="194"/>
        <v>0</v>
      </c>
      <c r="X304" s="235">
        <v>0</v>
      </c>
      <c r="Y304" s="228">
        <f t="shared" si="193"/>
        <v>0</v>
      </c>
      <c r="Z304" s="228"/>
      <c r="AA304" s="228">
        <f t="shared" si="179"/>
        <v>0</v>
      </c>
      <c r="AB304" s="235">
        <v>0</v>
      </c>
      <c r="AC304" s="228">
        <f t="shared" ref="AC304:AC367" si="212">K304*AB304</f>
        <v>0</v>
      </c>
      <c r="AD304" s="228"/>
      <c r="AE304" s="228">
        <f t="shared" si="180"/>
        <v>0</v>
      </c>
      <c r="AF304" s="235">
        <v>0</v>
      </c>
      <c r="AG304" s="228">
        <f t="shared" si="210"/>
        <v>0</v>
      </c>
      <c r="AH304" s="228"/>
      <c r="AI304" s="228">
        <f t="shared" si="181"/>
        <v>0</v>
      </c>
      <c r="AJ304" s="235">
        <v>0</v>
      </c>
      <c r="AK304" s="228">
        <f t="shared" si="198"/>
        <v>0</v>
      </c>
      <c r="AL304" s="228"/>
      <c r="AM304" s="228">
        <f t="shared" si="182"/>
        <v>0</v>
      </c>
      <c r="AN304" s="235">
        <v>0</v>
      </c>
      <c r="AO304" s="228">
        <f t="shared" si="199"/>
        <v>0</v>
      </c>
      <c r="AP304" s="228"/>
      <c r="AQ304" s="228">
        <f t="shared" si="183"/>
        <v>0</v>
      </c>
      <c r="AR304" s="228">
        <v>0</v>
      </c>
      <c r="AS304" s="228">
        <f t="shared" si="206"/>
        <v>0</v>
      </c>
      <c r="AT304" s="228"/>
      <c r="AU304" s="228">
        <f t="shared" si="184"/>
        <v>0</v>
      </c>
      <c r="AV304" s="235">
        <v>0</v>
      </c>
      <c r="AW304" s="228">
        <f t="shared" si="211"/>
        <v>0</v>
      </c>
      <c r="AX304" s="228"/>
      <c r="AY304" s="228">
        <f t="shared" si="185"/>
        <v>0</v>
      </c>
      <c r="AZ304" s="228" t="s">
        <v>1515</v>
      </c>
      <c r="BA304" s="228">
        <f t="shared" si="207"/>
        <v>0</v>
      </c>
      <c r="BB304" s="228"/>
      <c r="BC304" s="228">
        <f t="shared" si="186"/>
        <v>0</v>
      </c>
      <c r="BD304" s="228">
        <v>0</v>
      </c>
      <c r="BE304" s="228">
        <f t="shared" si="205"/>
        <v>0</v>
      </c>
      <c r="BF304" s="228"/>
      <c r="BG304" s="228">
        <f t="shared" si="187"/>
        <v>0</v>
      </c>
      <c r="BH304" s="228">
        <v>0</v>
      </c>
      <c r="BI304" s="228">
        <f t="shared" si="200"/>
        <v>0</v>
      </c>
      <c r="BJ304" s="228"/>
      <c r="BK304" s="228">
        <f t="shared" si="188"/>
        <v>0</v>
      </c>
      <c r="BL304" s="228" t="s">
        <v>1515</v>
      </c>
      <c r="BM304" s="220">
        <f t="shared" si="208"/>
        <v>0</v>
      </c>
      <c r="BN304" s="220"/>
      <c r="BO304" s="220">
        <f t="shared" si="189"/>
        <v>0</v>
      </c>
      <c r="BP304" s="220">
        <f t="shared" si="190"/>
        <v>0</v>
      </c>
      <c r="BQ304" s="220">
        <f t="shared" si="191"/>
        <v>0</v>
      </c>
      <c r="BR304" s="220">
        <f t="shared" si="192"/>
        <v>0</v>
      </c>
      <c r="BS304" s="254" t="s">
        <v>39</v>
      </c>
      <c r="BT304" s="229" t="s">
        <v>39</v>
      </c>
      <c r="BU304" s="230"/>
      <c r="BV304" s="230" t="s">
        <v>244</v>
      </c>
      <c r="BW304" s="231"/>
    </row>
    <row r="305" s="209" customFormat="1" ht="48" customHeight="1" spans="1:75">
      <c r="A305" s="219">
        <v>355</v>
      </c>
      <c r="B305" s="220" t="s">
        <v>1189</v>
      </c>
      <c r="C305" s="221" t="s">
        <v>874</v>
      </c>
      <c r="D305" s="221" t="s">
        <v>1111</v>
      </c>
      <c r="E305" s="221" t="s">
        <v>1112</v>
      </c>
      <c r="F305" s="219" t="s">
        <v>81</v>
      </c>
      <c r="G305" s="222" t="s">
        <v>1462</v>
      </c>
      <c r="H305" s="233" t="s">
        <v>39</v>
      </c>
      <c r="I305" s="237" t="s">
        <v>240</v>
      </c>
      <c r="J305" s="222" t="s">
        <v>210</v>
      </c>
      <c r="K305" s="223" cm="1">
        <f t="array" ref="K305">_xlfn.XLOOKUP(D305&amp;E305&amp;H305&amp;I305&amp;J305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5" s="223"/>
      <c r="M305" s="224"/>
      <c r="N305" s="337">
        <v>72868.5</v>
      </c>
      <c r="O305" s="226">
        <v>1720000</v>
      </c>
      <c r="P305" s="251">
        <v>0.12</v>
      </c>
      <c r="Q305" s="228">
        <f t="shared" si="201"/>
        <v>0</v>
      </c>
      <c r="R305" s="338">
        <v>42275.15</v>
      </c>
      <c r="S305" s="228">
        <f t="shared" si="178"/>
        <v>-42275.15</v>
      </c>
      <c r="T305" s="247">
        <v>0</v>
      </c>
      <c r="U305" s="228">
        <f t="shared" si="209"/>
        <v>0</v>
      </c>
      <c r="V305" s="228"/>
      <c r="W305" s="228">
        <f t="shared" si="194"/>
        <v>0</v>
      </c>
      <c r="X305" s="247">
        <v>0</v>
      </c>
      <c r="Y305" s="228">
        <f t="shared" si="193"/>
        <v>0</v>
      </c>
      <c r="Z305" s="228"/>
      <c r="AA305" s="228">
        <f t="shared" si="179"/>
        <v>0</v>
      </c>
      <c r="AB305" s="247">
        <v>0</v>
      </c>
      <c r="AC305" s="228">
        <f t="shared" si="212"/>
        <v>0</v>
      </c>
      <c r="AD305" s="228"/>
      <c r="AE305" s="228">
        <f t="shared" si="180"/>
        <v>0</v>
      </c>
      <c r="AF305" s="247">
        <v>0</v>
      </c>
      <c r="AG305" s="228">
        <f t="shared" si="210"/>
        <v>0</v>
      </c>
      <c r="AH305" s="228"/>
      <c r="AI305" s="228">
        <f t="shared" si="181"/>
        <v>0</v>
      </c>
      <c r="AJ305" s="247">
        <v>0</v>
      </c>
      <c r="AK305" s="228">
        <f t="shared" si="198"/>
        <v>0</v>
      </c>
      <c r="AL305" s="228"/>
      <c r="AM305" s="228">
        <f t="shared" si="182"/>
        <v>0</v>
      </c>
      <c r="AN305" s="247">
        <v>0</v>
      </c>
      <c r="AO305" s="228">
        <f t="shared" si="199"/>
        <v>0</v>
      </c>
      <c r="AP305" s="228"/>
      <c r="AQ305" s="228">
        <f t="shared" si="183"/>
        <v>0</v>
      </c>
      <c r="AR305" s="228" t="s">
        <v>1457</v>
      </c>
      <c r="AS305" s="228">
        <f t="shared" ref="AS305:AS315" si="213">AT305</f>
        <v>1800</v>
      </c>
      <c r="AT305" s="338">
        <v>1800</v>
      </c>
      <c r="AU305" s="228">
        <f t="shared" si="184"/>
        <v>0</v>
      </c>
      <c r="AV305" s="235">
        <v>0.05</v>
      </c>
      <c r="AW305" s="228">
        <f t="shared" si="211"/>
        <v>0</v>
      </c>
      <c r="AX305" s="338">
        <v>11731.55</v>
      </c>
      <c r="AY305" s="228">
        <f t="shared" si="185"/>
        <v>-11731.55</v>
      </c>
      <c r="AZ305" s="235" t="s">
        <v>1457</v>
      </c>
      <c r="BA305" s="228">
        <f t="shared" si="207"/>
        <v>7990.28</v>
      </c>
      <c r="BB305" s="338">
        <v>7990.28</v>
      </c>
      <c r="BC305" s="228">
        <f t="shared" si="186"/>
        <v>0</v>
      </c>
      <c r="BD305" s="247">
        <v>0</v>
      </c>
      <c r="BE305" s="228">
        <f t="shared" si="205"/>
        <v>0</v>
      </c>
      <c r="BF305" s="247"/>
      <c r="BG305" s="228">
        <f t="shared" si="187"/>
        <v>0</v>
      </c>
      <c r="BH305" s="247">
        <v>0</v>
      </c>
      <c r="BI305" s="228">
        <f t="shared" si="200"/>
        <v>0</v>
      </c>
      <c r="BJ305" s="235"/>
      <c r="BK305" s="228">
        <f t="shared" si="188"/>
        <v>0</v>
      </c>
      <c r="BL305" s="235" t="s">
        <v>1457</v>
      </c>
      <c r="BM305" s="220">
        <f t="shared" si="208"/>
        <v>133275.73</v>
      </c>
      <c r="BN305" s="339">
        <v>133275.73</v>
      </c>
      <c r="BO305" s="220">
        <f t="shared" si="189"/>
        <v>0</v>
      </c>
      <c r="BP305" s="220">
        <f t="shared" si="190"/>
        <v>215934.51</v>
      </c>
      <c r="BQ305" s="220">
        <f t="shared" si="191"/>
        <v>269941.21</v>
      </c>
      <c r="BR305" s="220">
        <f t="shared" si="192"/>
        <v>-54006.7</v>
      </c>
      <c r="BS305" s="254" t="s">
        <v>39</v>
      </c>
      <c r="BT305" s="229" t="s">
        <v>39</v>
      </c>
      <c r="BU305" s="230" t="s">
        <v>1114</v>
      </c>
      <c r="BV305" s="230" t="s">
        <v>1115</v>
      </c>
      <c r="BW305" s="231"/>
    </row>
    <row r="306" s="209" customFormat="1" ht="48" customHeight="1" spans="1:75">
      <c r="A306" s="219">
        <v>356</v>
      </c>
      <c r="B306" s="220" t="s">
        <v>1192</v>
      </c>
      <c r="C306" s="221" t="s">
        <v>874</v>
      </c>
      <c r="D306" s="221" t="s">
        <v>1111</v>
      </c>
      <c r="E306" s="221" t="s">
        <v>1112</v>
      </c>
      <c r="F306" s="219" t="s">
        <v>81</v>
      </c>
      <c r="G306" s="222" t="s">
        <v>1462</v>
      </c>
      <c r="H306" s="233" t="s">
        <v>39</v>
      </c>
      <c r="I306" s="237" t="s">
        <v>266</v>
      </c>
      <c r="J306" s="222" t="s">
        <v>1118</v>
      </c>
      <c r="K306" s="223" cm="1">
        <f t="array" ref="K306">_xlfn.XLOOKUP(D306&amp;E306&amp;H306&amp;I306&amp;J306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6" s="223"/>
      <c r="M306" s="224"/>
      <c r="N306" s="337"/>
      <c r="O306" s="226">
        <v>820000</v>
      </c>
      <c r="P306" s="251">
        <v>0.15</v>
      </c>
      <c r="Q306" s="228">
        <f t="shared" si="201"/>
        <v>0</v>
      </c>
      <c r="R306" s="338"/>
      <c r="S306" s="228">
        <f t="shared" si="178"/>
        <v>0</v>
      </c>
      <c r="T306" s="247">
        <v>0</v>
      </c>
      <c r="U306" s="228">
        <f t="shared" si="209"/>
        <v>0</v>
      </c>
      <c r="V306" s="228"/>
      <c r="W306" s="228">
        <f t="shared" si="194"/>
        <v>0</v>
      </c>
      <c r="X306" s="247">
        <v>0</v>
      </c>
      <c r="Y306" s="228">
        <f t="shared" si="193"/>
        <v>0</v>
      </c>
      <c r="Z306" s="228"/>
      <c r="AA306" s="228">
        <f t="shared" si="179"/>
        <v>0</v>
      </c>
      <c r="AB306" s="247">
        <v>0</v>
      </c>
      <c r="AC306" s="228">
        <f t="shared" si="212"/>
        <v>0</v>
      </c>
      <c r="AD306" s="228"/>
      <c r="AE306" s="228">
        <f t="shared" si="180"/>
        <v>0</v>
      </c>
      <c r="AF306" s="247">
        <v>0</v>
      </c>
      <c r="AG306" s="228">
        <f t="shared" si="210"/>
        <v>0</v>
      </c>
      <c r="AH306" s="228"/>
      <c r="AI306" s="228">
        <f t="shared" si="181"/>
        <v>0</v>
      </c>
      <c r="AJ306" s="247">
        <v>0</v>
      </c>
      <c r="AK306" s="228">
        <f t="shared" si="198"/>
        <v>0</v>
      </c>
      <c r="AL306" s="228"/>
      <c r="AM306" s="228">
        <f t="shared" si="182"/>
        <v>0</v>
      </c>
      <c r="AN306" s="247">
        <v>0</v>
      </c>
      <c r="AO306" s="228">
        <f t="shared" si="199"/>
        <v>0</v>
      </c>
      <c r="AP306" s="228"/>
      <c r="AQ306" s="228">
        <f t="shared" si="183"/>
        <v>0</v>
      </c>
      <c r="AR306" s="228" t="s">
        <v>1457</v>
      </c>
      <c r="AS306" s="228">
        <f t="shared" si="213"/>
        <v>0</v>
      </c>
      <c r="AT306" s="338"/>
      <c r="AU306" s="228">
        <f t="shared" si="184"/>
        <v>0</v>
      </c>
      <c r="AV306" s="235">
        <v>0.03</v>
      </c>
      <c r="AW306" s="228">
        <f t="shared" si="211"/>
        <v>0</v>
      </c>
      <c r="AX306" s="338"/>
      <c r="AY306" s="228">
        <f t="shared" si="185"/>
        <v>0</v>
      </c>
      <c r="AZ306" s="235" t="s">
        <v>1457</v>
      </c>
      <c r="BA306" s="228">
        <f t="shared" si="207"/>
        <v>0</v>
      </c>
      <c r="BB306" s="338"/>
      <c r="BC306" s="228">
        <f t="shared" si="186"/>
        <v>0</v>
      </c>
      <c r="BD306" s="247">
        <v>0</v>
      </c>
      <c r="BE306" s="228">
        <f t="shared" si="205"/>
        <v>0</v>
      </c>
      <c r="BF306" s="247"/>
      <c r="BG306" s="228">
        <f t="shared" si="187"/>
        <v>0</v>
      </c>
      <c r="BH306" s="247">
        <v>0</v>
      </c>
      <c r="BI306" s="228">
        <f t="shared" si="200"/>
        <v>0</v>
      </c>
      <c r="BJ306" s="235"/>
      <c r="BK306" s="228">
        <f t="shared" si="188"/>
        <v>0</v>
      </c>
      <c r="BL306" s="235" t="s">
        <v>1457</v>
      </c>
      <c r="BM306" s="220">
        <f t="shared" si="208"/>
        <v>0</v>
      </c>
      <c r="BN306" s="339"/>
      <c r="BO306" s="220">
        <f t="shared" si="189"/>
        <v>0</v>
      </c>
      <c r="BP306" s="220">
        <f t="shared" si="190"/>
        <v>0</v>
      </c>
      <c r="BQ306" s="220">
        <f t="shared" si="191"/>
        <v>0</v>
      </c>
      <c r="BR306" s="220">
        <f t="shared" si="192"/>
        <v>0</v>
      </c>
      <c r="BS306" s="254" t="s">
        <v>39</v>
      </c>
      <c r="BT306" s="229" t="s">
        <v>39</v>
      </c>
      <c r="BU306" s="230" t="s">
        <v>1114</v>
      </c>
      <c r="BV306" s="230" t="s">
        <v>1115</v>
      </c>
      <c r="BW306" s="231"/>
    </row>
    <row r="307" s="209" customFormat="1" ht="48" customHeight="1" spans="1:75">
      <c r="A307" s="219">
        <v>357</v>
      </c>
      <c r="B307" s="220" t="s">
        <v>1195</v>
      </c>
      <c r="C307" s="221" t="s">
        <v>874</v>
      </c>
      <c r="D307" s="221" t="s">
        <v>1111</v>
      </c>
      <c r="E307" s="221" t="s">
        <v>1112</v>
      </c>
      <c r="F307" s="219" t="s">
        <v>81</v>
      </c>
      <c r="G307" s="222" t="s">
        <v>1462</v>
      </c>
      <c r="H307" s="233" t="s">
        <v>39</v>
      </c>
      <c r="I307" s="237" t="s">
        <v>153</v>
      </c>
      <c r="J307" s="222" t="s">
        <v>1121</v>
      </c>
      <c r="K307" s="223" cm="1">
        <f t="array" ref="K307">_xlfn.XLOOKUP(D307&amp;E307&amp;H307&amp;I307&amp;J307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7" s="223"/>
      <c r="M307" s="224"/>
      <c r="N307" s="337"/>
      <c r="O307" s="226">
        <v>730000</v>
      </c>
      <c r="P307" s="251">
        <v>0.18</v>
      </c>
      <c r="Q307" s="228">
        <f t="shared" si="201"/>
        <v>0</v>
      </c>
      <c r="R307" s="338"/>
      <c r="S307" s="228">
        <f t="shared" si="178"/>
        <v>0</v>
      </c>
      <c r="T307" s="247">
        <v>0</v>
      </c>
      <c r="U307" s="228">
        <f t="shared" si="209"/>
        <v>0</v>
      </c>
      <c r="V307" s="228"/>
      <c r="W307" s="228">
        <f t="shared" si="194"/>
        <v>0</v>
      </c>
      <c r="X307" s="247">
        <v>0</v>
      </c>
      <c r="Y307" s="228">
        <f t="shared" si="193"/>
        <v>0</v>
      </c>
      <c r="Z307" s="228"/>
      <c r="AA307" s="228">
        <f t="shared" si="179"/>
        <v>0</v>
      </c>
      <c r="AB307" s="247">
        <v>0</v>
      </c>
      <c r="AC307" s="228">
        <f t="shared" si="212"/>
        <v>0</v>
      </c>
      <c r="AD307" s="228"/>
      <c r="AE307" s="228">
        <f t="shared" si="180"/>
        <v>0</v>
      </c>
      <c r="AF307" s="247">
        <v>0</v>
      </c>
      <c r="AG307" s="228">
        <f t="shared" si="210"/>
        <v>0</v>
      </c>
      <c r="AH307" s="228"/>
      <c r="AI307" s="228">
        <f t="shared" si="181"/>
        <v>0</v>
      </c>
      <c r="AJ307" s="247">
        <v>0</v>
      </c>
      <c r="AK307" s="228">
        <f t="shared" si="198"/>
        <v>0</v>
      </c>
      <c r="AL307" s="228"/>
      <c r="AM307" s="228">
        <f t="shared" si="182"/>
        <v>0</v>
      </c>
      <c r="AN307" s="247">
        <v>0</v>
      </c>
      <c r="AO307" s="228">
        <f t="shared" si="199"/>
        <v>0</v>
      </c>
      <c r="AP307" s="228"/>
      <c r="AQ307" s="228">
        <f t="shared" si="183"/>
        <v>0</v>
      </c>
      <c r="AR307" s="228" t="s">
        <v>1457</v>
      </c>
      <c r="AS307" s="228">
        <f t="shared" si="213"/>
        <v>0</v>
      </c>
      <c r="AT307" s="338"/>
      <c r="AU307" s="228">
        <f t="shared" si="184"/>
        <v>0</v>
      </c>
      <c r="AV307" s="235">
        <v>0.04</v>
      </c>
      <c r="AW307" s="228">
        <f t="shared" si="211"/>
        <v>0</v>
      </c>
      <c r="AX307" s="338"/>
      <c r="AY307" s="228">
        <f t="shared" si="185"/>
        <v>0</v>
      </c>
      <c r="AZ307" s="235" t="s">
        <v>1457</v>
      </c>
      <c r="BA307" s="228">
        <f t="shared" si="207"/>
        <v>0</v>
      </c>
      <c r="BB307" s="338"/>
      <c r="BC307" s="228">
        <f t="shared" si="186"/>
        <v>0</v>
      </c>
      <c r="BD307" s="247">
        <v>0</v>
      </c>
      <c r="BE307" s="228">
        <f t="shared" si="205"/>
        <v>0</v>
      </c>
      <c r="BF307" s="247"/>
      <c r="BG307" s="228">
        <f t="shared" si="187"/>
        <v>0</v>
      </c>
      <c r="BH307" s="247">
        <v>0</v>
      </c>
      <c r="BI307" s="228">
        <f t="shared" si="200"/>
        <v>0</v>
      </c>
      <c r="BJ307" s="235"/>
      <c r="BK307" s="228">
        <f t="shared" si="188"/>
        <v>0</v>
      </c>
      <c r="BL307" s="235" t="s">
        <v>1457</v>
      </c>
      <c r="BM307" s="220">
        <f t="shared" si="208"/>
        <v>0</v>
      </c>
      <c r="BN307" s="339"/>
      <c r="BO307" s="220">
        <f t="shared" si="189"/>
        <v>0</v>
      </c>
      <c r="BP307" s="220">
        <f t="shared" si="190"/>
        <v>0</v>
      </c>
      <c r="BQ307" s="220">
        <f t="shared" si="191"/>
        <v>0</v>
      </c>
      <c r="BR307" s="220">
        <f t="shared" si="192"/>
        <v>0</v>
      </c>
      <c r="BS307" s="254" t="s">
        <v>39</v>
      </c>
      <c r="BT307" s="229" t="s">
        <v>39</v>
      </c>
      <c r="BU307" s="230" t="s">
        <v>1114</v>
      </c>
      <c r="BV307" s="230" t="s">
        <v>1115</v>
      </c>
      <c r="BW307" s="231"/>
    </row>
    <row r="308" s="209" customFormat="1" spans="1:75">
      <c r="A308" s="219">
        <v>358</v>
      </c>
      <c r="B308" s="220" t="s">
        <v>1198</v>
      </c>
      <c r="C308" s="221" t="s">
        <v>874</v>
      </c>
      <c r="D308" s="221" t="s">
        <v>1111</v>
      </c>
      <c r="E308" s="221" t="s">
        <v>1112</v>
      </c>
      <c r="F308" s="219" t="s">
        <v>81</v>
      </c>
      <c r="G308" s="222" t="s">
        <v>1462</v>
      </c>
      <c r="H308" s="228" t="s">
        <v>39</v>
      </c>
      <c r="I308" s="237" t="s">
        <v>1534</v>
      </c>
      <c r="J308" s="222" t="s">
        <v>1535</v>
      </c>
      <c r="K308" s="223" cm="1">
        <f t="array" ref="K308">_xlfn.XLOOKUP(D308&amp;E308&amp;H308&amp;I308&amp;J308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8" s="223"/>
      <c r="M308" s="224"/>
      <c r="N308" s="337"/>
      <c r="O308" s="226"/>
      <c r="P308" s="251">
        <v>0.18</v>
      </c>
      <c r="Q308" s="228">
        <f t="shared" si="201"/>
        <v>0</v>
      </c>
      <c r="R308" s="338"/>
      <c r="S308" s="228">
        <f t="shared" si="178"/>
        <v>0</v>
      </c>
      <c r="T308" s="247">
        <v>0</v>
      </c>
      <c r="U308" s="228">
        <f t="shared" si="209"/>
        <v>0</v>
      </c>
      <c r="V308" s="228"/>
      <c r="W308" s="228">
        <f t="shared" si="194"/>
        <v>0</v>
      </c>
      <c r="X308" s="247">
        <v>0</v>
      </c>
      <c r="Y308" s="228">
        <f t="shared" si="193"/>
        <v>0</v>
      </c>
      <c r="Z308" s="228"/>
      <c r="AA308" s="228">
        <f t="shared" si="179"/>
        <v>0</v>
      </c>
      <c r="AB308" s="247">
        <v>0</v>
      </c>
      <c r="AC308" s="228">
        <f t="shared" si="212"/>
        <v>0</v>
      </c>
      <c r="AD308" s="228"/>
      <c r="AE308" s="228">
        <f t="shared" si="180"/>
        <v>0</v>
      </c>
      <c r="AF308" s="247">
        <v>0</v>
      </c>
      <c r="AG308" s="228">
        <f t="shared" si="210"/>
        <v>0</v>
      </c>
      <c r="AH308" s="228"/>
      <c r="AI308" s="228">
        <f t="shared" si="181"/>
        <v>0</v>
      </c>
      <c r="AJ308" s="247">
        <v>0</v>
      </c>
      <c r="AK308" s="228">
        <f t="shared" si="198"/>
        <v>0</v>
      </c>
      <c r="AL308" s="228"/>
      <c r="AM308" s="228">
        <f t="shared" si="182"/>
        <v>0</v>
      </c>
      <c r="AN308" s="247">
        <v>0</v>
      </c>
      <c r="AO308" s="228">
        <f t="shared" si="199"/>
        <v>0</v>
      </c>
      <c r="AP308" s="228"/>
      <c r="AQ308" s="228">
        <f t="shared" si="183"/>
        <v>0</v>
      </c>
      <c r="AR308" s="228" t="s">
        <v>1457</v>
      </c>
      <c r="AS308" s="228">
        <f t="shared" si="213"/>
        <v>0</v>
      </c>
      <c r="AT308" s="338"/>
      <c r="AU308" s="228">
        <f t="shared" si="184"/>
        <v>0</v>
      </c>
      <c r="AV308" s="235">
        <v>0.03</v>
      </c>
      <c r="AW308" s="228">
        <f t="shared" si="211"/>
        <v>0</v>
      </c>
      <c r="AX308" s="338"/>
      <c r="AY308" s="228">
        <f t="shared" si="185"/>
        <v>0</v>
      </c>
      <c r="AZ308" s="235" t="s">
        <v>1457</v>
      </c>
      <c r="BA308" s="228">
        <f t="shared" si="207"/>
        <v>0</v>
      </c>
      <c r="BB308" s="338"/>
      <c r="BC308" s="228">
        <f t="shared" si="186"/>
        <v>0</v>
      </c>
      <c r="BD308" s="247">
        <v>0</v>
      </c>
      <c r="BE308" s="228">
        <f t="shared" si="205"/>
        <v>0</v>
      </c>
      <c r="BF308" s="247"/>
      <c r="BG308" s="228">
        <f t="shared" si="187"/>
        <v>0</v>
      </c>
      <c r="BH308" s="247">
        <v>0</v>
      </c>
      <c r="BI308" s="228">
        <f t="shared" si="200"/>
        <v>0</v>
      </c>
      <c r="BJ308" s="235"/>
      <c r="BK308" s="228">
        <f t="shared" si="188"/>
        <v>0</v>
      </c>
      <c r="BL308" s="235" t="s">
        <v>1457</v>
      </c>
      <c r="BM308" s="220">
        <f t="shared" si="208"/>
        <v>0</v>
      </c>
      <c r="BN308" s="339"/>
      <c r="BO308" s="220">
        <f t="shared" si="189"/>
        <v>0</v>
      </c>
      <c r="BP308" s="220">
        <f t="shared" si="190"/>
        <v>0</v>
      </c>
      <c r="BQ308" s="220">
        <f t="shared" si="191"/>
        <v>0</v>
      </c>
      <c r="BR308" s="220">
        <f t="shared" si="192"/>
        <v>0</v>
      </c>
      <c r="BS308" s="254"/>
      <c r="BT308" s="229"/>
      <c r="BU308" s="230"/>
      <c r="BV308" s="230"/>
      <c r="BW308" s="231"/>
    </row>
    <row r="309" s="209" customFormat="1" ht="48" customHeight="1" spans="1:75">
      <c r="A309" s="219">
        <v>359</v>
      </c>
      <c r="B309" s="220" t="s">
        <v>1200</v>
      </c>
      <c r="C309" s="221" t="s">
        <v>874</v>
      </c>
      <c r="D309" s="221" t="s">
        <v>1111</v>
      </c>
      <c r="E309" s="221" t="s">
        <v>1112</v>
      </c>
      <c r="F309" s="219" t="s">
        <v>81</v>
      </c>
      <c r="G309" s="222" t="s">
        <v>1462</v>
      </c>
      <c r="H309" s="233" t="s">
        <v>39</v>
      </c>
      <c r="I309" s="237" t="s">
        <v>1123</v>
      </c>
      <c r="J309" s="222" t="s">
        <v>1124</v>
      </c>
      <c r="K309" s="223" cm="1">
        <f t="array" ref="K309">_xlfn.XLOOKUP(D309&amp;E309&amp;H309&amp;I309&amp;J309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9" s="223"/>
      <c r="M309" s="224"/>
      <c r="N309" s="337"/>
      <c r="O309" s="226">
        <v>670000</v>
      </c>
      <c r="P309" s="251">
        <v>0.18</v>
      </c>
      <c r="Q309" s="228">
        <f t="shared" si="201"/>
        <v>0</v>
      </c>
      <c r="R309" s="338"/>
      <c r="S309" s="228">
        <f t="shared" si="178"/>
        <v>0</v>
      </c>
      <c r="T309" s="247">
        <v>0</v>
      </c>
      <c r="U309" s="228">
        <f t="shared" si="209"/>
        <v>0</v>
      </c>
      <c r="V309" s="228"/>
      <c r="W309" s="228">
        <f t="shared" si="194"/>
        <v>0</v>
      </c>
      <c r="X309" s="247">
        <v>0</v>
      </c>
      <c r="Y309" s="228">
        <f t="shared" si="193"/>
        <v>0</v>
      </c>
      <c r="Z309" s="228"/>
      <c r="AA309" s="228">
        <f t="shared" si="179"/>
        <v>0</v>
      </c>
      <c r="AB309" s="247">
        <v>0</v>
      </c>
      <c r="AC309" s="228">
        <f t="shared" si="212"/>
        <v>0</v>
      </c>
      <c r="AD309" s="228"/>
      <c r="AE309" s="228">
        <f t="shared" si="180"/>
        <v>0</v>
      </c>
      <c r="AF309" s="247">
        <v>0</v>
      </c>
      <c r="AG309" s="228">
        <f t="shared" si="210"/>
        <v>0</v>
      </c>
      <c r="AH309" s="228"/>
      <c r="AI309" s="228">
        <f t="shared" si="181"/>
        <v>0</v>
      </c>
      <c r="AJ309" s="247">
        <v>0</v>
      </c>
      <c r="AK309" s="228">
        <f t="shared" si="198"/>
        <v>0</v>
      </c>
      <c r="AL309" s="228"/>
      <c r="AM309" s="228">
        <f t="shared" si="182"/>
        <v>0</v>
      </c>
      <c r="AN309" s="247">
        <v>0</v>
      </c>
      <c r="AO309" s="228">
        <f t="shared" si="199"/>
        <v>0</v>
      </c>
      <c r="AP309" s="228"/>
      <c r="AQ309" s="228">
        <f t="shared" si="183"/>
        <v>0</v>
      </c>
      <c r="AR309" s="228" t="s">
        <v>1457</v>
      </c>
      <c r="AS309" s="228">
        <f t="shared" si="213"/>
        <v>0</v>
      </c>
      <c r="AT309" s="338"/>
      <c r="AU309" s="228">
        <f t="shared" si="184"/>
        <v>0</v>
      </c>
      <c r="AV309" s="235">
        <v>0.05</v>
      </c>
      <c r="AW309" s="228">
        <f t="shared" si="211"/>
        <v>0</v>
      </c>
      <c r="AX309" s="338"/>
      <c r="AY309" s="228">
        <f t="shared" si="185"/>
        <v>0</v>
      </c>
      <c r="AZ309" s="235" t="s">
        <v>1457</v>
      </c>
      <c r="BA309" s="228">
        <f t="shared" si="207"/>
        <v>0</v>
      </c>
      <c r="BB309" s="338"/>
      <c r="BC309" s="228">
        <f t="shared" si="186"/>
        <v>0</v>
      </c>
      <c r="BD309" s="247">
        <v>0</v>
      </c>
      <c r="BE309" s="228">
        <f t="shared" si="205"/>
        <v>0</v>
      </c>
      <c r="BF309" s="247"/>
      <c r="BG309" s="228">
        <f t="shared" si="187"/>
        <v>0</v>
      </c>
      <c r="BH309" s="247">
        <v>0</v>
      </c>
      <c r="BI309" s="228">
        <f t="shared" si="200"/>
        <v>0</v>
      </c>
      <c r="BJ309" s="235"/>
      <c r="BK309" s="228">
        <f t="shared" si="188"/>
        <v>0</v>
      </c>
      <c r="BL309" s="235" t="s">
        <v>1457</v>
      </c>
      <c r="BM309" s="220">
        <f t="shared" si="208"/>
        <v>0</v>
      </c>
      <c r="BN309" s="339"/>
      <c r="BO309" s="220">
        <f t="shared" si="189"/>
        <v>0</v>
      </c>
      <c r="BP309" s="220">
        <f t="shared" si="190"/>
        <v>0</v>
      </c>
      <c r="BQ309" s="220">
        <f t="shared" si="191"/>
        <v>0</v>
      </c>
      <c r="BR309" s="220">
        <f t="shared" si="192"/>
        <v>0</v>
      </c>
      <c r="BS309" s="254" t="s">
        <v>39</v>
      </c>
      <c r="BT309" s="229" t="s">
        <v>39</v>
      </c>
      <c r="BU309" s="230" t="s">
        <v>1114</v>
      </c>
      <c r="BV309" s="230" t="s">
        <v>1115</v>
      </c>
      <c r="BW309" s="231"/>
    </row>
    <row r="310" s="209" customFormat="1" ht="48" customHeight="1" spans="1:75">
      <c r="A310" s="219">
        <v>360</v>
      </c>
      <c r="B310" s="220" t="s">
        <v>1203</v>
      </c>
      <c r="C310" s="221" t="s">
        <v>874</v>
      </c>
      <c r="D310" s="221" t="s">
        <v>1111</v>
      </c>
      <c r="E310" s="221" t="s">
        <v>1112</v>
      </c>
      <c r="F310" s="219" t="s">
        <v>81</v>
      </c>
      <c r="G310" s="222" t="s">
        <v>1462</v>
      </c>
      <c r="H310" s="233" t="s">
        <v>39</v>
      </c>
      <c r="I310" s="237" t="s">
        <v>1126</v>
      </c>
      <c r="J310" s="222" t="s">
        <v>1127</v>
      </c>
      <c r="K310" s="223" cm="1">
        <f t="array" ref="K310">_xlfn.XLOOKUP(D310&amp;E310&amp;H310&amp;I310&amp;J310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0" s="223"/>
      <c r="M310" s="224"/>
      <c r="N310" s="337"/>
      <c r="O310" s="226">
        <v>770000</v>
      </c>
      <c r="P310" s="251">
        <v>0.18</v>
      </c>
      <c r="Q310" s="228">
        <f t="shared" si="201"/>
        <v>0</v>
      </c>
      <c r="R310" s="338"/>
      <c r="S310" s="228">
        <f t="shared" si="178"/>
        <v>0</v>
      </c>
      <c r="T310" s="247">
        <v>0</v>
      </c>
      <c r="U310" s="228">
        <f t="shared" si="209"/>
        <v>0</v>
      </c>
      <c r="V310" s="228"/>
      <c r="W310" s="228">
        <f t="shared" si="194"/>
        <v>0</v>
      </c>
      <c r="X310" s="247">
        <v>0</v>
      </c>
      <c r="Y310" s="228">
        <f t="shared" si="193"/>
        <v>0</v>
      </c>
      <c r="Z310" s="228"/>
      <c r="AA310" s="228">
        <f t="shared" si="179"/>
        <v>0</v>
      </c>
      <c r="AB310" s="247">
        <v>0</v>
      </c>
      <c r="AC310" s="228">
        <f t="shared" si="212"/>
        <v>0</v>
      </c>
      <c r="AD310" s="228"/>
      <c r="AE310" s="228">
        <f t="shared" si="180"/>
        <v>0</v>
      </c>
      <c r="AF310" s="247">
        <v>0</v>
      </c>
      <c r="AG310" s="228">
        <f t="shared" si="210"/>
        <v>0</v>
      </c>
      <c r="AH310" s="228"/>
      <c r="AI310" s="228">
        <f t="shared" si="181"/>
        <v>0</v>
      </c>
      <c r="AJ310" s="247">
        <v>0</v>
      </c>
      <c r="AK310" s="228">
        <f t="shared" si="198"/>
        <v>0</v>
      </c>
      <c r="AL310" s="228"/>
      <c r="AM310" s="228">
        <f t="shared" si="182"/>
        <v>0</v>
      </c>
      <c r="AN310" s="247">
        <v>0</v>
      </c>
      <c r="AO310" s="228">
        <f t="shared" si="199"/>
        <v>0</v>
      </c>
      <c r="AP310" s="228"/>
      <c r="AQ310" s="228">
        <f t="shared" si="183"/>
        <v>0</v>
      </c>
      <c r="AR310" s="228" t="s">
        <v>1457</v>
      </c>
      <c r="AS310" s="228">
        <f t="shared" si="213"/>
        <v>0</v>
      </c>
      <c r="AT310" s="338"/>
      <c r="AU310" s="228">
        <f t="shared" si="184"/>
        <v>0</v>
      </c>
      <c r="AV310" s="235">
        <v>0.05</v>
      </c>
      <c r="AW310" s="228">
        <f t="shared" si="211"/>
        <v>0</v>
      </c>
      <c r="AX310" s="338"/>
      <c r="AY310" s="228">
        <f t="shared" si="185"/>
        <v>0</v>
      </c>
      <c r="AZ310" s="235" t="s">
        <v>1457</v>
      </c>
      <c r="BA310" s="228">
        <f t="shared" si="207"/>
        <v>0</v>
      </c>
      <c r="BB310" s="338"/>
      <c r="BC310" s="228">
        <f t="shared" si="186"/>
        <v>0</v>
      </c>
      <c r="BD310" s="247">
        <v>0</v>
      </c>
      <c r="BE310" s="228">
        <f t="shared" si="205"/>
        <v>0</v>
      </c>
      <c r="BF310" s="247"/>
      <c r="BG310" s="228">
        <f t="shared" si="187"/>
        <v>0</v>
      </c>
      <c r="BH310" s="247">
        <v>0</v>
      </c>
      <c r="BI310" s="228">
        <f t="shared" si="200"/>
        <v>0</v>
      </c>
      <c r="BJ310" s="235"/>
      <c r="BK310" s="228">
        <f t="shared" si="188"/>
        <v>0</v>
      </c>
      <c r="BL310" s="235" t="s">
        <v>1457</v>
      </c>
      <c r="BM310" s="220">
        <f t="shared" si="208"/>
        <v>0</v>
      </c>
      <c r="BN310" s="339"/>
      <c r="BO310" s="220">
        <f t="shared" si="189"/>
        <v>0</v>
      </c>
      <c r="BP310" s="220">
        <f t="shared" si="190"/>
        <v>0</v>
      </c>
      <c r="BQ310" s="220">
        <f t="shared" si="191"/>
        <v>0</v>
      </c>
      <c r="BR310" s="220">
        <f t="shared" si="192"/>
        <v>0</v>
      </c>
      <c r="BS310" s="254" t="s">
        <v>39</v>
      </c>
      <c r="BT310" s="229" t="s">
        <v>39</v>
      </c>
      <c r="BU310" s="230" t="s">
        <v>1114</v>
      </c>
      <c r="BV310" s="230" t="s">
        <v>1115</v>
      </c>
      <c r="BW310" s="231"/>
    </row>
    <row r="311" s="209" customFormat="1" ht="48" customHeight="1" spans="1:75">
      <c r="A311" s="219">
        <v>361</v>
      </c>
      <c r="B311" s="220" t="s">
        <v>1206</v>
      </c>
      <c r="C311" s="221" t="s">
        <v>874</v>
      </c>
      <c r="D311" s="221" t="s">
        <v>1111</v>
      </c>
      <c r="E311" s="221" t="s">
        <v>1112</v>
      </c>
      <c r="F311" s="219" t="s">
        <v>81</v>
      </c>
      <c r="G311" s="222" t="s">
        <v>1462</v>
      </c>
      <c r="H311" s="233" t="s">
        <v>39</v>
      </c>
      <c r="I311" s="237" t="s">
        <v>1129</v>
      </c>
      <c r="J311" s="222" t="s">
        <v>1130</v>
      </c>
      <c r="K311" s="223" cm="1">
        <f t="array" ref="K311">_xlfn.XLOOKUP(D311&amp;E311&amp;H311&amp;I311&amp;J311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1" s="223"/>
      <c r="M311" s="224"/>
      <c r="N311" s="337"/>
      <c r="O311" s="226">
        <v>1480000</v>
      </c>
      <c r="P311" s="251">
        <v>0.18</v>
      </c>
      <c r="Q311" s="228">
        <f t="shared" si="201"/>
        <v>0</v>
      </c>
      <c r="R311" s="338"/>
      <c r="S311" s="228">
        <f t="shared" si="178"/>
        <v>0</v>
      </c>
      <c r="T311" s="247">
        <v>0</v>
      </c>
      <c r="U311" s="228">
        <f t="shared" si="209"/>
        <v>0</v>
      </c>
      <c r="V311" s="228"/>
      <c r="W311" s="228">
        <f t="shared" si="194"/>
        <v>0</v>
      </c>
      <c r="X311" s="247">
        <v>0</v>
      </c>
      <c r="Y311" s="228">
        <f t="shared" si="193"/>
        <v>0</v>
      </c>
      <c r="Z311" s="228"/>
      <c r="AA311" s="228">
        <f t="shared" si="179"/>
        <v>0</v>
      </c>
      <c r="AB311" s="247">
        <v>0</v>
      </c>
      <c r="AC311" s="228">
        <f t="shared" si="212"/>
        <v>0</v>
      </c>
      <c r="AD311" s="228"/>
      <c r="AE311" s="228">
        <f t="shared" si="180"/>
        <v>0</v>
      </c>
      <c r="AF311" s="247">
        <v>0</v>
      </c>
      <c r="AG311" s="228">
        <f t="shared" si="210"/>
        <v>0</v>
      </c>
      <c r="AH311" s="228"/>
      <c r="AI311" s="228">
        <f t="shared" si="181"/>
        <v>0</v>
      </c>
      <c r="AJ311" s="247">
        <v>0</v>
      </c>
      <c r="AK311" s="228">
        <f t="shared" si="198"/>
        <v>0</v>
      </c>
      <c r="AL311" s="228"/>
      <c r="AM311" s="228">
        <f t="shared" si="182"/>
        <v>0</v>
      </c>
      <c r="AN311" s="247">
        <v>0</v>
      </c>
      <c r="AO311" s="228">
        <f t="shared" si="199"/>
        <v>0</v>
      </c>
      <c r="AP311" s="228"/>
      <c r="AQ311" s="228">
        <f t="shared" si="183"/>
        <v>0</v>
      </c>
      <c r="AR311" s="228" t="s">
        <v>1457</v>
      </c>
      <c r="AS311" s="228">
        <f t="shared" si="213"/>
        <v>0</v>
      </c>
      <c r="AT311" s="338"/>
      <c r="AU311" s="228">
        <f t="shared" si="184"/>
        <v>0</v>
      </c>
      <c r="AV311" s="235">
        <v>0.05</v>
      </c>
      <c r="AW311" s="228">
        <f t="shared" si="211"/>
        <v>0</v>
      </c>
      <c r="AX311" s="338"/>
      <c r="AY311" s="228">
        <f t="shared" si="185"/>
        <v>0</v>
      </c>
      <c r="AZ311" s="235" t="s">
        <v>1457</v>
      </c>
      <c r="BA311" s="228">
        <f t="shared" si="207"/>
        <v>0</v>
      </c>
      <c r="BB311" s="338"/>
      <c r="BC311" s="228">
        <f t="shared" si="186"/>
        <v>0</v>
      </c>
      <c r="BD311" s="247">
        <v>0</v>
      </c>
      <c r="BE311" s="228">
        <f t="shared" si="205"/>
        <v>0</v>
      </c>
      <c r="BF311" s="247"/>
      <c r="BG311" s="228">
        <f t="shared" si="187"/>
        <v>0</v>
      </c>
      <c r="BH311" s="247">
        <v>0</v>
      </c>
      <c r="BI311" s="228">
        <f t="shared" si="200"/>
        <v>0</v>
      </c>
      <c r="BJ311" s="235"/>
      <c r="BK311" s="228">
        <f t="shared" si="188"/>
        <v>0</v>
      </c>
      <c r="BL311" s="235" t="s">
        <v>1457</v>
      </c>
      <c r="BM311" s="220">
        <f t="shared" si="208"/>
        <v>0</v>
      </c>
      <c r="BN311" s="339"/>
      <c r="BO311" s="220">
        <f t="shared" si="189"/>
        <v>0</v>
      </c>
      <c r="BP311" s="220">
        <f t="shared" si="190"/>
        <v>0</v>
      </c>
      <c r="BQ311" s="220">
        <f t="shared" si="191"/>
        <v>0</v>
      </c>
      <c r="BR311" s="220">
        <f t="shared" si="192"/>
        <v>0</v>
      </c>
      <c r="BS311" s="254" t="s">
        <v>39</v>
      </c>
      <c r="BT311" s="229" t="s">
        <v>39</v>
      </c>
      <c r="BU311" s="230" t="s">
        <v>1114</v>
      </c>
      <c r="BV311" s="230" t="s">
        <v>1115</v>
      </c>
      <c r="BW311" s="231"/>
    </row>
    <row r="312" s="209" customFormat="1" ht="48" customHeight="1" spans="1:75">
      <c r="A312" s="219">
        <v>362</v>
      </c>
      <c r="B312" s="220" t="s">
        <v>1209</v>
      </c>
      <c r="C312" s="221" t="s">
        <v>874</v>
      </c>
      <c r="D312" s="221" t="s">
        <v>1111</v>
      </c>
      <c r="E312" s="221" t="s">
        <v>1112</v>
      </c>
      <c r="F312" s="219" t="s">
        <v>81</v>
      </c>
      <c r="G312" s="222" t="s">
        <v>1462</v>
      </c>
      <c r="H312" s="233" t="s">
        <v>39</v>
      </c>
      <c r="I312" s="237" t="s">
        <v>530</v>
      </c>
      <c r="J312" s="222" t="s">
        <v>1132</v>
      </c>
      <c r="K312" s="223" cm="1">
        <f t="array" ref="K312">_xlfn.XLOOKUP(D312&amp;E312&amp;H312&amp;I312&amp;J312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2" s="223"/>
      <c r="M312" s="224"/>
      <c r="N312" s="337"/>
      <c r="O312" s="226">
        <v>680000</v>
      </c>
      <c r="P312" s="251">
        <v>0.18</v>
      </c>
      <c r="Q312" s="228">
        <f t="shared" si="201"/>
        <v>0</v>
      </c>
      <c r="R312" s="338"/>
      <c r="S312" s="228">
        <f t="shared" si="178"/>
        <v>0</v>
      </c>
      <c r="T312" s="247">
        <v>0</v>
      </c>
      <c r="U312" s="228">
        <f t="shared" si="209"/>
        <v>0</v>
      </c>
      <c r="V312" s="228"/>
      <c r="W312" s="228">
        <f t="shared" si="194"/>
        <v>0</v>
      </c>
      <c r="X312" s="247">
        <v>0</v>
      </c>
      <c r="Y312" s="228">
        <f t="shared" si="193"/>
        <v>0</v>
      </c>
      <c r="Z312" s="228"/>
      <c r="AA312" s="228">
        <f t="shared" si="179"/>
        <v>0</v>
      </c>
      <c r="AB312" s="247">
        <v>0</v>
      </c>
      <c r="AC312" s="228">
        <f t="shared" si="212"/>
        <v>0</v>
      </c>
      <c r="AD312" s="228"/>
      <c r="AE312" s="228">
        <f t="shared" si="180"/>
        <v>0</v>
      </c>
      <c r="AF312" s="247">
        <v>0</v>
      </c>
      <c r="AG312" s="228">
        <f t="shared" si="210"/>
        <v>0</v>
      </c>
      <c r="AH312" s="228"/>
      <c r="AI312" s="228">
        <f t="shared" si="181"/>
        <v>0</v>
      </c>
      <c r="AJ312" s="247">
        <v>0</v>
      </c>
      <c r="AK312" s="228">
        <f t="shared" si="198"/>
        <v>0</v>
      </c>
      <c r="AL312" s="228"/>
      <c r="AM312" s="228">
        <f t="shared" si="182"/>
        <v>0</v>
      </c>
      <c r="AN312" s="247">
        <v>0</v>
      </c>
      <c r="AO312" s="228">
        <f t="shared" si="199"/>
        <v>0</v>
      </c>
      <c r="AP312" s="228"/>
      <c r="AQ312" s="228">
        <f t="shared" si="183"/>
        <v>0</v>
      </c>
      <c r="AR312" s="228" t="s">
        <v>1457</v>
      </c>
      <c r="AS312" s="228">
        <f t="shared" si="213"/>
        <v>0</v>
      </c>
      <c r="AT312" s="338"/>
      <c r="AU312" s="228">
        <f t="shared" si="184"/>
        <v>0</v>
      </c>
      <c r="AV312" s="235">
        <v>0.05</v>
      </c>
      <c r="AW312" s="228">
        <f t="shared" si="211"/>
        <v>0</v>
      </c>
      <c r="AX312" s="338"/>
      <c r="AY312" s="228">
        <f t="shared" si="185"/>
        <v>0</v>
      </c>
      <c r="AZ312" s="235" t="s">
        <v>1457</v>
      </c>
      <c r="BA312" s="228">
        <f t="shared" si="207"/>
        <v>0</v>
      </c>
      <c r="BB312" s="338"/>
      <c r="BC312" s="228">
        <f t="shared" si="186"/>
        <v>0</v>
      </c>
      <c r="BD312" s="247">
        <v>0</v>
      </c>
      <c r="BE312" s="228">
        <f t="shared" si="205"/>
        <v>0</v>
      </c>
      <c r="BF312" s="247"/>
      <c r="BG312" s="228">
        <f t="shared" si="187"/>
        <v>0</v>
      </c>
      <c r="BH312" s="247">
        <v>0</v>
      </c>
      <c r="BI312" s="228">
        <f t="shared" si="200"/>
        <v>0</v>
      </c>
      <c r="BJ312" s="235"/>
      <c r="BK312" s="228">
        <f t="shared" si="188"/>
        <v>0</v>
      </c>
      <c r="BL312" s="235" t="s">
        <v>1457</v>
      </c>
      <c r="BM312" s="220">
        <f t="shared" si="208"/>
        <v>0</v>
      </c>
      <c r="BN312" s="339"/>
      <c r="BO312" s="220">
        <f t="shared" si="189"/>
        <v>0</v>
      </c>
      <c r="BP312" s="220">
        <f t="shared" si="190"/>
        <v>0</v>
      </c>
      <c r="BQ312" s="220">
        <f t="shared" si="191"/>
        <v>0</v>
      </c>
      <c r="BR312" s="220">
        <f t="shared" si="192"/>
        <v>0</v>
      </c>
      <c r="BS312" s="254" t="s">
        <v>39</v>
      </c>
      <c r="BT312" s="229" t="s">
        <v>39</v>
      </c>
      <c r="BU312" s="230" t="s">
        <v>1114</v>
      </c>
      <c r="BV312" s="230" t="s">
        <v>1115</v>
      </c>
      <c r="BW312" s="231"/>
    </row>
    <row r="313" s="209" customFormat="1" ht="48" customHeight="1" spans="1:75">
      <c r="A313" s="219">
        <v>363</v>
      </c>
      <c r="B313" s="220" t="s">
        <v>1215</v>
      </c>
      <c r="C313" s="221" t="s">
        <v>874</v>
      </c>
      <c r="D313" s="221" t="s">
        <v>1111</v>
      </c>
      <c r="E313" s="221" t="s">
        <v>1112</v>
      </c>
      <c r="F313" s="219" t="s">
        <v>81</v>
      </c>
      <c r="G313" s="222" t="s">
        <v>1462</v>
      </c>
      <c r="H313" s="233" t="s">
        <v>39</v>
      </c>
      <c r="I313" s="237" t="s">
        <v>214</v>
      </c>
      <c r="J313" s="222" t="s">
        <v>1134</v>
      </c>
      <c r="K313" s="223" cm="1">
        <f t="array" ref="K313">_xlfn.XLOOKUP(D313&amp;E313&amp;H313&amp;I313&amp;J313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3" s="223"/>
      <c r="M313" s="224"/>
      <c r="N313" s="337"/>
      <c r="O313" s="226">
        <v>780000</v>
      </c>
      <c r="P313" s="251">
        <v>0.18</v>
      </c>
      <c r="Q313" s="228">
        <f t="shared" si="201"/>
        <v>0</v>
      </c>
      <c r="R313" s="338"/>
      <c r="S313" s="228">
        <f t="shared" si="178"/>
        <v>0</v>
      </c>
      <c r="T313" s="247">
        <v>0</v>
      </c>
      <c r="U313" s="228">
        <f t="shared" si="209"/>
        <v>0</v>
      </c>
      <c r="V313" s="228"/>
      <c r="W313" s="228">
        <f t="shared" si="194"/>
        <v>0</v>
      </c>
      <c r="X313" s="247">
        <v>0</v>
      </c>
      <c r="Y313" s="228">
        <f t="shared" si="193"/>
        <v>0</v>
      </c>
      <c r="Z313" s="228"/>
      <c r="AA313" s="228">
        <f t="shared" si="179"/>
        <v>0</v>
      </c>
      <c r="AB313" s="247">
        <v>0</v>
      </c>
      <c r="AC313" s="228">
        <f t="shared" si="212"/>
        <v>0</v>
      </c>
      <c r="AD313" s="228"/>
      <c r="AE313" s="228">
        <f t="shared" si="180"/>
        <v>0</v>
      </c>
      <c r="AF313" s="247">
        <v>0</v>
      </c>
      <c r="AG313" s="228">
        <f t="shared" si="210"/>
        <v>0</v>
      </c>
      <c r="AH313" s="228"/>
      <c r="AI313" s="228">
        <f t="shared" si="181"/>
        <v>0</v>
      </c>
      <c r="AJ313" s="247">
        <v>0</v>
      </c>
      <c r="AK313" s="228">
        <f t="shared" si="198"/>
        <v>0</v>
      </c>
      <c r="AL313" s="228"/>
      <c r="AM313" s="228">
        <f t="shared" si="182"/>
        <v>0</v>
      </c>
      <c r="AN313" s="247">
        <v>0</v>
      </c>
      <c r="AO313" s="228">
        <f t="shared" si="199"/>
        <v>0</v>
      </c>
      <c r="AP313" s="228"/>
      <c r="AQ313" s="228">
        <f t="shared" si="183"/>
        <v>0</v>
      </c>
      <c r="AR313" s="228" t="s">
        <v>1457</v>
      </c>
      <c r="AS313" s="228">
        <f t="shared" si="213"/>
        <v>0</v>
      </c>
      <c r="AT313" s="338"/>
      <c r="AU313" s="228">
        <f t="shared" si="184"/>
        <v>0</v>
      </c>
      <c r="AV313" s="235">
        <v>0.04</v>
      </c>
      <c r="AW313" s="228">
        <f t="shared" si="211"/>
        <v>0</v>
      </c>
      <c r="AX313" s="338"/>
      <c r="AY313" s="228">
        <f t="shared" si="185"/>
        <v>0</v>
      </c>
      <c r="AZ313" s="235" t="s">
        <v>1457</v>
      </c>
      <c r="BA313" s="228">
        <f t="shared" si="207"/>
        <v>0</v>
      </c>
      <c r="BB313" s="338"/>
      <c r="BC313" s="228">
        <f t="shared" si="186"/>
        <v>0</v>
      </c>
      <c r="BD313" s="247">
        <v>0</v>
      </c>
      <c r="BE313" s="228">
        <f t="shared" si="205"/>
        <v>0</v>
      </c>
      <c r="BF313" s="247"/>
      <c r="BG313" s="228">
        <f t="shared" si="187"/>
        <v>0</v>
      </c>
      <c r="BH313" s="247">
        <v>0</v>
      </c>
      <c r="BI313" s="228">
        <f t="shared" si="200"/>
        <v>0</v>
      </c>
      <c r="BJ313" s="235"/>
      <c r="BK313" s="228">
        <f t="shared" si="188"/>
        <v>0</v>
      </c>
      <c r="BL313" s="235" t="s">
        <v>1457</v>
      </c>
      <c r="BM313" s="220">
        <f t="shared" si="208"/>
        <v>0</v>
      </c>
      <c r="BN313" s="339"/>
      <c r="BO313" s="220">
        <f t="shared" si="189"/>
        <v>0</v>
      </c>
      <c r="BP313" s="220">
        <f t="shared" si="190"/>
        <v>0</v>
      </c>
      <c r="BQ313" s="220">
        <f t="shared" si="191"/>
        <v>0</v>
      </c>
      <c r="BR313" s="220">
        <f t="shared" si="192"/>
        <v>0</v>
      </c>
      <c r="BS313" s="254" t="s">
        <v>39</v>
      </c>
      <c r="BT313" s="229" t="s">
        <v>39</v>
      </c>
      <c r="BU313" s="230" t="s">
        <v>1114</v>
      </c>
      <c r="BV313" s="230" t="s">
        <v>1115</v>
      </c>
      <c r="BW313" s="231"/>
    </row>
    <row r="314" s="209" customFormat="1" ht="48" customHeight="1" spans="1:75">
      <c r="A314" s="219">
        <v>364</v>
      </c>
      <c r="B314" s="220" t="s">
        <v>1217</v>
      </c>
      <c r="C314" s="221" t="s">
        <v>874</v>
      </c>
      <c r="D314" s="221" t="s">
        <v>1111</v>
      </c>
      <c r="E314" s="221" t="s">
        <v>1112</v>
      </c>
      <c r="F314" s="219" t="s">
        <v>81</v>
      </c>
      <c r="G314" s="222" t="s">
        <v>1462</v>
      </c>
      <c r="H314" s="233" t="s">
        <v>39</v>
      </c>
      <c r="I314" s="237" t="s">
        <v>1136</v>
      </c>
      <c r="J314" s="222" t="s">
        <v>1137</v>
      </c>
      <c r="K314" s="223" cm="1">
        <f t="array" ref="K314">_xlfn.XLOOKUP(D314&amp;E314&amp;H314&amp;I314&amp;J314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4" s="223"/>
      <c r="M314" s="224"/>
      <c r="N314" s="337"/>
      <c r="O314" s="226">
        <v>720000</v>
      </c>
      <c r="P314" s="251">
        <v>0.18</v>
      </c>
      <c r="Q314" s="228">
        <f t="shared" si="201"/>
        <v>0</v>
      </c>
      <c r="R314" s="338"/>
      <c r="S314" s="228">
        <f t="shared" si="178"/>
        <v>0</v>
      </c>
      <c r="T314" s="247">
        <v>0</v>
      </c>
      <c r="U314" s="228">
        <f t="shared" si="209"/>
        <v>0</v>
      </c>
      <c r="V314" s="228"/>
      <c r="W314" s="228">
        <f t="shared" si="194"/>
        <v>0</v>
      </c>
      <c r="X314" s="247">
        <v>0</v>
      </c>
      <c r="Y314" s="228">
        <f t="shared" si="193"/>
        <v>0</v>
      </c>
      <c r="Z314" s="228"/>
      <c r="AA314" s="228">
        <f t="shared" si="179"/>
        <v>0</v>
      </c>
      <c r="AB314" s="247">
        <v>0</v>
      </c>
      <c r="AC314" s="228">
        <f t="shared" si="212"/>
        <v>0</v>
      </c>
      <c r="AD314" s="228"/>
      <c r="AE314" s="228">
        <f t="shared" si="180"/>
        <v>0</v>
      </c>
      <c r="AF314" s="247">
        <v>0</v>
      </c>
      <c r="AG314" s="228">
        <f t="shared" si="210"/>
        <v>0</v>
      </c>
      <c r="AH314" s="228"/>
      <c r="AI314" s="228">
        <f t="shared" si="181"/>
        <v>0</v>
      </c>
      <c r="AJ314" s="247">
        <v>0</v>
      </c>
      <c r="AK314" s="228">
        <f t="shared" si="198"/>
        <v>0</v>
      </c>
      <c r="AL314" s="228"/>
      <c r="AM314" s="228">
        <f t="shared" si="182"/>
        <v>0</v>
      </c>
      <c r="AN314" s="247">
        <v>0</v>
      </c>
      <c r="AO314" s="228">
        <f t="shared" si="199"/>
        <v>0</v>
      </c>
      <c r="AP314" s="228"/>
      <c r="AQ314" s="228">
        <f t="shared" si="183"/>
        <v>0</v>
      </c>
      <c r="AR314" s="228" t="s">
        <v>1457</v>
      </c>
      <c r="AS314" s="228">
        <f t="shared" si="213"/>
        <v>0</v>
      </c>
      <c r="AT314" s="338"/>
      <c r="AU314" s="228">
        <f t="shared" si="184"/>
        <v>0</v>
      </c>
      <c r="AV314" s="235">
        <v>0.05</v>
      </c>
      <c r="AW314" s="228">
        <f t="shared" si="211"/>
        <v>0</v>
      </c>
      <c r="AX314" s="338"/>
      <c r="AY314" s="228">
        <f t="shared" si="185"/>
        <v>0</v>
      </c>
      <c r="AZ314" s="235" t="s">
        <v>1457</v>
      </c>
      <c r="BA314" s="228">
        <f t="shared" si="207"/>
        <v>0</v>
      </c>
      <c r="BB314" s="338"/>
      <c r="BC314" s="228">
        <f t="shared" si="186"/>
        <v>0</v>
      </c>
      <c r="BD314" s="247">
        <v>0</v>
      </c>
      <c r="BE314" s="228">
        <f t="shared" si="205"/>
        <v>0</v>
      </c>
      <c r="BF314" s="247"/>
      <c r="BG314" s="228">
        <f t="shared" si="187"/>
        <v>0</v>
      </c>
      <c r="BH314" s="247">
        <v>0</v>
      </c>
      <c r="BI314" s="228">
        <f t="shared" si="200"/>
        <v>0</v>
      </c>
      <c r="BJ314" s="235"/>
      <c r="BK314" s="228">
        <f t="shared" si="188"/>
        <v>0</v>
      </c>
      <c r="BL314" s="235" t="s">
        <v>1457</v>
      </c>
      <c r="BM314" s="220">
        <f t="shared" si="208"/>
        <v>0</v>
      </c>
      <c r="BN314" s="339"/>
      <c r="BO314" s="220">
        <f t="shared" si="189"/>
        <v>0</v>
      </c>
      <c r="BP314" s="220">
        <f t="shared" si="190"/>
        <v>0</v>
      </c>
      <c r="BQ314" s="220">
        <f t="shared" si="191"/>
        <v>0</v>
      </c>
      <c r="BR314" s="220">
        <f t="shared" si="192"/>
        <v>0</v>
      </c>
      <c r="BS314" s="254" t="s">
        <v>39</v>
      </c>
      <c r="BT314" s="229" t="s">
        <v>39</v>
      </c>
      <c r="BU314" s="230" t="s">
        <v>1114</v>
      </c>
      <c r="BV314" s="230" t="s">
        <v>1115</v>
      </c>
      <c r="BW314" s="231"/>
    </row>
    <row r="315" s="209" customFormat="1" ht="48" customHeight="1" spans="1:75">
      <c r="A315" s="219">
        <v>365</v>
      </c>
      <c r="B315" s="220" t="s">
        <v>1220</v>
      </c>
      <c r="C315" s="221" t="s">
        <v>874</v>
      </c>
      <c r="D315" s="221" t="s">
        <v>1111</v>
      </c>
      <c r="E315" s="221" t="s">
        <v>1112</v>
      </c>
      <c r="F315" s="219" t="s">
        <v>81</v>
      </c>
      <c r="G315" s="222" t="s">
        <v>1462</v>
      </c>
      <c r="H315" s="233" t="s">
        <v>39</v>
      </c>
      <c r="I315" s="237" t="s">
        <v>1139</v>
      </c>
      <c r="J315" s="222" t="s">
        <v>1140</v>
      </c>
      <c r="K315" s="223" cm="1">
        <f t="array" ref="K315">_xlfn.XLOOKUP(D315&amp;E315&amp;H315&amp;I315&amp;J315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5" s="223"/>
      <c r="M315" s="224"/>
      <c r="N315" s="337"/>
      <c r="O315" s="226">
        <v>1100000</v>
      </c>
      <c r="P315" s="251">
        <v>0.1</v>
      </c>
      <c r="Q315" s="228">
        <f t="shared" si="201"/>
        <v>0</v>
      </c>
      <c r="R315" s="338"/>
      <c r="S315" s="228">
        <f t="shared" si="178"/>
        <v>0</v>
      </c>
      <c r="T315" s="247">
        <v>0</v>
      </c>
      <c r="U315" s="228">
        <f t="shared" si="209"/>
        <v>0</v>
      </c>
      <c r="V315" s="228"/>
      <c r="W315" s="228">
        <f t="shared" si="194"/>
        <v>0</v>
      </c>
      <c r="X315" s="247">
        <v>0</v>
      </c>
      <c r="Y315" s="228">
        <f t="shared" si="193"/>
        <v>0</v>
      </c>
      <c r="Z315" s="228"/>
      <c r="AA315" s="228">
        <f t="shared" si="179"/>
        <v>0</v>
      </c>
      <c r="AB315" s="247">
        <v>0</v>
      </c>
      <c r="AC315" s="228">
        <f t="shared" si="212"/>
        <v>0</v>
      </c>
      <c r="AD315" s="228"/>
      <c r="AE315" s="228">
        <f t="shared" si="180"/>
        <v>0</v>
      </c>
      <c r="AF315" s="247">
        <v>0</v>
      </c>
      <c r="AG315" s="228">
        <f t="shared" si="210"/>
        <v>0</v>
      </c>
      <c r="AH315" s="228"/>
      <c r="AI315" s="228">
        <f t="shared" si="181"/>
        <v>0</v>
      </c>
      <c r="AJ315" s="247">
        <v>0</v>
      </c>
      <c r="AK315" s="228">
        <f t="shared" si="198"/>
        <v>0</v>
      </c>
      <c r="AL315" s="228"/>
      <c r="AM315" s="228">
        <f t="shared" si="182"/>
        <v>0</v>
      </c>
      <c r="AN315" s="247">
        <v>0</v>
      </c>
      <c r="AO315" s="228">
        <f t="shared" si="199"/>
        <v>0</v>
      </c>
      <c r="AP315" s="228"/>
      <c r="AQ315" s="228">
        <f t="shared" si="183"/>
        <v>0</v>
      </c>
      <c r="AR315" s="228" t="s">
        <v>1457</v>
      </c>
      <c r="AS315" s="228">
        <f t="shared" si="213"/>
        <v>0</v>
      </c>
      <c r="AT315" s="338"/>
      <c r="AU315" s="228">
        <f t="shared" si="184"/>
        <v>0</v>
      </c>
      <c r="AV315" s="235">
        <v>0.03</v>
      </c>
      <c r="AW315" s="228">
        <f t="shared" si="211"/>
        <v>0</v>
      </c>
      <c r="AX315" s="338"/>
      <c r="AY315" s="228">
        <f t="shared" si="185"/>
        <v>0</v>
      </c>
      <c r="AZ315" s="235" t="s">
        <v>1457</v>
      </c>
      <c r="BA315" s="228">
        <f t="shared" si="207"/>
        <v>0</v>
      </c>
      <c r="BB315" s="228"/>
      <c r="BC315" s="228">
        <f t="shared" si="186"/>
        <v>0</v>
      </c>
      <c r="BD315" s="247">
        <v>0</v>
      </c>
      <c r="BE315" s="228">
        <f t="shared" si="205"/>
        <v>0</v>
      </c>
      <c r="BF315" s="247"/>
      <c r="BG315" s="228">
        <f t="shared" si="187"/>
        <v>0</v>
      </c>
      <c r="BH315" s="247">
        <v>0</v>
      </c>
      <c r="BI315" s="228">
        <f t="shared" si="200"/>
        <v>0</v>
      </c>
      <c r="BJ315" s="235"/>
      <c r="BK315" s="228">
        <f t="shared" si="188"/>
        <v>0</v>
      </c>
      <c r="BL315" s="235" t="s">
        <v>1457</v>
      </c>
      <c r="BM315" s="220">
        <f t="shared" si="208"/>
        <v>0</v>
      </c>
      <c r="BN315" s="339"/>
      <c r="BO315" s="220">
        <f t="shared" si="189"/>
        <v>0</v>
      </c>
      <c r="BP315" s="220">
        <f t="shared" si="190"/>
        <v>0</v>
      </c>
      <c r="BQ315" s="220">
        <f t="shared" si="191"/>
        <v>0</v>
      </c>
      <c r="BR315" s="220">
        <f t="shared" si="192"/>
        <v>0</v>
      </c>
      <c r="BS315" s="254" t="s">
        <v>39</v>
      </c>
      <c r="BT315" s="229" t="s">
        <v>39</v>
      </c>
      <c r="BU315" s="230" t="s">
        <v>1114</v>
      </c>
      <c r="BV315" s="230" t="s">
        <v>1115</v>
      </c>
      <c r="BW315" s="231"/>
    </row>
    <row r="316" s="209" customFormat="1" ht="48" customHeight="1" spans="1:75">
      <c r="A316" s="219">
        <v>367</v>
      </c>
      <c r="B316" s="220" t="s">
        <v>1225</v>
      </c>
      <c r="C316" s="221" t="s">
        <v>1142</v>
      </c>
      <c r="D316" s="221" t="s">
        <v>1143</v>
      </c>
      <c r="E316" s="221" t="s">
        <v>1144</v>
      </c>
      <c r="F316" s="219" t="s">
        <v>81</v>
      </c>
      <c r="G316" s="222" t="s">
        <v>1462</v>
      </c>
      <c r="H316" s="219" t="s">
        <v>66</v>
      </c>
      <c r="I316" s="237" t="s">
        <v>1146</v>
      </c>
      <c r="J316" s="219" t="s">
        <v>1147</v>
      </c>
      <c r="K316" s="223" cm="1">
        <f t="array" ref="K316">_xlfn.XLOOKUP(D316&amp;E316&amp;H316&amp;I316&amp;J316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6" s="223"/>
      <c r="M316" s="224"/>
      <c r="N316" s="253">
        <v>10481.08</v>
      </c>
      <c r="O316" s="226">
        <v>375000</v>
      </c>
      <c r="P316" s="251">
        <v>0.19</v>
      </c>
      <c r="Q316" s="228">
        <f t="shared" si="201"/>
        <v>0</v>
      </c>
      <c r="R316" s="228">
        <v>0</v>
      </c>
      <c r="S316" s="228">
        <f t="shared" si="178"/>
        <v>0</v>
      </c>
      <c r="T316" s="235">
        <v>0</v>
      </c>
      <c r="U316" s="228">
        <f t="shared" si="209"/>
        <v>0</v>
      </c>
      <c r="V316" s="228"/>
      <c r="W316" s="228">
        <f t="shared" si="194"/>
        <v>0</v>
      </c>
      <c r="X316" s="235">
        <v>0</v>
      </c>
      <c r="Y316" s="228">
        <f t="shared" si="193"/>
        <v>0</v>
      </c>
      <c r="Z316" s="228"/>
      <c r="AA316" s="228">
        <f t="shared" si="179"/>
        <v>0</v>
      </c>
      <c r="AB316" s="235">
        <v>0</v>
      </c>
      <c r="AC316" s="228">
        <f t="shared" si="212"/>
        <v>0</v>
      </c>
      <c r="AD316" s="228"/>
      <c r="AE316" s="228">
        <f t="shared" si="180"/>
        <v>0</v>
      </c>
      <c r="AF316" s="235">
        <v>0</v>
      </c>
      <c r="AG316" s="228">
        <f t="shared" si="210"/>
        <v>0</v>
      </c>
      <c r="AH316" s="228"/>
      <c r="AI316" s="228">
        <f t="shared" si="181"/>
        <v>0</v>
      </c>
      <c r="AJ316" s="235">
        <v>0</v>
      </c>
      <c r="AK316" s="228">
        <f t="shared" si="198"/>
        <v>0</v>
      </c>
      <c r="AL316" s="228"/>
      <c r="AM316" s="228">
        <f t="shared" si="182"/>
        <v>0</v>
      </c>
      <c r="AN316" s="235">
        <v>0</v>
      </c>
      <c r="AO316" s="228">
        <f t="shared" si="199"/>
        <v>0</v>
      </c>
      <c r="AP316" s="228"/>
      <c r="AQ316" s="228">
        <f t="shared" si="183"/>
        <v>0</v>
      </c>
      <c r="AR316" s="228">
        <v>0.035</v>
      </c>
      <c r="AS316" s="228">
        <f>K316*AR316</f>
        <v>0</v>
      </c>
      <c r="AT316" s="228"/>
      <c r="AU316" s="228">
        <f t="shared" si="184"/>
        <v>0</v>
      </c>
      <c r="AV316" s="251">
        <v>0.055</v>
      </c>
      <c r="AW316" s="228">
        <f t="shared" si="211"/>
        <v>0</v>
      </c>
      <c r="AX316" s="228"/>
      <c r="AY316" s="228">
        <f t="shared" si="185"/>
        <v>0</v>
      </c>
      <c r="AZ316" s="235" t="s">
        <v>1457</v>
      </c>
      <c r="BA316" s="228">
        <f t="shared" si="207"/>
        <v>0</v>
      </c>
      <c r="BB316" s="228">
        <v>0</v>
      </c>
      <c r="BC316" s="228">
        <f t="shared" si="186"/>
        <v>0</v>
      </c>
      <c r="BD316" s="228">
        <v>0</v>
      </c>
      <c r="BE316" s="228">
        <f t="shared" si="205"/>
        <v>0</v>
      </c>
      <c r="BF316" s="228"/>
      <c r="BG316" s="228">
        <f t="shared" si="187"/>
        <v>0</v>
      </c>
      <c r="BH316" s="228">
        <v>0</v>
      </c>
      <c r="BI316" s="228">
        <f t="shared" si="200"/>
        <v>0</v>
      </c>
      <c r="BJ316" s="235"/>
      <c r="BK316" s="228">
        <f t="shared" si="188"/>
        <v>0</v>
      </c>
      <c r="BL316" s="235" t="s">
        <v>1457</v>
      </c>
      <c r="BM316" s="220">
        <f t="shared" si="208"/>
        <v>0</v>
      </c>
      <c r="BN316" s="220">
        <v>0</v>
      </c>
      <c r="BO316" s="220">
        <f t="shared" si="189"/>
        <v>0</v>
      </c>
      <c r="BP316" s="220">
        <f t="shared" si="190"/>
        <v>10481.08</v>
      </c>
      <c r="BQ316" s="220">
        <f t="shared" si="191"/>
        <v>10481.08</v>
      </c>
      <c r="BR316" s="220">
        <f t="shared" si="192"/>
        <v>0</v>
      </c>
      <c r="BS316" s="229" t="s">
        <v>39</v>
      </c>
      <c r="BT316" s="229" t="s">
        <v>39</v>
      </c>
      <c r="BU316" s="230" t="s">
        <v>1148</v>
      </c>
      <c r="BV316" s="230" t="s">
        <v>1149</v>
      </c>
      <c r="BW316" s="231"/>
    </row>
    <row r="317" s="209" customFormat="1" ht="48" customHeight="1" spans="1:75">
      <c r="A317" s="219">
        <v>368</v>
      </c>
      <c r="B317" s="220" t="s">
        <v>1228</v>
      </c>
      <c r="C317" s="221" t="s">
        <v>1142</v>
      </c>
      <c r="D317" s="221" t="s">
        <v>1143</v>
      </c>
      <c r="E317" s="221" t="s">
        <v>1144</v>
      </c>
      <c r="F317" s="219" t="s">
        <v>81</v>
      </c>
      <c r="G317" s="222" t="s">
        <v>1462</v>
      </c>
      <c r="H317" s="219" t="s">
        <v>70</v>
      </c>
      <c r="I317" s="237" t="s">
        <v>1152</v>
      </c>
      <c r="J317" s="219" t="s">
        <v>642</v>
      </c>
      <c r="K317" s="223" cm="1">
        <f t="array" ref="K317">_xlfn.XLOOKUP(D317&amp;E317&amp;H317&amp;I317&amp;J317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7" s="223"/>
      <c r="M317" s="224"/>
      <c r="N317" s="253"/>
      <c r="O317" s="226">
        <v>395000</v>
      </c>
      <c r="P317" s="251">
        <v>0.19</v>
      </c>
      <c r="Q317" s="228">
        <f t="shared" si="201"/>
        <v>0</v>
      </c>
      <c r="R317" s="228"/>
      <c r="S317" s="228">
        <f t="shared" si="178"/>
        <v>0</v>
      </c>
      <c r="T317" s="235">
        <v>0</v>
      </c>
      <c r="U317" s="228">
        <f t="shared" si="209"/>
        <v>0</v>
      </c>
      <c r="V317" s="228"/>
      <c r="W317" s="228">
        <f t="shared" si="194"/>
        <v>0</v>
      </c>
      <c r="X317" s="235">
        <v>0</v>
      </c>
      <c r="Y317" s="228">
        <f t="shared" si="193"/>
        <v>0</v>
      </c>
      <c r="Z317" s="228"/>
      <c r="AA317" s="228">
        <f t="shared" si="179"/>
        <v>0</v>
      </c>
      <c r="AB317" s="235">
        <v>0</v>
      </c>
      <c r="AC317" s="228">
        <f t="shared" si="212"/>
        <v>0</v>
      </c>
      <c r="AD317" s="228"/>
      <c r="AE317" s="228">
        <f t="shared" si="180"/>
        <v>0</v>
      </c>
      <c r="AF317" s="235">
        <v>0</v>
      </c>
      <c r="AG317" s="228">
        <f t="shared" si="210"/>
        <v>0</v>
      </c>
      <c r="AH317" s="228"/>
      <c r="AI317" s="228">
        <f t="shared" si="181"/>
        <v>0</v>
      </c>
      <c r="AJ317" s="235">
        <v>0</v>
      </c>
      <c r="AK317" s="228">
        <f t="shared" si="198"/>
        <v>0</v>
      </c>
      <c r="AL317" s="228"/>
      <c r="AM317" s="228">
        <f t="shared" si="182"/>
        <v>0</v>
      </c>
      <c r="AN317" s="235">
        <v>0</v>
      </c>
      <c r="AO317" s="228">
        <f t="shared" si="199"/>
        <v>0</v>
      </c>
      <c r="AP317" s="228"/>
      <c r="AQ317" s="228">
        <f t="shared" si="183"/>
        <v>0</v>
      </c>
      <c r="AR317" s="228">
        <v>0.035</v>
      </c>
      <c r="AS317" s="228">
        <f>K317*AR317</f>
        <v>0</v>
      </c>
      <c r="AT317" s="228"/>
      <c r="AU317" s="228">
        <f t="shared" si="184"/>
        <v>0</v>
      </c>
      <c r="AV317" s="251">
        <v>0.055</v>
      </c>
      <c r="AW317" s="228">
        <f t="shared" si="211"/>
        <v>0</v>
      </c>
      <c r="AX317" s="228"/>
      <c r="AY317" s="228">
        <f t="shared" si="185"/>
        <v>0</v>
      </c>
      <c r="AZ317" s="235" t="s">
        <v>1457</v>
      </c>
      <c r="BA317" s="228">
        <f t="shared" si="207"/>
        <v>0</v>
      </c>
      <c r="BB317" s="228"/>
      <c r="BC317" s="228">
        <f t="shared" si="186"/>
        <v>0</v>
      </c>
      <c r="BD317" s="228">
        <v>0</v>
      </c>
      <c r="BE317" s="228">
        <f t="shared" si="205"/>
        <v>0</v>
      </c>
      <c r="BF317" s="228"/>
      <c r="BG317" s="228">
        <f t="shared" si="187"/>
        <v>0</v>
      </c>
      <c r="BH317" s="228">
        <v>0</v>
      </c>
      <c r="BI317" s="228">
        <f t="shared" si="200"/>
        <v>0</v>
      </c>
      <c r="BJ317" s="235"/>
      <c r="BK317" s="228">
        <f t="shared" si="188"/>
        <v>0</v>
      </c>
      <c r="BL317" s="235" t="s">
        <v>1457</v>
      </c>
      <c r="BM317" s="220">
        <f t="shared" si="208"/>
        <v>0</v>
      </c>
      <c r="BN317" s="220"/>
      <c r="BO317" s="220">
        <f t="shared" si="189"/>
        <v>0</v>
      </c>
      <c r="BP317" s="220">
        <f t="shared" si="190"/>
        <v>0</v>
      </c>
      <c r="BQ317" s="220">
        <f t="shared" si="191"/>
        <v>0</v>
      </c>
      <c r="BR317" s="220">
        <f t="shared" si="192"/>
        <v>0</v>
      </c>
      <c r="BS317" s="229" t="s">
        <v>39</v>
      </c>
      <c r="BT317" s="229" t="s">
        <v>39</v>
      </c>
      <c r="BU317" s="230" t="s">
        <v>1148</v>
      </c>
      <c r="BV317" s="230" t="s">
        <v>1149</v>
      </c>
      <c r="BW317" s="231"/>
    </row>
    <row r="318" s="209" customFormat="1" ht="48" customHeight="1" spans="1:75">
      <c r="A318" s="219">
        <v>369</v>
      </c>
      <c r="B318" s="220" t="s">
        <v>1230</v>
      </c>
      <c r="C318" s="221" t="s">
        <v>1142</v>
      </c>
      <c r="D318" s="221" t="s">
        <v>1143</v>
      </c>
      <c r="E318" s="221" t="s">
        <v>1144</v>
      </c>
      <c r="F318" s="219" t="s">
        <v>81</v>
      </c>
      <c r="G318" s="222" t="s">
        <v>1462</v>
      </c>
      <c r="H318" s="219" t="s">
        <v>272</v>
      </c>
      <c r="I318" s="237" t="s">
        <v>98</v>
      </c>
      <c r="J318" s="219" t="s">
        <v>642</v>
      </c>
      <c r="K318" s="223" cm="1">
        <f t="array" ref="K318">_xlfn.XLOOKUP(D318&amp;E318&amp;H318&amp;I318&amp;J318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8" s="223"/>
      <c r="M318" s="224"/>
      <c r="N318" s="253"/>
      <c r="O318" s="226">
        <v>968000</v>
      </c>
      <c r="P318" s="251">
        <v>0.19</v>
      </c>
      <c r="Q318" s="228">
        <f t="shared" si="201"/>
        <v>0</v>
      </c>
      <c r="R318" s="228"/>
      <c r="S318" s="228">
        <f t="shared" si="178"/>
        <v>0</v>
      </c>
      <c r="T318" s="235">
        <v>0</v>
      </c>
      <c r="U318" s="228">
        <f t="shared" si="209"/>
        <v>0</v>
      </c>
      <c r="V318" s="228"/>
      <c r="W318" s="228">
        <f t="shared" si="194"/>
        <v>0</v>
      </c>
      <c r="X318" s="235">
        <v>0</v>
      </c>
      <c r="Y318" s="228">
        <f t="shared" si="193"/>
        <v>0</v>
      </c>
      <c r="Z318" s="228"/>
      <c r="AA318" s="228">
        <f t="shared" si="179"/>
        <v>0</v>
      </c>
      <c r="AB318" s="235">
        <v>0</v>
      </c>
      <c r="AC318" s="228">
        <f t="shared" si="212"/>
        <v>0</v>
      </c>
      <c r="AD318" s="228"/>
      <c r="AE318" s="228">
        <f t="shared" si="180"/>
        <v>0</v>
      </c>
      <c r="AF318" s="235">
        <v>0</v>
      </c>
      <c r="AG318" s="228">
        <f t="shared" si="210"/>
        <v>0</v>
      </c>
      <c r="AH318" s="228"/>
      <c r="AI318" s="228">
        <f t="shared" si="181"/>
        <v>0</v>
      </c>
      <c r="AJ318" s="235">
        <v>0</v>
      </c>
      <c r="AK318" s="228">
        <f t="shared" si="198"/>
        <v>0</v>
      </c>
      <c r="AL318" s="228"/>
      <c r="AM318" s="228">
        <f t="shared" si="182"/>
        <v>0</v>
      </c>
      <c r="AN318" s="235">
        <v>0</v>
      </c>
      <c r="AO318" s="228">
        <f t="shared" si="199"/>
        <v>0</v>
      </c>
      <c r="AP318" s="228"/>
      <c r="AQ318" s="228">
        <f t="shared" si="183"/>
        <v>0</v>
      </c>
      <c r="AR318" s="228">
        <v>0.025</v>
      </c>
      <c r="AS318" s="228">
        <f>K318*AR318</f>
        <v>0</v>
      </c>
      <c r="AT318" s="228"/>
      <c r="AU318" s="228">
        <f t="shared" si="184"/>
        <v>0</v>
      </c>
      <c r="AV318" s="251">
        <v>0.055</v>
      </c>
      <c r="AW318" s="228">
        <f t="shared" si="211"/>
        <v>0</v>
      </c>
      <c r="AX318" s="228"/>
      <c r="AY318" s="228">
        <f t="shared" si="185"/>
        <v>0</v>
      </c>
      <c r="AZ318" s="235" t="s">
        <v>1457</v>
      </c>
      <c r="BA318" s="228">
        <f t="shared" si="207"/>
        <v>0</v>
      </c>
      <c r="BB318" s="228"/>
      <c r="BC318" s="228">
        <f t="shared" si="186"/>
        <v>0</v>
      </c>
      <c r="BD318" s="228">
        <v>0</v>
      </c>
      <c r="BE318" s="228">
        <f t="shared" si="205"/>
        <v>0</v>
      </c>
      <c r="BF318" s="228"/>
      <c r="BG318" s="228">
        <f t="shared" si="187"/>
        <v>0</v>
      </c>
      <c r="BH318" s="228">
        <v>0</v>
      </c>
      <c r="BI318" s="228">
        <f t="shared" si="200"/>
        <v>0</v>
      </c>
      <c r="BJ318" s="235"/>
      <c r="BK318" s="228">
        <f t="shared" si="188"/>
        <v>0</v>
      </c>
      <c r="BL318" s="235" t="s">
        <v>1457</v>
      </c>
      <c r="BM318" s="220">
        <f t="shared" si="208"/>
        <v>0</v>
      </c>
      <c r="BN318" s="220"/>
      <c r="BO318" s="220">
        <f t="shared" si="189"/>
        <v>0</v>
      </c>
      <c r="BP318" s="220">
        <f t="shared" si="190"/>
        <v>0</v>
      </c>
      <c r="BQ318" s="220">
        <f t="shared" si="191"/>
        <v>0</v>
      </c>
      <c r="BR318" s="220">
        <f t="shared" si="192"/>
        <v>0</v>
      </c>
      <c r="BS318" s="229" t="s">
        <v>39</v>
      </c>
      <c r="BT318" s="229" t="s">
        <v>39</v>
      </c>
      <c r="BU318" s="230" t="s">
        <v>1154</v>
      </c>
      <c r="BV318" s="230" t="s">
        <v>1149</v>
      </c>
      <c r="BW318" s="231"/>
    </row>
    <row r="319" s="209" customFormat="1" ht="48" customHeight="1" spans="1:75">
      <c r="A319" s="219">
        <v>370</v>
      </c>
      <c r="B319" s="220" t="s">
        <v>1233</v>
      </c>
      <c r="C319" s="221" t="s">
        <v>1142</v>
      </c>
      <c r="D319" s="221" t="s">
        <v>1143</v>
      </c>
      <c r="E319" s="221" t="s">
        <v>1144</v>
      </c>
      <c r="F319" s="219" t="s">
        <v>81</v>
      </c>
      <c r="G319" s="222" t="s">
        <v>1462</v>
      </c>
      <c r="H319" s="219" t="s">
        <v>60</v>
      </c>
      <c r="I319" s="237" t="s">
        <v>1156</v>
      </c>
      <c r="J319" s="219" t="s">
        <v>1147</v>
      </c>
      <c r="K319" s="223" cm="1">
        <f t="array" ref="K319">_xlfn.XLOOKUP(D319&amp;E319&amp;H319&amp;I319&amp;J319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9" s="223"/>
      <c r="M319" s="224"/>
      <c r="N319" s="253"/>
      <c r="O319" s="226">
        <v>810000</v>
      </c>
      <c r="P319" s="251">
        <v>0.19</v>
      </c>
      <c r="Q319" s="228">
        <f t="shared" si="201"/>
        <v>0</v>
      </c>
      <c r="R319" s="228"/>
      <c r="S319" s="228">
        <f t="shared" si="178"/>
        <v>0</v>
      </c>
      <c r="T319" s="235">
        <v>0</v>
      </c>
      <c r="U319" s="228">
        <f t="shared" si="209"/>
        <v>0</v>
      </c>
      <c r="V319" s="228"/>
      <c r="W319" s="228">
        <f t="shared" si="194"/>
        <v>0</v>
      </c>
      <c r="X319" s="235">
        <v>0</v>
      </c>
      <c r="Y319" s="228">
        <f t="shared" si="193"/>
        <v>0</v>
      </c>
      <c r="Z319" s="228"/>
      <c r="AA319" s="228">
        <f t="shared" si="179"/>
        <v>0</v>
      </c>
      <c r="AB319" s="235">
        <v>0</v>
      </c>
      <c r="AC319" s="228">
        <f t="shared" si="212"/>
        <v>0</v>
      </c>
      <c r="AD319" s="228"/>
      <c r="AE319" s="228">
        <f t="shared" si="180"/>
        <v>0</v>
      </c>
      <c r="AF319" s="235">
        <v>0</v>
      </c>
      <c r="AG319" s="228">
        <f t="shared" si="210"/>
        <v>0</v>
      </c>
      <c r="AH319" s="228"/>
      <c r="AI319" s="228">
        <f t="shared" si="181"/>
        <v>0</v>
      </c>
      <c r="AJ319" s="235">
        <v>0</v>
      </c>
      <c r="AK319" s="228">
        <f t="shared" si="198"/>
        <v>0</v>
      </c>
      <c r="AL319" s="228"/>
      <c r="AM319" s="228">
        <f t="shared" si="182"/>
        <v>0</v>
      </c>
      <c r="AN319" s="235">
        <v>0</v>
      </c>
      <c r="AO319" s="228">
        <f t="shared" si="199"/>
        <v>0</v>
      </c>
      <c r="AP319" s="228"/>
      <c r="AQ319" s="228">
        <f t="shared" si="183"/>
        <v>0</v>
      </c>
      <c r="AR319" s="228" t="s">
        <v>1457</v>
      </c>
      <c r="AS319" s="228">
        <f>AT319</f>
        <v>0</v>
      </c>
      <c r="AT319" s="228"/>
      <c r="AU319" s="228">
        <f t="shared" si="184"/>
        <v>0</v>
      </c>
      <c r="AV319" s="235" t="s">
        <v>1457</v>
      </c>
      <c r="AW319" s="228">
        <f>AX319</f>
        <v>0</v>
      </c>
      <c r="AX319" s="228"/>
      <c r="AY319" s="228">
        <f t="shared" si="185"/>
        <v>0</v>
      </c>
      <c r="AZ319" s="235" t="s">
        <v>1457</v>
      </c>
      <c r="BA319" s="228">
        <f t="shared" si="207"/>
        <v>0</v>
      </c>
      <c r="BB319" s="228"/>
      <c r="BC319" s="228">
        <f t="shared" si="186"/>
        <v>0</v>
      </c>
      <c r="BD319" s="228">
        <v>0</v>
      </c>
      <c r="BE319" s="228">
        <f t="shared" si="205"/>
        <v>0</v>
      </c>
      <c r="BF319" s="228"/>
      <c r="BG319" s="228">
        <f t="shared" si="187"/>
        <v>0</v>
      </c>
      <c r="BH319" s="228">
        <v>0</v>
      </c>
      <c r="BI319" s="228">
        <f t="shared" si="200"/>
        <v>0</v>
      </c>
      <c r="BJ319" s="235"/>
      <c r="BK319" s="228">
        <f t="shared" si="188"/>
        <v>0</v>
      </c>
      <c r="BL319" s="235" t="s">
        <v>1457</v>
      </c>
      <c r="BM319" s="220">
        <f t="shared" si="208"/>
        <v>0</v>
      </c>
      <c r="BN319" s="220"/>
      <c r="BO319" s="220">
        <f t="shared" si="189"/>
        <v>0</v>
      </c>
      <c r="BP319" s="220">
        <f t="shared" si="190"/>
        <v>0</v>
      </c>
      <c r="BQ319" s="220">
        <f t="shared" si="191"/>
        <v>0</v>
      </c>
      <c r="BR319" s="220">
        <f t="shared" si="192"/>
        <v>0</v>
      </c>
      <c r="BS319" s="229" t="s">
        <v>39</v>
      </c>
      <c r="BT319" s="229" t="s">
        <v>39</v>
      </c>
      <c r="BU319" s="230" t="s">
        <v>1148</v>
      </c>
      <c r="BV319" s="230" t="s">
        <v>1157</v>
      </c>
      <c r="BW319" s="231"/>
    </row>
    <row r="320" s="209" customFormat="1" ht="48" customHeight="1" spans="1:75">
      <c r="A320" s="219">
        <v>371</v>
      </c>
      <c r="B320" s="220" t="s">
        <v>1236</v>
      </c>
      <c r="C320" s="221" t="s">
        <v>1142</v>
      </c>
      <c r="D320" s="221" t="s">
        <v>1143</v>
      </c>
      <c r="E320" s="221" t="s">
        <v>1144</v>
      </c>
      <c r="F320" s="219" t="s">
        <v>81</v>
      </c>
      <c r="G320" s="222" t="s">
        <v>1462</v>
      </c>
      <c r="H320" s="219" t="s">
        <v>265</v>
      </c>
      <c r="I320" s="237" t="s">
        <v>771</v>
      </c>
      <c r="J320" s="219" t="s">
        <v>1160</v>
      </c>
      <c r="K320" s="223" cm="1">
        <f t="array" ref="K320">_xlfn.XLOOKUP(D320&amp;E320&amp;H320&amp;I320&amp;J320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0" s="223"/>
      <c r="M320" s="224"/>
      <c r="N320" s="253"/>
      <c r="O320" s="226">
        <v>745000</v>
      </c>
      <c r="P320" s="251">
        <v>0.19</v>
      </c>
      <c r="Q320" s="228">
        <f t="shared" si="201"/>
        <v>0</v>
      </c>
      <c r="R320" s="228"/>
      <c r="S320" s="228">
        <f t="shared" si="178"/>
        <v>0</v>
      </c>
      <c r="T320" s="235">
        <v>0</v>
      </c>
      <c r="U320" s="228">
        <f t="shared" si="209"/>
        <v>0</v>
      </c>
      <c r="V320" s="228"/>
      <c r="W320" s="228">
        <f t="shared" si="194"/>
        <v>0</v>
      </c>
      <c r="X320" s="235">
        <v>0</v>
      </c>
      <c r="Y320" s="228">
        <f t="shared" si="193"/>
        <v>0</v>
      </c>
      <c r="Z320" s="228"/>
      <c r="AA320" s="228">
        <f t="shared" si="179"/>
        <v>0</v>
      </c>
      <c r="AB320" s="235">
        <v>0</v>
      </c>
      <c r="AC320" s="228">
        <f t="shared" si="212"/>
        <v>0</v>
      </c>
      <c r="AD320" s="228"/>
      <c r="AE320" s="228">
        <f t="shared" si="180"/>
        <v>0</v>
      </c>
      <c r="AF320" s="235">
        <v>0</v>
      </c>
      <c r="AG320" s="228">
        <f t="shared" si="210"/>
        <v>0</v>
      </c>
      <c r="AH320" s="228"/>
      <c r="AI320" s="228">
        <f t="shared" si="181"/>
        <v>0</v>
      </c>
      <c r="AJ320" s="235">
        <v>0</v>
      </c>
      <c r="AK320" s="228">
        <f t="shared" si="198"/>
        <v>0</v>
      </c>
      <c r="AL320" s="228"/>
      <c r="AM320" s="228">
        <f t="shared" si="182"/>
        <v>0</v>
      </c>
      <c r="AN320" s="235">
        <v>0</v>
      </c>
      <c r="AO320" s="228">
        <f t="shared" si="199"/>
        <v>0</v>
      </c>
      <c r="AP320" s="228"/>
      <c r="AQ320" s="228">
        <f t="shared" si="183"/>
        <v>0</v>
      </c>
      <c r="AR320" s="228" t="s">
        <v>1457</v>
      </c>
      <c r="AS320" s="228">
        <f>AT320</f>
        <v>0</v>
      </c>
      <c r="AT320" s="228"/>
      <c r="AU320" s="228">
        <f t="shared" si="184"/>
        <v>0</v>
      </c>
      <c r="AV320" s="235" t="s">
        <v>1457</v>
      </c>
      <c r="AW320" s="228">
        <f>AX320</f>
        <v>0</v>
      </c>
      <c r="AX320" s="228"/>
      <c r="AY320" s="228">
        <f t="shared" si="185"/>
        <v>0</v>
      </c>
      <c r="AZ320" s="235" t="s">
        <v>1457</v>
      </c>
      <c r="BA320" s="228">
        <f t="shared" si="207"/>
        <v>0</v>
      </c>
      <c r="BB320" s="228"/>
      <c r="BC320" s="228">
        <f t="shared" si="186"/>
        <v>0</v>
      </c>
      <c r="BD320" s="228">
        <v>0</v>
      </c>
      <c r="BE320" s="228">
        <f t="shared" si="205"/>
        <v>0</v>
      </c>
      <c r="BF320" s="228"/>
      <c r="BG320" s="228">
        <f t="shared" si="187"/>
        <v>0</v>
      </c>
      <c r="BH320" s="228">
        <v>0</v>
      </c>
      <c r="BI320" s="228">
        <f t="shared" si="200"/>
        <v>0</v>
      </c>
      <c r="BJ320" s="235"/>
      <c r="BK320" s="228">
        <f t="shared" si="188"/>
        <v>0</v>
      </c>
      <c r="BL320" s="235" t="s">
        <v>1457</v>
      </c>
      <c r="BM320" s="220">
        <f t="shared" si="208"/>
        <v>0</v>
      </c>
      <c r="BN320" s="220"/>
      <c r="BO320" s="220">
        <f t="shared" si="189"/>
        <v>0</v>
      </c>
      <c r="BP320" s="220">
        <f t="shared" si="190"/>
        <v>0</v>
      </c>
      <c r="BQ320" s="220">
        <f t="shared" si="191"/>
        <v>0</v>
      </c>
      <c r="BR320" s="220">
        <f t="shared" si="192"/>
        <v>0</v>
      </c>
      <c r="BS320" s="229" t="s">
        <v>39</v>
      </c>
      <c r="BT320" s="229" t="s">
        <v>39</v>
      </c>
      <c r="BU320" s="230" t="s">
        <v>1148</v>
      </c>
      <c r="BV320" s="230" t="s">
        <v>1157</v>
      </c>
      <c r="BW320" s="231"/>
    </row>
    <row r="321" s="209" customFormat="1" ht="48" customHeight="1" spans="1:75">
      <c r="A321" s="219">
        <v>372</v>
      </c>
      <c r="B321" s="220" t="s">
        <v>1242</v>
      </c>
      <c r="C321" s="221" t="s">
        <v>1142</v>
      </c>
      <c r="D321" s="221" t="s">
        <v>1143</v>
      </c>
      <c r="E321" s="221" t="s">
        <v>1144</v>
      </c>
      <c r="F321" s="219" t="s">
        <v>81</v>
      </c>
      <c r="G321" s="222" t="s">
        <v>1462</v>
      </c>
      <c r="H321" s="219" t="s">
        <v>86</v>
      </c>
      <c r="I321" s="237" t="s">
        <v>1162</v>
      </c>
      <c r="J321" s="219" t="s">
        <v>1160</v>
      </c>
      <c r="K321" s="223" cm="1">
        <f t="array" ref="K321">_xlfn.XLOOKUP(D321&amp;E321&amp;H321&amp;I321&amp;J321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1" s="223"/>
      <c r="M321" s="224"/>
      <c r="N321" s="253"/>
      <c r="O321" s="226">
        <v>770000</v>
      </c>
      <c r="P321" s="251">
        <v>0.19</v>
      </c>
      <c r="Q321" s="228">
        <f t="shared" si="201"/>
        <v>0</v>
      </c>
      <c r="R321" s="228"/>
      <c r="S321" s="228">
        <f t="shared" si="178"/>
        <v>0</v>
      </c>
      <c r="T321" s="235">
        <v>0</v>
      </c>
      <c r="U321" s="228">
        <f t="shared" si="209"/>
        <v>0</v>
      </c>
      <c r="V321" s="228"/>
      <c r="W321" s="228">
        <f t="shared" si="194"/>
        <v>0</v>
      </c>
      <c r="X321" s="235">
        <v>0</v>
      </c>
      <c r="Y321" s="228">
        <f t="shared" si="193"/>
        <v>0</v>
      </c>
      <c r="Z321" s="228"/>
      <c r="AA321" s="228">
        <f t="shared" si="179"/>
        <v>0</v>
      </c>
      <c r="AB321" s="235">
        <v>0</v>
      </c>
      <c r="AC321" s="228">
        <f t="shared" si="212"/>
        <v>0</v>
      </c>
      <c r="AD321" s="228"/>
      <c r="AE321" s="228">
        <f t="shared" si="180"/>
        <v>0</v>
      </c>
      <c r="AF321" s="235">
        <v>0</v>
      </c>
      <c r="AG321" s="228">
        <f t="shared" si="210"/>
        <v>0</v>
      </c>
      <c r="AH321" s="228"/>
      <c r="AI321" s="228">
        <f t="shared" si="181"/>
        <v>0</v>
      </c>
      <c r="AJ321" s="235">
        <v>0</v>
      </c>
      <c r="AK321" s="228">
        <f t="shared" si="198"/>
        <v>0</v>
      </c>
      <c r="AL321" s="228"/>
      <c r="AM321" s="228">
        <f t="shared" si="182"/>
        <v>0</v>
      </c>
      <c r="AN321" s="235">
        <v>0</v>
      </c>
      <c r="AO321" s="228">
        <f t="shared" si="199"/>
        <v>0</v>
      </c>
      <c r="AP321" s="228"/>
      <c r="AQ321" s="228">
        <f t="shared" si="183"/>
        <v>0</v>
      </c>
      <c r="AR321" s="228" t="s">
        <v>1457</v>
      </c>
      <c r="AS321" s="228">
        <f>AT321</f>
        <v>0</v>
      </c>
      <c r="AT321" s="228"/>
      <c r="AU321" s="228">
        <f t="shared" si="184"/>
        <v>0</v>
      </c>
      <c r="AV321" s="235" t="s">
        <v>1457</v>
      </c>
      <c r="AW321" s="228">
        <f>AX321</f>
        <v>0</v>
      </c>
      <c r="AX321" s="228"/>
      <c r="AY321" s="228">
        <f t="shared" si="185"/>
        <v>0</v>
      </c>
      <c r="AZ321" s="235" t="s">
        <v>1457</v>
      </c>
      <c r="BA321" s="228">
        <f t="shared" si="207"/>
        <v>0</v>
      </c>
      <c r="BB321" s="228"/>
      <c r="BC321" s="228">
        <f t="shared" si="186"/>
        <v>0</v>
      </c>
      <c r="BD321" s="228">
        <v>0</v>
      </c>
      <c r="BE321" s="228">
        <f t="shared" si="205"/>
        <v>0</v>
      </c>
      <c r="BF321" s="228"/>
      <c r="BG321" s="228">
        <f t="shared" si="187"/>
        <v>0</v>
      </c>
      <c r="BH321" s="228">
        <v>0</v>
      </c>
      <c r="BI321" s="228">
        <f t="shared" si="200"/>
        <v>0</v>
      </c>
      <c r="BJ321" s="235"/>
      <c r="BK321" s="228">
        <f t="shared" si="188"/>
        <v>0</v>
      </c>
      <c r="BL321" s="235" t="s">
        <v>1457</v>
      </c>
      <c r="BM321" s="220">
        <f t="shared" si="208"/>
        <v>0</v>
      </c>
      <c r="BN321" s="220"/>
      <c r="BO321" s="220">
        <f t="shared" si="189"/>
        <v>0</v>
      </c>
      <c r="BP321" s="220">
        <f t="shared" si="190"/>
        <v>0</v>
      </c>
      <c r="BQ321" s="220">
        <f t="shared" si="191"/>
        <v>0</v>
      </c>
      <c r="BR321" s="220">
        <f t="shared" si="192"/>
        <v>0</v>
      </c>
      <c r="BS321" s="229" t="s">
        <v>39</v>
      </c>
      <c r="BT321" s="229" t="s">
        <v>39</v>
      </c>
      <c r="BU321" s="230" t="s">
        <v>1148</v>
      </c>
      <c r="BV321" s="230" t="s">
        <v>1157</v>
      </c>
      <c r="BW321" s="231"/>
    </row>
    <row r="322" s="209" customFormat="1" ht="60" customHeight="1" spans="1:75">
      <c r="A322" s="219">
        <v>373</v>
      </c>
      <c r="B322" s="220" t="s">
        <v>1246</v>
      </c>
      <c r="C322" s="221" t="s">
        <v>1142</v>
      </c>
      <c r="D322" s="221" t="s">
        <v>1143</v>
      </c>
      <c r="E322" s="221" t="s">
        <v>1144</v>
      </c>
      <c r="F322" s="219" t="s">
        <v>81</v>
      </c>
      <c r="G322" s="222" t="s">
        <v>1462</v>
      </c>
      <c r="H322" s="219" t="s">
        <v>276</v>
      </c>
      <c r="I322" s="237" t="s">
        <v>1164</v>
      </c>
      <c r="J322" s="219" t="s">
        <v>1165</v>
      </c>
      <c r="K322" s="223" cm="1">
        <f t="array" ref="K322">_xlfn.XLOOKUP(D322&amp;E322&amp;H322&amp;I322&amp;J322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2" s="223"/>
      <c r="M322" s="340" t="s">
        <v>1536</v>
      </c>
      <c r="N322" s="253"/>
      <c r="O322" s="226">
        <v>745000</v>
      </c>
      <c r="P322" s="251">
        <v>0.14</v>
      </c>
      <c r="Q322" s="228">
        <f t="shared" si="201"/>
        <v>0</v>
      </c>
      <c r="R322" s="228"/>
      <c r="S322" s="228">
        <f t="shared" si="178"/>
        <v>0</v>
      </c>
      <c r="T322" s="235">
        <v>0</v>
      </c>
      <c r="U322" s="228">
        <f t="shared" si="209"/>
        <v>0</v>
      </c>
      <c r="V322" s="228"/>
      <c r="W322" s="228">
        <f t="shared" si="194"/>
        <v>0</v>
      </c>
      <c r="X322" s="235">
        <v>0</v>
      </c>
      <c r="Y322" s="228">
        <f t="shared" si="193"/>
        <v>0</v>
      </c>
      <c r="Z322" s="228"/>
      <c r="AA322" s="228">
        <f t="shared" si="179"/>
        <v>0</v>
      </c>
      <c r="AB322" s="235">
        <v>0</v>
      </c>
      <c r="AC322" s="228">
        <f t="shared" si="212"/>
        <v>0</v>
      </c>
      <c r="AD322" s="228"/>
      <c r="AE322" s="228">
        <f t="shared" si="180"/>
        <v>0</v>
      </c>
      <c r="AF322" s="235">
        <v>0</v>
      </c>
      <c r="AG322" s="228">
        <f t="shared" si="210"/>
        <v>0</v>
      </c>
      <c r="AH322" s="228"/>
      <c r="AI322" s="228">
        <f t="shared" si="181"/>
        <v>0</v>
      </c>
      <c r="AJ322" s="235">
        <v>0</v>
      </c>
      <c r="AK322" s="228">
        <f t="shared" si="198"/>
        <v>0</v>
      </c>
      <c r="AL322" s="228"/>
      <c r="AM322" s="228">
        <f t="shared" si="182"/>
        <v>0</v>
      </c>
      <c r="AN322" s="235">
        <v>0</v>
      </c>
      <c r="AO322" s="228">
        <f t="shared" si="199"/>
        <v>0</v>
      </c>
      <c r="AP322" s="228"/>
      <c r="AQ322" s="228">
        <f t="shared" si="183"/>
        <v>0</v>
      </c>
      <c r="AR322" s="228">
        <v>0</v>
      </c>
      <c r="AS322" s="228">
        <f t="shared" ref="AS322:AS367" si="214">K322*AR322</f>
        <v>0</v>
      </c>
      <c r="AT322" s="228"/>
      <c r="AU322" s="228">
        <f t="shared" si="184"/>
        <v>0</v>
      </c>
      <c r="AV322" s="235" t="s">
        <v>1457</v>
      </c>
      <c r="AW322" s="228">
        <f>AX322</f>
        <v>0</v>
      </c>
      <c r="AX322" s="228"/>
      <c r="AY322" s="228">
        <f t="shared" si="185"/>
        <v>0</v>
      </c>
      <c r="AZ322" s="235" t="s">
        <v>1457</v>
      </c>
      <c r="BA322" s="228">
        <f t="shared" si="207"/>
        <v>0</v>
      </c>
      <c r="BB322" s="228"/>
      <c r="BC322" s="228">
        <f t="shared" si="186"/>
        <v>0</v>
      </c>
      <c r="BD322" s="228">
        <v>0</v>
      </c>
      <c r="BE322" s="228">
        <f t="shared" si="205"/>
        <v>0</v>
      </c>
      <c r="BF322" s="228"/>
      <c r="BG322" s="228">
        <f t="shared" si="187"/>
        <v>0</v>
      </c>
      <c r="BH322" s="228">
        <v>0</v>
      </c>
      <c r="BI322" s="228">
        <f t="shared" si="200"/>
        <v>0</v>
      </c>
      <c r="BJ322" s="235"/>
      <c r="BK322" s="228">
        <f t="shared" si="188"/>
        <v>0</v>
      </c>
      <c r="BL322" s="235" t="s">
        <v>1457</v>
      </c>
      <c r="BM322" s="220">
        <f t="shared" si="208"/>
        <v>0</v>
      </c>
      <c r="BN322" s="220"/>
      <c r="BO322" s="220">
        <f t="shared" si="189"/>
        <v>0</v>
      </c>
      <c r="BP322" s="220">
        <f t="shared" si="190"/>
        <v>0</v>
      </c>
      <c r="BQ322" s="220">
        <f t="shared" si="191"/>
        <v>0</v>
      </c>
      <c r="BR322" s="220">
        <f t="shared" si="192"/>
        <v>0</v>
      </c>
      <c r="BS322" s="229" t="s">
        <v>39</v>
      </c>
      <c r="BT322" s="229" t="s">
        <v>39</v>
      </c>
      <c r="BU322" s="230" t="s">
        <v>1166</v>
      </c>
      <c r="BV322" s="230" t="s">
        <v>1157</v>
      </c>
      <c r="BW322" s="231"/>
    </row>
    <row r="323" s="209" customFormat="1" ht="60" customHeight="1" spans="1:75">
      <c r="A323" s="219">
        <v>374</v>
      </c>
      <c r="B323" s="220" t="s">
        <v>1249</v>
      </c>
      <c r="C323" s="221" t="s">
        <v>1142</v>
      </c>
      <c r="D323" s="221" t="s">
        <v>1143</v>
      </c>
      <c r="E323" s="221" t="s">
        <v>1144</v>
      </c>
      <c r="F323" s="219" t="s">
        <v>81</v>
      </c>
      <c r="G323" s="222" t="s">
        <v>1462</v>
      </c>
      <c r="H323" s="219" t="s">
        <v>280</v>
      </c>
      <c r="I323" s="237" t="s">
        <v>1168</v>
      </c>
      <c r="J323" s="219" t="s">
        <v>1165</v>
      </c>
      <c r="K323" s="223" cm="1">
        <f t="array" ref="K323">_xlfn.XLOOKUP(D323&amp;E323&amp;H323&amp;I323&amp;J323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3" s="223"/>
      <c r="M323" s="224"/>
      <c r="N323" s="253"/>
      <c r="O323" s="226">
        <v>820000</v>
      </c>
      <c r="P323" s="251">
        <v>0.14</v>
      </c>
      <c r="Q323" s="228">
        <f t="shared" si="201"/>
        <v>0</v>
      </c>
      <c r="R323" s="228"/>
      <c r="S323" s="228">
        <f t="shared" ref="S323:S386" si="215">Q323-R323</f>
        <v>0</v>
      </c>
      <c r="T323" s="235">
        <v>0</v>
      </c>
      <c r="U323" s="228">
        <f t="shared" si="209"/>
        <v>0</v>
      </c>
      <c r="V323" s="228"/>
      <c r="W323" s="228">
        <f t="shared" si="194"/>
        <v>0</v>
      </c>
      <c r="X323" s="235">
        <v>0</v>
      </c>
      <c r="Y323" s="228">
        <f t="shared" si="193"/>
        <v>0</v>
      </c>
      <c r="Z323" s="228"/>
      <c r="AA323" s="228">
        <f t="shared" ref="AA323:AA386" si="216">Y323-Z323</f>
        <v>0</v>
      </c>
      <c r="AB323" s="235">
        <v>0</v>
      </c>
      <c r="AC323" s="228">
        <f t="shared" si="212"/>
        <v>0</v>
      </c>
      <c r="AD323" s="228"/>
      <c r="AE323" s="228">
        <f t="shared" ref="AE323:AE386" si="217">AC323-AD323</f>
        <v>0</v>
      </c>
      <c r="AF323" s="235">
        <v>0</v>
      </c>
      <c r="AG323" s="228">
        <f t="shared" si="210"/>
        <v>0</v>
      </c>
      <c r="AH323" s="228"/>
      <c r="AI323" s="228">
        <f t="shared" ref="AI323:AI386" si="218">AG323-AH323</f>
        <v>0</v>
      </c>
      <c r="AJ323" s="235">
        <v>0</v>
      </c>
      <c r="AK323" s="228">
        <f t="shared" si="198"/>
        <v>0</v>
      </c>
      <c r="AL323" s="228"/>
      <c r="AM323" s="228">
        <f t="shared" ref="AM323:AM386" si="219">AK323-AL323</f>
        <v>0</v>
      </c>
      <c r="AN323" s="235">
        <v>0</v>
      </c>
      <c r="AO323" s="228">
        <f t="shared" si="199"/>
        <v>0</v>
      </c>
      <c r="AP323" s="228"/>
      <c r="AQ323" s="228">
        <f t="shared" ref="AQ323:AQ386" si="220">AO323-AP323</f>
        <v>0</v>
      </c>
      <c r="AR323" s="228">
        <v>0</v>
      </c>
      <c r="AS323" s="228">
        <f t="shared" si="214"/>
        <v>0</v>
      </c>
      <c r="AT323" s="228"/>
      <c r="AU323" s="228">
        <f t="shared" ref="AU323:AU386" si="221">AS323-AT323</f>
        <v>0</v>
      </c>
      <c r="AV323" s="228" t="s">
        <v>1457</v>
      </c>
      <c r="AW323" s="228">
        <f>AX323</f>
        <v>0</v>
      </c>
      <c r="AX323" s="228"/>
      <c r="AY323" s="228">
        <f t="shared" ref="AY323:AY386" si="222">AW323-AX323</f>
        <v>0</v>
      </c>
      <c r="AZ323" s="235" t="s">
        <v>1457</v>
      </c>
      <c r="BA323" s="228">
        <f t="shared" si="207"/>
        <v>0</v>
      </c>
      <c r="BB323" s="228"/>
      <c r="BC323" s="228">
        <f t="shared" ref="BC323:BC386" si="223">BA323-BB323</f>
        <v>0</v>
      </c>
      <c r="BD323" s="228">
        <v>0</v>
      </c>
      <c r="BE323" s="228">
        <f t="shared" si="205"/>
        <v>0</v>
      </c>
      <c r="BF323" s="228"/>
      <c r="BG323" s="228">
        <f t="shared" ref="BG323:BG386" si="224">BE323-BF323</f>
        <v>0</v>
      </c>
      <c r="BH323" s="228">
        <v>0</v>
      </c>
      <c r="BI323" s="228">
        <f t="shared" si="200"/>
        <v>0</v>
      </c>
      <c r="BJ323" s="235"/>
      <c r="BK323" s="228">
        <f t="shared" ref="BK323:BK386" si="225">BI323-BJ323</f>
        <v>0</v>
      </c>
      <c r="BL323" s="235" t="s">
        <v>1457</v>
      </c>
      <c r="BM323" s="220">
        <f t="shared" si="208"/>
        <v>0</v>
      </c>
      <c r="BN323" s="220"/>
      <c r="BO323" s="220">
        <f t="shared" ref="BO323:BO386" si="226">BM323-BN323</f>
        <v>0</v>
      </c>
      <c r="BP323" s="220">
        <f t="shared" ref="BP323:BP386" si="227">N323+Q323+U323+Y323+AC323+AG323+AK323+AO323+AS323+AW323+BA323+BE323+BI323+BM323</f>
        <v>0</v>
      </c>
      <c r="BQ323" s="220">
        <f t="shared" ref="BQ323:BQ386" si="228">N323+R323+V323+Z323+AD323+AH323+AL323+AP323+AT323+AX323+BB323+BF323+BJ323+BN323</f>
        <v>0</v>
      </c>
      <c r="BR323" s="220">
        <f t="shared" ref="BR323:BR386" si="229">BP323-BQ323</f>
        <v>0</v>
      </c>
      <c r="BS323" s="229" t="s">
        <v>39</v>
      </c>
      <c r="BT323" s="229" t="s">
        <v>39</v>
      </c>
      <c r="BU323" s="230" t="s">
        <v>1166</v>
      </c>
      <c r="BV323" s="230" t="s">
        <v>1157</v>
      </c>
      <c r="BW323" s="231"/>
    </row>
    <row r="324" s="209" customFormat="1" ht="48" customHeight="1" spans="1:75">
      <c r="A324" s="219">
        <v>375</v>
      </c>
      <c r="B324" s="220" t="s">
        <v>1255</v>
      </c>
      <c r="C324" s="221" t="s">
        <v>1142</v>
      </c>
      <c r="D324" s="221" t="s">
        <v>1143</v>
      </c>
      <c r="E324" s="221" t="s">
        <v>1144</v>
      </c>
      <c r="F324" s="219" t="s">
        <v>81</v>
      </c>
      <c r="G324" s="222" t="s">
        <v>1462</v>
      </c>
      <c r="H324" s="219" t="s">
        <v>74</v>
      </c>
      <c r="I324" s="237" t="s">
        <v>1170</v>
      </c>
      <c r="J324" s="219" t="s">
        <v>1171</v>
      </c>
      <c r="K324" s="223" cm="1">
        <f t="array" ref="K324">_xlfn.XLOOKUP(D324&amp;E324&amp;H324&amp;I324&amp;J324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4" s="223"/>
      <c r="M324" s="224"/>
      <c r="N324" s="253"/>
      <c r="O324" s="226">
        <v>480000</v>
      </c>
      <c r="P324" s="251">
        <v>0.19</v>
      </c>
      <c r="Q324" s="228">
        <f t="shared" si="201"/>
        <v>0</v>
      </c>
      <c r="R324" s="228"/>
      <c r="S324" s="228">
        <f t="shared" si="215"/>
        <v>0</v>
      </c>
      <c r="T324" s="235">
        <v>0</v>
      </c>
      <c r="U324" s="228">
        <f t="shared" si="209"/>
        <v>0</v>
      </c>
      <c r="V324" s="228"/>
      <c r="W324" s="228">
        <f t="shared" si="194"/>
        <v>0</v>
      </c>
      <c r="X324" s="235">
        <v>0</v>
      </c>
      <c r="Y324" s="228">
        <f t="shared" si="193"/>
        <v>0</v>
      </c>
      <c r="Z324" s="228"/>
      <c r="AA324" s="228">
        <f t="shared" si="216"/>
        <v>0</v>
      </c>
      <c r="AB324" s="235">
        <v>0</v>
      </c>
      <c r="AC324" s="228">
        <f t="shared" si="212"/>
        <v>0</v>
      </c>
      <c r="AD324" s="228"/>
      <c r="AE324" s="228">
        <f t="shared" si="217"/>
        <v>0</v>
      </c>
      <c r="AF324" s="235">
        <v>0</v>
      </c>
      <c r="AG324" s="228">
        <f t="shared" si="210"/>
        <v>0</v>
      </c>
      <c r="AH324" s="228"/>
      <c r="AI324" s="228">
        <f t="shared" si="218"/>
        <v>0</v>
      </c>
      <c r="AJ324" s="235">
        <v>0</v>
      </c>
      <c r="AK324" s="228">
        <f t="shared" si="198"/>
        <v>0</v>
      </c>
      <c r="AL324" s="228"/>
      <c r="AM324" s="228">
        <f t="shared" si="219"/>
        <v>0</v>
      </c>
      <c r="AN324" s="235">
        <v>0</v>
      </c>
      <c r="AO324" s="228">
        <f t="shared" si="199"/>
        <v>0</v>
      </c>
      <c r="AP324" s="228"/>
      <c r="AQ324" s="228">
        <f t="shared" si="220"/>
        <v>0</v>
      </c>
      <c r="AR324" s="228">
        <v>0.035</v>
      </c>
      <c r="AS324" s="228">
        <f t="shared" si="214"/>
        <v>0</v>
      </c>
      <c r="AT324" s="228"/>
      <c r="AU324" s="228">
        <f t="shared" si="221"/>
        <v>0</v>
      </c>
      <c r="AV324" s="251">
        <v>0.055</v>
      </c>
      <c r="AW324" s="228">
        <f t="shared" ref="AW324:AW361" si="230">K324*AV324</f>
        <v>0</v>
      </c>
      <c r="AX324" s="228"/>
      <c r="AY324" s="228">
        <f t="shared" si="222"/>
        <v>0</v>
      </c>
      <c r="AZ324" s="235" t="s">
        <v>1457</v>
      </c>
      <c r="BA324" s="228">
        <f t="shared" si="207"/>
        <v>0</v>
      </c>
      <c r="BB324" s="228"/>
      <c r="BC324" s="228">
        <f t="shared" si="223"/>
        <v>0</v>
      </c>
      <c r="BD324" s="228">
        <v>0</v>
      </c>
      <c r="BE324" s="228">
        <f t="shared" si="205"/>
        <v>0</v>
      </c>
      <c r="BF324" s="228"/>
      <c r="BG324" s="228">
        <f t="shared" si="224"/>
        <v>0</v>
      </c>
      <c r="BH324" s="228">
        <v>0</v>
      </c>
      <c r="BI324" s="228">
        <f t="shared" si="200"/>
        <v>0</v>
      </c>
      <c r="BJ324" s="235"/>
      <c r="BK324" s="228">
        <f t="shared" si="225"/>
        <v>0</v>
      </c>
      <c r="BL324" s="235" t="s">
        <v>1457</v>
      </c>
      <c r="BM324" s="220">
        <f t="shared" si="208"/>
        <v>0</v>
      </c>
      <c r="BN324" s="220"/>
      <c r="BO324" s="220">
        <f t="shared" si="226"/>
        <v>0</v>
      </c>
      <c r="BP324" s="220">
        <f t="shared" si="227"/>
        <v>0</v>
      </c>
      <c r="BQ324" s="220">
        <f t="shared" si="228"/>
        <v>0</v>
      </c>
      <c r="BR324" s="220">
        <f t="shared" si="229"/>
        <v>0</v>
      </c>
      <c r="BS324" s="229" t="s">
        <v>39</v>
      </c>
      <c r="BT324" s="229" t="s">
        <v>39</v>
      </c>
      <c r="BU324" s="230" t="s">
        <v>1148</v>
      </c>
      <c r="BV324" s="230" t="s">
        <v>1172</v>
      </c>
      <c r="BW324" s="231"/>
    </row>
    <row r="325" s="209" customFormat="1" ht="48" customHeight="1" spans="1:75">
      <c r="A325" s="219">
        <v>377</v>
      </c>
      <c r="B325" s="220" t="s">
        <v>1262</v>
      </c>
      <c r="C325" s="221" t="s">
        <v>1142</v>
      </c>
      <c r="D325" s="221" t="s">
        <v>1173</v>
      </c>
      <c r="E325" s="221" t="s">
        <v>1174</v>
      </c>
      <c r="F325" s="219" t="s">
        <v>81</v>
      </c>
      <c r="G325" s="222" t="s">
        <v>1462</v>
      </c>
      <c r="H325" s="233" t="s">
        <v>39</v>
      </c>
      <c r="I325" s="237" t="s">
        <v>1176</v>
      </c>
      <c r="J325" s="219" t="s">
        <v>1177</v>
      </c>
      <c r="K325" s="223" cm="1">
        <f t="array" ref="K325">_xlfn.XLOOKUP(D325&amp;E325&amp;H325&amp;I325&amp;J325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5" s="223"/>
      <c r="M325" s="224"/>
      <c r="N325" s="341">
        <v>9616.08</v>
      </c>
      <c r="O325" s="226">
        <v>0</v>
      </c>
      <c r="P325" s="251">
        <v>0.28</v>
      </c>
      <c r="Q325" s="228">
        <f t="shared" si="201"/>
        <v>0</v>
      </c>
      <c r="R325" s="228"/>
      <c r="S325" s="228">
        <f t="shared" si="215"/>
        <v>0</v>
      </c>
      <c r="T325" s="235">
        <v>0</v>
      </c>
      <c r="U325" s="228">
        <f t="shared" si="209"/>
        <v>0</v>
      </c>
      <c r="V325" s="228"/>
      <c r="W325" s="228">
        <f t="shared" si="194"/>
        <v>0</v>
      </c>
      <c r="X325" s="235">
        <v>0</v>
      </c>
      <c r="Y325" s="228">
        <f t="shared" si="193"/>
        <v>0</v>
      </c>
      <c r="Z325" s="228"/>
      <c r="AA325" s="228">
        <f t="shared" si="216"/>
        <v>0</v>
      </c>
      <c r="AB325" s="235">
        <v>0</v>
      </c>
      <c r="AC325" s="228">
        <f t="shared" si="212"/>
        <v>0</v>
      </c>
      <c r="AD325" s="228"/>
      <c r="AE325" s="228">
        <f t="shared" si="217"/>
        <v>0</v>
      </c>
      <c r="AF325" s="235">
        <v>0</v>
      </c>
      <c r="AG325" s="228">
        <f t="shared" si="210"/>
        <v>0</v>
      </c>
      <c r="AH325" s="228"/>
      <c r="AI325" s="228">
        <f t="shared" si="218"/>
        <v>0</v>
      </c>
      <c r="AJ325" s="235">
        <v>0</v>
      </c>
      <c r="AK325" s="228">
        <f t="shared" si="198"/>
        <v>0</v>
      </c>
      <c r="AL325" s="228"/>
      <c r="AM325" s="228">
        <f t="shared" si="219"/>
        <v>0</v>
      </c>
      <c r="AN325" s="235">
        <v>0</v>
      </c>
      <c r="AO325" s="228">
        <f t="shared" si="199"/>
        <v>0</v>
      </c>
      <c r="AP325" s="228"/>
      <c r="AQ325" s="228">
        <f t="shared" si="220"/>
        <v>0</v>
      </c>
      <c r="AR325" s="228">
        <v>0</v>
      </c>
      <c r="AS325" s="228">
        <f t="shared" si="214"/>
        <v>0</v>
      </c>
      <c r="AT325" s="228"/>
      <c r="AU325" s="228">
        <f t="shared" si="221"/>
        <v>0</v>
      </c>
      <c r="AV325" s="235">
        <v>0</v>
      </c>
      <c r="AW325" s="228">
        <f t="shared" si="230"/>
        <v>0</v>
      </c>
      <c r="AX325" s="228"/>
      <c r="AY325" s="228">
        <f t="shared" si="222"/>
        <v>0</v>
      </c>
      <c r="AZ325" s="228" t="s">
        <v>1457</v>
      </c>
      <c r="BA325" s="228">
        <f t="shared" si="207"/>
        <v>0</v>
      </c>
      <c r="BB325" s="228"/>
      <c r="BC325" s="228">
        <f t="shared" si="223"/>
        <v>0</v>
      </c>
      <c r="BD325" s="235">
        <v>0</v>
      </c>
      <c r="BE325" s="228">
        <f t="shared" si="205"/>
        <v>0</v>
      </c>
      <c r="BF325" s="228"/>
      <c r="BG325" s="228">
        <f t="shared" si="224"/>
        <v>0</v>
      </c>
      <c r="BH325" s="235">
        <v>0</v>
      </c>
      <c r="BI325" s="228">
        <f t="shared" si="200"/>
        <v>0</v>
      </c>
      <c r="BJ325" s="228"/>
      <c r="BK325" s="228">
        <f t="shared" si="225"/>
        <v>0</v>
      </c>
      <c r="BL325" s="228" t="s">
        <v>1457</v>
      </c>
      <c r="BM325" s="220">
        <f t="shared" si="208"/>
        <v>0</v>
      </c>
      <c r="BN325" s="342">
        <v>0</v>
      </c>
      <c r="BO325" s="220">
        <f t="shared" si="226"/>
        <v>0</v>
      </c>
      <c r="BP325" s="220">
        <f t="shared" si="227"/>
        <v>9616.08</v>
      </c>
      <c r="BQ325" s="220">
        <f t="shared" si="228"/>
        <v>9616.08</v>
      </c>
      <c r="BR325" s="220">
        <f t="shared" si="229"/>
        <v>0</v>
      </c>
      <c r="BS325" s="254" t="s">
        <v>39</v>
      </c>
      <c r="BT325" s="229" t="s">
        <v>39</v>
      </c>
      <c r="BU325" s="230" t="s">
        <v>1178</v>
      </c>
      <c r="BV325" s="230"/>
      <c r="BW325" s="231"/>
    </row>
    <row r="326" s="209" customFormat="1" ht="48" customHeight="1" spans="1:75">
      <c r="A326" s="219">
        <v>378</v>
      </c>
      <c r="B326" s="220" t="s">
        <v>1266</v>
      </c>
      <c r="C326" s="221" t="s">
        <v>1142</v>
      </c>
      <c r="D326" s="221" t="s">
        <v>1173</v>
      </c>
      <c r="E326" s="221" t="s">
        <v>1174</v>
      </c>
      <c r="F326" s="219" t="s">
        <v>81</v>
      </c>
      <c r="G326" s="222" t="s">
        <v>1462</v>
      </c>
      <c r="H326" s="233" t="s">
        <v>39</v>
      </c>
      <c r="I326" s="237" t="s">
        <v>1181</v>
      </c>
      <c r="J326" s="219" t="s">
        <v>1182</v>
      </c>
      <c r="K326" s="223" cm="1">
        <f t="array" ref="K326">_xlfn.XLOOKUP(D326&amp;E326&amp;H326&amp;I326&amp;J326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6" s="223"/>
      <c r="M326" s="224"/>
      <c r="N326" s="253"/>
      <c r="O326" s="226">
        <v>0</v>
      </c>
      <c r="P326" s="251">
        <v>0.28</v>
      </c>
      <c r="Q326" s="228">
        <f t="shared" si="201"/>
        <v>0</v>
      </c>
      <c r="R326" s="228"/>
      <c r="S326" s="228">
        <f t="shared" si="215"/>
        <v>0</v>
      </c>
      <c r="T326" s="235">
        <v>0</v>
      </c>
      <c r="U326" s="228">
        <f t="shared" si="209"/>
        <v>0</v>
      </c>
      <c r="V326" s="228"/>
      <c r="W326" s="228">
        <f t="shared" si="194"/>
        <v>0</v>
      </c>
      <c r="X326" s="235">
        <v>0</v>
      </c>
      <c r="Y326" s="228">
        <f t="shared" ref="Y326:Y373" si="231">K326*X326</f>
        <v>0</v>
      </c>
      <c r="Z326" s="228"/>
      <c r="AA326" s="228">
        <f t="shared" si="216"/>
        <v>0</v>
      </c>
      <c r="AB326" s="235">
        <v>0</v>
      </c>
      <c r="AC326" s="228">
        <f t="shared" si="212"/>
        <v>0</v>
      </c>
      <c r="AD326" s="228"/>
      <c r="AE326" s="228">
        <f t="shared" si="217"/>
        <v>0</v>
      </c>
      <c r="AF326" s="235">
        <v>0</v>
      </c>
      <c r="AG326" s="228">
        <f t="shared" si="210"/>
        <v>0</v>
      </c>
      <c r="AH326" s="228"/>
      <c r="AI326" s="228">
        <f t="shared" si="218"/>
        <v>0</v>
      </c>
      <c r="AJ326" s="235">
        <v>0</v>
      </c>
      <c r="AK326" s="228">
        <f t="shared" si="198"/>
        <v>0</v>
      </c>
      <c r="AL326" s="228"/>
      <c r="AM326" s="228">
        <f t="shared" si="219"/>
        <v>0</v>
      </c>
      <c r="AN326" s="235">
        <v>0</v>
      </c>
      <c r="AO326" s="228">
        <f t="shared" si="199"/>
        <v>0</v>
      </c>
      <c r="AP326" s="228"/>
      <c r="AQ326" s="228">
        <f t="shared" si="220"/>
        <v>0</v>
      </c>
      <c r="AR326" s="228">
        <v>0</v>
      </c>
      <c r="AS326" s="228">
        <f t="shared" si="214"/>
        <v>0</v>
      </c>
      <c r="AT326" s="228"/>
      <c r="AU326" s="228">
        <f t="shared" si="221"/>
        <v>0</v>
      </c>
      <c r="AV326" s="235">
        <v>0</v>
      </c>
      <c r="AW326" s="228">
        <f t="shared" si="230"/>
        <v>0</v>
      </c>
      <c r="AX326" s="228"/>
      <c r="AY326" s="228">
        <f t="shared" si="222"/>
        <v>0</v>
      </c>
      <c r="AZ326" s="228" t="s">
        <v>1457</v>
      </c>
      <c r="BA326" s="228">
        <f t="shared" si="207"/>
        <v>0</v>
      </c>
      <c r="BB326" s="228"/>
      <c r="BC326" s="228">
        <f t="shared" si="223"/>
        <v>0</v>
      </c>
      <c r="BD326" s="235">
        <v>0</v>
      </c>
      <c r="BE326" s="228">
        <f t="shared" si="205"/>
        <v>0</v>
      </c>
      <c r="BF326" s="228"/>
      <c r="BG326" s="228">
        <f t="shared" si="224"/>
        <v>0</v>
      </c>
      <c r="BH326" s="235">
        <v>0</v>
      </c>
      <c r="BI326" s="228">
        <f t="shared" si="200"/>
        <v>0</v>
      </c>
      <c r="BJ326" s="228"/>
      <c r="BK326" s="228">
        <f t="shared" si="225"/>
        <v>0</v>
      </c>
      <c r="BL326" s="228" t="s">
        <v>1457</v>
      </c>
      <c r="BM326" s="220">
        <f t="shared" si="208"/>
        <v>0</v>
      </c>
      <c r="BN326" s="342"/>
      <c r="BO326" s="220">
        <f t="shared" si="226"/>
        <v>0</v>
      </c>
      <c r="BP326" s="220">
        <f t="shared" si="227"/>
        <v>0</v>
      </c>
      <c r="BQ326" s="220">
        <f t="shared" si="228"/>
        <v>0</v>
      </c>
      <c r="BR326" s="220">
        <f t="shared" si="229"/>
        <v>0</v>
      </c>
      <c r="BS326" s="254" t="s">
        <v>39</v>
      </c>
      <c r="BT326" s="229" t="s">
        <v>39</v>
      </c>
      <c r="BU326" s="230" t="s">
        <v>1178</v>
      </c>
      <c r="BV326" s="230"/>
      <c r="BW326" s="231"/>
    </row>
    <row r="327" s="209" customFormat="1" ht="48" customHeight="1" spans="1:75">
      <c r="A327" s="219">
        <v>379</v>
      </c>
      <c r="B327" s="220" t="s">
        <v>1269</v>
      </c>
      <c r="C327" s="221" t="s">
        <v>1142</v>
      </c>
      <c r="D327" s="221" t="s">
        <v>1173</v>
      </c>
      <c r="E327" s="221" t="s">
        <v>1174</v>
      </c>
      <c r="F327" s="219" t="s">
        <v>81</v>
      </c>
      <c r="G327" s="222" t="s">
        <v>1462</v>
      </c>
      <c r="H327" s="233" t="s">
        <v>39</v>
      </c>
      <c r="I327" s="237" t="s">
        <v>1184</v>
      </c>
      <c r="J327" s="219" t="s">
        <v>1185</v>
      </c>
      <c r="K327" s="223" cm="1">
        <f t="array" ref="K327">_xlfn.XLOOKUP(D327&amp;E327&amp;H327&amp;I327&amp;J327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7" s="223"/>
      <c r="M327" s="224"/>
      <c r="N327" s="253"/>
      <c r="O327" s="226">
        <v>0</v>
      </c>
      <c r="P327" s="251">
        <v>0.28</v>
      </c>
      <c r="Q327" s="228">
        <f t="shared" si="201"/>
        <v>0</v>
      </c>
      <c r="R327" s="228"/>
      <c r="S327" s="228">
        <f t="shared" si="215"/>
        <v>0</v>
      </c>
      <c r="T327" s="235">
        <v>0</v>
      </c>
      <c r="U327" s="228">
        <f t="shared" si="209"/>
        <v>0</v>
      </c>
      <c r="V327" s="228"/>
      <c r="W327" s="228">
        <f t="shared" si="194"/>
        <v>0</v>
      </c>
      <c r="X327" s="235">
        <v>0</v>
      </c>
      <c r="Y327" s="228">
        <f t="shared" si="231"/>
        <v>0</v>
      </c>
      <c r="Z327" s="228"/>
      <c r="AA327" s="228">
        <f t="shared" si="216"/>
        <v>0</v>
      </c>
      <c r="AB327" s="235">
        <v>0</v>
      </c>
      <c r="AC327" s="228">
        <f t="shared" si="212"/>
        <v>0</v>
      </c>
      <c r="AD327" s="228"/>
      <c r="AE327" s="228">
        <f t="shared" si="217"/>
        <v>0</v>
      </c>
      <c r="AF327" s="235">
        <v>0</v>
      </c>
      <c r="AG327" s="228">
        <f t="shared" si="210"/>
        <v>0</v>
      </c>
      <c r="AH327" s="228"/>
      <c r="AI327" s="228">
        <f t="shared" si="218"/>
        <v>0</v>
      </c>
      <c r="AJ327" s="235">
        <v>0</v>
      </c>
      <c r="AK327" s="228">
        <f t="shared" si="198"/>
        <v>0</v>
      </c>
      <c r="AL327" s="228"/>
      <c r="AM327" s="228">
        <f t="shared" si="219"/>
        <v>0</v>
      </c>
      <c r="AN327" s="235">
        <v>0</v>
      </c>
      <c r="AO327" s="228">
        <f t="shared" si="199"/>
        <v>0</v>
      </c>
      <c r="AP327" s="228"/>
      <c r="AQ327" s="228">
        <f t="shared" si="220"/>
        <v>0</v>
      </c>
      <c r="AR327" s="228">
        <v>0</v>
      </c>
      <c r="AS327" s="228">
        <f t="shared" si="214"/>
        <v>0</v>
      </c>
      <c r="AT327" s="228"/>
      <c r="AU327" s="228">
        <f t="shared" si="221"/>
        <v>0</v>
      </c>
      <c r="AV327" s="235">
        <v>0</v>
      </c>
      <c r="AW327" s="228">
        <f t="shared" si="230"/>
        <v>0</v>
      </c>
      <c r="AX327" s="228"/>
      <c r="AY327" s="228">
        <f t="shared" si="222"/>
        <v>0</v>
      </c>
      <c r="AZ327" s="228" t="s">
        <v>1457</v>
      </c>
      <c r="BA327" s="228">
        <f t="shared" si="207"/>
        <v>0</v>
      </c>
      <c r="BB327" s="228"/>
      <c r="BC327" s="228">
        <f t="shared" si="223"/>
        <v>0</v>
      </c>
      <c r="BD327" s="235">
        <v>0</v>
      </c>
      <c r="BE327" s="228">
        <f t="shared" si="205"/>
        <v>0</v>
      </c>
      <c r="BF327" s="228"/>
      <c r="BG327" s="228">
        <f t="shared" si="224"/>
        <v>0</v>
      </c>
      <c r="BH327" s="235">
        <v>0</v>
      </c>
      <c r="BI327" s="228">
        <f t="shared" si="200"/>
        <v>0</v>
      </c>
      <c r="BJ327" s="228"/>
      <c r="BK327" s="228">
        <f t="shared" si="225"/>
        <v>0</v>
      </c>
      <c r="BL327" s="228" t="s">
        <v>1457</v>
      </c>
      <c r="BM327" s="220">
        <f t="shared" si="208"/>
        <v>0</v>
      </c>
      <c r="BN327" s="342"/>
      <c r="BO327" s="220">
        <f t="shared" si="226"/>
        <v>0</v>
      </c>
      <c r="BP327" s="220">
        <f t="shared" si="227"/>
        <v>0</v>
      </c>
      <c r="BQ327" s="220">
        <f t="shared" si="228"/>
        <v>0</v>
      </c>
      <c r="BR327" s="220">
        <f t="shared" si="229"/>
        <v>0</v>
      </c>
      <c r="BS327" s="254" t="s">
        <v>39</v>
      </c>
      <c r="BT327" s="229" t="s">
        <v>39</v>
      </c>
      <c r="BU327" s="230" t="s">
        <v>1178</v>
      </c>
      <c r="BV327" s="230"/>
      <c r="BW327" s="231"/>
    </row>
    <row r="328" s="209" customFormat="1" ht="48" customHeight="1" spans="1:75">
      <c r="A328" s="219">
        <v>380</v>
      </c>
      <c r="B328" s="220" t="s">
        <v>1272</v>
      </c>
      <c r="C328" s="221" t="s">
        <v>1142</v>
      </c>
      <c r="D328" s="221" t="s">
        <v>1173</v>
      </c>
      <c r="E328" s="221" t="s">
        <v>1174</v>
      </c>
      <c r="F328" s="219" t="s">
        <v>81</v>
      </c>
      <c r="G328" s="222" t="s">
        <v>1462</v>
      </c>
      <c r="H328" s="233" t="s">
        <v>39</v>
      </c>
      <c r="I328" s="237" t="s">
        <v>1187</v>
      </c>
      <c r="J328" s="219" t="s">
        <v>1188</v>
      </c>
      <c r="K328" s="223" cm="1">
        <f t="array" ref="K328">_xlfn.XLOOKUP(D328&amp;E328&amp;H328&amp;I328&amp;J328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8" s="223"/>
      <c r="M328" s="224"/>
      <c r="N328" s="337"/>
      <c r="O328" s="226">
        <v>0</v>
      </c>
      <c r="P328" s="251">
        <v>0.28</v>
      </c>
      <c r="Q328" s="228">
        <f t="shared" si="201"/>
        <v>0</v>
      </c>
      <c r="R328" s="228"/>
      <c r="S328" s="228">
        <f t="shared" si="215"/>
        <v>0</v>
      </c>
      <c r="T328" s="235">
        <v>0</v>
      </c>
      <c r="U328" s="228">
        <f t="shared" si="209"/>
        <v>0</v>
      </c>
      <c r="V328" s="228"/>
      <c r="W328" s="228">
        <f t="shared" si="194"/>
        <v>0</v>
      </c>
      <c r="X328" s="235">
        <v>0</v>
      </c>
      <c r="Y328" s="228">
        <f t="shared" si="231"/>
        <v>0</v>
      </c>
      <c r="Z328" s="228"/>
      <c r="AA328" s="228">
        <f t="shared" si="216"/>
        <v>0</v>
      </c>
      <c r="AB328" s="235">
        <v>0</v>
      </c>
      <c r="AC328" s="228">
        <f t="shared" si="212"/>
        <v>0</v>
      </c>
      <c r="AD328" s="228"/>
      <c r="AE328" s="228">
        <f t="shared" si="217"/>
        <v>0</v>
      </c>
      <c r="AF328" s="235">
        <v>0</v>
      </c>
      <c r="AG328" s="228">
        <f t="shared" si="210"/>
        <v>0</v>
      </c>
      <c r="AH328" s="228"/>
      <c r="AI328" s="228">
        <f t="shared" si="218"/>
        <v>0</v>
      </c>
      <c r="AJ328" s="235">
        <v>0</v>
      </c>
      <c r="AK328" s="228">
        <f t="shared" si="198"/>
        <v>0</v>
      </c>
      <c r="AL328" s="228"/>
      <c r="AM328" s="228">
        <f t="shared" si="219"/>
        <v>0</v>
      </c>
      <c r="AN328" s="235">
        <v>0</v>
      </c>
      <c r="AO328" s="228">
        <f t="shared" si="199"/>
        <v>0</v>
      </c>
      <c r="AP328" s="228"/>
      <c r="AQ328" s="228">
        <f t="shared" si="220"/>
        <v>0</v>
      </c>
      <c r="AR328" s="228">
        <v>0</v>
      </c>
      <c r="AS328" s="228">
        <f t="shared" si="214"/>
        <v>0</v>
      </c>
      <c r="AT328" s="228"/>
      <c r="AU328" s="228">
        <f t="shared" si="221"/>
        <v>0</v>
      </c>
      <c r="AV328" s="235">
        <v>0</v>
      </c>
      <c r="AW328" s="228">
        <f t="shared" si="230"/>
        <v>0</v>
      </c>
      <c r="AX328" s="228"/>
      <c r="AY328" s="228">
        <f t="shared" si="222"/>
        <v>0</v>
      </c>
      <c r="AZ328" s="228" t="s">
        <v>1457</v>
      </c>
      <c r="BA328" s="228">
        <f t="shared" si="207"/>
        <v>0</v>
      </c>
      <c r="BB328" s="228"/>
      <c r="BC328" s="228">
        <f t="shared" si="223"/>
        <v>0</v>
      </c>
      <c r="BD328" s="235">
        <v>0</v>
      </c>
      <c r="BE328" s="228">
        <f t="shared" si="205"/>
        <v>0</v>
      </c>
      <c r="BF328" s="228"/>
      <c r="BG328" s="228">
        <f t="shared" si="224"/>
        <v>0</v>
      </c>
      <c r="BH328" s="235">
        <v>0</v>
      </c>
      <c r="BI328" s="228">
        <f t="shared" si="200"/>
        <v>0</v>
      </c>
      <c r="BJ328" s="228"/>
      <c r="BK328" s="228">
        <f t="shared" si="225"/>
        <v>0</v>
      </c>
      <c r="BL328" s="228" t="s">
        <v>1457</v>
      </c>
      <c r="BM328" s="220">
        <f t="shared" si="208"/>
        <v>0</v>
      </c>
      <c r="BN328" s="342"/>
      <c r="BO328" s="220">
        <f t="shared" si="226"/>
        <v>0</v>
      </c>
      <c r="BP328" s="220">
        <f t="shared" si="227"/>
        <v>0</v>
      </c>
      <c r="BQ328" s="220">
        <f t="shared" si="228"/>
        <v>0</v>
      </c>
      <c r="BR328" s="220">
        <f t="shared" si="229"/>
        <v>0</v>
      </c>
      <c r="BS328" s="254" t="s">
        <v>39</v>
      </c>
      <c r="BT328" s="229" t="s">
        <v>39</v>
      </c>
      <c r="BU328" s="230" t="s">
        <v>1178</v>
      </c>
      <c r="BV328" s="230"/>
      <c r="BW328" s="231"/>
    </row>
    <row r="329" s="209" customFormat="1" ht="48" customHeight="1" spans="1:75">
      <c r="A329" s="219">
        <v>381</v>
      </c>
      <c r="B329" s="220" t="s">
        <v>1275</v>
      </c>
      <c r="C329" s="221" t="s">
        <v>1142</v>
      </c>
      <c r="D329" s="221" t="s">
        <v>1173</v>
      </c>
      <c r="E329" s="221" t="s">
        <v>1174</v>
      </c>
      <c r="F329" s="219" t="s">
        <v>81</v>
      </c>
      <c r="G329" s="222" t="s">
        <v>1462</v>
      </c>
      <c r="H329" s="233" t="s">
        <v>39</v>
      </c>
      <c r="I329" s="237" t="s">
        <v>1190</v>
      </c>
      <c r="J329" s="219" t="s">
        <v>1191</v>
      </c>
      <c r="K329" s="223" cm="1">
        <f t="array" ref="K329">_xlfn.XLOOKUP(D329&amp;E329&amp;H329&amp;I329&amp;J329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9" s="223"/>
      <c r="M329" s="224"/>
      <c r="N329" s="337"/>
      <c r="O329" s="226">
        <v>0</v>
      </c>
      <c r="P329" s="251">
        <v>0.28</v>
      </c>
      <c r="Q329" s="228">
        <f t="shared" si="201"/>
        <v>0</v>
      </c>
      <c r="R329" s="228"/>
      <c r="S329" s="228">
        <f t="shared" si="215"/>
        <v>0</v>
      </c>
      <c r="T329" s="235">
        <v>0</v>
      </c>
      <c r="U329" s="228">
        <f t="shared" si="209"/>
        <v>0</v>
      </c>
      <c r="V329" s="228"/>
      <c r="W329" s="228">
        <f t="shared" si="194"/>
        <v>0</v>
      </c>
      <c r="X329" s="235">
        <v>0</v>
      </c>
      <c r="Y329" s="228">
        <f t="shared" si="231"/>
        <v>0</v>
      </c>
      <c r="Z329" s="228"/>
      <c r="AA329" s="228">
        <f t="shared" si="216"/>
        <v>0</v>
      </c>
      <c r="AB329" s="235">
        <v>0</v>
      </c>
      <c r="AC329" s="228">
        <f t="shared" si="212"/>
        <v>0</v>
      </c>
      <c r="AD329" s="228"/>
      <c r="AE329" s="228">
        <f t="shared" si="217"/>
        <v>0</v>
      </c>
      <c r="AF329" s="235">
        <v>0</v>
      </c>
      <c r="AG329" s="228">
        <f t="shared" si="210"/>
        <v>0</v>
      </c>
      <c r="AH329" s="228"/>
      <c r="AI329" s="228">
        <f t="shared" si="218"/>
        <v>0</v>
      </c>
      <c r="AJ329" s="235">
        <v>0</v>
      </c>
      <c r="AK329" s="228">
        <f t="shared" si="198"/>
        <v>0</v>
      </c>
      <c r="AL329" s="228"/>
      <c r="AM329" s="228">
        <f t="shared" si="219"/>
        <v>0</v>
      </c>
      <c r="AN329" s="235">
        <v>0</v>
      </c>
      <c r="AO329" s="228">
        <f t="shared" si="199"/>
        <v>0</v>
      </c>
      <c r="AP329" s="228"/>
      <c r="AQ329" s="228">
        <f t="shared" si="220"/>
        <v>0</v>
      </c>
      <c r="AR329" s="228">
        <v>0</v>
      </c>
      <c r="AS329" s="228">
        <f t="shared" si="214"/>
        <v>0</v>
      </c>
      <c r="AT329" s="228"/>
      <c r="AU329" s="228">
        <f t="shared" si="221"/>
        <v>0</v>
      </c>
      <c r="AV329" s="235">
        <v>0</v>
      </c>
      <c r="AW329" s="228">
        <f t="shared" si="230"/>
        <v>0</v>
      </c>
      <c r="AX329" s="228"/>
      <c r="AY329" s="228">
        <f t="shared" si="222"/>
        <v>0</v>
      </c>
      <c r="AZ329" s="228" t="s">
        <v>1457</v>
      </c>
      <c r="BA329" s="228">
        <f t="shared" si="207"/>
        <v>0</v>
      </c>
      <c r="BB329" s="228"/>
      <c r="BC329" s="228">
        <f t="shared" si="223"/>
        <v>0</v>
      </c>
      <c r="BD329" s="235">
        <v>0</v>
      </c>
      <c r="BE329" s="228">
        <f t="shared" si="205"/>
        <v>0</v>
      </c>
      <c r="BF329" s="228"/>
      <c r="BG329" s="228">
        <f t="shared" si="224"/>
        <v>0</v>
      </c>
      <c r="BH329" s="235">
        <v>0</v>
      </c>
      <c r="BI329" s="228">
        <f t="shared" si="200"/>
        <v>0</v>
      </c>
      <c r="BJ329" s="228"/>
      <c r="BK329" s="228">
        <f t="shared" si="225"/>
        <v>0</v>
      </c>
      <c r="BL329" s="228" t="s">
        <v>1457</v>
      </c>
      <c r="BM329" s="220">
        <f t="shared" si="208"/>
        <v>0</v>
      </c>
      <c r="BN329" s="342"/>
      <c r="BO329" s="220">
        <f t="shared" si="226"/>
        <v>0</v>
      </c>
      <c r="BP329" s="220">
        <f t="shared" si="227"/>
        <v>0</v>
      </c>
      <c r="BQ329" s="220">
        <f t="shared" si="228"/>
        <v>0</v>
      </c>
      <c r="BR329" s="220">
        <f t="shared" si="229"/>
        <v>0</v>
      </c>
      <c r="BS329" s="254" t="s">
        <v>39</v>
      </c>
      <c r="BT329" s="229" t="s">
        <v>39</v>
      </c>
      <c r="BU329" s="230" t="s">
        <v>1178</v>
      </c>
      <c r="BV329" s="230"/>
      <c r="BW329" s="231"/>
    </row>
    <row r="330" s="209" customFormat="1" ht="48" customHeight="1" spans="1:75">
      <c r="A330" s="219">
        <v>382</v>
      </c>
      <c r="B330" s="220" t="s">
        <v>1277</v>
      </c>
      <c r="C330" s="221" t="s">
        <v>1142</v>
      </c>
      <c r="D330" s="221" t="s">
        <v>1173</v>
      </c>
      <c r="E330" s="221" t="s">
        <v>1174</v>
      </c>
      <c r="F330" s="219" t="s">
        <v>81</v>
      </c>
      <c r="G330" s="222" t="s">
        <v>1462</v>
      </c>
      <c r="H330" s="233" t="s">
        <v>39</v>
      </c>
      <c r="I330" s="237" t="s">
        <v>1193</v>
      </c>
      <c r="J330" s="219" t="s">
        <v>1194</v>
      </c>
      <c r="K330" s="223" cm="1">
        <f t="array" ref="K330">_xlfn.XLOOKUP(D330&amp;E330&amp;H330&amp;I330&amp;J330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0" s="223"/>
      <c r="M330" s="224"/>
      <c r="N330" s="337"/>
      <c r="O330" s="226">
        <v>0</v>
      </c>
      <c r="P330" s="251">
        <v>0.28</v>
      </c>
      <c r="Q330" s="228">
        <f t="shared" si="201"/>
        <v>0</v>
      </c>
      <c r="R330" s="228"/>
      <c r="S330" s="228">
        <f t="shared" si="215"/>
        <v>0</v>
      </c>
      <c r="T330" s="235">
        <v>0</v>
      </c>
      <c r="U330" s="228">
        <f t="shared" si="209"/>
        <v>0</v>
      </c>
      <c r="V330" s="228"/>
      <c r="W330" s="228">
        <f t="shared" si="194"/>
        <v>0</v>
      </c>
      <c r="X330" s="235">
        <v>0</v>
      </c>
      <c r="Y330" s="228">
        <f t="shared" si="231"/>
        <v>0</v>
      </c>
      <c r="Z330" s="228"/>
      <c r="AA330" s="228">
        <f t="shared" si="216"/>
        <v>0</v>
      </c>
      <c r="AB330" s="235">
        <v>0</v>
      </c>
      <c r="AC330" s="228">
        <f t="shared" si="212"/>
        <v>0</v>
      </c>
      <c r="AD330" s="228"/>
      <c r="AE330" s="228">
        <f t="shared" si="217"/>
        <v>0</v>
      </c>
      <c r="AF330" s="235">
        <v>0</v>
      </c>
      <c r="AG330" s="228">
        <f t="shared" si="210"/>
        <v>0</v>
      </c>
      <c r="AH330" s="228"/>
      <c r="AI330" s="228">
        <f t="shared" si="218"/>
        <v>0</v>
      </c>
      <c r="AJ330" s="235">
        <v>0</v>
      </c>
      <c r="AK330" s="228">
        <f t="shared" si="198"/>
        <v>0</v>
      </c>
      <c r="AL330" s="228"/>
      <c r="AM330" s="228">
        <f t="shared" si="219"/>
        <v>0</v>
      </c>
      <c r="AN330" s="235">
        <v>0</v>
      </c>
      <c r="AO330" s="228">
        <f t="shared" si="199"/>
        <v>0</v>
      </c>
      <c r="AP330" s="228"/>
      <c r="AQ330" s="228">
        <f t="shared" si="220"/>
        <v>0</v>
      </c>
      <c r="AR330" s="228">
        <v>0</v>
      </c>
      <c r="AS330" s="228">
        <f t="shared" si="214"/>
        <v>0</v>
      </c>
      <c r="AT330" s="228"/>
      <c r="AU330" s="228">
        <f t="shared" si="221"/>
        <v>0</v>
      </c>
      <c r="AV330" s="235">
        <v>0</v>
      </c>
      <c r="AW330" s="228">
        <f t="shared" si="230"/>
        <v>0</v>
      </c>
      <c r="AX330" s="228"/>
      <c r="AY330" s="228">
        <f t="shared" si="222"/>
        <v>0</v>
      </c>
      <c r="AZ330" s="228" t="s">
        <v>1457</v>
      </c>
      <c r="BA330" s="228">
        <f t="shared" si="207"/>
        <v>0</v>
      </c>
      <c r="BB330" s="228"/>
      <c r="BC330" s="228">
        <f t="shared" si="223"/>
        <v>0</v>
      </c>
      <c r="BD330" s="235">
        <v>0</v>
      </c>
      <c r="BE330" s="228">
        <f t="shared" si="205"/>
        <v>0</v>
      </c>
      <c r="BF330" s="228"/>
      <c r="BG330" s="228">
        <f t="shared" si="224"/>
        <v>0</v>
      </c>
      <c r="BH330" s="235">
        <v>0</v>
      </c>
      <c r="BI330" s="228">
        <f t="shared" si="200"/>
        <v>0</v>
      </c>
      <c r="BJ330" s="228"/>
      <c r="BK330" s="228">
        <f t="shared" si="225"/>
        <v>0</v>
      </c>
      <c r="BL330" s="228" t="s">
        <v>1457</v>
      </c>
      <c r="BM330" s="220">
        <f t="shared" si="208"/>
        <v>0</v>
      </c>
      <c r="BN330" s="342"/>
      <c r="BO330" s="220">
        <f t="shared" si="226"/>
        <v>0</v>
      </c>
      <c r="BP330" s="220">
        <f t="shared" si="227"/>
        <v>0</v>
      </c>
      <c r="BQ330" s="220">
        <f t="shared" si="228"/>
        <v>0</v>
      </c>
      <c r="BR330" s="220">
        <f t="shared" si="229"/>
        <v>0</v>
      </c>
      <c r="BS330" s="254" t="s">
        <v>39</v>
      </c>
      <c r="BT330" s="229" t="s">
        <v>39</v>
      </c>
      <c r="BU330" s="230" t="s">
        <v>1178</v>
      </c>
      <c r="BV330" s="230"/>
      <c r="BW330" s="231"/>
    </row>
    <row r="331" s="209" customFormat="1" ht="48" customHeight="1" spans="1:75">
      <c r="A331" s="219">
        <v>383</v>
      </c>
      <c r="B331" s="220" t="s">
        <v>1280</v>
      </c>
      <c r="C331" s="221" t="s">
        <v>1142</v>
      </c>
      <c r="D331" s="221" t="s">
        <v>1173</v>
      </c>
      <c r="E331" s="221" t="s">
        <v>1174</v>
      </c>
      <c r="F331" s="219" t="s">
        <v>81</v>
      </c>
      <c r="G331" s="222" t="s">
        <v>1462</v>
      </c>
      <c r="H331" s="233" t="s">
        <v>39</v>
      </c>
      <c r="I331" s="237" t="s">
        <v>1196</v>
      </c>
      <c r="J331" s="219" t="s">
        <v>1197</v>
      </c>
      <c r="K331" s="223" cm="1">
        <f t="array" ref="K331">_xlfn.XLOOKUP(D331&amp;E331&amp;H331&amp;I331&amp;J331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1" s="223"/>
      <c r="M331" s="224"/>
      <c r="N331" s="337"/>
      <c r="O331" s="226">
        <v>0</v>
      </c>
      <c r="P331" s="251">
        <v>0.28</v>
      </c>
      <c r="Q331" s="228">
        <f t="shared" si="201"/>
        <v>0</v>
      </c>
      <c r="R331" s="228"/>
      <c r="S331" s="228">
        <f t="shared" si="215"/>
        <v>0</v>
      </c>
      <c r="T331" s="235">
        <v>0</v>
      </c>
      <c r="U331" s="228">
        <f t="shared" si="209"/>
        <v>0</v>
      </c>
      <c r="V331" s="228"/>
      <c r="W331" s="228">
        <f t="shared" si="194"/>
        <v>0</v>
      </c>
      <c r="X331" s="235">
        <v>0</v>
      </c>
      <c r="Y331" s="228">
        <f t="shared" si="231"/>
        <v>0</v>
      </c>
      <c r="Z331" s="228"/>
      <c r="AA331" s="228">
        <f t="shared" si="216"/>
        <v>0</v>
      </c>
      <c r="AB331" s="235">
        <v>0</v>
      </c>
      <c r="AC331" s="228">
        <f t="shared" si="212"/>
        <v>0</v>
      </c>
      <c r="AD331" s="228"/>
      <c r="AE331" s="228">
        <f t="shared" si="217"/>
        <v>0</v>
      </c>
      <c r="AF331" s="235">
        <v>0</v>
      </c>
      <c r="AG331" s="228">
        <f t="shared" si="210"/>
        <v>0</v>
      </c>
      <c r="AH331" s="228"/>
      <c r="AI331" s="228">
        <f t="shared" si="218"/>
        <v>0</v>
      </c>
      <c r="AJ331" s="235">
        <v>0</v>
      </c>
      <c r="AK331" s="228">
        <f t="shared" si="198"/>
        <v>0</v>
      </c>
      <c r="AL331" s="228"/>
      <c r="AM331" s="228">
        <f t="shared" si="219"/>
        <v>0</v>
      </c>
      <c r="AN331" s="235">
        <v>0</v>
      </c>
      <c r="AO331" s="228">
        <f t="shared" si="199"/>
        <v>0</v>
      </c>
      <c r="AP331" s="228"/>
      <c r="AQ331" s="228">
        <f t="shared" si="220"/>
        <v>0</v>
      </c>
      <c r="AR331" s="228">
        <v>0</v>
      </c>
      <c r="AS331" s="228">
        <f t="shared" si="214"/>
        <v>0</v>
      </c>
      <c r="AT331" s="228"/>
      <c r="AU331" s="228">
        <f t="shared" si="221"/>
        <v>0</v>
      </c>
      <c r="AV331" s="235">
        <v>0</v>
      </c>
      <c r="AW331" s="228">
        <f t="shared" si="230"/>
        <v>0</v>
      </c>
      <c r="AX331" s="228"/>
      <c r="AY331" s="228">
        <f t="shared" si="222"/>
        <v>0</v>
      </c>
      <c r="AZ331" s="228" t="s">
        <v>1457</v>
      </c>
      <c r="BA331" s="228">
        <f t="shared" si="207"/>
        <v>0</v>
      </c>
      <c r="BB331" s="228"/>
      <c r="BC331" s="228">
        <f t="shared" si="223"/>
        <v>0</v>
      </c>
      <c r="BD331" s="235">
        <v>0</v>
      </c>
      <c r="BE331" s="228">
        <f t="shared" si="205"/>
        <v>0</v>
      </c>
      <c r="BF331" s="228"/>
      <c r="BG331" s="228">
        <f t="shared" si="224"/>
        <v>0</v>
      </c>
      <c r="BH331" s="235">
        <v>0</v>
      </c>
      <c r="BI331" s="228">
        <f t="shared" si="200"/>
        <v>0</v>
      </c>
      <c r="BJ331" s="228"/>
      <c r="BK331" s="228">
        <f t="shared" si="225"/>
        <v>0</v>
      </c>
      <c r="BL331" s="228" t="s">
        <v>1457</v>
      </c>
      <c r="BM331" s="220">
        <f t="shared" si="208"/>
        <v>0</v>
      </c>
      <c r="BN331" s="243"/>
      <c r="BO331" s="220">
        <f t="shared" si="226"/>
        <v>0</v>
      </c>
      <c r="BP331" s="220">
        <f t="shared" si="227"/>
        <v>0</v>
      </c>
      <c r="BQ331" s="220">
        <f t="shared" si="228"/>
        <v>0</v>
      </c>
      <c r="BR331" s="220">
        <f t="shared" si="229"/>
        <v>0</v>
      </c>
      <c r="BS331" s="254" t="s">
        <v>39</v>
      </c>
      <c r="BT331" s="229" t="s">
        <v>39</v>
      </c>
      <c r="BU331" s="230" t="s">
        <v>1178</v>
      </c>
      <c r="BV331" s="230"/>
      <c r="BW331" s="231"/>
    </row>
    <row r="332" s="209" customFormat="1" ht="48" customHeight="1" spans="1:75">
      <c r="A332" s="219">
        <v>384</v>
      </c>
      <c r="B332" s="220" t="s">
        <v>1282</v>
      </c>
      <c r="C332" s="221" t="s">
        <v>1142</v>
      </c>
      <c r="D332" s="221" t="s">
        <v>1173</v>
      </c>
      <c r="E332" s="221" t="s">
        <v>1174</v>
      </c>
      <c r="F332" s="219" t="s">
        <v>81</v>
      </c>
      <c r="G332" s="222" t="s">
        <v>1462</v>
      </c>
      <c r="H332" s="233" t="s">
        <v>39</v>
      </c>
      <c r="I332" s="237" t="s">
        <v>673</v>
      </c>
      <c r="J332" s="219" t="s">
        <v>1199</v>
      </c>
      <c r="K332" s="223" cm="1">
        <f t="array" ref="K332">_xlfn.XLOOKUP(D332&amp;E332&amp;H332&amp;I332&amp;J332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2" s="223"/>
      <c r="M332" s="224"/>
      <c r="N332" s="253"/>
      <c r="O332" s="226">
        <v>0</v>
      </c>
      <c r="P332" s="251">
        <v>0.28</v>
      </c>
      <c r="Q332" s="228">
        <f t="shared" si="201"/>
        <v>0</v>
      </c>
      <c r="R332" s="228"/>
      <c r="S332" s="228">
        <f t="shared" si="215"/>
        <v>0</v>
      </c>
      <c r="T332" s="235">
        <v>0</v>
      </c>
      <c r="U332" s="228">
        <f t="shared" si="209"/>
        <v>0</v>
      </c>
      <c r="V332" s="228"/>
      <c r="W332" s="228">
        <f t="shared" ref="W332:W395" si="232">U332-V332</f>
        <v>0</v>
      </c>
      <c r="X332" s="235">
        <v>0</v>
      </c>
      <c r="Y332" s="228">
        <f t="shared" si="231"/>
        <v>0</v>
      </c>
      <c r="Z332" s="228"/>
      <c r="AA332" s="228">
        <f t="shared" si="216"/>
        <v>0</v>
      </c>
      <c r="AB332" s="235">
        <v>0</v>
      </c>
      <c r="AC332" s="228">
        <f t="shared" si="212"/>
        <v>0</v>
      </c>
      <c r="AD332" s="228"/>
      <c r="AE332" s="228">
        <f t="shared" si="217"/>
        <v>0</v>
      </c>
      <c r="AF332" s="235">
        <v>0</v>
      </c>
      <c r="AG332" s="228">
        <f t="shared" si="210"/>
        <v>0</v>
      </c>
      <c r="AH332" s="228"/>
      <c r="AI332" s="228">
        <f t="shared" si="218"/>
        <v>0</v>
      </c>
      <c r="AJ332" s="235">
        <v>0</v>
      </c>
      <c r="AK332" s="228">
        <f t="shared" si="198"/>
        <v>0</v>
      </c>
      <c r="AL332" s="228"/>
      <c r="AM332" s="228">
        <f t="shared" si="219"/>
        <v>0</v>
      </c>
      <c r="AN332" s="235">
        <v>0</v>
      </c>
      <c r="AO332" s="228">
        <f t="shared" si="199"/>
        <v>0</v>
      </c>
      <c r="AP332" s="228"/>
      <c r="AQ332" s="228">
        <f t="shared" si="220"/>
        <v>0</v>
      </c>
      <c r="AR332" s="228">
        <v>0</v>
      </c>
      <c r="AS332" s="228">
        <f t="shared" si="214"/>
        <v>0</v>
      </c>
      <c r="AT332" s="228"/>
      <c r="AU332" s="228">
        <f t="shared" si="221"/>
        <v>0</v>
      </c>
      <c r="AV332" s="235">
        <v>0</v>
      </c>
      <c r="AW332" s="228">
        <f t="shared" si="230"/>
        <v>0</v>
      </c>
      <c r="AX332" s="228"/>
      <c r="AY332" s="228">
        <f t="shared" si="222"/>
        <v>0</v>
      </c>
      <c r="AZ332" s="228" t="s">
        <v>1457</v>
      </c>
      <c r="BA332" s="228">
        <f t="shared" si="207"/>
        <v>0</v>
      </c>
      <c r="BB332" s="228"/>
      <c r="BC332" s="228">
        <f t="shared" si="223"/>
        <v>0</v>
      </c>
      <c r="BD332" s="235">
        <v>0</v>
      </c>
      <c r="BE332" s="228">
        <f t="shared" si="205"/>
        <v>0</v>
      </c>
      <c r="BF332" s="228"/>
      <c r="BG332" s="228">
        <f t="shared" si="224"/>
        <v>0</v>
      </c>
      <c r="BH332" s="235">
        <v>0</v>
      </c>
      <c r="BI332" s="228">
        <f t="shared" si="200"/>
        <v>0</v>
      </c>
      <c r="BJ332" s="228"/>
      <c r="BK332" s="228">
        <f t="shared" si="225"/>
        <v>0</v>
      </c>
      <c r="BL332" s="228" t="s">
        <v>1457</v>
      </c>
      <c r="BM332" s="220">
        <f t="shared" si="208"/>
        <v>0</v>
      </c>
      <c r="BN332" s="243"/>
      <c r="BO332" s="220">
        <f t="shared" si="226"/>
        <v>0</v>
      </c>
      <c r="BP332" s="220">
        <f t="shared" si="227"/>
        <v>0</v>
      </c>
      <c r="BQ332" s="220">
        <f t="shared" si="228"/>
        <v>0</v>
      </c>
      <c r="BR332" s="220">
        <f t="shared" si="229"/>
        <v>0</v>
      </c>
      <c r="BS332" s="254" t="s">
        <v>39</v>
      </c>
      <c r="BT332" s="229" t="s">
        <v>39</v>
      </c>
      <c r="BU332" s="230" t="s">
        <v>1178</v>
      </c>
      <c r="BV332" s="230"/>
      <c r="BW332" s="231"/>
    </row>
    <row r="333" s="209" customFormat="1" ht="48" customHeight="1" spans="1:75">
      <c r="A333" s="219">
        <v>385</v>
      </c>
      <c r="B333" s="220" t="s">
        <v>1285</v>
      </c>
      <c r="C333" s="221" t="s">
        <v>1142</v>
      </c>
      <c r="D333" s="221" t="s">
        <v>1173</v>
      </c>
      <c r="E333" s="221" t="s">
        <v>1174</v>
      </c>
      <c r="F333" s="219" t="s">
        <v>81</v>
      </c>
      <c r="G333" s="222" t="s">
        <v>1462</v>
      </c>
      <c r="H333" s="233" t="s">
        <v>39</v>
      </c>
      <c r="I333" s="237" t="s">
        <v>1201</v>
      </c>
      <c r="J333" s="219" t="s">
        <v>1202</v>
      </c>
      <c r="K333" s="223" cm="1">
        <f t="array" ref="K333">_xlfn.XLOOKUP(D333&amp;E333&amp;H333&amp;I333&amp;J333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3" s="223"/>
      <c r="M333" s="224"/>
      <c r="N333" s="253"/>
      <c r="O333" s="226">
        <v>0</v>
      </c>
      <c r="P333" s="251">
        <v>0.24</v>
      </c>
      <c r="Q333" s="228">
        <f t="shared" si="201"/>
        <v>0</v>
      </c>
      <c r="R333" s="228"/>
      <c r="S333" s="228">
        <f t="shared" si="215"/>
        <v>0</v>
      </c>
      <c r="T333" s="235">
        <v>0</v>
      </c>
      <c r="U333" s="228">
        <f t="shared" si="209"/>
        <v>0</v>
      </c>
      <c r="V333" s="228"/>
      <c r="W333" s="228">
        <f t="shared" si="232"/>
        <v>0</v>
      </c>
      <c r="X333" s="235">
        <v>0</v>
      </c>
      <c r="Y333" s="228">
        <f t="shared" si="231"/>
        <v>0</v>
      </c>
      <c r="Z333" s="228"/>
      <c r="AA333" s="228">
        <f t="shared" si="216"/>
        <v>0</v>
      </c>
      <c r="AB333" s="235">
        <v>0</v>
      </c>
      <c r="AC333" s="228">
        <f t="shared" si="212"/>
        <v>0</v>
      </c>
      <c r="AD333" s="228"/>
      <c r="AE333" s="228">
        <f t="shared" si="217"/>
        <v>0</v>
      </c>
      <c r="AF333" s="235">
        <v>0</v>
      </c>
      <c r="AG333" s="228">
        <f t="shared" si="210"/>
        <v>0</v>
      </c>
      <c r="AH333" s="228"/>
      <c r="AI333" s="228">
        <f t="shared" si="218"/>
        <v>0</v>
      </c>
      <c r="AJ333" s="235">
        <v>0</v>
      </c>
      <c r="AK333" s="228">
        <f t="shared" si="198"/>
        <v>0</v>
      </c>
      <c r="AL333" s="228"/>
      <c r="AM333" s="228">
        <f t="shared" si="219"/>
        <v>0</v>
      </c>
      <c r="AN333" s="235">
        <v>0</v>
      </c>
      <c r="AO333" s="228">
        <f t="shared" si="199"/>
        <v>0</v>
      </c>
      <c r="AP333" s="228"/>
      <c r="AQ333" s="228">
        <f t="shared" si="220"/>
        <v>0</v>
      </c>
      <c r="AR333" s="228">
        <v>0</v>
      </c>
      <c r="AS333" s="228">
        <f t="shared" si="214"/>
        <v>0</v>
      </c>
      <c r="AT333" s="228"/>
      <c r="AU333" s="228">
        <f t="shared" si="221"/>
        <v>0</v>
      </c>
      <c r="AV333" s="235">
        <v>0</v>
      </c>
      <c r="AW333" s="228">
        <f t="shared" si="230"/>
        <v>0</v>
      </c>
      <c r="AX333" s="228"/>
      <c r="AY333" s="228">
        <f t="shared" si="222"/>
        <v>0</v>
      </c>
      <c r="AZ333" s="228" t="s">
        <v>1457</v>
      </c>
      <c r="BA333" s="228">
        <f t="shared" si="207"/>
        <v>0</v>
      </c>
      <c r="BB333" s="228"/>
      <c r="BC333" s="228">
        <f t="shared" si="223"/>
        <v>0</v>
      </c>
      <c r="BD333" s="235">
        <v>0</v>
      </c>
      <c r="BE333" s="228">
        <f t="shared" si="205"/>
        <v>0</v>
      </c>
      <c r="BF333" s="228"/>
      <c r="BG333" s="228">
        <f t="shared" si="224"/>
        <v>0</v>
      </c>
      <c r="BH333" s="235">
        <v>0</v>
      </c>
      <c r="BI333" s="228">
        <f t="shared" si="200"/>
        <v>0</v>
      </c>
      <c r="BJ333" s="228"/>
      <c r="BK333" s="228">
        <f t="shared" si="225"/>
        <v>0</v>
      </c>
      <c r="BL333" s="228" t="s">
        <v>1457</v>
      </c>
      <c r="BM333" s="220">
        <f t="shared" si="208"/>
        <v>0</v>
      </c>
      <c r="BN333" s="342"/>
      <c r="BO333" s="220">
        <f t="shared" si="226"/>
        <v>0</v>
      </c>
      <c r="BP333" s="220">
        <f t="shared" si="227"/>
        <v>0</v>
      </c>
      <c r="BQ333" s="220">
        <f t="shared" si="228"/>
        <v>0</v>
      </c>
      <c r="BR333" s="220">
        <f t="shared" si="229"/>
        <v>0</v>
      </c>
      <c r="BS333" s="254" t="s">
        <v>39</v>
      </c>
      <c r="BT333" s="229" t="s">
        <v>39</v>
      </c>
      <c r="BU333" s="230" t="s">
        <v>1178</v>
      </c>
      <c r="BV333" s="230"/>
      <c r="BW333" s="231"/>
    </row>
    <row r="334" s="209" customFormat="1" ht="48" customHeight="1" spans="1:75">
      <c r="A334" s="219">
        <v>386</v>
      </c>
      <c r="B334" s="220" t="s">
        <v>1289</v>
      </c>
      <c r="C334" s="221" t="s">
        <v>1142</v>
      </c>
      <c r="D334" s="221" t="s">
        <v>1173</v>
      </c>
      <c r="E334" s="221" t="s">
        <v>1174</v>
      </c>
      <c r="F334" s="219" t="s">
        <v>81</v>
      </c>
      <c r="G334" s="222" t="s">
        <v>1462</v>
      </c>
      <c r="H334" s="233" t="s">
        <v>39</v>
      </c>
      <c r="I334" s="237" t="s">
        <v>1204</v>
      </c>
      <c r="J334" s="219" t="s">
        <v>1205</v>
      </c>
      <c r="K334" s="223" cm="1">
        <f t="array" ref="K334">_xlfn.XLOOKUP(D334&amp;E334&amp;H334&amp;I334&amp;J334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4" s="223"/>
      <c r="M334" s="224"/>
      <c r="N334" s="337"/>
      <c r="O334" s="226">
        <v>0</v>
      </c>
      <c r="P334" s="251">
        <v>0.22</v>
      </c>
      <c r="Q334" s="228">
        <f t="shared" si="201"/>
        <v>0</v>
      </c>
      <c r="R334" s="228"/>
      <c r="S334" s="228">
        <f t="shared" si="215"/>
        <v>0</v>
      </c>
      <c r="T334" s="235">
        <v>0</v>
      </c>
      <c r="U334" s="228">
        <f t="shared" si="209"/>
        <v>0</v>
      </c>
      <c r="V334" s="228"/>
      <c r="W334" s="228">
        <f t="shared" si="232"/>
        <v>0</v>
      </c>
      <c r="X334" s="235">
        <v>0</v>
      </c>
      <c r="Y334" s="228">
        <f t="shared" si="231"/>
        <v>0</v>
      </c>
      <c r="Z334" s="228"/>
      <c r="AA334" s="228">
        <f t="shared" si="216"/>
        <v>0</v>
      </c>
      <c r="AB334" s="235">
        <v>0</v>
      </c>
      <c r="AC334" s="228">
        <f t="shared" si="212"/>
        <v>0</v>
      </c>
      <c r="AD334" s="228"/>
      <c r="AE334" s="228">
        <f t="shared" si="217"/>
        <v>0</v>
      </c>
      <c r="AF334" s="235">
        <v>0</v>
      </c>
      <c r="AG334" s="228">
        <f t="shared" si="210"/>
        <v>0</v>
      </c>
      <c r="AH334" s="228"/>
      <c r="AI334" s="228">
        <f t="shared" si="218"/>
        <v>0</v>
      </c>
      <c r="AJ334" s="235">
        <v>0</v>
      </c>
      <c r="AK334" s="228">
        <f t="shared" si="198"/>
        <v>0</v>
      </c>
      <c r="AL334" s="228"/>
      <c r="AM334" s="228">
        <f t="shared" si="219"/>
        <v>0</v>
      </c>
      <c r="AN334" s="235">
        <v>0</v>
      </c>
      <c r="AO334" s="228">
        <f t="shared" si="199"/>
        <v>0</v>
      </c>
      <c r="AP334" s="228"/>
      <c r="AQ334" s="228">
        <f t="shared" si="220"/>
        <v>0</v>
      </c>
      <c r="AR334" s="228">
        <v>0</v>
      </c>
      <c r="AS334" s="228">
        <f t="shared" si="214"/>
        <v>0</v>
      </c>
      <c r="AT334" s="228"/>
      <c r="AU334" s="228">
        <f t="shared" si="221"/>
        <v>0</v>
      </c>
      <c r="AV334" s="235">
        <v>0</v>
      </c>
      <c r="AW334" s="228">
        <f t="shared" si="230"/>
        <v>0</v>
      </c>
      <c r="AX334" s="228"/>
      <c r="AY334" s="228">
        <f t="shared" si="222"/>
        <v>0</v>
      </c>
      <c r="AZ334" s="228" t="s">
        <v>1457</v>
      </c>
      <c r="BA334" s="228">
        <f t="shared" si="207"/>
        <v>0</v>
      </c>
      <c r="BB334" s="228"/>
      <c r="BC334" s="228">
        <f t="shared" si="223"/>
        <v>0</v>
      </c>
      <c r="BD334" s="235">
        <v>0</v>
      </c>
      <c r="BE334" s="228">
        <f t="shared" si="205"/>
        <v>0</v>
      </c>
      <c r="BF334" s="228"/>
      <c r="BG334" s="228">
        <f t="shared" si="224"/>
        <v>0</v>
      </c>
      <c r="BH334" s="235">
        <v>0</v>
      </c>
      <c r="BI334" s="228">
        <f t="shared" si="200"/>
        <v>0</v>
      </c>
      <c r="BJ334" s="228"/>
      <c r="BK334" s="228">
        <f t="shared" si="225"/>
        <v>0</v>
      </c>
      <c r="BL334" s="228" t="s">
        <v>1457</v>
      </c>
      <c r="BM334" s="220">
        <f t="shared" si="208"/>
        <v>0</v>
      </c>
      <c r="BN334" s="342"/>
      <c r="BO334" s="220">
        <f t="shared" si="226"/>
        <v>0</v>
      </c>
      <c r="BP334" s="220">
        <f t="shared" si="227"/>
        <v>0</v>
      </c>
      <c r="BQ334" s="220">
        <f t="shared" si="228"/>
        <v>0</v>
      </c>
      <c r="BR334" s="220">
        <f t="shared" si="229"/>
        <v>0</v>
      </c>
      <c r="BS334" s="254" t="s">
        <v>39</v>
      </c>
      <c r="BT334" s="229" t="s">
        <v>39</v>
      </c>
      <c r="BU334" s="230" t="s">
        <v>1178</v>
      </c>
      <c r="BV334" s="230"/>
      <c r="BW334" s="231"/>
    </row>
    <row r="335" s="209" customFormat="1" ht="48" customHeight="1" spans="1:75">
      <c r="A335" s="219">
        <v>387</v>
      </c>
      <c r="B335" s="220" t="s">
        <v>1292</v>
      </c>
      <c r="C335" s="221" t="s">
        <v>1142</v>
      </c>
      <c r="D335" s="221" t="s">
        <v>1173</v>
      </c>
      <c r="E335" s="221" t="s">
        <v>1174</v>
      </c>
      <c r="F335" s="219" t="s">
        <v>81</v>
      </c>
      <c r="G335" s="222" t="s">
        <v>1462</v>
      </c>
      <c r="H335" s="233" t="s">
        <v>39</v>
      </c>
      <c r="I335" s="237" t="s">
        <v>98</v>
      </c>
      <c r="J335" s="219" t="s">
        <v>1205</v>
      </c>
      <c r="K335" s="223" cm="1">
        <f t="array" ref="K335">_xlfn.XLOOKUP(D335&amp;E335&amp;H335&amp;I335&amp;J335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5" s="223"/>
      <c r="M335" s="224"/>
      <c r="N335" s="253"/>
      <c r="O335" s="226">
        <v>0</v>
      </c>
      <c r="P335" s="251">
        <v>0.16</v>
      </c>
      <c r="Q335" s="228">
        <f t="shared" si="201"/>
        <v>0</v>
      </c>
      <c r="R335" s="228"/>
      <c r="S335" s="228">
        <f t="shared" si="215"/>
        <v>0</v>
      </c>
      <c r="T335" s="235">
        <v>0</v>
      </c>
      <c r="U335" s="228">
        <f t="shared" si="209"/>
        <v>0</v>
      </c>
      <c r="V335" s="228"/>
      <c r="W335" s="228">
        <f t="shared" si="232"/>
        <v>0</v>
      </c>
      <c r="X335" s="235">
        <v>0</v>
      </c>
      <c r="Y335" s="228">
        <f t="shared" si="231"/>
        <v>0</v>
      </c>
      <c r="Z335" s="228"/>
      <c r="AA335" s="228">
        <f t="shared" si="216"/>
        <v>0</v>
      </c>
      <c r="AB335" s="235">
        <v>0</v>
      </c>
      <c r="AC335" s="228">
        <f t="shared" si="212"/>
        <v>0</v>
      </c>
      <c r="AD335" s="228"/>
      <c r="AE335" s="228">
        <f t="shared" si="217"/>
        <v>0</v>
      </c>
      <c r="AF335" s="235">
        <v>0</v>
      </c>
      <c r="AG335" s="228">
        <f t="shared" si="210"/>
        <v>0</v>
      </c>
      <c r="AH335" s="228"/>
      <c r="AI335" s="228">
        <f t="shared" si="218"/>
        <v>0</v>
      </c>
      <c r="AJ335" s="235">
        <v>0</v>
      </c>
      <c r="AK335" s="228">
        <f t="shared" si="198"/>
        <v>0</v>
      </c>
      <c r="AL335" s="228"/>
      <c r="AM335" s="228">
        <f t="shared" si="219"/>
        <v>0</v>
      </c>
      <c r="AN335" s="235">
        <v>0</v>
      </c>
      <c r="AO335" s="228">
        <f t="shared" si="199"/>
        <v>0</v>
      </c>
      <c r="AP335" s="228"/>
      <c r="AQ335" s="228">
        <f t="shared" si="220"/>
        <v>0</v>
      </c>
      <c r="AR335" s="228">
        <v>0</v>
      </c>
      <c r="AS335" s="228">
        <f t="shared" si="214"/>
        <v>0</v>
      </c>
      <c r="AT335" s="228"/>
      <c r="AU335" s="228">
        <f t="shared" si="221"/>
        <v>0</v>
      </c>
      <c r="AV335" s="235">
        <v>0</v>
      </c>
      <c r="AW335" s="228">
        <f t="shared" si="230"/>
        <v>0</v>
      </c>
      <c r="AX335" s="228"/>
      <c r="AY335" s="228">
        <f t="shared" si="222"/>
        <v>0</v>
      </c>
      <c r="AZ335" s="228" t="s">
        <v>1457</v>
      </c>
      <c r="BA335" s="228">
        <f t="shared" si="207"/>
        <v>0</v>
      </c>
      <c r="BB335" s="228"/>
      <c r="BC335" s="228">
        <f t="shared" si="223"/>
        <v>0</v>
      </c>
      <c r="BD335" s="235">
        <v>0</v>
      </c>
      <c r="BE335" s="228">
        <f t="shared" si="205"/>
        <v>0</v>
      </c>
      <c r="BF335" s="228"/>
      <c r="BG335" s="228">
        <f t="shared" si="224"/>
        <v>0</v>
      </c>
      <c r="BH335" s="235">
        <v>0</v>
      </c>
      <c r="BI335" s="228">
        <f t="shared" si="200"/>
        <v>0</v>
      </c>
      <c r="BJ335" s="228"/>
      <c r="BK335" s="228">
        <f t="shared" si="225"/>
        <v>0</v>
      </c>
      <c r="BL335" s="228" t="s">
        <v>1457</v>
      </c>
      <c r="BM335" s="220">
        <f t="shared" si="208"/>
        <v>0</v>
      </c>
      <c r="BN335" s="342"/>
      <c r="BO335" s="220">
        <f t="shared" si="226"/>
        <v>0</v>
      </c>
      <c r="BP335" s="220">
        <f t="shared" si="227"/>
        <v>0</v>
      </c>
      <c r="BQ335" s="220">
        <f t="shared" si="228"/>
        <v>0</v>
      </c>
      <c r="BR335" s="220">
        <f t="shared" si="229"/>
        <v>0</v>
      </c>
      <c r="BS335" s="254" t="s">
        <v>39</v>
      </c>
      <c r="BT335" s="229" t="s">
        <v>39</v>
      </c>
      <c r="BU335" s="230" t="s">
        <v>1178</v>
      </c>
      <c r="BV335" s="230"/>
      <c r="BW335" s="231"/>
    </row>
    <row r="336" s="209" customFormat="1" ht="12" customHeight="1" spans="1:75">
      <c r="A336" s="219">
        <v>388</v>
      </c>
      <c r="B336" s="220" t="s">
        <v>1295</v>
      </c>
      <c r="C336" s="221" t="s">
        <v>1142</v>
      </c>
      <c r="D336" s="221" t="s">
        <v>1207</v>
      </c>
      <c r="E336" s="221" t="s">
        <v>1208</v>
      </c>
      <c r="F336" s="219" t="s">
        <v>53</v>
      </c>
      <c r="G336" s="222" t="s">
        <v>1462</v>
      </c>
      <c r="H336" s="228" t="s">
        <v>39</v>
      </c>
      <c r="I336" s="239" t="s">
        <v>39</v>
      </c>
      <c r="J336" s="239" t="s">
        <v>39</v>
      </c>
      <c r="K336" s="223" cm="1">
        <f t="array" ref="K336">_xlfn.XLOOKUP(D336&amp;E336&amp;H336&amp;I336&amp;J336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6" s="223"/>
      <c r="M336" s="235"/>
      <c r="N336" s="253"/>
      <c r="O336" s="226">
        <v>0</v>
      </c>
      <c r="P336" s="235">
        <v>0</v>
      </c>
      <c r="Q336" s="228">
        <f t="shared" si="201"/>
        <v>0</v>
      </c>
      <c r="R336" s="228"/>
      <c r="S336" s="228">
        <f t="shared" si="215"/>
        <v>0</v>
      </c>
      <c r="T336" s="235">
        <v>0</v>
      </c>
      <c r="U336" s="228">
        <f t="shared" si="209"/>
        <v>0</v>
      </c>
      <c r="V336" s="228"/>
      <c r="W336" s="228">
        <f t="shared" si="232"/>
        <v>0</v>
      </c>
      <c r="X336" s="235">
        <v>0</v>
      </c>
      <c r="Y336" s="228">
        <f t="shared" si="231"/>
        <v>0</v>
      </c>
      <c r="Z336" s="228"/>
      <c r="AA336" s="228">
        <f t="shared" si="216"/>
        <v>0</v>
      </c>
      <c r="AB336" s="235">
        <v>0</v>
      </c>
      <c r="AC336" s="228">
        <f t="shared" si="212"/>
        <v>0</v>
      </c>
      <c r="AD336" s="228"/>
      <c r="AE336" s="228">
        <f t="shared" si="217"/>
        <v>0</v>
      </c>
      <c r="AF336" s="235">
        <v>0</v>
      </c>
      <c r="AG336" s="228">
        <f t="shared" si="210"/>
        <v>0</v>
      </c>
      <c r="AH336" s="228"/>
      <c r="AI336" s="228">
        <f t="shared" si="218"/>
        <v>0</v>
      </c>
      <c r="AJ336" s="235">
        <v>0</v>
      </c>
      <c r="AK336" s="228">
        <f t="shared" si="198"/>
        <v>0</v>
      </c>
      <c r="AL336" s="228"/>
      <c r="AM336" s="228">
        <f t="shared" si="219"/>
        <v>0</v>
      </c>
      <c r="AN336" s="235">
        <v>0</v>
      </c>
      <c r="AO336" s="228">
        <f t="shared" si="199"/>
        <v>0</v>
      </c>
      <c r="AP336" s="227"/>
      <c r="AQ336" s="228">
        <f t="shared" si="220"/>
        <v>0</v>
      </c>
      <c r="AR336" s="228"/>
      <c r="AS336" s="228">
        <f t="shared" si="214"/>
        <v>0</v>
      </c>
      <c r="AT336" s="343"/>
      <c r="AU336" s="228">
        <f t="shared" si="221"/>
        <v>0</v>
      </c>
      <c r="AV336" s="227">
        <v>0</v>
      </c>
      <c r="AW336" s="228">
        <f t="shared" si="230"/>
        <v>0</v>
      </c>
      <c r="AX336" s="228"/>
      <c r="AY336" s="228">
        <f t="shared" si="222"/>
        <v>0</v>
      </c>
      <c r="AZ336" s="235">
        <v>0</v>
      </c>
      <c r="BA336" s="228">
        <f>K336*AZ336</f>
        <v>0</v>
      </c>
      <c r="BB336" s="228"/>
      <c r="BC336" s="228">
        <f t="shared" si="223"/>
        <v>0</v>
      </c>
      <c r="BD336" s="228"/>
      <c r="BE336" s="228">
        <f t="shared" si="205"/>
        <v>0</v>
      </c>
      <c r="BF336" s="228"/>
      <c r="BG336" s="228">
        <f t="shared" si="224"/>
        <v>0</v>
      </c>
      <c r="BH336" s="228"/>
      <c r="BI336" s="228">
        <f t="shared" si="200"/>
        <v>0</v>
      </c>
      <c r="BJ336" s="228"/>
      <c r="BK336" s="228">
        <f t="shared" si="225"/>
        <v>0</v>
      </c>
      <c r="BL336" s="228">
        <v>0</v>
      </c>
      <c r="BM336" s="220">
        <f>K336*BL336</f>
        <v>0</v>
      </c>
      <c r="BN336" s="220"/>
      <c r="BO336" s="220">
        <f t="shared" si="226"/>
        <v>0</v>
      </c>
      <c r="BP336" s="220">
        <f t="shared" si="227"/>
        <v>0</v>
      </c>
      <c r="BQ336" s="220">
        <f t="shared" si="228"/>
        <v>0</v>
      </c>
      <c r="BR336" s="220">
        <f t="shared" si="229"/>
        <v>0</v>
      </c>
      <c r="BS336" s="229">
        <v>0.11</v>
      </c>
      <c r="BT336" s="229" t="s">
        <v>39</v>
      </c>
      <c r="BU336" s="230" t="s">
        <v>104</v>
      </c>
      <c r="BV336" s="230"/>
      <c r="BW336" s="231"/>
    </row>
    <row r="337" s="209" customFormat="1" ht="48" customHeight="1" spans="1:75">
      <c r="A337" s="219">
        <v>389</v>
      </c>
      <c r="B337" s="220" t="s">
        <v>1298</v>
      </c>
      <c r="C337" s="221" t="s">
        <v>1142</v>
      </c>
      <c r="D337" s="221" t="s">
        <v>1207</v>
      </c>
      <c r="E337" s="221" t="s">
        <v>1208</v>
      </c>
      <c r="F337" s="219" t="s">
        <v>53</v>
      </c>
      <c r="G337" s="222" t="s">
        <v>1462</v>
      </c>
      <c r="H337" s="219" t="s">
        <v>60</v>
      </c>
      <c r="I337" s="237" t="s">
        <v>1210</v>
      </c>
      <c r="J337" s="219" t="s">
        <v>1211</v>
      </c>
      <c r="K337" s="223" cm="1">
        <f t="array" ref="K337">_xlfn.XLOOKUP(D337&amp;E337&amp;H337&amp;I337&amp;J337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7" s="223"/>
      <c r="M337" s="224"/>
      <c r="N337" s="253">
        <v>39905.78</v>
      </c>
      <c r="O337" s="226">
        <v>1668000</v>
      </c>
      <c r="P337" s="251">
        <v>0.085</v>
      </c>
      <c r="Q337" s="228">
        <f t="shared" ref="Q337:Q344" si="233">(K337/0.27)*P337</f>
        <v>0</v>
      </c>
      <c r="R337" s="228"/>
      <c r="S337" s="228">
        <f t="shared" si="215"/>
        <v>0</v>
      </c>
      <c r="T337" s="235">
        <v>0</v>
      </c>
      <c r="U337" s="228">
        <f t="shared" si="209"/>
        <v>0</v>
      </c>
      <c r="V337" s="228"/>
      <c r="W337" s="228">
        <f t="shared" si="232"/>
        <v>0</v>
      </c>
      <c r="X337" s="235">
        <v>0</v>
      </c>
      <c r="Y337" s="228">
        <f t="shared" si="231"/>
        <v>0</v>
      </c>
      <c r="Z337" s="228"/>
      <c r="AA337" s="228">
        <f t="shared" si="216"/>
        <v>0</v>
      </c>
      <c r="AB337" s="235">
        <v>0</v>
      </c>
      <c r="AC337" s="228">
        <f t="shared" si="212"/>
        <v>0</v>
      </c>
      <c r="AD337" s="228"/>
      <c r="AE337" s="228">
        <f t="shared" si="217"/>
        <v>0</v>
      </c>
      <c r="AF337" s="235">
        <v>0</v>
      </c>
      <c r="AG337" s="228">
        <f t="shared" si="210"/>
        <v>0</v>
      </c>
      <c r="AH337" s="228"/>
      <c r="AI337" s="228">
        <f t="shared" si="218"/>
        <v>0</v>
      </c>
      <c r="AJ337" s="235">
        <v>0</v>
      </c>
      <c r="AK337" s="228">
        <f t="shared" si="198"/>
        <v>0</v>
      </c>
      <c r="AL337" s="228"/>
      <c r="AM337" s="228">
        <f t="shared" si="219"/>
        <v>0</v>
      </c>
      <c r="AN337" s="235">
        <v>0</v>
      </c>
      <c r="AO337" s="228">
        <f t="shared" si="199"/>
        <v>0</v>
      </c>
      <c r="AP337" s="228"/>
      <c r="AQ337" s="228">
        <f t="shared" si="220"/>
        <v>0</v>
      </c>
      <c r="AR337" s="228">
        <v>0</v>
      </c>
      <c r="AS337" s="228">
        <f t="shared" si="214"/>
        <v>0</v>
      </c>
      <c r="AT337" s="228"/>
      <c r="AU337" s="228">
        <f t="shared" si="221"/>
        <v>0</v>
      </c>
      <c r="AV337" s="235">
        <v>0</v>
      </c>
      <c r="AW337" s="228">
        <f t="shared" si="230"/>
        <v>0</v>
      </c>
      <c r="AX337" s="228"/>
      <c r="AY337" s="228">
        <f t="shared" si="222"/>
        <v>0</v>
      </c>
      <c r="AZ337" s="235" t="s">
        <v>1457</v>
      </c>
      <c r="BA337" s="228">
        <f t="shared" ref="BA337:BA344" si="234">BB337</f>
        <v>597.31</v>
      </c>
      <c r="BB337" s="228">
        <v>597.31</v>
      </c>
      <c r="BC337" s="228">
        <f t="shared" si="223"/>
        <v>0</v>
      </c>
      <c r="BD337" s="228">
        <v>0</v>
      </c>
      <c r="BE337" s="228">
        <f t="shared" si="205"/>
        <v>0</v>
      </c>
      <c r="BF337" s="228"/>
      <c r="BG337" s="228">
        <f t="shared" si="224"/>
        <v>0</v>
      </c>
      <c r="BH337" s="228">
        <v>0</v>
      </c>
      <c r="BI337" s="228">
        <f t="shared" si="200"/>
        <v>0</v>
      </c>
      <c r="BJ337" s="235"/>
      <c r="BK337" s="228">
        <f t="shared" si="225"/>
        <v>0</v>
      </c>
      <c r="BL337" s="235" t="s">
        <v>1457</v>
      </c>
      <c r="BM337" s="220">
        <f t="shared" ref="BM337:BM358" si="235">BN337</f>
        <v>0</v>
      </c>
      <c r="BN337" s="220"/>
      <c r="BO337" s="220">
        <f t="shared" si="226"/>
        <v>0</v>
      </c>
      <c r="BP337" s="220">
        <f t="shared" si="227"/>
        <v>40503.09</v>
      </c>
      <c r="BQ337" s="220">
        <f t="shared" si="228"/>
        <v>40503.09</v>
      </c>
      <c r="BR337" s="220">
        <f t="shared" si="229"/>
        <v>0</v>
      </c>
      <c r="BS337" s="254" t="s">
        <v>39</v>
      </c>
      <c r="BT337" s="229" t="s">
        <v>39</v>
      </c>
      <c r="BU337" s="230" t="s">
        <v>1212</v>
      </c>
      <c r="BV337" s="230" t="s">
        <v>1213</v>
      </c>
      <c r="BW337" s="231"/>
    </row>
    <row r="338" s="209" customFormat="1" ht="48" customHeight="1" spans="1:75">
      <c r="A338" s="219">
        <v>390</v>
      </c>
      <c r="B338" s="220" t="s">
        <v>1302</v>
      </c>
      <c r="C338" s="221" t="s">
        <v>1142</v>
      </c>
      <c r="D338" s="221" t="s">
        <v>1207</v>
      </c>
      <c r="E338" s="221" t="s">
        <v>1208</v>
      </c>
      <c r="F338" s="219" t="s">
        <v>53</v>
      </c>
      <c r="G338" s="222" t="s">
        <v>1462</v>
      </c>
      <c r="H338" s="219" t="s">
        <v>66</v>
      </c>
      <c r="I338" s="237" t="s">
        <v>319</v>
      </c>
      <c r="J338" s="219" t="s">
        <v>1216</v>
      </c>
      <c r="K338" s="223" cm="1">
        <f t="array" ref="K338">_xlfn.XLOOKUP(D338&amp;E338&amp;H338&amp;I338&amp;J338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8" s="223"/>
      <c r="M338" s="224"/>
      <c r="N338" s="253"/>
      <c r="O338" s="226">
        <v>984000</v>
      </c>
      <c r="P338" s="251">
        <v>0.085</v>
      </c>
      <c r="Q338" s="228">
        <f t="shared" si="233"/>
        <v>0</v>
      </c>
      <c r="R338" s="228"/>
      <c r="S338" s="228">
        <f t="shared" si="215"/>
        <v>0</v>
      </c>
      <c r="T338" s="235">
        <v>0</v>
      </c>
      <c r="U338" s="228">
        <f t="shared" si="209"/>
        <v>0</v>
      </c>
      <c r="V338" s="228"/>
      <c r="W338" s="228">
        <f t="shared" si="232"/>
        <v>0</v>
      </c>
      <c r="X338" s="235">
        <v>0</v>
      </c>
      <c r="Y338" s="228">
        <f t="shared" si="231"/>
        <v>0</v>
      </c>
      <c r="Z338" s="228"/>
      <c r="AA338" s="228">
        <f t="shared" si="216"/>
        <v>0</v>
      </c>
      <c r="AB338" s="235">
        <v>0</v>
      </c>
      <c r="AC338" s="228">
        <f t="shared" si="212"/>
        <v>0</v>
      </c>
      <c r="AD338" s="228"/>
      <c r="AE338" s="228">
        <f t="shared" si="217"/>
        <v>0</v>
      </c>
      <c r="AF338" s="235">
        <v>0</v>
      </c>
      <c r="AG338" s="228">
        <f t="shared" si="210"/>
        <v>0</v>
      </c>
      <c r="AH338" s="228"/>
      <c r="AI338" s="228">
        <f t="shared" si="218"/>
        <v>0</v>
      </c>
      <c r="AJ338" s="235">
        <v>0</v>
      </c>
      <c r="AK338" s="228">
        <f t="shared" ref="AK338:AK382" si="236">K338*AJ338</f>
        <v>0</v>
      </c>
      <c r="AL338" s="228"/>
      <c r="AM338" s="228">
        <f t="shared" si="219"/>
        <v>0</v>
      </c>
      <c r="AN338" s="235">
        <v>0</v>
      </c>
      <c r="AO338" s="228">
        <f t="shared" ref="AO338:AO373" si="237">K338*AN338</f>
        <v>0</v>
      </c>
      <c r="AP338" s="228"/>
      <c r="AQ338" s="228">
        <f t="shared" si="220"/>
        <v>0</v>
      </c>
      <c r="AR338" s="228">
        <v>0</v>
      </c>
      <c r="AS338" s="228">
        <f t="shared" si="214"/>
        <v>0</v>
      </c>
      <c r="AT338" s="228"/>
      <c r="AU338" s="228">
        <f t="shared" si="221"/>
        <v>0</v>
      </c>
      <c r="AV338" s="235">
        <v>0</v>
      </c>
      <c r="AW338" s="228">
        <f t="shared" si="230"/>
        <v>0</v>
      </c>
      <c r="AX338" s="228"/>
      <c r="AY338" s="228">
        <f t="shared" si="222"/>
        <v>0</v>
      </c>
      <c r="AZ338" s="235" t="s">
        <v>1457</v>
      </c>
      <c r="BA338" s="228">
        <f t="shared" si="234"/>
        <v>0</v>
      </c>
      <c r="BB338" s="228"/>
      <c r="BC338" s="228">
        <f t="shared" si="223"/>
        <v>0</v>
      </c>
      <c r="BD338" s="228">
        <v>0</v>
      </c>
      <c r="BE338" s="228">
        <f t="shared" si="205"/>
        <v>0</v>
      </c>
      <c r="BF338" s="228"/>
      <c r="BG338" s="228">
        <f t="shared" si="224"/>
        <v>0</v>
      </c>
      <c r="BH338" s="228">
        <v>0</v>
      </c>
      <c r="BI338" s="228">
        <f t="shared" si="200"/>
        <v>0</v>
      </c>
      <c r="BJ338" s="235"/>
      <c r="BK338" s="228">
        <f t="shared" si="225"/>
        <v>0</v>
      </c>
      <c r="BL338" s="235" t="s">
        <v>1457</v>
      </c>
      <c r="BM338" s="220">
        <f t="shared" si="235"/>
        <v>0</v>
      </c>
      <c r="BN338" s="220"/>
      <c r="BO338" s="220">
        <f t="shared" si="226"/>
        <v>0</v>
      </c>
      <c r="BP338" s="220">
        <f t="shared" si="227"/>
        <v>0</v>
      </c>
      <c r="BQ338" s="220">
        <f t="shared" si="228"/>
        <v>0</v>
      </c>
      <c r="BR338" s="220">
        <f t="shared" si="229"/>
        <v>0</v>
      </c>
      <c r="BS338" s="254" t="s">
        <v>39</v>
      </c>
      <c r="BT338" s="229" t="s">
        <v>39</v>
      </c>
      <c r="BU338" s="230" t="s">
        <v>1212</v>
      </c>
      <c r="BV338" s="230" t="s">
        <v>1213</v>
      </c>
      <c r="BW338" s="231"/>
    </row>
    <row r="339" s="209" customFormat="1" ht="48" customHeight="1" spans="1:75">
      <c r="A339" s="219">
        <v>391</v>
      </c>
      <c r="B339" s="220" t="s">
        <v>1308</v>
      </c>
      <c r="C339" s="221" t="s">
        <v>1142</v>
      </c>
      <c r="D339" s="221" t="s">
        <v>1207</v>
      </c>
      <c r="E339" s="221" t="s">
        <v>1208</v>
      </c>
      <c r="F339" s="219" t="s">
        <v>53</v>
      </c>
      <c r="G339" s="222" t="s">
        <v>1462</v>
      </c>
      <c r="H339" s="219" t="s">
        <v>70</v>
      </c>
      <c r="I339" s="237" t="s">
        <v>1218</v>
      </c>
      <c r="J339" s="219" t="s">
        <v>1219</v>
      </c>
      <c r="K339" s="223" cm="1">
        <f t="array" ref="K339">_xlfn.XLOOKUP(D339&amp;E339&amp;H339&amp;I339&amp;J339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9" s="223"/>
      <c r="M339" s="224"/>
      <c r="N339" s="253"/>
      <c r="O339" s="226">
        <v>662400</v>
      </c>
      <c r="P339" s="251">
        <v>0.085</v>
      </c>
      <c r="Q339" s="228">
        <f t="shared" si="233"/>
        <v>0</v>
      </c>
      <c r="R339" s="228"/>
      <c r="S339" s="228">
        <f t="shared" si="215"/>
        <v>0</v>
      </c>
      <c r="T339" s="235">
        <v>0</v>
      </c>
      <c r="U339" s="228">
        <f t="shared" si="209"/>
        <v>0</v>
      </c>
      <c r="V339" s="228"/>
      <c r="W339" s="228">
        <f t="shared" si="232"/>
        <v>0</v>
      </c>
      <c r="X339" s="235">
        <v>0</v>
      </c>
      <c r="Y339" s="228">
        <f t="shared" si="231"/>
        <v>0</v>
      </c>
      <c r="Z339" s="228"/>
      <c r="AA339" s="228">
        <f t="shared" si="216"/>
        <v>0</v>
      </c>
      <c r="AB339" s="235">
        <v>0</v>
      </c>
      <c r="AC339" s="228">
        <f t="shared" si="212"/>
        <v>0</v>
      </c>
      <c r="AD339" s="228"/>
      <c r="AE339" s="228">
        <f t="shared" si="217"/>
        <v>0</v>
      </c>
      <c r="AF339" s="235">
        <v>0</v>
      </c>
      <c r="AG339" s="228">
        <f t="shared" si="210"/>
        <v>0</v>
      </c>
      <c r="AH339" s="228"/>
      <c r="AI339" s="228">
        <f t="shared" si="218"/>
        <v>0</v>
      </c>
      <c r="AJ339" s="235">
        <v>0</v>
      </c>
      <c r="AK339" s="228">
        <f t="shared" si="236"/>
        <v>0</v>
      </c>
      <c r="AL339" s="228"/>
      <c r="AM339" s="228">
        <f t="shared" si="219"/>
        <v>0</v>
      </c>
      <c r="AN339" s="235">
        <v>0</v>
      </c>
      <c r="AO339" s="228">
        <f t="shared" si="237"/>
        <v>0</v>
      </c>
      <c r="AP339" s="228"/>
      <c r="AQ339" s="228">
        <f t="shared" si="220"/>
        <v>0</v>
      </c>
      <c r="AR339" s="228">
        <v>0</v>
      </c>
      <c r="AS339" s="228">
        <f t="shared" si="214"/>
        <v>0</v>
      </c>
      <c r="AT339" s="228"/>
      <c r="AU339" s="228">
        <f t="shared" si="221"/>
        <v>0</v>
      </c>
      <c r="AV339" s="235">
        <v>0</v>
      </c>
      <c r="AW339" s="228">
        <f t="shared" si="230"/>
        <v>0</v>
      </c>
      <c r="AX339" s="228"/>
      <c r="AY339" s="228">
        <f t="shared" si="222"/>
        <v>0</v>
      </c>
      <c r="AZ339" s="235" t="s">
        <v>1457</v>
      </c>
      <c r="BA339" s="228">
        <f t="shared" si="234"/>
        <v>0</v>
      </c>
      <c r="BB339" s="228"/>
      <c r="BC339" s="228">
        <f t="shared" si="223"/>
        <v>0</v>
      </c>
      <c r="BD339" s="228">
        <v>0</v>
      </c>
      <c r="BE339" s="228">
        <f t="shared" si="205"/>
        <v>0</v>
      </c>
      <c r="BF339" s="228"/>
      <c r="BG339" s="228">
        <f t="shared" si="224"/>
        <v>0</v>
      </c>
      <c r="BH339" s="228">
        <v>0</v>
      </c>
      <c r="BI339" s="228">
        <f t="shared" si="200"/>
        <v>0</v>
      </c>
      <c r="BJ339" s="235"/>
      <c r="BK339" s="228">
        <f t="shared" si="225"/>
        <v>0</v>
      </c>
      <c r="BL339" s="235" t="s">
        <v>1457</v>
      </c>
      <c r="BM339" s="220">
        <f t="shared" si="235"/>
        <v>0</v>
      </c>
      <c r="BN339" s="220"/>
      <c r="BO339" s="220">
        <f t="shared" si="226"/>
        <v>0</v>
      </c>
      <c r="BP339" s="220">
        <f t="shared" si="227"/>
        <v>0</v>
      </c>
      <c r="BQ339" s="220">
        <f t="shared" si="228"/>
        <v>0</v>
      </c>
      <c r="BR339" s="220">
        <f t="shared" si="229"/>
        <v>0</v>
      </c>
      <c r="BS339" s="254" t="s">
        <v>39</v>
      </c>
      <c r="BT339" s="229" t="s">
        <v>39</v>
      </c>
      <c r="BU339" s="230" t="s">
        <v>1212</v>
      </c>
      <c r="BV339" s="230" t="s">
        <v>1213</v>
      </c>
      <c r="BW339" s="231"/>
    </row>
    <row r="340" s="209" customFormat="1" ht="48" customHeight="1" spans="1:75">
      <c r="A340" s="219">
        <v>392</v>
      </c>
      <c r="B340" s="220" t="s">
        <v>1312</v>
      </c>
      <c r="C340" s="221" t="s">
        <v>1142</v>
      </c>
      <c r="D340" s="221" t="s">
        <v>1207</v>
      </c>
      <c r="E340" s="221" t="s">
        <v>1208</v>
      </c>
      <c r="F340" s="219" t="s">
        <v>53</v>
      </c>
      <c r="G340" s="222" t="s">
        <v>1462</v>
      </c>
      <c r="H340" s="219" t="s">
        <v>74</v>
      </c>
      <c r="I340" s="237" t="s">
        <v>618</v>
      </c>
      <c r="J340" s="219" t="s">
        <v>1221</v>
      </c>
      <c r="K340" s="223" cm="1">
        <f t="array" ref="K340">_xlfn.XLOOKUP(D340&amp;E340&amp;H340&amp;I340&amp;J340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40" s="223"/>
      <c r="M340" s="224"/>
      <c r="N340" s="253"/>
      <c r="O340" s="226">
        <v>367200</v>
      </c>
      <c r="P340" s="251">
        <v>0.085</v>
      </c>
      <c r="Q340" s="228">
        <f t="shared" si="233"/>
        <v>0</v>
      </c>
      <c r="R340" s="228"/>
      <c r="S340" s="228">
        <f t="shared" si="215"/>
        <v>0</v>
      </c>
      <c r="T340" s="235">
        <v>0</v>
      </c>
      <c r="U340" s="228">
        <f t="shared" si="209"/>
        <v>0</v>
      </c>
      <c r="V340" s="228"/>
      <c r="W340" s="228">
        <f t="shared" si="232"/>
        <v>0</v>
      </c>
      <c r="X340" s="235">
        <v>0</v>
      </c>
      <c r="Y340" s="228">
        <f t="shared" si="231"/>
        <v>0</v>
      </c>
      <c r="Z340" s="228"/>
      <c r="AA340" s="228">
        <f t="shared" si="216"/>
        <v>0</v>
      </c>
      <c r="AB340" s="235">
        <v>0</v>
      </c>
      <c r="AC340" s="228">
        <f t="shared" si="212"/>
        <v>0</v>
      </c>
      <c r="AD340" s="228"/>
      <c r="AE340" s="228">
        <f t="shared" si="217"/>
        <v>0</v>
      </c>
      <c r="AF340" s="235">
        <v>0</v>
      </c>
      <c r="AG340" s="228">
        <f t="shared" si="210"/>
        <v>0</v>
      </c>
      <c r="AH340" s="228"/>
      <c r="AI340" s="228">
        <f t="shared" si="218"/>
        <v>0</v>
      </c>
      <c r="AJ340" s="235">
        <v>0</v>
      </c>
      <c r="AK340" s="228">
        <f t="shared" si="236"/>
        <v>0</v>
      </c>
      <c r="AL340" s="228"/>
      <c r="AM340" s="228">
        <f t="shared" si="219"/>
        <v>0</v>
      </c>
      <c r="AN340" s="235">
        <v>0</v>
      </c>
      <c r="AO340" s="228">
        <f t="shared" si="237"/>
        <v>0</v>
      </c>
      <c r="AP340" s="228"/>
      <c r="AQ340" s="228">
        <f t="shared" si="220"/>
        <v>0</v>
      </c>
      <c r="AR340" s="228">
        <v>0</v>
      </c>
      <c r="AS340" s="228">
        <f t="shared" si="214"/>
        <v>0</v>
      </c>
      <c r="AT340" s="228"/>
      <c r="AU340" s="228">
        <f t="shared" si="221"/>
        <v>0</v>
      </c>
      <c r="AV340" s="235">
        <v>0</v>
      </c>
      <c r="AW340" s="228">
        <f t="shared" si="230"/>
        <v>0</v>
      </c>
      <c r="AX340" s="228"/>
      <c r="AY340" s="228">
        <f t="shared" si="222"/>
        <v>0</v>
      </c>
      <c r="AZ340" s="235" t="s">
        <v>1457</v>
      </c>
      <c r="BA340" s="228">
        <f t="shared" si="234"/>
        <v>0</v>
      </c>
      <c r="BB340" s="228"/>
      <c r="BC340" s="228">
        <f t="shared" si="223"/>
        <v>0</v>
      </c>
      <c r="BD340" s="228">
        <v>0</v>
      </c>
      <c r="BE340" s="228">
        <f t="shared" si="205"/>
        <v>0</v>
      </c>
      <c r="BF340" s="228"/>
      <c r="BG340" s="228">
        <f t="shared" si="224"/>
        <v>0</v>
      </c>
      <c r="BH340" s="228">
        <v>0</v>
      </c>
      <c r="BI340" s="228">
        <f t="shared" si="200"/>
        <v>0</v>
      </c>
      <c r="BJ340" s="235"/>
      <c r="BK340" s="228">
        <f t="shared" si="225"/>
        <v>0</v>
      </c>
      <c r="BL340" s="235" t="s">
        <v>1457</v>
      </c>
      <c r="BM340" s="220">
        <f t="shared" si="235"/>
        <v>0</v>
      </c>
      <c r="BN340" s="220"/>
      <c r="BO340" s="220">
        <f t="shared" si="226"/>
        <v>0</v>
      </c>
      <c r="BP340" s="220">
        <f t="shared" si="227"/>
        <v>0</v>
      </c>
      <c r="BQ340" s="220">
        <f t="shared" si="228"/>
        <v>0</v>
      </c>
      <c r="BR340" s="220">
        <f t="shared" si="229"/>
        <v>0</v>
      </c>
      <c r="BS340" s="254" t="s">
        <v>39</v>
      </c>
      <c r="BT340" s="229" t="s">
        <v>39</v>
      </c>
      <c r="BU340" s="230" t="s">
        <v>1212</v>
      </c>
      <c r="BV340" s="230" t="s">
        <v>1213</v>
      </c>
      <c r="BW340" s="231"/>
    </row>
    <row r="341" s="209" customFormat="1" ht="48" customHeight="1" spans="1:75">
      <c r="A341" s="219">
        <v>393</v>
      </c>
      <c r="B341" s="220" t="s">
        <v>1315</v>
      </c>
      <c r="C341" s="221" t="s">
        <v>1142</v>
      </c>
      <c r="D341" s="221" t="s">
        <v>1207</v>
      </c>
      <c r="E341" s="221" t="s">
        <v>1208</v>
      </c>
      <c r="F341" s="219" t="s">
        <v>53</v>
      </c>
      <c r="G341" s="222" t="s">
        <v>1462</v>
      </c>
      <c r="H341" s="219" t="s">
        <v>265</v>
      </c>
      <c r="I341" s="237" t="s">
        <v>1223</v>
      </c>
      <c r="J341" s="219" t="s">
        <v>1224</v>
      </c>
      <c r="K341" s="223" cm="1">
        <f t="array" ref="K341">_xlfn.XLOOKUP(D341&amp;E341&amp;H341&amp;I341&amp;J341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41" s="223"/>
      <c r="M341" s="224"/>
      <c r="N341" s="253"/>
      <c r="O341" s="226">
        <v>316800</v>
      </c>
      <c r="P341" s="251">
        <v>0.085</v>
      </c>
      <c r="Q341" s="228">
        <f t="shared" si="233"/>
        <v>0</v>
      </c>
      <c r="R341" s="228"/>
      <c r="S341" s="228">
        <f t="shared" si="215"/>
        <v>0</v>
      </c>
      <c r="T341" s="235">
        <v>0</v>
      </c>
      <c r="U341" s="228">
        <f t="shared" si="209"/>
        <v>0</v>
      </c>
      <c r="V341" s="228"/>
      <c r="W341" s="228">
        <f t="shared" si="232"/>
        <v>0</v>
      </c>
      <c r="X341" s="235">
        <v>0</v>
      </c>
      <c r="Y341" s="228">
        <f t="shared" si="231"/>
        <v>0</v>
      </c>
      <c r="Z341" s="228"/>
      <c r="AA341" s="228">
        <f t="shared" si="216"/>
        <v>0</v>
      </c>
      <c r="AB341" s="235">
        <v>0</v>
      </c>
      <c r="AC341" s="228">
        <f t="shared" si="212"/>
        <v>0</v>
      </c>
      <c r="AD341" s="228"/>
      <c r="AE341" s="228">
        <f t="shared" si="217"/>
        <v>0</v>
      </c>
      <c r="AF341" s="235">
        <v>0</v>
      </c>
      <c r="AG341" s="228">
        <f t="shared" si="210"/>
        <v>0</v>
      </c>
      <c r="AH341" s="228"/>
      <c r="AI341" s="228">
        <f t="shared" si="218"/>
        <v>0</v>
      </c>
      <c r="AJ341" s="235">
        <v>0</v>
      </c>
      <c r="AK341" s="228">
        <f t="shared" si="236"/>
        <v>0</v>
      </c>
      <c r="AL341" s="265"/>
      <c r="AM341" s="228">
        <f t="shared" si="219"/>
        <v>0</v>
      </c>
      <c r="AN341" s="235">
        <v>0</v>
      </c>
      <c r="AO341" s="228">
        <f t="shared" si="237"/>
        <v>0</v>
      </c>
      <c r="AP341" s="228"/>
      <c r="AQ341" s="228">
        <f t="shared" si="220"/>
        <v>0</v>
      </c>
      <c r="AR341" s="228">
        <v>0</v>
      </c>
      <c r="AS341" s="228">
        <f t="shared" si="214"/>
        <v>0</v>
      </c>
      <c r="AT341" s="228"/>
      <c r="AU341" s="228">
        <f t="shared" si="221"/>
        <v>0</v>
      </c>
      <c r="AV341" s="235">
        <v>0</v>
      </c>
      <c r="AW341" s="228">
        <f t="shared" si="230"/>
        <v>0</v>
      </c>
      <c r="AX341" s="228"/>
      <c r="AY341" s="228">
        <f t="shared" si="222"/>
        <v>0</v>
      </c>
      <c r="AZ341" s="235" t="s">
        <v>1457</v>
      </c>
      <c r="BA341" s="228">
        <f t="shared" si="234"/>
        <v>0</v>
      </c>
      <c r="BB341" s="228"/>
      <c r="BC341" s="228">
        <f t="shared" si="223"/>
        <v>0</v>
      </c>
      <c r="BD341" s="228">
        <v>0</v>
      </c>
      <c r="BE341" s="228">
        <f t="shared" si="205"/>
        <v>0</v>
      </c>
      <c r="BF341" s="228"/>
      <c r="BG341" s="228">
        <f t="shared" si="224"/>
        <v>0</v>
      </c>
      <c r="BH341" s="228">
        <v>0</v>
      </c>
      <c r="BI341" s="228">
        <f t="shared" si="200"/>
        <v>0</v>
      </c>
      <c r="BJ341" s="235"/>
      <c r="BK341" s="228">
        <f t="shared" si="225"/>
        <v>0</v>
      </c>
      <c r="BL341" s="235" t="s">
        <v>1457</v>
      </c>
      <c r="BM341" s="220">
        <f t="shared" si="235"/>
        <v>0</v>
      </c>
      <c r="BN341" s="220"/>
      <c r="BO341" s="220">
        <f t="shared" si="226"/>
        <v>0</v>
      </c>
      <c r="BP341" s="220">
        <f t="shared" si="227"/>
        <v>0</v>
      </c>
      <c r="BQ341" s="220">
        <f t="shared" si="228"/>
        <v>0</v>
      </c>
      <c r="BR341" s="220">
        <f t="shared" si="229"/>
        <v>0</v>
      </c>
      <c r="BS341" s="254" t="s">
        <v>39</v>
      </c>
      <c r="BT341" s="229" t="s">
        <v>39</v>
      </c>
      <c r="BU341" s="230" t="s">
        <v>1212</v>
      </c>
      <c r="BV341" s="230" t="s">
        <v>1213</v>
      </c>
      <c r="BW341" s="231"/>
    </row>
    <row r="342" s="209" customFormat="1" ht="48" customHeight="1" spans="1:75">
      <c r="A342" s="219">
        <v>394</v>
      </c>
      <c r="B342" s="220" t="s">
        <v>1317</v>
      </c>
      <c r="C342" s="221" t="s">
        <v>1142</v>
      </c>
      <c r="D342" s="221" t="s">
        <v>1207</v>
      </c>
      <c r="E342" s="221" t="s">
        <v>1208</v>
      </c>
      <c r="F342" s="219" t="s">
        <v>53</v>
      </c>
      <c r="G342" s="222" t="s">
        <v>1462</v>
      </c>
      <c r="H342" s="219" t="s">
        <v>86</v>
      </c>
      <c r="I342" s="237" t="s">
        <v>1226</v>
      </c>
      <c r="J342" s="219" t="s">
        <v>1227</v>
      </c>
      <c r="K342" s="223" cm="1">
        <f t="array" ref="K342">_xlfn.XLOOKUP(D342&amp;E342&amp;H342&amp;I342&amp;J342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42" s="223"/>
      <c r="M342" s="224"/>
      <c r="N342" s="253"/>
      <c r="O342" s="226">
        <v>2232000</v>
      </c>
      <c r="P342" s="251">
        <v>0.085</v>
      </c>
      <c r="Q342" s="228">
        <f t="shared" si="233"/>
        <v>0</v>
      </c>
      <c r="R342" s="228"/>
      <c r="S342" s="228">
        <f t="shared" si="215"/>
        <v>0</v>
      </c>
      <c r="T342" s="235">
        <v>0</v>
      </c>
      <c r="U342" s="228">
        <f t="shared" si="209"/>
        <v>0</v>
      </c>
      <c r="V342" s="228"/>
      <c r="W342" s="228">
        <f t="shared" si="232"/>
        <v>0</v>
      </c>
      <c r="X342" s="235">
        <v>0</v>
      </c>
      <c r="Y342" s="228">
        <f t="shared" si="231"/>
        <v>0</v>
      </c>
      <c r="Z342" s="228"/>
      <c r="AA342" s="228">
        <f t="shared" si="216"/>
        <v>0</v>
      </c>
      <c r="AB342" s="235">
        <v>0</v>
      </c>
      <c r="AC342" s="228">
        <f t="shared" si="212"/>
        <v>0</v>
      </c>
      <c r="AD342" s="228"/>
      <c r="AE342" s="228">
        <f t="shared" si="217"/>
        <v>0</v>
      </c>
      <c r="AF342" s="235">
        <v>0</v>
      </c>
      <c r="AG342" s="228">
        <f t="shared" si="210"/>
        <v>0</v>
      </c>
      <c r="AH342" s="228"/>
      <c r="AI342" s="228">
        <f t="shared" si="218"/>
        <v>0</v>
      </c>
      <c r="AJ342" s="235">
        <v>0</v>
      </c>
      <c r="AK342" s="228">
        <f t="shared" si="236"/>
        <v>0</v>
      </c>
      <c r="AL342" s="228"/>
      <c r="AM342" s="228">
        <f t="shared" si="219"/>
        <v>0</v>
      </c>
      <c r="AN342" s="235">
        <v>0</v>
      </c>
      <c r="AO342" s="228">
        <f t="shared" si="237"/>
        <v>0</v>
      </c>
      <c r="AP342" s="228"/>
      <c r="AQ342" s="228">
        <f t="shared" si="220"/>
        <v>0</v>
      </c>
      <c r="AR342" s="228">
        <v>0</v>
      </c>
      <c r="AS342" s="228">
        <f t="shared" si="214"/>
        <v>0</v>
      </c>
      <c r="AT342" s="228"/>
      <c r="AU342" s="228">
        <f t="shared" si="221"/>
        <v>0</v>
      </c>
      <c r="AV342" s="235">
        <v>0</v>
      </c>
      <c r="AW342" s="228">
        <f t="shared" si="230"/>
        <v>0</v>
      </c>
      <c r="AX342" s="228"/>
      <c r="AY342" s="228">
        <f t="shared" si="222"/>
        <v>0</v>
      </c>
      <c r="AZ342" s="235" t="s">
        <v>1457</v>
      </c>
      <c r="BA342" s="228">
        <f t="shared" si="234"/>
        <v>0</v>
      </c>
      <c r="BB342" s="228"/>
      <c r="BC342" s="228">
        <f t="shared" si="223"/>
        <v>0</v>
      </c>
      <c r="BD342" s="228">
        <v>0</v>
      </c>
      <c r="BE342" s="228">
        <f t="shared" si="205"/>
        <v>0</v>
      </c>
      <c r="BF342" s="228"/>
      <c r="BG342" s="228">
        <f t="shared" si="224"/>
        <v>0</v>
      </c>
      <c r="BH342" s="228">
        <v>0</v>
      </c>
      <c r="BI342" s="228">
        <f t="shared" si="200"/>
        <v>0</v>
      </c>
      <c r="BJ342" s="235"/>
      <c r="BK342" s="228">
        <f t="shared" si="225"/>
        <v>0</v>
      </c>
      <c r="BL342" s="235" t="s">
        <v>1457</v>
      </c>
      <c r="BM342" s="220">
        <f t="shared" si="235"/>
        <v>0</v>
      </c>
      <c r="BN342" s="220"/>
      <c r="BO342" s="220">
        <f t="shared" si="226"/>
        <v>0</v>
      </c>
      <c r="BP342" s="220">
        <f t="shared" si="227"/>
        <v>0</v>
      </c>
      <c r="BQ342" s="220">
        <f t="shared" si="228"/>
        <v>0</v>
      </c>
      <c r="BR342" s="220">
        <f t="shared" si="229"/>
        <v>0</v>
      </c>
      <c r="BS342" s="254" t="s">
        <v>39</v>
      </c>
      <c r="BT342" s="229" t="s">
        <v>39</v>
      </c>
      <c r="BU342" s="230" t="s">
        <v>1212</v>
      </c>
      <c r="BV342" s="230" t="s">
        <v>1213</v>
      </c>
      <c r="BW342" s="231"/>
    </row>
    <row r="343" s="209" customFormat="1" ht="48" customHeight="1" spans="1:75">
      <c r="A343" s="219">
        <v>395</v>
      </c>
      <c r="B343" s="220" t="s">
        <v>1319</v>
      </c>
      <c r="C343" s="221" t="s">
        <v>1142</v>
      </c>
      <c r="D343" s="221" t="s">
        <v>1207</v>
      </c>
      <c r="E343" s="221" t="s">
        <v>1208</v>
      </c>
      <c r="F343" s="219" t="s">
        <v>53</v>
      </c>
      <c r="G343" s="222" t="s">
        <v>1462</v>
      </c>
      <c r="H343" s="219" t="s">
        <v>272</v>
      </c>
      <c r="I343" s="237" t="s">
        <v>217</v>
      </c>
      <c r="J343" s="219" t="s">
        <v>1229</v>
      </c>
      <c r="K343" s="223" cm="1">
        <f t="array" ref="K343">_xlfn.XLOOKUP(D343&amp;E343&amp;H343&amp;I343&amp;J343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43" s="223"/>
      <c r="M343" s="224"/>
      <c r="N343" s="253"/>
      <c r="O343" s="226">
        <v>655200</v>
      </c>
      <c r="P343" s="251">
        <v>0.085</v>
      </c>
      <c r="Q343" s="228">
        <f t="shared" si="233"/>
        <v>0</v>
      </c>
      <c r="R343" s="228"/>
      <c r="S343" s="228">
        <f t="shared" si="215"/>
        <v>0</v>
      </c>
      <c r="T343" s="235">
        <v>0</v>
      </c>
      <c r="U343" s="228">
        <f t="shared" si="209"/>
        <v>0</v>
      </c>
      <c r="V343" s="228"/>
      <c r="W343" s="228">
        <f t="shared" si="232"/>
        <v>0</v>
      </c>
      <c r="X343" s="235">
        <v>0</v>
      </c>
      <c r="Y343" s="228">
        <f t="shared" si="231"/>
        <v>0</v>
      </c>
      <c r="Z343" s="228"/>
      <c r="AA343" s="228">
        <f t="shared" si="216"/>
        <v>0</v>
      </c>
      <c r="AB343" s="235">
        <v>0</v>
      </c>
      <c r="AC343" s="228">
        <f t="shared" si="212"/>
        <v>0</v>
      </c>
      <c r="AD343" s="228"/>
      <c r="AE343" s="228">
        <f t="shared" si="217"/>
        <v>0</v>
      </c>
      <c r="AF343" s="235">
        <v>0</v>
      </c>
      <c r="AG343" s="228">
        <f t="shared" si="210"/>
        <v>0</v>
      </c>
      <c r="AH343" s="228"/>
      <c r="AI343" s="228">
        <f t="shared" si="218"/>
        <v>0</v>
      </c>
      <c r="AJ343" s="235">
        <v>0</v>
      </c>
      <c r="AK343" s="228">
        <f t="shared" si="236"/>
        <v>0</v>
      </c>
      <c r="AL343" s="228"/>
      <c r="AM343" s="228">
        <f t="shared" si="219"/>
        <v>0</v>
      </c>
      <c r="AN343" s="235">
        <v>0</v>
      </c>
      <c r="AO343" s="228">
        <f t="shared" si="237"/>
        <v>0</v>
      </c>
      <c r="AP343" s="228"/>
      <c r="AQ343" s="228">
        <f t="shared" si="220"/>
        <v>0</v>
      </c>
      <c r="AR343" s="228">
        <v>0</v>
      </c>
      <c r="AS343" s="228">
        <f t="shared" si="214"/>
        <v>0</v>
      </c>
      <c r="AT343" s="228"/>
      <c r="AU343" s="228">
        <f t="shared" si="221"/>
        <v>0</v>
      </c>
      <c r="AV343" s="235">
        <v>0</v>
      </c>
      <c r="AW343" s="228">
        <f t="shared" si="230"/>
        <v>0</v>
      </c>
      <c r="AX343" s="228"/>
      <c r="AY343" s="228">
        <f t="shared" si="222"/>
        <v>0</v>
      </c>
      <c r="AZ343" s="235" t="s">
        <v>1457</v>
      </c>
      <c r="BA343" s="228">
        <f t="shared" si="234"/>
        <v>0</v>
      </c>
      <c r="BB343" s="228"/>
      <c r="BC343" s="228">
        <f t="shared" si="223"/>
        <v>0</v>
      </c>
      <c r="BD343" s="228">
        <v>0</v>
      </c>
      <c r="BE343" s="228">
        <f t="shared" si="205"/>
        <v>0</v>
      </c>
      <c r="BF343" s="228"/>
      <c r="BG343" s="228">
        <f t="shared" si="224"/>
        <v>0</v>
      </c>
      <c r="BH343" s="228">
        <v>0</v>
      </c>
      <c r="BI343" s="228">
        <f t="shared" si="200"/>
        <v>0</v>
      </c>
      <c r="BJ343" s="235"/>
      <c r="BK343" s="228">
        <f t="shared" si="225"/>
        <v>0</v>
      </c>
      <c r="BL343" s="235" t="s">
        <v>1457</v>
      </c>
      <c r="BM343" s="220">
        <f t="shared" si="235"/>
        <v>0</v>
      </c>
      <c r="BN343" s="220"/>
      <c r="BO343" s="220">
        <f t="shared" si="226"/>
        <v>0</v>
      </c>
      <c r="BP343" s="220">
        <f t="shared" si="227"/>
        <v>0</v>
      </c>
      <c r="BQ343" s="220">
        <f t="shared" si="228"/>
        <v>0</v>
      </c>
      <c r="BR343" s="220">
        <f t="shared" si="229"/>
        <v>0</v>
      </c>
      <c r="BS343" s="254" t="s">
        <v>39</v>
      </c>
      <c r="BT343" s="229" t="s">
        <v>39</v>
      </c>
      <c r="BU343" s="230" t="s">
        <v>1212</v>
      </c>
      <c r="BV343" s="230" t="s">
        <v>1213</v>
      </c>
      <c r="BW343" s="231"/>
    </row>
    <row r="344" s="209" customFormat="1" ht="24" customHeight="1" spans="1:75">
      <c r="A344" s="219">
        <v>396</v>
      </c>
      <c r="B344" s="220" t="s">
        <v>1321</v>
      </c>
      <c r="C344" s="221" t="s">
        <v>1142</v>
      </c>
      <c r="D344" s="221" t="s">
        <v>1207</v>
      </c>
      <c r="E344" s="221" t="s">
        <v>1208</v>
      </c>
      <c r="F344" s="219" t="s">
        <v>53</v>
      </c>
      <c r="G344" s="222" t="s">
        <v>1462</v>
      </c>
      <c r="H344" s="219" t="s">
        <v>276</v>
      </c>
      <c r="I344" s="237" t="s">
        <v>1231</v>
      </c>
      <c r="J344" s="219" t="s">
        <v>1232</v>
      </c>
      <c r="K344" s="223" cm="1">
        <f t="array" ref="K344">_xlfn.XLOOKUP(D344&amp;E344&amp;H344&amp;I344&amp;J344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44" s="223"/>
      <c r="M344" s="224"/>
      <c r="N344" s="253"/>
      <c r="O344" s="226">
        <v>662400</v>
      </c>
      <c r="P344" s="251">
        <v>0.085</v>
      </c>
      <c r="Q344" s="228">
        <f t="shared" si="233"/>
        <v>0</v>
      </c>
      <c r="R344" s="228"/>
      <c r="S344" s="228">
        <f t="shared" si="215"/>
        <v>0</v>
      </c>
      <c r="T344" s="235">
        <v>0</v>
      </c>
      <c r="U344" s="228">
        <f t="shared" si="209"/>
        <v>0</v>
      </c>
      <c r="V344" s="228"/>
      <c r="W344" s="228">
        <f t="shared" si="232"/>
        <v>0</v>
      </c>
      <c r="X344" s="235">
        <v>0</v>
      </c>
      <c r="Y344" s="228">
        <f t="shared" si="231"/>
        <v>0</v>
      </c>
      <c r="Z344" s="228"/>
      <c r="AA344" s="228">
        <f t="shared" si="216"/>
        <v>0</v>
      </c>
      <c r="AB344" s="235">
        <v>0</v>
      </c>
      <c r="AC344" s="228">
        <f t="shared" si="212"/>
        <v>0</v>
      </c>
      <c r="AD344" s="228"/>
      <c r="AE344" s="228">
        <f t="shared" si="217"/>
        <v>0</v>
      </c>
      <c r="AF344" s="235">
        <v>0</v>
      </c>
      <c r="AG344" s="228">
        <f t="shared" si="210"/>
        <v>0</v>
      </c>
      <c r="AH344" s="228"/>
      <c r="AI344" s="228">
        <f t="shared" si="218"/>
        <v>0</v>
      </c>
      <c r="AJ344" s="235">
        <v>0</v>
      </c>
      <c r="AK344" s="228">
        <f t="shared" si="236"/>
        <v>0</v>
      </c>
      <c r="AL344" s="228"/>
      <c r="AM344" s="228">
        <f t="shared" si="219"/>
        <v>0</v>
      </c>
      <c r="AN344" s="235">
        <v>0</v>
      </c>
      <c r="AO344" s="228">
        <f t="shared" si="237"/>
        <v>0</v>
      </c>
      <c r="AP344" s="228"/>
      <c r="AQ344" s="228">
        <f t="shared" si="220"/>
        <v>0</v>
      </c>
      <c r="AR344" s="228">
        <v>0</v>
      </c>
      <c r="AS344" s="228">
        <f t="shared" si="214"/>
        <v>0</v>
      </c>
      <c r="AT344" s="228"/>
      <c r="AU344" s="228">
        <f t="shared" si="221"/>
        <v>0</v>
      </c>
      <c r="AV344" s="235">
        <v>0</v>
      </c>
      <c r="AW344" s="228">
        <f t="shared" si="230"/>
        <v>0</v>
      </c>
      <c r="AX344" s="228"/>
      <c r="AY344" s="228">
        <f t="shared" si="222"/>
        <v>0</v>
      </c>
      <c r="AZ344" s="235" t="s">
        <v>1457</v>
      </c>
      <c r="BA344" s="228">
        <f t="shared" si="234"/>
        <v>0</v>
      </c>
      <c r="BB344" s="228"/>
      <c r="BC344" s="228">
        <f t="shared" si="223"/>
        <v>0</v>
      </c>
      <c r="BD344" s="228">
        <v>0</v>
      </c>
      <c r="BE344" s="228">
        <f t="shared" si="205"/>
        <v>0</v>
      </c>
      <c r="BF344" s="228"/>
      <c r="BG344" s="228">
        <f t="shared" si="224"/>
        <v>0</v>
      </c>
      <c r="BH344" s="228">
        <v>0</v>
      </c>
      <c r="BI344" s="228">
        <f t="shared" si="200"/>
        <v>0</v>
      </c>
      <c r="BJ344" s="235"/>
      <c r="BK344" s="228">
        <f t="shared" si="225"/>
        <v>0</v>
      </c>
      <c r="BL344" s="235" t="s">
        <v>1457</v>
      </c>
      <c r="BM344" s="220">
        <f t="shared" si="235"/>
        <v>0</v>
      </c>
      <c r="BN344" s="220"/>
      <c r="BO344" s="220">
        <f t="shared" si="226"/>
        <v>0</v>
      </c>
      <c r="BP344" s="220">
        <f t="shared" si="227"/>
        <v>0</v>
      </c>
      <c r="BQ344" s="220">
        <f t="shared" si="228"/>
        <v>0</v>
      </c>
      <c r="BR344" s="220">
        <f t="shared" si="229"/>
        <v>0</v>
      </c>
      <c r="BS344" s="254" t="s">
        <v>39</v>
      </c>
      <c r="BT344" s="229" t="s">
        <v>39</v>
      </c>
      <c r="BU344" s="230" t="s">
        <v>1212</v>
      </c>
      <c r="BV344" s="230" t="s">
        <v>644</v>
      </c>
      <c r="BW344" s="231"/>
    </row>
    <row r="345" s="209" customFormat="1" ht="36" customHeight="1" spans="1:75">
      <c r="A345" s="219">
        <v>398</v>
      </c>
      <c r="B345" s="220" t="s">
        <v>1327</v>
      </c>
      <c r="C345" s="221" t="s">
        <v>1142</v>
      </c>
      <c r="D345" s="221" t="s">
        <v>1234</v>
      </c>
      <c r="E345" s="242" t="s">
        <v>1235</v>
      </c>
      <c r="F345" s="219" t="s">
        <v>81</v>
      </c>
      <c r="G345" s="243" t="s">
        <v>1460</v>
      </c>
      <c r="H345" s="222" t="s">
        <v>60</v>
      </c>
      <c r="I345" s="237" t="s">
        <v>1237</v>
      </c>
      <c r="J345" s="222" t="s">
        <v>1238</v>
      </c>
      <c r="K345" s="223" cm="1">
        <f t="array" ref="K345">_xlfn.XLOOKUP(D345&amp;E345&amp;H345&amp;I345&amp;J345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97527</v>
      </c>
      <c r="L345" s="223"/>
      <c r="M345" s="224"/>
      <c r="N345" s="225"/>
      <c r="O345" s="226">
        <v>621000</v>
      </c>
      <c r="P345" s="247">
        <v>0.12</v>
      </c>
      <c r="Q345" s="228">
        <f t="shared" ref="Q345:Q362" si="238">K345*P345</f>
        <v>11703.24</v>
      </c>
      <c r="R345" s="266">
        <v>9789.72</v>
      </c>
      <c r="S345" s="228">
        <f t="shared" si="215"/>
        <v>1913.52</v>
      </c>
      <c r="T345" s="235">
        <v>0.01</v>
      </c>
      <c r="U345" s="228">
        <f t="shared" si="209"/>
        <v>975.27</v>
      </c>
      <c r="V345" s="344">
        <v>815.81</v>
      </c>
      <c r="W345" s="249">
        <f t="shared" si="232"/>
        <v>159.46</v>
      </c>
      <c r="X345" s="235">
        <v>0</v>
      </c>
      <c r="Y345" s="228">
        <f t="shared" si="231"/>
        <v>0</v>
      </c>
      <c r="Z345" s="228"/>
      <c r="AA345" s="228">
        <f t="shared" si="216"/>
        <v>0</v>
      </c>
      <c r="AB345" s="235">
        <v>0</v>
      </c>
      <c r="AC345" s="228">
        <f t="shared" si="212"/>
        <v>0</v>
      </c>
      <c r="AD345" s="228"/>
      <c r="AE345" s="228">
        <f t="shared" si="217"/>
        <v>0</v>
      </c>
      <c r="AF345" s="247">
        <v>0</v>
      </c>
      <c r="AG345" s="228">
        <f t="shared" si="210"/>
        <v>0</v>
      </c>
      <c r="AH345" s="228"/>
      <c r="AI345" s="228">
        <f t="shared" si="218"/>
        <v>0</v>
      </c>
      <c r="AJ345" s="247">
        <v>0</v>
      </c>
      <c r="AK345" s="228">
        <f t="shared" si="236"/>
        <v>0</v>
      </c>
      <c r="AL345" s="228"/>
      <c r="AM345" s="228">
        <f t="shared" si="219"/>
        <v>0</v>
      </c>
      <c r="AN345" s="235">
        <v>0</v>
      </c>
      <c r="AO345" s="228">
        <f t="shared" si="237"/>
        <v>0</v>
      </c>
      <c r="AP345" s="228"/>
      <c r="AQ345" s="228">
        <f t="shared" si="220"/>
        <v>0</v>
      </c>
      <c r="AR345" s="228">
        <v>0.03</v>
      </c>
      <c r="AS345" s="228">
        <f t="shared" si="214"/>
        <v>2925.81</v>
      </c>
      <c r="AT345" s="344">
        <v>2447.43</v>
      </c>
      <c r="AU345" s="228">
        <f t="shared" si="221"/>
        <v>478.38</v>
      </c>
      <c r="AV345" s="247">
        <v>0.08</v>
      </c>
      <c r="AW345" s="228">
        <f t="shared" si="230"/>
        <v>7802.16</v>
      </c>
      <c r="AX345" s="266">
        <v>6526.48</v>
      </c>
      <c r="AY345" s="266">
        <f t="shared" si="222"/>
        <v>1275.68</v>
      </c>
      <c r="AZ345" s="280" t="s">
        <v>1537</v>
      </c>
      <c r="BA345" s="228">
        <v>500</v>
      </c>
      <c r="BB345" s="228">
        <v>500</v>
      </c>
      <c r="BC345" s="228">
        <f t="shared" si="223"/>
        <v>0</v>
      </c>
      <c r="BD345" s="235" t="s">
        <v>1538</v>
      </c>
      <c r="BE345" s="228">
        <f>K345/1.06*6%</f>
        <v>5520.39622641509</v>
      </c>
      <c r="BF345" s="344">
        <v>4617.79245283019</v>
      </c>
      <c r="BG345" s="249">
        <v>0</v>
      </c>
      <c r="BH345" s="235">
        <v>0</v>
      </c>
      <c r="BI345" s="228">
        <f t="shared" ref="BI345:BI382" si="239">K345*BH345</f>
        <v>0</v>
      </c>
      <c r="BJ345" s="235"/>
      <c r="BK345" s="228">
        <f t="shared" si="225"/>
        <v>0</v>
      </c>
      <c r="BL345" s="235" t="s">
        <v>1515</v>
      </c>
      <c r="BM345" s="344">
        <v>30538.35</v>
      </c>
      <c r="BN345" s="344">
        <v>30538.35</v>
      </c>
      <c r="BO345" s="220">
        <f t="shared" si="226"/>
        <v>0</v>
      </c>
      <c r="BP345" s="220">
        <f t="shared" si="227"/>
        <v>59965.2262264151</v>
      </c>
      <c r="BQ345" s="220">
        <f t="shared" si="228"/>
        <v>55235.5824528302</v>
      </c>
      <c r="BR345" s="220">
        <f t="shared" si="229"/>
        <v>4729.6437735849</v>
      </c>
      <c r="BS345" s="247" t="s">
        <v>39</v>
      </c>
      <c r="BT345" s="228" t="s">
        <v>39</v>
      </c>
      <c r="BU345" s="250" t="s">
        <v>1239</v>
      </c>
      <c r="BV345" s="230" t="s">
        <v>1240</v>
      </c>
      <c r="BW345" s="231"/>
    </row>
    <row r="346" s="209" customFormat="1" ht="36" customHeight="1" spans="1:75">
      <c r="A346" s="219">
        <v>399</v>
      </c>
      <c r="B346" s="220" t="s">
        <v>1330</v>
      </c>
      <c r="C346" s="221" t="s">
        <v>1142</v>
      </c>
      <c r="D346" s="221" t="s">
        <v>1234</v>
      </c>
      <c r="E346" s="242" t="s">
        <v>1235</v>
      </c>
      <c r="F346" s="219" t="s">
        <v>81</v>
      </c>
      <c r="G346" s="243" t="s">
        <v>1460</v>
      </c>
      <c r="H346" s="222" t="s">
        <v>66</v>
      </c>
      <c r="I346" s="237" t="s">
        <v>1243</v>
      </c>
      <c r="J346" s="222" t="s">
        <v>1244</v>
      </c>
      <c r="K346" s="223" cm="1">
        <f t="array" ref="K346">_xlfn.XLOOKUP(D346&amp;E346&amp;H346&amp;I346&amp;J346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74836</v>
      </c>
      <c r="L346" s="223"/>
      <c r="M346" s="224"/>
      <c r="N346" s="225"/>
      <c r="O346" s="226">
        <v>610000</v>
      </c>
      <c r="P346" s="247">
        <v>0.12</v>
      </c>
      <c r="Q346" s="228">
        <f t="shared" si="238"/>
        <v>8980.32</v>
      </c>
      <c r="R346" s="266">
        <v>2940.96</v>
      </c>
      <c r="S346" s="228">
        <f t="shared" si="215"/>
        <v>6039.36</v>
      </c>
      <c r="T346" s="235">
        <v>0.01</v>
      </c>
      <c r="U346" s="228">
        <f t="shared" si="209"/>
        <v>748.36</v>
      </c>
      <c r="V346" s="344">
        <v>245.08</v>
      </c>
      <c r="W346" s="249">
        <f t="shared" si="232"/>
        <v>503.28</v>
      </c>
      <c r="X346" s="235">
        <v>0</v>
      </c>
      <c r="Y346" s="228">
        <f t="shared" si="231"/>
        <v>0</v>
      </c>
      <c r="Z346" s="228"/>
      <c r="AA346" s="228">
        <f t="shared" si="216"/>
        <v>0</v>
      </c>
      <c r="AB346" s="235">
        <v>0</v>
      </c>
      <c r="AC346" s="228">
        <f t="shared" si="212"/>
        <v>0</v>
      </c>
      <c r="AD346" s="228"/>
      <c r="AE346" s="228">
        <f t="shared" si="217"/>
        <v>0</v>
      </c>
      <c r="AF346" s="247">
        <v>0</v>
      </c>
      <c r="AG346" s="228">
        <f t="shared" si="210"/>
        <v>0</v>
      </c>
      <c r="AH346" s="228"/>
      <c r="AI346" s="228">
        <f t="shared" si="218"/>
        <v>0</v>
      </c>
      <c r="AJ346" s="247">
        <v>0</v>
      </c>
      <c r="AK346" s="228">
        <f t="shared" si="236"/>
        <v>0</v>
      </c>
      <c r="AL346" s="228"/>
      <c r="AM346" s="228">
        <f t="shared" si="219"/>
        <v>0</v>
      </c>
      <c r="AN346" s="235">
        <v>0</v>
      </c>
      <c r="AO346" s="228">
        <f t="shared" si="237"/>
        <v>0</v>
      </c>
      <c r="AP346" s="228"/>
      <c r="AQ346" s="228">
        <f t="shared" si="220"/>
        <v>0</v>
      </c>
      <c r="AR346" s="228">
        <v>0.03</v>
      </c>
      <c r="AS346" s="228">
        <f t="shared" si="214"/>
        <v>2245.08</v>
      </c>
      <c r="AT346" s="344">
        <v>735.24</v>
      </c>
      <c r="AU346" s="228">
        <f t="shared" si="221"/>
        <v>1509.84</v>
      </c>
      <c r="AV346" s="247">
        <v>0.08</v>
      </c>
      <c r="AW346" s="228">
        <f t="shared" si="230"/>
        <v>5986.88</v>
      </c>
      <c r="AX346" s="266">
        <v>1960.64</v>
      </c>
      <c r="AY346" s="266">
        <f t="shared" si="222"/>
        <v>4026.24</v>
      </c>
      <c r="AZ346" s="280" t="s">
        <v>1537</v>
      </c>
      <c r="BA346" s="228">
        <v>500</v>
      </c>
      <c r="BB346" s="228">
        <v>500</v>
      </c>
      <c r="BC346" s="228">
        <f t="shared" si="223"/>
        <v>0</v>
      </c>
      <c r="BD346" s="235" t="s">
        <v>1538</v>
      </c>
      <c r="BE346" s="228">
        <f>K346/1.06*6%</f>
        <v>4236</v>
      </c>
      <c r="BF346" s="344">
        <v>1387.24528301887</v>
      </c>
      <c r="BG346" s="249">
        <v>0</v>
      </c>
      <c r="BH346" s="340" t="s">
        <v>1457</v>
      </c>
      <c r="BI346" s="228"/>
      <c r="BJ346" s="276"/>
      <c r="BK346" s="228">
        <f t="shared" si="225"/>
        <v>0</v>
      </c>
      <c r="BL346" s="235" t="s">
        <v>1515</v>
      </c>
      <c r="BM346" s="344">
        <v>4566.48</v>
      </c>
      <c r="BN346" s="344">
        <v>4566.48</v>
      </c>
      <c r="BO346" s="220">
        <f t="shared" si="226"/>
        <v>0</v>
      </c>
      <c r="BP346" s="220">
        <f t="shared" si="227"/>
        <v>27263.12</v>
      </c>
      <c r="BQ346" s="220">
        <f t="shared" si="228"/>
        <v>12335.6452830189</v>
      </c>
      <c r="BR346" s="220">
        <f t="shared" si="229"/>
        <v>14927.4747169811</v>
      </c>
      <c r="BS346" s="247" t="s">
        <v>39</v>
      </c>
      <c r="BT346" s="228" t="s">
        <v>39</v>
      </c>
      <c r="BU346" s="250" t="s">
        <v>1245</v>
      </c>
      <c r="BV346" s="230" t="s">
        <v>1240</v>
      </c>
      <c r="BW346" s="231"/>
    </row>
    <row r="347" s="209" customFormat="1" ht="24" customHeight="1" spans="1:75">
      <c r="A347" s="219">
        <v>400</v>
      </c>
      <c r="B347" s="220" t="s">
        <v>1333</v>
      </c>
      <c r="C347" s="221" t="s">
        <v>1142</v>
      </c>
      <c r="D347" s="221" t="s">
        <v>1234</v>
      </c>
      <c r="E347" s="242" t="s">
        <v>1235</v>
      </c>
      <c r="F347" s="239" t="s">
        <v>81</v>
      </c>
      <c r="G347" s="243" t="s">
        <v>1460</v>
      </c>
      <c r="H347" s="345" t="s">
        <v>70</v>
      </c>
      <c r="I347" s="219" t="s">
        <v>1539</v>
      </c>
      <c r="J347" s="222" t="s">
        <v>1540</v>
      </c>
      <c r="K347" s="223" cm="1">
        <f t="array" ref="K347">_xlfn.XLOOKUP(D347&amp;E347&amp;H347&amp;I347&amp;J347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62472.01</v>
      </c>
      <c r="L347" s="223"/>
      <c r="M347" s="224"/>
      <c r="N347" s="225"/>
      <c r="O347" s="226"/>
      <c r="P347" s="247">
        <v>0.12</v>
      </c>
      <c r="Q347" s="228">
        <f t="shared" si="238"/>
        <v>7496.6412</v>
      </c>
      <c r="R347" s="266">
        <v>8094.6</v>
      </c>
      <c r="S347" s="228">
        <f t="shared" si="215"/>
        <v>-597.9588</v>
      </c>
      <c r="T347" s="235">
        <v>0</v>
      </c>
      <c r="U347" s="228">
        <f t="shared" si="209"/>
        <v>0</v>
      </c>
      <c r="V347" s="344"/>
      <c r="W347" s="249">
        <f t="shared" si="232"/>
        <v>0</v>
      </c>
      <c r="X347" s="235">
        <v>0</v>
      </c>
      <c r="Y347" s="228">
        <f t="shared" si="231"/>
        <v>0</v>
      </c>
      <c r="Z347" s="228"/>
      <c r="AA347" s="228">
        <f t="shared" si="216"/>
        <v>0</v>
      </c>
      <c r="AB347" s="235">
        <v>0</v>
      </c>
      <c r="AC347" s="228">
        <f t="shared" si="212"/>
        <v>0</v>
      </c>
      <c r="AD347" s="228"/>
      <c r="AE347" s="228">
        <f t="shared" si="217"/>
        <v>0</v>
      </c>
      <c r="AF347" s="247">
        <v>0</v>
      </c>
      <c r="AG347" s="228">
        <f t="shared" si="210"/>
        <v>0</v>
      </c>
      <c r="AH347" s="228"/>
      <c r="AI347" s="228">
        <f t="shared" si="218"/>
        <v>0</v>
      </c>
      <c r="AJ347" s="247">
        <v>0</v>
      </c>
      <c r="AK347" s="228">
        <f t="shared" si="236"/>
        <v>0</v>
      </c>
      <c r="AL347" s="228"/>
      <c r="AM347" s="228">
        <f t="shared" si="219"/>
        <v>0</v>
      </c>
      <c r="AN347" s="235">
        <v>0</v>
      </c>
      <c r="AO347" s="228">
        <f t="shared" si="237"/>
        <v>0</v>
      </c>
      <c r="AP347" s="228"/>
      <c r="AQ347" s="228">
        <f t="shared" si="220"/>
        <v>0</v>
      </c>
      <c r="AR347" s="228">
        <v>0.03</v>
      </c>
      <c r="AS347" s="228">
        <f t="shared" si="214"/>
        <v>1874.1603</v>
      </c>
      <c r="AT347" s="344">
        <v>2023.65</v>
      </c>
      <c r="AU347" s="228">
        <f t="shared" si="221"/>
        <v>-149.4897</v>
      </c>
      <c r="AV347" s="247">
        <v>0.08</v>
      </c>
      <c r="AW347" s="228">
        <f t="shared" si="230"/>
        <v>4997.7608</v>
      </c>
      <c r="AX347" s="266">
        <v>5396.4</v>
      </c>
      <c r="AY347" s="266">
        <f t="shared" si="222"/>
        <v>-398.6392</v>
      </c>
      <c r="AZ347" s="280" t="s">
        <v>1537</v>
      </c>
      <c r="BA347" s="228">
        <v>500</v>
      </c>
      <c r="BB347" s="228">
        <v>500</v>
      </c>
      <c r="BC347" s="228">
        <f t="shared" si="223"/>
        <v>0</v>
      </c>
      <c r="BD347" s="235" t="s">
        <v>1538</v>
      </c>
      <c r="BE347" s="228">
        <f>K347/1.06*6%</f>
        <v>3536.15150943396</v>
      </c>
      <c r="BF347" s="344">
        <v>3818.20754716981</v>
      </c>
      <c r="BG347" s="249">
        <v>0</v>
      </c>
      <c r="BH347" s="235">
        <v>0.01</v>
      </c>
      <c r="BI347" s="228">
        <v>3000</v>
      </c>
      <c r="BJ347" s="346">
        <v>3000</v>
      </c>
      <c r="BK347" s="228">
        <f t="shared" si="225"/>
        <v>0</v>
      </c>
      <c r="BL347" s="235" t="s">
        <v>1515</v>
      </c>
      <c r="BM347" s="347">
        <v>23491.4</v>
      </c>
      <c r="BN347" s="347">
        <v>23491.4</v>
      </c>
      <c r="BO347" s="220">
        <f t="shared" si="226"/>
        <v>0</v>
      </c>
      <c r="BP347" s="220">
        <f t="shared" si="227"/>
        <v>44896.113809434</v>
      </c>
      <c r="BQ347" s="220">
        <f t="shared" si="228"/>
        <v>46324.2575471698</v>
      </c>
      <c r="BR347" s="220">
        <f t="shared" si="229"/>
        <v>-1428.14373773584</v>
      </c>
      <c r="BS347" s="247"/>
      <c r="BT347" s="228"/>
      <c r="BU347" s="250"/>
      <c r="BV347" s="230"/>
      <c r="BW347" s="231"/>
    </row>
    <row r="348" s="209" customFormat="1" ht="48" customHeight="1" spans="1:75">
      <c r="A348" s="219">
        <v>402</v>
      </c>
      <c r="B348" s="220" t="s">
        <v>1337</v>
      </c>
      <c r="C348" s="221" t="s">
        <v>1142</v>
      </c>
      <c r="D348" s="221" t="s">
        <v>1247</v>
      </c>
      <c r="E348" s="242" t="s">
        <v>1248</v>
      </c>
      <c r="F348" s="219" t="s">
        <v>81</v>
      </c>
      <c r="G348" s="243" t="s">
        <v>1460</v>
      </c>
      <c r="H348" s="222" t="s">
        <v>60</v>
      </c>
      <c r="I348" s="237" t="s">
        <v>1250</v>
      </c>
      <c r="J348" s="222" t="s">
        <v>1251</v>
      </c>
      <c r="K348" s="223" cm="1">
        <f t="array" ref="K348">_xlfn.XLOOKUP(D348&amp;E348&amp;H348&amp;I348&amp;J348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100693.97</v>
      </c>
      <c r="L348" s="223"/>
      <c r="M348" s="224"/>
      <c r="N348" s="348">
        <v>20899.63</v>
      </c>
      <c r="O348" s="226">
        <v>800000</v>
      </c>
      <c r="P348" s="247">
        <v>0.19</v>
      </c>
      <c r="Q348" s="228">
        <f t="shared" si="238"/>
        <v>19131.8543</v>
      </c>
      <c r="R348" s="348">
        <v>35940.0732</v>
      </c>
      <c r="S348" s="228">
        <f t="shared" si="215"/>
        <v>-16808.2189</v>
      </c>
      <c r="T348" s="235">
        <v>0</v>
      </c>
      <c r="U348" s="228">
        <f t="shared" si="209"/>
        <v>0</v>
      </c>
      <c r="V348" s="228"/>
      <c r="W348" s="228">
        <f t="shared" si="232"/>
        <v>0</v>
      </c>
      <c r="X348" s="247">
        <v>0</v>
      </c>
      <c r="Y348" s="228">
        <f t="shared" si="231"/>
        <v>0</v>
      </c>
      <c r="Z348" s="259"/>
      <c r="AA348" s="228">
        <f t="shared" si="216"/>
        <v>0</v>
      </c>
      <c r="AB348" s="240">
        <v>0</v>
      </c>
      <c r="AC348" s="228">
        <f t="shared" si="212"/>
        <v>0</v>
      </c>
      <c r="AD348" s="240"/>
      <c r="AE348" s="228">
        <f t="shared" si="217"/>
        <v>0</v>
      </c>
      <c r="AF348" s="247">
        <v>0</v>
      </c>
      <c r="AG348" s="228">
        <f t="shared" si="210"/>
        <v>0</v>
      </c>
      <c r="AH348" s="240"/>
      <c r="AI348" s="228">
        <f t="shared" si="218"/>
        <v>0</v>
      </c>
      <c r="AJ348" s="247">
        <v>0</v>
      </c>
      <c r="AK348" s="228">
        <f t="shared" si="236"/>
        <v>0</v>
      </c>
      <c r="AL348" s="240"/>
      <c r="AM348" s="228">
        <f t="shared" si="219"/>
        <v>0</v>
      </c>
      <c r="AN348" s="235">
        <v>0</v>
      </c>
      <c r="AO348" s="228">
        <f t="shared" si="237"/>
        <v>0</v>
      </c>
      <c r="AP348" s="240"/>
      <c r="AQ348" s="228">
        <f t="shared" si="220"/>
        <v>0</v>
      </c>
      <c r="AR348" s="228">
        <v>0.03</v>
      </c>
      <c r="AS348" s="228">
        <f t="shared" si="214"/>
        <v>3020.8191</v>
      </c>
      <c r="AT348" s="348">
        <v>5674.7484</v>
      </c>
      <c r="AU348" s="228">
        <f t="shared" si="221"/>
        <v>-2653.9293</v>
      </c>
      <c r="AV348" s="285">
        <v>0</v>
      </c>
      <c r="AW348" s="228">
        <f t="shared" si="230"/>
        <v>0</v>
      </c>
      <c r="AX348" s="228"/>
      <c r="AY348" s="228">
        <f t="shared" si="222"/>
        <v>0</v>
      </c>
      <c r="AZ348" s="240" t="s">
        <v>1515</v>
      </c>
      <c r="BA348" s="267">
        <v>1250</v>
      </c>
      <c r="BB348" s="259">
        <f>BA348</f>
        <v>1250</v>
      </c>
      <c r="BC348" s="228">
        <f t="shared" si="223"/>
        <v>0</v>
      </c>
      <c r="BD348" s="235" t="s">
        <v>1541</v>
      </c>
      <c r="BE348" s="228">
        <v>500</v>
      </c>
      <c r="BF348" s="344">
        <v>500</v>
      </c>
      <c r="BG348" s="228">
        <f t="shared" si="224"/>
        <v>0</v>
      </c>
      <c r="BH348" s="235">
        <v>0</v>
      </c>
      <c r="BI348" s="228">
        <f t="shared" si="239"/>
        <v>0</v>
      </c>
      <c r="BJ348" s="267"/>
      <c r="BK348" s="228">
        <f t="shared" si="225"/>
        <v>0</v>
      </c>
      <c r="BL348" s="235" t="s">
        <v>1515</v>
      </c>
      <c r="BM348" s="220">
        <f t="shared" si="235"/>
        <v>27715.58</v>
      </c>
      <c r="BN348" s="349">
        <v>27715.58</v>
      </c>
      <c r="BO348" s="220">
        <f t="shared" si="226"/>
        <v>0</v>
      </c>
      <c r="BP348" s="220">
        <f t="shared" si="227"/>
        <v>72517.8834</v>
      </c>
      <c r="BQ348" s="220">
        <f t="shared" si="228"/>
        <v>91980.0316</v>
      </c>
      <c r="BR348" s="220">
        <f t="shared" si="229"/>
        <v>-19462.1482</v>
      </c>
      <c r="BS348" s="247" t="s">
        <v>39</v>
      </c>
      <c r="BT348" s="228" t="s">
        <v>39</v>
      </c>
      <c r="BU348" s="230" t="s">
        <v>1252</v>
      </c>
      <c r="BV348" s="230" t="s">
        <v>1253</v>
      </c>
      <c r="BW348" s="231"/>
    </row>
    <row r="349" s="209" customFormat="1" ht="48" customHeight="1" spans="1:75">
      <c r="A349" s="219">
        <v>403</v>
      </c>
      <c r="B349" s="220" t="s">
        <v>1340</v>
      </c>
      <c r="C349" s="221" t="s">
        <v>1142</v>
      </c>
      <c r="D349" s="221" t="s">
        <v>1247</v>
      </c>
      <c r="E349" s="242" t="s">
        <v>1248</v>
      </c>
      <c r="F349" s="219" t="s">
        <v>81</v>
      </c>
      <c r="G349" s="243" t="s">
        <v>1460</v>
      </c>
      <c r="H349" s="222" t="s">
        <v>66</v>
      </c>
      <c r="I349" s="237" t="s">
        <v>1256</v>
      </c>
      <c r="J349" s="222" t="s">
        <v>1257</v>
      </c>
      <c r="K349" s="223" cm="1">
        <f t="array" ref="K349">_xlfn.XLOOKUP(D349&amp;E349&amp;H349&amp;I349&amp;J349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158780.98</v>
      </c>
      <c r="L349" s="223"/>
      <c r="M349" s="224"/>
      <c r="N349" s="350">
        <v>19684.63</v>
      </c>
      <c r="O349" s="226">
        <v>640000</v>
      </c>
      <c r="P349" s="247">
        <v>0.19</v>
      </c>
      <c r="Q349" s="228">
        <f t="shared" si="238"/>
        <v>30168.3862</v>
      </c>
      <c r="R349" s="348">
        <v>19854.1089</v>
      </c>
      <c r="S349" s="228">
        <f t="shared" si="215"/>
        <v>10314.2773</v>
      </c>
      <c r="T349" s="235">
        <v>0</v>
      </c>
      <c r="U349" s="228">
        <f t="shared" si="209"/>
        <v>0</v>
      </c>
      <c r="V349" s="228"/>
      <c r="W349" s="228">
        <f t="shared" si="232"/>
        <v>0</v>
      </c>
      <c r="X349" s="247">
        <v>0</v>
      </c>
      <c r="Y349" s="228">
        <f t="shared" si="231"/>
        <v>0</v>
      </c>
      <c r="Z349" s="259"/>
      <c r="AA349" s="228">
        <f t="shared" si="216"/>
        <v>0</v>
      </c>
      <c r="AB349" s="240">
        <v>0</v>
      </c>
      <c r="AC349" s="228">
        <f t="shared" si="212"/>
        <v>0</v>
      </c>
      <c r="AD349" s="240"/>
      <c r="AE349" s="228">
        <f t="shared" si="217"/>
        <v>0</v>
      </c>
      <c r="AF349" s="247">
        <v>0</v>
      </c>
      <c r="AG349" s="228">
        <f t="shared" si="210"/>
        <v>0</v>
      </c>
      <c r="AH349" s="240"/>
      <c r="AI349" s="228">
        <f t="shared" si="218"/>
        <v>0</v>
      </c>
      <c r="AJ349" s="247">
        <v>0</v>
      </c>
      <c r="AK349" s="228">
        <f t="shared" si="236"/>
        <v>0</v>
      </c>
      <c r="AL349" s="240"/>
      <c r="AM349" s="228">
        <f t="shared" si="219"/>
        <v>0</v>
      </c>
      <c r="AN349" s="235">
        <v>0</v>
      </c>
      <c r="AO349" s="228">
        <f t="shared" si="237"/>
        <v>0</v>
      </c>
      <c r="AP349" s="240"/>
      <c r="AQ349" s="228">
        <f t="shared" si="220"/>
        <v>0</v>
      </c>
      <c r="AR349" s="228">
        <v>0.03</v>
      </c>
      <c r="AS349" s="228">
        <f t="shared" si="214"/>
        <v>4763.4294</v>
      </c>
      <c r="AT349" s="348">
        <v>3134.8593</v>
      </c>
      <c r="AU349" s="228">
        <f t="shared" si="221"/>
        <v>1628.5701</v>
      </c>
      <c r="AV349" s="285">
        <v>0</v>
      </c>
      <c r="AW349" s="228">
        <f t="shared" si="230"/>
        <v>0</v>
      </c>
      <c r="AX349" s="228"/>
      <c r="AY349" s="228">
        <f t="shared" si="222"/>
        <v>0</v>
      </c>
      <c r="AZ349" s="240" t="s">
        <v>1515</v>
      </c>
      <c r="BA349" s="267">
        <v>250</v>
      </c>
      <c r="BB349" s="259">
        <f t="shared" ref="BB349:BB355" si="240">BA349</f>
        <v>250</v>
      </c>
      <c r="BC349" s="228">
        <f t="shared" si="223"/>
        <v>0</v>
      </c>
      <c r="BD349" s="235" t="s">
        <v>1541</v>
      </c>
      <c r="BE349" s="228">
        <v>500</v>
      </c>
      <c r="BF349" s="351">
        <v>500</v>
      </c>
      <c r="BG349" s="228">
        <f t="shared" si="224"/>
        <v>0</v>
      </c>
      <c r="BH349" s="235">
        <v>0</v>
      </c>
      <c r="BI349" s="228">
        <f t="shared" si="239"/>
        <v>0</v>
      </c>
      <c r="BJ349" s="267"/>
      <c r="BK349" s="228">
        <f t="shared" si="225"/>
        <v>0</v>
      </c>
      <c r="BL349" s="235" t="s">
        <v>1515</v>
      </c>
      <c r="BM349" s="220">
        <f t="shared" si="235"/>
        <v>31098.12</v>
      </c>
      <c r="BN349" s="349">
        <v>31098.12</v>
      </c>
      <c r="BO349" s="220">
        <f t="shared" si="226"/>
        <v>0</v>
      </c>
      <c r="BP349" s="220">
        <f t="shared" si="227"/>
        <v>86464.5656</v>
      </c>
      <c r="BQ349" s="220">
        <f t="shared" si="228"/>
        <v>74521.7182</v>
      </c>
      <c r="BR349" s="220">
        <f t="shared" si="229"/>
        <v>11942.8474</v>
      </c>
      <c r="BS349" s="247" t="s">
        <v>39</v>
      </c>
      <c r="BT349" s="228" t="s">
        <v>39</v>
      </c>
      <c r="BU349" s="230" t="s">
        <v>1258</v>
      </c>
      <c r="BV349" s="230" t="s">
        <v>1253</v>
      </c>
      <c r="BW349" s="231"/>
    </row>
    <row r="350" s="209" customFormat="1" ht="48" customHeight="1" spans="1:75">
      <c r="A350" s="219">
        <v>404</v>
      </c>
      <c r="B350" s="220" t="s">
        <v>1343</v>
      </c>
      <c r="C350" s="221" t="s">
        <v>1142</v>
      </c>
      <c r="D350" s="221" t="s">
        <v>1247</v>
      </c>
      <c r="E350" s="242" t="s">
        <v>1248</v>
      </c>
      <c r="F350" s="219" t="s">
        <v>81</v>
      </c>
      <c r="G350" s="243" t="s">
        <v>1460</v>
      </c>
      <c r="H350" s="222" t="s">
        <v>70</v>
      </c>
      <c r="I350" s="237" t="s">
        <v>98</v>
      </c>
      <c r="J350" s="222" t="s">
        <v>1260</v>
      </c>
      <c r="K350" s="223" cm="1">
        <f t="array" ref="K350">_xlfn.XLOOKUP(D350&amp;E350&amp;H350&amp;I350&amp;J350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29515.23</v>
      </c>
      <c r="L350" s="223"/>
      <c r="M350" s="224"/>
      <c r="N350" s="348"/>
      <c r="O350" s="226">
        <v>160000</v>
      </c>
      <c r="P350" s="247">
        <v>0.19</v>
      </c>
      <c r="Q350" s="228">
        <f t="shared" si="238"/>
        <v>5607.8937</v>
      </c>
      <c r="R350" s="348">
        <v>4366.238</v>
      </c>
      <c r="S350" s="228">
        <f t="shared" si="215"/>
        <v>1241.6557</v>
      </c>
      <c r="T350" s="235">
        <v>0</v>
      </c>
      <c r="U350" s="228">
        <f t="shared" si="209"/>
        <v>0</v>
      </c>
      <c r="V350" s="228"/>
      <c r="W350" s="228">
        <f t="shared" si="232"/>
        <v>0</v>
      </c>
      <c r="X350" s="247">
        <v>0</v>
      </c>
      <c r="Y350" s="228">
        <f t="shared" si="231"/>
        <v>0</v>
      </c>
      <c r="Z350" s="259"/>
      <c r="AA350" s="228">
        <f t="shared" si="216"/>
        <v>0</v>
      </c>
      <c r="AB350" s="240">
        <v>0</v>
      </c>
      <c r="AC350" s="228">
        <f t="shared" si="212"/>
        <v>0</v>
      </c>
      <c r="AD350" s="240"/>
      <c r="AE350" s="228">
        <f t="shared" si="217"/>
        <v>0</v>
      </c>
      <c r="AF350" s="247">
        <v>0</v>
      </c>
      <c r="AG350" s="228">
        <f t="shared" si="210"/>
        <v>0</v>
      </c>
      <c r="AH350" s="240"/>
      <c r="AI350" s="228">
        <f t="shared" si="218"/>
        <v>0</v>
      </c>
      <c r="AJ350" s="247">
        <v>0</v>
      </c>
      <c r="AK350" s="228">
        <f t="shared" si="236"/>
        <v>0</v>
      </c>
      <c r="AL350" s="240"/>
      <c r="AM350" s="228">
        <f t="shared" si="219"/>
        <v>0</v>
      </c>
      <c r="AN350" s="235">
        <v>0</v>
      </c>
      <c r="AO350" s="228">
        <f t="shared" si="237"/>
        <v>0</v>
      </c>
      <c r="AP350" s="240"/>
      <c r="AQ350" s="228">
        <f t="shared" si="220"/>
        <v>0</v>
      </c>
      <c r="AR350" s="228">
        <v>0.03</v>
      </c>
      <c r="AS350" s="228">
        <f t="shared" si="214"/>
        <v>885.4569</v>
      </c>
      <c r="AT350" s="348">
        <v>689.406</v>
      </c>
      <c r="AU350" s="228">
        <f t="shared" si="221"/>
        <v>196.0509</v>
      </c>
      <c r="AV350" s="285">
        <v>0</v>
      </c>
      <c r="AW350" s="228">
        <f t="shared" si="230"/>
        <v>0</v>
      </c>
      <c r="AX350" s="228"/>
      <c r="AY350" s="228">
        <f t="shared" si="222"/>
        <v>0</v>
      </c>
      <c r="AZ350" s="240" t="s">
        <v>1515</v>
      </c>
      <c r="BA350" s="267"/>
      <c r="BB350" s="259">
        <f t="shared" si="240"/>
        <v>0</v>
      </c>
      <c r="BC350" s="228">
        <f t="shared" si="223"/>
        <v>0</v>
      </c>
      <c r="BD350" s="235" t="s">
        <v>1541</v>
      </c>
      <c r="BE350" s="228">
        <v>500</v>
      </c>
      <c r="BF350" s="351">
        <v>500</v>
      </c>
      <c r="BG350" s="228">
        <f t="shared" si="224"/>
        <v>0</v>
      </c>
      <c r="BH350" s="235">
        <v>0</v>
      </c>
      <c r="BI350" s="228">
        <f t="shared" si="239"/>
        <v>0</v>
      </c>
      <c r="BJ350" s="267"/>
      <c r="BK350" s="228">
        <f t="shared" si="225"/>
        <v>0</v>
      </c>
      <c r="BL350" s="235" t="s">
        <v>1515</v>
      </c>
      <c r="BM350" s="220">
        <f t="shared" si="235"/>
        <v>4732.92</v>
      </c>
      <c r="BN350" s="349">
        <v>4732.92</v>
      </c>
      <c r="BO350" s="220">
        <f t="shared" si="226"/>
        <v>0</v>
      </c>
      <c r="BP350" s="220">
        <f t="shared" si="227"/>
        <v>11726.2706</v>
      </c>
      <c r="BQ350" s="220">
        <f t="shared" si="228"/>
        <v>10288.564</v>
      </c>
      <c r="BR350" s="220">
        <f t="shared" si="229"/>
        <v>1437.7066</v>
      </c>
      <c r="BS350" s="247" t="s">
        <v>39</v>
      </c>
      <c r="BT350" s="228" t="s">
        <v>39</v>
      </c>
      <c r="BU350" s="230" t="s">
        <v>1252</v>
      </c>
      <c r="BV350" s="230" t="s">
        <v>1253</v>
      </c>
      <c r="BW350" s="231"/>
    </row>
    <row r="351" s="209" customFormat="1" ht="48" customHeight="1" spans="1:75">
      <c r="A351" s="219">
        <v>405</v>
      </c>
      <c r="B351" s="220" t="s">
        <v>1349</v>
      </c>
      <c r="C351" s="221" t="s">
        <v>1142</v>
      </c>
      <c r="D351" s="221" t="s">
        <v>1247</v>
      </c>
      <c r="E351" s="242" t="s">
        <v>1248</v>
      </c>
      <c r="F351" s="219" t="s">
        <v>81</v>
      </c>
      <c r="G351" s="243" t="s">
        <v>1460</v>
      </c>
      <c r="H351" s="222" t="s">
        <v>74</v>
      </c>
      <c r="I351" s="237" t="s">
        <v>1263</v>
      </c>
      <c r="J351" s="220" t="s">
        <v>1542</v>
      </c>
      <c r="K351" s="223" cm="1">
        <f t="array" ref="K351">_xlfn.XLOOKUP(D351&amp;E351&amp;H351&amp;I351&amp;J351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26243.75</v>
      </c>
      <c r="L351" s="223"/>
      <c r="M351" s="224"/>
      <c r="N351" s="348">
        <v>3302.63</v>
      </c>
      <c r="O351" s="226">
        <v>240000</v>
      </c>
      <c r="P351" s="247">
        <v>0.17</v>
      </c>
      <c r="Q351" s="228">
        <f t="shared" si="238"/>
        <v>4461.4375</v>
      </c>
      <c r="R351" s="348">
        <v>3553.0221</v>
      </c>
      <c r="S351" s="228">
        <f t="shared" si="215"/>
        <v>908.4154</v>
      </c>
      <c r="T351" s="235">
        <v>0</v>
      </c>
      <c r="U351" s="228">
        <f t="shared" si="209"/>
        <v>0</v>
      </c>
      <c r="V351" s="228"/>
      <c r="W351" s="228">
        <f t="shared" si="232"/>
        <v>0</v>
      </c>
      <c r="X351" s="247">
        <v>0</v>
      </c>
      <c r="Y351" s="228">
        <f t="shared" si="231"/>
        <v>0</v>
      </c>
      <c r="Z351" s="259"/>
      <c r="AA351" s="228">
        <f t="shared" si="216"/>
        <v>0</v>
      </c>
      <c r="AB351" s="240">
        <v>0</v>
      </c>
      <c r="AC351" s="228">
        <f t="shared" si="212"/>
        <v>0</v>
      </c>
      <c r="AD351" s="240"/>
      <c r="AE351" s="228">
        <f t="shared" si="217"/>
        <v>0</v>
      </c>
      <c r="AF351" s="247">
        <v>0</v>
      </c>
      <c r="AG351" s="228">
        <f t="shared" si="210"/>
        <v>0</v>
      </c>
      <c r="AH351" s="240"/>
      <c r="AI351" s="228">
        <f t="shared" si="218"/>
        <v>0</v>
      </c>
      <c r="AJ351" s="247">
        <v>0</v>
      </c>
      <c r="AK351" s="228">
        <f t="shared" si="236"/>
        <v>0</v>
      </c>
      <c r="AL351" s="240"/>
      <c r="AM351" s="228">
        <f t="shared" si="219"/>
        <v>0</v>
      </c>
      <c r="AN351" s="235">
        <v>0</v>
      </c>
      <c r="AO351" s="228">
        <f t="shared" si="237"/>
        <v>0</v>
      </c>
      <c r="AP351" s="240"/>
      <c r="AQ351" s="228">
        <f t="shared" si="220"/>
        <v>0</v>
      </c>
      <c r="AR351" s="228">
        <v>0.03</v>
      </c>
      <c r="AS351" s="228">
        <f t="shared" si="214"/>
        <v>787.3125</v>
      </c>
      <c r="AT351" s="348">
        <v>627.0039</v>
      </c>
      <c r="AU351" s="228">
        <f t="shared" si="221"/>
        <v>160.3086</v>
      </c>
      <c r="AV351" s="285">
        <v>0</v>
      </c>
      <c r="AW351" s="228">
        <f t="shared" si="230"/>
        <v>0</v>
      </c>
      <c r="AX351" s="228"/>
      <c r="AY351" s="228">
        <f t="shared" si="222"/>
        <v>0</v>
      </c>
      <c r="AZ351" s="240" t="s">
        <v>1515</v>
      </c>
      <c r="BA351" s="267"/>
      <c r="BB351" s="259">
        <f t="shared" si="240"/>
        <v>0</v>
      </c>
      <c r="BC351" s="228">
        <f t="shared" si="223"/>
        <v>0</v>
      </c>
      <c r="BD351" s="235" t="s">
        <v>1543</v>
      </c>
      <c r="BE351" s="228">
        <v>1000</v>
      </c>
      <c r="BF351" s="351">
        <v>1000</v>
      </c>
      <c r="BG351" s="228">
        <f t="shared" si="224"/>
        <v>0</v>
      </c>
      <c r="BH351" s="235">
        <v>0</v>
      </c>
      <c r="BI351" s="228">
        <f t="shared" si="239"/>
        <v>0</v>
      </c>
      <c r="BJ351" s="267"/>
      <c r="BK351" s="228">
        <f t="shared" si="225"/>
        <v>0</v>
      </c>
      <c r="BL351" s="235" t="s">
        <v>1515</v>
      </c>
      <c r="BM351" s="220">
        <f t="shared" si="235"/>
        <v>2666.75</v>
      </c>
      <c r="BN351" s="349">
        <v>2666.75</v>
      </c>
      <c r="BO351" s="220">
        <f t="shared" si="226"/>
        <v>0</v>
      </c>
      <c r="BP351" s="220">
        <f t="shared" si="227"/>
        <v>12218.13</v>
      </c>
      <c r="BQ351" s="220">
        <f t="shared" si="228"/>
        <v>11149.406</v>
      </c>
      <c r="BR351" s="220">
        <f t="shared" si="229"/>
        <v>1068.724</v>
      </c>
      <c r="BS351" s="247" t="s">
        <v>39</v>
      </c>
      <c r="BT351" s="228" t="s">
        <v>39</v>
      </c>
      <c r="BU351" s="230" t="s">
        <v>1265</v>
      </c>
      <c r="BV351" s="230" t="s">
        <v>1253</v>
      </c>
      <c r="BW351" s="231"/>
    </row>
    <row r="352" s="209" customFormat="1" ht="48" customHeight="1" spans="1:75">
      <c r="A352" s="219">
        <v>406</v>
      </c>
      <c r="B352" s="220" t="s">
        <v>1544</v>
      </c>
      <c r="C352" s="221" t="s">
        <v>1142</v>
      </c>
      <c r="D352" s="221" t="s">
        <v>1247</v>
      </c>
      <c r="E352" s="242" t="s">
        <v>1248</v>
      </c>
      <c r="F352" s="219" t="s">
        <v>81</v>
      </c>
      <c r="G352" s="243" t="s">
        <v>1460</v>
      </c>
      <c r="H352" s="222" t="s">
        <v>265</v>
      </c>
      <c r="I352" s="237" t="s">
        <v>1267</v>
      </c>
      <c r="J352" s="222" t="s">
        <v>1268</v>
      </c>
      <c r="K352" s="223" cm="1">
        <f t="array" ref="K352">_xlfn.XLOOKUP(D352&amp;E352&amp;H352&amp;I352&amp;J352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31402.19</v>
      </c>
      <c r="L352" s="223"/>
      <c r="M352" s="224"/>
      <c r="N352" s="348">
        <v>3216.63</v>
      </c>
      <c r="O352" s="226">
        <v>320000</v>
      </c>
      <c r="P352" s="247">
        <v>0.23</v>
      </c>
      <c r="Q352" s="228">
        <f t="shared" si="238"/>
        <v>7222.5037</v>
      </c>
      <c r="R352" s="348">
        <v>8237.2706</v>
      </c>
      <c r="S352" s="228">
        <f t="shared" si="215"/>
        <v>-1014.7669</v>
      </c>
      <c r="T352" s="235">
        <v>0</v>
      </c>
      <c r="U352" s="228">
        <f t="shared" si="209"/>
        <v>0</v>
      </c>
      <c r="V352" s="228"/>
      <c r="W352" s="228">
        <f t="shared" si="232"/>
        <v>0</v>
      </c>
      <c r="X352" s="247">
        <v>0</v>
      </c>
      <c r="Y352" s="228">
        <f t="shared" si="231"/>
        <v>0</v>
      </c>
      <c r="Z352" s="259"/>
      <c r="AA352" s="228">
        <f t="shared" si="216"/>
        <v>0</v>
      </c>
      <c r="AB352" s="240">
        <v>0</v>
      </c>
      <c r="AC352" s="228">
        <f t="shared" si="212"/>
        <v>0</v>
      </c>
      <c r="AD352" s="240"/>
      <c r="AE352" s="228">
        <f t="shared" si="217"/>
        <v>0</v>
      </c>
      <c r="AF352" s="247">
        <v>0</v>
      </c>
      <c r="AG352" s="228">
        <f t="shared" si="210"/>
        <v>0</v>
      </c>
      <c r="AH352" s="240"/>
      <c r="AI352" s="228">
        <f t="shared" si="218"/>
        <v>0</v>
      </c>
      <c r="AJ352" s="247">
        <v>0</v>
      </c>
      <c r="AK352" s="228">
        <f t="shared" si="236"/>
        <v>0</v>
      </c>
      <c r="AL352" s="240"/>
      <c r="AM352" s="228">
        <f t="shared" si="219"/>
        <v>0</v>
      </c>
      <c r="AN352" s="235">
        <v>0</v>
      </c>
      <c r="AO352" s="228">
        <f t="shared" si="237"/>
        <v>0</v>
      </c>
      <c r="AP352" s="240"/>
      <c r="AQ352" s="228">
        <f t="shared" si="220"/>
        <v>0</v>
      </c>
      <c r="AR352" s="228">
        <v>0.03</v>
      </c>
      <c r="AS352" s="228">
        <f t="shared" si="214"/>
        <v>942.0657</v>
      </c>
      <c r="AT352" s="348">
        <v>1074.4266</v>
      </c>
      <c r="AU352" s="228">
        <f t="shared" si="221"/>
        <v>-132.3609</v>
      </c>
      <c r="AV352" s="285">
        <v>0</v>
      </c>
      <c r="AW352" s="228">
        <f t="shared" si="230"/>
        <v>0</v>
      </c>
      <c r="AX352" s="228"/>
      <c r="AY352" s="228">
        <f t="shared" si="222"/>
        <v>0</v>
      </c>
      <c r="AZ352" s="240" t="s">
        <v>1515</v>
      </c>
      <c r="BA352" s="267"/>
      <c r="BB352" s="259">
        <f t="shared" si="240"/>
        <v>0</v>
      </c>
      <c r="BC352" s="228">
        <f t="shared" si="223"/>
        <v>0</v>
      </c>
      <c r="BD352" s="235" t="s">
        <v>1543</v>
      </c>
      <c r="BE352" s="228">
        <v>1000</v>
      </c>
      <c r="BF352" s="351">
        <v>1000</v>
      </c>
      <c r="BG352" s="228">
        <f t="shared" si="224"/>
        <v>0</v>
      </c>
      <c r="BH352" s="235">
        <v>0</v>
      </c>
      <c r="BI352" s="228">
        <f t="shared" si="239"/>
        <v>0</v>
      </c>
      <c r="BJ352" s="267"/>
      <c r="BK352" s="228">
        <f t="shared" si="225"/>
        <v>0</v>
      </c>
      <c r="BL352" s="235" t="s">
        <v>1515</v>
      </c>
      <c r="BM352" s="220">
        <f t="shared" si="235"/>
        <v>2529.95</v>
      </c>
      <c r="BN352" s="349">
        <v>2529.95</v>
      </c>
      <c r="BO352" s="220">
        <f t="shared" si="226"/>
        <v>0</v>
      </c>
      <c r="BP352" s="220">
        <f t="shared" si="227"/>
        <v>14911.1494</v>
      </c>
      <c r="BQ352" s="220">
        <f t="shared" si="228"/>
        <v>16058.2772</v>
      </c>
      <c r="BR352" s="220">
        <f t="shared" si="229"/>
        <v>-1147.1278</v>
      </c>
      <c r="BS352" s="247" t="s">
        <v>39</v>
      </c>
      <c r="BT352" s="228" t="s">
        <v>39</v>
      </c>
      <c r="BU352" s="230" t="s">
        <v>1252</v>
      </c>
      <c r="BV352" s="230" t="s">
        <v>1253</v>
      </c>
      <c r="BW352" s="231"/>
    </row>
    <row r="353" s="209" customFormat="1" ht="48" customHeight="1" spans="1:75">
      <c r="A353" s="219">
        <v>407</v>
      </c>
      <c r="B353" s="220" t="s">
        <v>1545</v>
      </c>
      <c r="C353" s="221" t="s">
        <v>1142</v>
      </c>
      <c r="D353" s="221" t="s">
        <v>1247</v>
      </c>
      <c r="E353" s="242" t="s">
        <v>1248</v>
      </c>
      <c r="F353" s="219" t="s">
        <v>81</v>
      </c>
      <c r="G353" s="243" t="s">
        <v>1460</v>
      </c>
      <c r="H353" s="222" t="s">
        <v>86</v>
      </c>
      <c r="I353" s="237" t="s">
        <v>186</v>
      </c>
      <c r="J353" s="222" t="s">
        <v>1270</v>
      </c>
      <c r="K353" s="223" cm="1">
        <f t="array" ref="K353">_xlfn.XLOOKUP(D353&amp;E353&amp;H353&amp;I353&amp;J353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41344.11</v>
      </c>
      <c r="L353" s="223"/>
      <c r="M353" s="224"/>
      <c r="N353" s="348">
        <v>3244.63</v>
      </c>
      <c r="O353" s="226">
        <v>320000</v>
      </c>
      <c r="P353" s="247">
        <v>0.23</v>
      </c>
      <c r="Q353" s="228">
        <f t="shared" si="238"/>
        <v>9509.1453</v>
      </c>
      <c r="R353" s="348">
        <v>5489.4077</v>
      </c>
      <c r="S353" s="228">
        <f t="shared" si="215"/>
        <v>4019.7376</v>
      </c>
      <c r="T353" s="235">
        <v>0</v>
      </c>
      <c r="U353" s="228">
        <f t="shared" si="209"/>
        <v>0</v>
      </c>
      <c r="V353" s="228"/>
      <c r="W353" s="228">
        <f t="shared" si="232"/>
        <v>0</v>
      </c>
      <c r="X353" s="247">
        <v>0</v>
      </c>
      <c r="Y353" s="228">
        <f t="shared" si="231"/>
        <v>0</v>
      </c>
      <c r="Z353" s="259"/>
      <c r="AA353" s="228">
        <f t="shared" si="216"/>
        <v>0</v>
      </c>
      <c r="AB353" s="240">
        <v>0</v>
      </c>
      <c r="AC353" s="228">
        <f t="shared" si="212"/>
        <v>0</v>
      </c>
      <c r="AD353" s="240"/>
      <c r="AE353" s="228">
        <f t="shared" si="217"/>
        <v>0</v>
      </c>
      <c r="AF353" s="247">
        <v>0</v>
      </c>
      <c r="AG353" s="228">
        <f t="shared" si="210"/>
        <v>0</v>
      </c>
      <c r="AH353" s="240"/>
      <c r="AI353" s="228">
        <f t="shared" si="218"/>
        <v>0</v>
      </c>
      <c r="AJ353" s="247">
        <v>0</v>
      </c>
      <c r="AK353" s="228">
        <f t="shared" si="236"/>
        <v>0</v>
      </c>
      <c r="AL353" s="240"/>
      <c r="AM353" s="228">
        <f t="shared" si="219"/>
        <v>0</v>
      </c>
      <c r="AN353" s="235">
        <v>0</v>
      </c>
      <c r="AO353" s="228">
        <f t="shared" si="237"/>
        <v>0</v>
      </c>
      <c r="AP353" s="240"/>
      <c r="AQ353" s="228">
        <f t="shared" si="220"/>
        <v>0</v>
      </c>
      <c r="AR353" s="228">
        <v>0.03</v>
      </c>
      <c r="AS353" s="228">
        <f t="shared" si="214"/>
        <v>1240.3233</v>
      </c>
      <c r="AT353" s="348">
        <v>716.0097</v>
      </c>
      <c r="AU353" s="228">
        <f t="shared" si="221"/>
        <v>524.3136</v>
      </c>
      <c r="AV353" s="285">
        <v>0</v>
      </c>
      <c r="AW353" s="228">
        <f t="shared" si="230"/>
        <v>0</v>
      </c>
      <c r="AX353" s="228"/>
      <c r="AY353" s="228">
        <f t="shared" si="222"/>
        <v>0</v>
      </c>
      <c r="AZ353" s="240" t="s">
        <v>1515</v>
      </c>
      <c r="BA353" s="267"/>
      <c r="BB353" s="259">
        <f t="shared" si="240"/>
        <v>0</v>
      </c>
      <c r="BC353" s="228">
        <f t="shared" si="223"/>
        <v>0</v>
      </c>
      <c r="BD353" s="235" t="s">
        <v>1543</v>
      </c>
      <c r="BE353" s="228">
        <v>1000</v>
      </c>
      <c r="BF353" s="351">
        <v>1000</v>
      </c>
      <c r="BG353" s="228">
        <f t="shared" si="224"/>
        <v>0</v>
      </c>
      <c r="BH353" s="235">
        <v>0</v>
      </c>
      <c r="BI353" s="228">
        <f t="shared" si="239"/>
        <v>0</v>
      </c>
      <c r="BJ353" s="267"/>
      <c r="BK353" s="228">
        <f t="shared" si="225"/>
        <v>0</v>
      </c>
      <c r="BL353" s="235" t="s">
        <v>1515</v>
      </c>
      <c r="BM353" s="220">
        <f t="shared" si="235"/>
        <v>2125.43</v>
      </c>
      <c r="BN353" s="349">
        <v>2125.43</v>
      </c>
      <c r="BO353" s="220">
        <f t="shared" si="226"/>
        <v>0</v>
      </c>
      <c r="BP353" s="220">
        <f t="shared" si="227"/>
        <v>17119.5286</v>
      </c>
      <c r="BQ353" s="220">
        <f t="shared" si="228"/>
        <v>12575.4774</v>
      </c>
      <c r="BR353" s="220">
        <f t="shared" si="229"/>
        <v>4544.0512</v>
      </c>
      <c r="BS353" s="247" t="s">
        <v>39</v>
      </c>
      <c r="BT353" s="228" t="s">
        <v>39</v>
      </c>
      <c r="BU353" s="230" t="s">
        <v>1252</v>
      </c>
      <c r="BV353" s="230" t="s">
        <v>1253</v>
      </c>
      <c r="BW353" s="231"/>
    </row>
    <row r="354" s="209" customFormat="1" ht="48" customHeight="1" spans="1:75">
      <c r="A354" s="219">
        <v>408</v>
      </c>
      <c r="B354" s="220" t="s">
        <v>1546</v>
      </c>
      <c r="C354" s="221" t="s">
        <v>1142</v>
      </c>
      <c r="D354" s="221" t="s">
        <v>1247</v>
      </c>
      <c r="E354" s="242" t="s">
        <v>1248</v>
      </c>
      <c r="F354" s="219" t="s">
        <v>81</v>
      </c>
      <c r="G354" s="243" t="s">
        <v>1460</v>
      </c>
      <c r="H354" s="222" t="s">
        <v>272</v>
      </c>
      <c r="I354" s="237" t="s">
        <v>198</v>
      </c>
      <c r="J354" s="222" t="s">
        <v>1273</v>
      </c>
      <c r="K354" s="223" cm="1">
        <f t="array" ref="K354">_xlfn.XLOOKUP(D354&amp;E354&amp;H354&amp;I354&amp;J354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20435.29</v>
      </c>
      <c r="L354" s="223"/>
      <c r="M354" s="224"/>
      <c r="N354" s="352">
        <v>1723.63</v>
      </c>
      <c r="O354" s="226">
        <v>240000</v>
      </c>
      <c r="P354" s="247">
        <v>0.23</v>
      </c>
      <c r="Q354" s="228">
        <f t="shared" si="238"/>
        <v>4700.1167</v>
      </c>
      <c r="R354" s="352">
        <v>1696.6525</v>
      </c>
      <c r="S354" s="228">
        <f t="shared" si="215"/>
        <v>3003.4642</v>
      </c>
      <c r="T354" s="235">
        <v>0</v>
      </c>
      <c r="U354" s="228">
        <f t="shared" si="209"/>
        <v>0</v>
      </c>
      <c r="V354" s="228"/>
      <c r="W354" s="228">
        <f t="shared" si="232"/>
        <v>0</v>
      </c>
      <c r="X354" s="247">
        <v>0</v>
      </c>
      <c r="Y354" s="228">
        <f t="shared" si="231"/>
        <v>0</v>
      </c>
      <c r="Z354" s="259"/>
      <c r="AA354" s="228">
        <f t="shared" si="216"/>
        <v>0</v>
      </c>
      <c r="AB354" s="240">
        <v>0</v>
      </c>
      <c r="AC354" s="228">
        <f t="shared" si="212"/>
        <v>0</v>
      </c>
      <c r="AD354" s="240"/>
      <c r="AE354" s="228">
        <f t="shared" si="217"/>
        <v>0</v>
      </c>
      <c r="AF354" s="247">
        <v>0</v>
      </c>
      <c r="AG354" s="228">
        <f t="shared" si="210"/>
        <v>0</v>
      </c>
      <c r="AH354" s="240"/>
      <c r="AI354" s="228">
        <f t="shared" si="218"/>
        <v>0</v>
      </c>
      <c r="AJ354" s="247">
        <v>0</v>
      </c>
      <c r="AK354" s="228">
        <f t="shared" si="236"/>
        <v>0</v>
      </c>
      <c r="AL354" s="240"/>
      <c r="AM354" s="228">
        <f t="shared" si="219"/>
        <v>0</v>
      </c>
      <c r="AN354" s="235">
        <v>0</v>
      </c>
      <c r="AO354" s="228">
        <f t="shared" si="237"/>
        <v>0</v>
      </c>
      <c r="AP354" s="240"/>
      <c r="AQ354" s="228">
        <f t="shared" si="220"/>
        <v>0</v>
      </c>
      <c r="AR354" s="228">
        <v>0.03</v>
      </c>
      <c r="AS354" s="228">
        <f t="shared" si="214"/>
        <v>613.0587</v>
      </c>
      <c r="AT354" s="352">
        <v>221.3025</v>
      </c>
      <c r="AU354" s="228">
        <f t="shared" si="221"/>
        <v>391.7562</v>
      </c>
      <c r="AV354" s="285">
        <v>0</v>
      </c>
      <c r="AW354" s="228">
        <f t="shared" si="230"/>
        <v>0</v>
      </c>
      <c r="AX354" s="228"/>
      <c r="AY354" s="228">
        <f t="shared" si="222"/>
        <v>0</v>
      </c>
      <c r="AZ354" s="240" t="s">
        <v>1515</v>
      </c>
      <c r="BA354" s="267"/>
      <c r="BB354" s="259">
        <f t="shared" si="240"/>
        <v>0</v>
      </c>
      <c r="BC354" s="228">
        <f t="shared" si="223"/>
        <v>0</v>
      </c>
      <c r="BD354" s="235" t="s">
        <v>1543</v>
      </c>
      <c r="BE354" s="228">
        <v>1000</v>
      </c>
      <c r="BF354" s="353">
        <v>1000</v>
      </c>
      <c r="BG354" s="228">
        <f t="shared" si="224"/>
        <v>0</v>
      </c>
      <c r="BH354" s="235">
        <v>0</v>
      </c>
      <c r="BI354" s="228">
        <f t="shared" si="239"/>
        <v>0</v>
      </c>
      <c r="BJ354" s="267"/>
      <c r="BK354" s="228">
        <f t="shared" si="225"/>
        <v>0</v>
      </c>
      <c r="BL354" s="235" t="s">
        <v>1515</v>
      </c>
      <c r="BM354" s="220">
        <f t="shared" si="235"/>
        <v>1359.45</v>
      </c>
      <c r="BN354" s="349">
        <v>1359.45</v>
      </c>
      <c r="BO354" s="220">
        <f t="shared" si="226"/>
        <v>0</v>
      </c>
      <c r="BP354" s="220">
        <f t="shared" si="227"/>
        <v>9396.2554</v>
      </c>
      <c r="BQ354" s="220">
        <f t="shared" si="228"/>
        <v>6001.035</v>
      </c>
      <c r="BR354" s="220">
        <f t="shared" si="229"/>
        <v>3395.2204</v>
      </c>
      <c r="BS354" s="247" t="s">
        <v>39</v>
      </c>
      <c r="BT354" s="228" t="s">
        <v>39</v>
      </c>
      <c r="BU354" s="230" t="s">
        <v>1274</v>
      </c>
      <c r="BV354" s="230" t="s">
        <v>1253</v>
      </c>
      <c r="BW354" s="231"/>
    </row>
    <row r="355" s="209" customFormat="1" ht="48" customHeight="1" spans="1:75">
      <c r="A355" s="219">
        <v>409</v>
      </c>
      <c r="B355" s="220" t="s">
        <v>1547</v>
      </c>
      <c r="C355" s="221" t="s">
        <v>1142</v>
      </c>
      <c r="D355" s="221" t="s">
        <v>1247</v>
      </c>
      <c r="E355" s="242" t="s">
        <v>1248</v>
      </c>
      <c r="F355" s="219" t="s">
        <v>81</v>
      </c>
      <c r="G355" s="243" t="s">
        <v>1460</v>
      </c>
      <c r="H355" s="222" t="s">
        <v>276</v>
      </c>
      <c r="I355" s="237" t="s">
        <v>530</v>
      </c>
      <c r="J355" s="222" t="s">
        <v>1276</v>
      </c>
      <c r="K355" s="223" cm="1">
        <f t="array" ref="K355">_xlfn.XLOOKUP(D355&amp;E355&amp;H355&amp;I355&amp;J355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40422.12</v>
      </c>
      <c r="L355" s="223"/>
      <c r="M355" s="224"/>
      <c r="N355" s="352">
        <v>5401.63</v>
      </c>
      <c r="O355" s="226">
        <v>320000</v>
      </c>
      <c r="P355" s="247">
        <v>0.23</v>
      </c>
      <c r="Q355" s="228">
        <f t="shared" si="238"/>
        <v>9297.0876</v>
      </c>
      <c r="R355" s="352">
        <v>4229.2009</v>
      </c>
      <c r="S355" s="228">
        <f t="shared" si="215"/>
        <v>5067.8867</v>
      </c>
      <c r="T355" s="235">
        <v>0</v>
      </c>
      <c r="U355" s="228">
        <f t="shared" si="209"/>
        <v>0</v>
      </c>
      <c r="V355" s="228"/>
      <c r="W355" s="228">
        <f t="shared" si="232"/>
        <v>0</v>
      </c>
      <c r="X355" s="247">
        <v>0</v>
      </c>
      <c r="Y355" s="228">
        <f t="shared" si="231"/>
        <v>0</v>
      </c>
      <c r="Z355" s="259"/>
      <c r="AA355" s="228">
        <f t="shared" si="216"/>
        <v>0</v>
      </c>
      <c r="AB355" s="240">
        <v>0</v>
      </c>
      <c r="AC355" s="228">
        <f t="shared" si="212"/>
        <v>0</v>
      </c>
      <c r="AD355" s="240"/>
      <c r="AE355" s="228">
        <f t="shared" si="217"/>
        <v>0</v>
      </c>
      <c r="AF355" s="247">
        <v>0</v>
      </c>
      <c r="AG355" s="228">
        <f t="shared" si="210"/>
        <v>0</v>
      </c>
      <c r="AH355" s="240"/>
      <c r="AI355" s="228">
        <f t="shared" si="218"/>
        <v>0</v>
      </c>
      <c r="AJ355" s="247">
        <v>0</v>
      </c>
      <c r="AK355" s="228">
        <f t="shared" si="236"/>
        <v>0</v>
      </c>
      <c r="AL355" s="240"/>
      <c r="AM355" s="228">
        <f t="shared" si="219"/>
        <v>0</v>
      </c>
      <c r="AN355" s="235">
        <v>0</v>
      </c>
      <c r="AO355" s="228">
        <f t="shared" si="237"/>
        <v>0</v>
      </c>
      <c r="AP355" s="240"/>
      <c r="AQ355" s="228">
        <f t="shared" si="220"/>
        <v>0</v>
      </c>
      <c r="AR355" s="228">
        <v>0.03</v>
      </c>
      <c r="AS355" s="228">
        <f t="shared" si="214"/>
        <v>1212.6636</v>
      </c>
      <c r="AT355" s="352">
        <v>551.6349</v>
      </c>
      <c r="AU355" s="228">
        <f t="shared" si="221"/>
        <v>661.0287</v>
      </c>
      <c r="AV355" s="285">
        <v>0</v>
      </c>
      <c r="AW355" s="228">
        <f t="shared" si="230"/>
        <v>0</v>
      </c>
      <c r="AX355" s="228"/>
      <c r="AY355" s="228">
        <f t="shared" si="222"/>
        <v>0</v>
      </c>
      <c r="AZ355" s="240" t="s">
        <v>1515</v>
      </c>
      <c r="BA355" s="267">
        <v>250</v>
      </c>
      <c r="BB355" s="259">
        <f t="shared" si="240"/>
        <v>250</v>
      </c>
      <c r="BC355" s="228">
        <f t="shared" si="223"/>
        <v>0</v>
      </c>
      <c r="BD355" s="235" t="s">
        <v>1543</v>
      </c>
      <c r="BE355" s="228">
        <v>1000</v>
      </c>
      <c r="BF355" s="353">
        <v>1000</v>
      </c>
      <c r="BG355" s="228">
        <f t="shared" si="224"/>
        <v>0</v>
      </c>
      <c r="BH355" s="235">
        <v>0</v>
      </c>
      <c r="BI355" s="228">
        <f t="shared" si="239"/>
        <v>0</v>
      </c>
      <c r="BJ355" s="267"/>
      <c r="BK355" s="228">
        <f t="shared" si="225"/>
        <v>0</v>
      </c>
      <c r="BL355" s="235" t="s">
        <v>1515</v>
      </c>
      <c r="BM355" s="220">
        <f t="shared" si="235"/>
        <v>5266.4</v>
      </c>
      <c r="BN355" s="349">
        <v>5266.4</v>
      </c>
      <c r="BO355" s="220">
        <f t="shared" si="226"/>
        <v>0</v>
      </c>
      <c r="BP355" s="220">
        <f t="shared" si="227"/>
        <v>22427.7812</v>
      </c>
      <c r="BQ355" s="220">
        <f t="shared" si="228"/>
        <v>16698.8658</v>
      </c>
      <c r="BR355" s="220">
        <f t="shared" si="229"/>
        <v>5728.9154</v>
      </c>
      <c r="BS355" s="247" t="s">
        <v>39</v>
      </c>
      <c r="BT355" s="228" t="s">
        <v>39</v>
      </c>
      <c r="BU355" s="230" t="s">
        <v>1252</v>
      </c>
      <c r="BV355" s="230" t="s">
        <v>1253</v>
      </c>
      <c r="BW355" s="231"/>
    </row>
    <row r="356" s="209" customFormat="1" ht="48" customHeight="1" spans="1:75">
      <c r="A356" s="219">
        <v>410</v>
      </c>
      <c r="B356" s="220" t="s">
        <v>1548</v>
      </c>
      <c r="C356" s="221" t="s">
        <v>1142</v>
      </c>
      <c r="D356" s="221" t="s">
        <v>1247</v>
      </c>
      <c r="E356" s="242" t="s">
        <v>1248</v>
      </c>
      <c r="F356" s="219" t="s">
        <v>81</v>
      </c>
      <c r="G356" s="243" t="s">
        <v>1460</v>
      </c>
      <c r="H356" s="222" t="s">
        <v>280</v>
      </c>
      <c r="I356" s="237" t="s">
        <v>618</v>
      </c>
      <c r="J356" s="222" t="s">
        <v>1278</v>
      </c>
      <c r="K356" s="223" cm="1">
        <f t="array" ref="K356">_xlfn.XLOOKUP(D356&amp;E356&amp;H356&amp;I356&amp;J356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24022.37</v>
      </c>
      <c r="L356" s="223"/>
      <c r="M356" s="224"/>
      <c r="N356" s="352">
        <v>7201.63</v>
      </c>
      <c r="O356" s="226">
        <v>240000</v>
      </c>
      <c r="P356" s="247">
        <v>0.23</v>
      </c>
      <c r="Q356" s="228">
        <f t="shared" si="238"/>
        <v>5525.1451</v>
      </c>
      <c r="R356" s="352">
        <v>9110.231</v>
      </c>
      <c r="S356" s="228">
        <f t="shared" si="215"/>
        <v>-3585.0859</v>
      </c>
      <c r="T356" s="235">
        <v>0</v>
      </c>
      <c r="U356" s="228">
        <f t="shared" si="209"/>
        <v>0</v>
      </c>
      <c r="V356" s="228"/>
      <c r="W356" s="228">
        <f t="shared" si="232"/>
        <v>0</v>
      </c>
      <c r="X356" s="247">
        <v>0</v>
      </c>
      <c r="Y356" s="228">
        <f t="shared" si="231"/>
        <v>0</v>
      </c>
      <c r="Z356" s="259"/>
      <c r="AA356" s="228">
        <f t="shared" si="216"/>
        <v>0</v>
      </c>
      <c r="AB356" s="240">
        <v>0</v>
      </c>
      <c r="AC356" s="228">
        <f t="shared" si="212"/>
        <v>0</v>
      </c>
      <c r="AD356" s="240"/>
      <c r="AE356" s="228">
        <f t="shared" si="217"/>
        <v>0</v>
      </c>
      <c r="AF356" s="247">
        <v>0</v>
      </c>
      <c r="AG356" s="228">
        <f t="shared" si="210"/>
        <v>0</v>
      </c>
      <c r="AH356" s="240"/>
      <c r="AI356" s="228">
        <f t="shared" si="218"/>
        <v>0</v>
      </c>
      <c r="AJ356" s="247">
        <v>0</v>
      </c>
      <c r="AK356" s="228">
        <f t="shared" si="236"/>
        <v>0</v>
      </c>
      <c r="AL356" s="240"/>
      <c r="AM356" s="228">
        <f t="shared" si="219"/>
        <v>0</v>
      </c>
      <c r="AN356" s="235">
        <v>0</v>
      </c>
      <c r="AO356" s="228">
        <f t="shared" si="237"/>
        <v>0</v>
      </c>
      <c r="AP356" s="240"/>
      <c r="AQ356" s="228">
        <f t="shared" si="220"/>
        <v>0</v>
      </c>
      <c r="AR356" s="228">
        <v>0.03</v>
      </c>
      <c r="AS356" s="228">
        <f t="shared" si="214"/>
        <v>720.6711</v>
      </c>
      <c r="AT356" s="352">
        <v>1188.291</v>
      </c>
      <c r="AU356" s="228">
        <f t="shared" si="221"/>
        <v>-467.6199</v>
      </c>
      <c r="AV356" s="285">
        <v>0</v>
      </c>
      <c r="AW356" s="228">
        <f t="shared" si="230"/>
        <v>0</v>
      </c>
      <c r="AX356" s="228"/>
      <c r="AY356" s="228">
        <f t="shared" si="222"/>
        <v>0</v>
      </c>
      <c r="AZ356" s="240" t="s">
        <v>1515</v>
      </c>
      <c r="BA356" s="267"/>
      <c r="BB356" s="259"/>
      <c r="BC356" s="228">
        <f t="shared" si="223"/>
        <v>0</v>
      </c>
      <c r="BD356" s="235" t="s">
        <v>1549</v>
      </c>
      <c r="BE356" s="228">
        <v>1000</v>
      </c>
      <c r="BF356" s="353">
        <v>1000</v>
      </c>
      <c r="BG356" s="228">
        <f t="shared" si="224"/>
        <v>0</v>
      </c>
      <c r="BH356" s="235">
        <v>0</v>
      </c>
      <c r="BI356" s="228">
        <f t="shared" si="239"/>
        <v>0</v>
      </c>
      <c r="BJ356" s="259"/>
      <c r="BK356" s="228">
        <f t="shared" si="225"/>
        <v>0</v>
      </c>
      <c r="BL356" s="235" t="s">
        <v>1515</v>
      </c>
      <c r="BM356" s="220">
        <f t="shared" si="235"/>
        <v>9596.75</v>
      </c>
      <c r="BN356" s="349">
        <v>9596.75</v>
      </c>
      <c r="BO356" s="220">
        <f t="shared" si="226"/>
        <v>0</v>
      </c>
      <c r="BP356" s="220">
        <f t="shared" si="227"/>
        <v>24044.1962</v>
      </c>
      <c r="BQ356" s="220">
        <f t="shared" si="228"/>
        <v>28096.902</v>
      </c>
      <c r="BR356" s="220">
        <f t="shared" si="229"/>
        <v>-4052.7058</v>
      </c>
      <c r="BS356" s="247" t="s">
        <v>39</v>
      </c>
      <c r="BT356" s="228" t="s">
        <v>39</v>
      </c>
      <c r="BU356" s="230" t="s">
        <v>1279</v>
      </c>
      <c r="BV356" s="230" t="s">
        <v>1253</v>
      </c>
      <c r="BW356" s="231"/>
    </row>
    <row r="357" s="209" customFormat="1" ht="48" customHeight="1" spans="1:75">
      <c r="A357" s="219">
        <v>411</v>
      </c>
      <c r="B357" s="220" t="s">
        <v>1550</v>
      </c>
      <c r="C357" s="221" t="s">
        <v>1142</v>
      </c>
      <c r="D357" s="221" t="s">
        <v>1247</v>
      </c>
      <c r="E357" s="242" t="s">
        <v>1248</v>
      </c>
      <c r="F357" s="219" t="s">
        <v>81</v>
      </c>
      <c r="G357" s="243" t="s">
        <v>1460</v>
      </c>
      <c r="H357" s="222" t="s">
        <v>284</v>
      </c>
      <c r="I357" s="237" t="s">
        <v>723</v>
      </c>
      <c r="J357" s="222" t="s">
        <v>1281</v>
      </c>
      <c r="K357" s="223" cm="1">
        <f t="array" ref="K357">_xlfn.XLOOKUP(D357&amp;E357&amp;H357&amp;I357&amp;J357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28220.17</v>
      </c>
      <c r="L357" s="223"/>
      <c r="M357" s="224"/>
      <c r="N357" s="348">
        <v>7201.63</v>
      </c>
      <c r="O357" s="226">
        <v>400000</v>
      </c>
      <c r="P357" s="247">
        <v>0.23</v>
      </c>
      <c r="Q357" s="228">
        <f t="shared" si="238"/>
        <v>6490.6391</v>
      </c>
      <c r="R357" s="348">
        <v>7445.3392</v>
      </c>
      <c r="S357" s="228">
        <f t="shared" si="215"/>
        <v>-954.7001</v>
      </c>
      <c r="T357" s="235">
        <v>0</v>
      </c>
      <c r="U357" s="228">
        <f t="shared" si="209"/>
        <v>0</v>
      </c>
      <c r="V357" s="228"/>
      <c r="W357" s="228">
        <f t="shared" si="232"/>
        <v>0</v>
      </c>
      <c r="X357" s="247">
        <v>0</v>
      </c>
      <c r="Y357" s="228">
        <f t="shared" si="231"/>
        <v>0</v>
      </c>
      <c r="Z357" s="259"/>
      <c r="AA357" s="228">
        <f t="shared" si="216"/>
        <v>0</v>
      </c>
      <c r="AB357" s="240">
        <v>0</v>
      </c>
      <c r="AC357" s="228">
        <f t="shared" si="212"/>
        <v>0</v>
      </c>
      <c r="AD357" s="240"/>
      <c r="AE357" s="228">
        <f t="shared" si="217"/>
        <v>0</v>
      </c>
      <c r="AF357" s="247">
        <v>0</v>
      </c>
      <c r="AG357" s="228">
        <f t="shared" si="210"/>
        <v>0</v>
      </c>
      <c r="AH357" s="240"/>
      <c r="AI357" s="228">
        <f t="shared" si="218"/>
        <v>0</v>
      </c>
      <c r="AJ357" s="247">
        <v>0</v>
      </c>
      <c r="AK357" s="228">
        <f t="shared" si="236"/>
        <v>0</v>
      </c>
      <c r="AL357" s="240"/>
      <c r="AM357" s="228">
        <f t="shared" si="219"/>
        <v>0</v>
      </c>
      <c r="AN357" s="235">
        <v>0</v>
      </c>
      <c r="AO357" s="228">
        <f t="shared" si="237"/>
        <v>0</v>
      </c>
      <c r="AP357" s="240"/>
      <c r="AQ357" s="228">
        <f t="shared" si="220"/>
        <v>0</v>
      </c>
      <c r="AR357" s="228">
        <v>0.03</v>
      </c>
      <c r="AS357" s="228">
        <f t="shared" si="214"/>
        <v>846.6051</v>
      </c>
      <c r="AT357" s="348">
        <v>971.1312</v>
      </c>
      <c r="AU357" s="228">
        <f t="shared" si="221"/>
        <v>-124.5261</v>
      </c>
      <c r="AV357" s="285">
        <v>0</v>
      </c>
      <c r="AW357" s="228">
        <f t="shared" si="230"/>
        <v>0</v>
      </c>
      <c r="AX357" s="228"/>
      <c r="AY357" s="228">
        <f t="shared" si="222"/>
        <v>0</v>
      </c>
      <c r="AZ357" s="240" t="s">
        <v>1515</v>
      </c>
      <c r="BA357" s="267"/>
      <c r="BB357" s="259"/>
      <c r="BC357" s="228">
        <f t="shared" si="223"/>
        <v>0</v>
      </c>
      <c r="BD357" s="235" t="s">
        <v>1543</v>
      </c>
      <c r="BE357" s="228">
        <v>1000</v>
      </c>
      <c r="BF357" s="351">
        <v>1000</v>
      </c>
      <c r="BG357" s="228">
        <f t="shared" si="224"/>
        <v>0</v>
      </c>
      <c r="BH357" s="235">
        <v>0</v>
      </c>
      <c r="BI357" s="228">
        <f t="shared" si="239"/>
        <v>0</v>
      </c>
      <c r="BJ357" s="259"/>
      <c r="BK357" s="228">
        <f t="shared" si="225"/>
        <v>0</v>
      </c>
      <c r="BL357" s="235" t="s">
        <v>1515</v>
      </c>
      <c r="BM357" s="220">
        <f t="shared" si="235"/>
        <v>1349.5</v>
      </c>
      <c r="BN357" s="349">
        <v>1349.5</v>
      </c>
      <c r="BO357" s="220">
        <f t="shared" si="226"/>
        <v>0</v>
      </c>
      <c r="BP357" s="220">
        <f t="shared" si="227"/>
        <v>16888.3742</v>
      </c>
      <c r="BQ357" s="220">
        <f t="shared" si="228"/>
        <v>17967.6004</v>
      </c>
      <c r="BR357" s="220">
        <f t="shared" si="229"/>
        <v>-1079.2262</v>
      </c>
      <c r="BS357" s="247" t="s">
        <v>39</v>
      </c>
      <c r="BT357" s="228" t="s">
        <v>39</v>
      </c>
      <c r="BU357" s="230" t="s">
        <v>1252</v>
      </c>
      <c r="BV357" s="230" t="s">
        <v>1253</v>
      </c>
      <c r="BW357" s="231"/>
    </row>
    <row r="358" s="209" customFormat="1" ht="48" customHeight="1" spans="1:75">
      <c r="A358" s="219">
        <v>412</v>
      </c>
      <c r="B358" s="220" t="s">
        <v>1551</v>
      </c>
      <c r="C358" s="221" t="s">
        <v>1142</v>
      </c>
      <c r="D358" s="221" t="s">
        <v>1247</v>
      </c>
      <c r="E358" s="242" t="s">
        <v>1248</v>
      </c>
      <c r="F358" s="219" t="s">
        <v>81</v>
      </c>
      <c r="G358" s="243" t="s">
        <v>1460</v>
      </c>
      <c r="H358" s="222" t="s">
        <v>322</v>
      </c>
      <c r="I358" s="237" t="s">
        <v>1283</v>
      </c>
      <c r="J358" s="222" t="s">
        <v>1284</v>
      </c>
      <c r="K358" s="223" cm="1">
        <f t="array" ref="K358">_xlfn.XLOOKUP(D358&amp;E358&amp;H358&amp;I358&amp;J358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21063.9</v>
      </c>
      <c r="L358" s="223"/>
      <c r="M358" s="224"/>
      <c r="N358" s="348">
        <v>2099</v>
      </c>
      <c r="O358" s="226">
        <v>240000</v>
      </c>
      <c r="P358" s="247">
        <v>0.23</v>
      </c>
      <c r="Q358" s="228">
        <f t="shared" si="238"/>
        <v>4844.697</v>
      </c>
      <c r="R358" s="348">
        <v>9242.941</v>
      </c>
      <c r="S358" s="228">
        <f t="shared" si="215"/>
        <v>-4398.244</v>
      </c>
      <c r="T358" s="235">
        <v>0</v>
      </c>
      <c r="U358" s="228">
        <f t="shared" si="209"/>
        <v>0</v>
      </c>
      <c r="V358" s="228"/>
      <c r="W358" s="228">
        <f t="shared" si="232"/>
        <v>0</v>
      </c>
      <c r="X358" s="247">
        <v>0</v>
      </c>
      <c r="Y358" s="228">
        <f t="shared" si="231"/>
        <v>0</v>
      </c>
      <c r="Z358" s="259"/>
      <c r="AA358" s="228">
        <f t="shared" si="216"/>
        <v>0</v>
      </c>
      <c r="AB358" s="240">
        <v>0</v>
      </c>
      <c r="AC358" s="228">
        <f t="shared" si="212"/>
        <v>0</v>
      </c>
      <c r="AD358" s="240"/>
      <c r="AE358" s="228">
        <f t="shared" si="217"/>
        <v>0</v>
      </c>
      <c r="AF358" s="247">
        <v>0</v>
      </c>
      <c r="AG358" s="228">
        <f t="shared" si="210"/>
        <v>0</v>
      </c>
      <c r="AH358" s="240"/>
      <c r="AI358" s="228">
        <f t="shared" si="218"/>
        <v>0</v>
      </c>
      <c r="AJ358" s="247">
        <v>0</v>
      </c>
      <c r="AK358" s="228">
        <f t="shared" si="236"/>
        <v>0</v>
      </c>
      <c r="AL358" s="240"/>
      <c r="AM358" s="228">
        <f t="shared" si="219"/>
        <v>0</v>
      </c>
      <c r="AN358" s="235">
        <v>0</v>
      </c>
      <c r="AO358" s="228">
        <f t="shared" si="237"/>
        <v>0</v>
      </c>
      <c r="AP358" s="240"/>
      <c r="AQ358" s="228">
        <f t="shared" si="220"/>
        <v>0</v>
      </c>
      <c r="AR358" s="228">
        <v>0.03</v>
      </c>
      <c r="AS358" s="228">
        <f t="shared" si="214"/>
        <v>631.917</v>
      </c>
      <c r="AT358" s="348">
        <v>1205.601</v>
      </c>
      <c r="AU358" s="228">
        <f t="shared" si="221"/>
        <v>-573.684</v>
      </c>
      <c r="AV358" s="285">
        <v>0</v>
      </c>
      <c r="AW358" s="228">
        <f t="shared" si="230"/>
        <v>0</v>
      </c>
      <c r="AX358" s="228"/>
      <c r="AY358" s="228">
        <f t="shared" si="222"/>
        <v>0</v>
      </c>
      <c r="AZ358" s="240" t="s">
        <v>1515</v>
      </c>
      <c r="BA358" s="267"/>
      <c r="BB358" s="259"/>
      <c r="BC358" s="228">
        <f t="shared" si="223"/>
        <v>0</v>
      </c>
      <c r="BD358" s="235" t="s">
        <v>1543</v>
      </c>
      <c r="BE358" s="228">
        <v>1000</v>
      </c>
      <c r="BF358" s="351">
        <v>1000</v>
      </c>
      <c r="BG358" s="228">
        <f t="shared" si="224"/>
        <v>0</v>
      </c>
      <c r="BH358" s="235">
        <v>0</v>
      </c>
      <c r="BI358" s="228">
        <f t="shared" si="239"/>
        <v>0</v>
      </c>
      <c r="BJ358" s="259"/>
      <c r="BK358" s="228">
        <f t="shared" si="225"/>
        <v>0</v>
      </c>
      <c r="BL358" s="235" t="s">
        <v>1515</v>
      </c>
      <c r="BM358" s="220">
        <f t="shared" si="235"/>
        <v>5144.6</v>
      </c>
      <c r="BN358" s="349">
        <v>5144.6</v>
      </c>
      <c r="BO358" s="220">
        <f t="shared" si="226"/>
        <v>0</v>
      </c>
      <c r="BP358" s="220">
        <f t="shared" si="227"/>
        <v>13720.214</v>
      </c>
      <c r="BQ358" s="220">
        <f t="shared" si="228"/>
        <v>18692.142</v>
      </c>
      <c r="BR358" s="220">
        <f t="shared" si="229"/>
        <v>-4971.928</v>
      </c>
      <c r="BS358" s="247" t="s">
        <v>39</v>
      </c>
      <c r="BT358" s="228" t="s">
        <v>39</v>
      </c>
      <c r="BU358" s="230" t="s">
        <v>1252</v>
      </c>
      <c r="BV358" s="230" t="s">
        <v>1253</v>
      </c>
      <c r="BW358" s="231"/>
    </row>
    <row r="359" s="209" customFormat="1" ht="72" customHeight="1" spans="1:75">
      <c r="A359" s="219">
        <v>413</v>
      </c>
      <c r="B359" s="220" t="s">
        <v>1552</v>
      </c>
      <c r="C359" s="221" t="s">
        <v>1142</v>
      </c>
      <c r="D359" s="221" t="s">
        <v>1247</v>
      </c>
      <c r="E359" s="242" t="s">
        <v>1248</v>
      </c>
      <c r="F359" s="219" t="s">
        <v>81</v>
      </c>
      <c r="G359" s="243" t="s">
        <v>1460</v>
      </c>
      <c r="H359" s="222" t="s">
        <v>329</v>
      </c>
      <c r="I359" s="237" t="s">
        <v>1286</v>
      </c>
      <c r="J359" s="222" t="s">
        <v>1287</v>
      </c>
      <c r="K359" s="223" cm="1">
        <f t="array" ref="K359">_xlfn.XLOOKUP(D359&amp;E359&amp;H359&amp;I359&amp;J359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35575.89</v>
      </c>
      <c r="L359" s="223"/>
      <c r="M359" s="224"/>
      <c r="N359" s="348">
        <v>10247.26</v>
      </c>
      <c r="O359" s="226">
        <v>80000</v>
      </c>
      <c r="P359" s="247">
        <v>0.07</v>
      </c>
      <c r="Q359" s="228">
        <f t="shared" si="238"/>
        <v>2490.3123</v>
      </c>
      <c r="R359" s="348">
        <v>2921.5977</v>
      </c>
      <c r="S359" s="228">
        <f t="shared" si="215"/>
        <v>-431.2854</v>
      </c>
      <c r="T359" s="235">
        <v>0</v>
      </c>
      <c r="U359" s="228">
        <f t="shared" si="209"/>
        <v>0</v>
      </c>
      <c r="V359" s="228"/>
      <c r="W359" s="228">
        <f t="shared" si="232"/>
        <v>0</v>
      </c>
      <c r="X359" s="247">
        <v>0</v>
      </c>
      <c r="Y359" s="228">
        <f t="shared" si="231"/>
        <v>0</v>
      </c>
      <c r="Z359" s="259"/>
      <c r="AA359" s="228">
        <f t="shared" si="216"/>
        <v>0</v>
      </c>
      <c r="AB359" s="235">
        <v>0</v>
      </c>
      <c r="AC359" s="228">
        <f t="shared" si="212"/>
        <v>0</v>
      </c>
      <c r="AD359" s="240"/>
      <c r="AE359" s="228">
        <f t="shared" si="217"/>
        <v>0</v>
      </c>
      <c r="AF359" s="247">
        <v>0</v>
      </c>
      <c r="AG359" s="228">
        <f t="shared" si="210"/>
        <v>0</v>
      </c>
      <c r="AH359" s="240"/>
      <c r="AI359" s="228">
        <f t="shared" si="218"/>
        <v>0</v>
      </c>
      <c r="AJ359" s="247">
        <v>0</v>
      </c>
      <c r="AK359" s="228">
        <f t="shared" si="236"/>
        <v>0</v>
      </c>
      <c r="AL359" s="240"/>
      <c r="AM359" s="228">
        <f t="shared" si="219"/>
        <v>0</v>
      </c>
      <c r="AN359" s="235">
        <v>0</v>
      </c>
      <c r="AO359" s="228">
        <f t="shared" si="237"/>
        <v>0</v>
      </c>
      <c r="AP359" s="240"/>
      <c r="AQ359" s="228">
        <f t="shared" si="220"/>
        <v>0</v>
      </c>
      <c r="AR359" s="228">
        <v>0.03</v>
      </c>
      <c r="AS359" s="228">
        <f t="shared" si="214"/>
        <v>1067.2767</v>
      </c>
      <c r="AT359" s="348">
        <v>1252.1133</v>
      </c>
      <c r="AU359" s="228">
        <f t="shared" si="221"/>
        <v>-184.8366</v>
      </c>
      <c r="AV359" s="285">
        <v>0</v>
      </c>
      <c r="AW359" s="228">
        <f t="shared" si="230"/>
        <v>0</v>
      </c>
      <c r="AX359" s="228"/>
      <c r="AY359" s="228">
        <f t="shared" si="222"/>
        <v>0</v>
      </c>
      <c r="AZ359" s="240" t="s">
        <v>1515</v>
      </c>
      <c r="BA359" s="267"/>
      <c r="BB359" s="259"/>
      <c r="BC359" s="228">
        <f t="shared" si="223"/>
        <v>0</v>
      </c>
      <c r="BD359" s="235">
        <v>0</v>
      </c>
      <c r="BE359" s="228">
        <f t="shared" ref="BE359:BE382" si="241">K359*BD359</f>
        <v>0</v>
      </c>
      <c r="BF359" s="351">
        <v>0</v>
      </c>
      <c r="BG359" s="228">
        <f t="shared" si="224"/>
        <v>0</v>
      </c>
      <c r="BH359" s="235">
        <v>0</v>
      </c>
      <c r="BI359" s="228">
        <f t="shared" si="239"/>
        <v>0</v>
      </c>
      <c r="BJ359" s="259"/>
      <c r="BK359" s="228">
        <f t="shared" si="225"/>
        <v>0</v>
      </c>
      <c r="BL359" s="235" t="s">
        <v>1515</v>
      </c>
      <c r="BM359" s="354"/>
      <c r="BN359" s="349"/>
      <c r="BO359" s="220">
        <f t="shared" si="226"/>
        <v>0</v>
      </c>
      <c r="BP359" s="220">
        <f t="shared" si="227"/>
        <v>13804.849</v>
      </c>
      <c r="BQ359" s="220">
        <f t="shared" si="228"/>
        <v>14420.971</v>
      </c>
      <c r="BR359" s="220">
        <f t="shared" si="229"/>
        <v>-616.121999999999</v>
      </c>
      <c r="BS359" s="247" t="s">
        <v>39</v>
      </c>
      <c r="BT359" s="228" t="s">
        <v>39</v>
      </c>
      <c r="BU359" s="230" t="s">
        <v>1288</v>
      </c>
      <c r="BV359" s="230" t="s">
        <v>1253</v>
      </c>
      <c r="BW359" s="231"/>
    </row>
    <row r="360" s="209" customFormat="1" ht="12" customHeight="1" spans="1:75">
      <c r="A360" s="219">
        <v>416</v>
      </c>
      <c r="B360" s="220" t="s">
        <v>1553</v>
      </c>
      <c r="C360" s="221" t="s">
        <v>1142</v>
      </c>
      <c r="D360" s="221" t="s">
        <v>1296</v>
      </c>
      <c r="E360" s="221" t="s">
        <v>1297</v>
      </c>
      <c r="F360" s="219" t="s">
        <v>53</v>
      </c>
      <c r="G360" s="222" t="s">
        <v>578</v>
      </c>
      <c r="H360" s="222" t="s">
        <v>39</v>
      </c>
      <c r="I360" s="237" t="s">
        <v>39</v>
      </c>
      <c r="J360" s="222" t="s">
        <v>39</v>
      </c>
      <c r="K360" s="223" cm="1">
        <f t="array" ref="K360">_xlfn.XLOOKUP(D360&amp;E360&amp;H360&amp;I360&amp;J360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182182.78</v>
      </c>
      <c r="L360" s="223"/>
      <c r="M360" s="224"/>
      <c r="N360" s="225"/>
      <c r="O360" s="355">
        <v>2084000</v>
      </c>
      <c r="P360" s="285">
        <v>0</v>
      </c>
      <c r="Q360" s="228">
        <f t="shared" si="238"/>
        <v>0</v>
      </c>
      <c r="R360" s="227"/>
      <c r="S360" s="228">
        <f t="shared" si="215"/>
        <v>0</v>
      </c>
      <c r="T360" s="227">
        <v>0</v>
      </c>
      <c r="U360" s="228">
        <f t="shared" si="209"/>
        <v>0</v>
      </c>
      <c r="V360" s="227"/>
      <c r="W360" s="228">
        <f t="shared" si="232"/>
        <v>0</v>
      </c>
      <c r="X360" s="227">
        <v>0</v>
      </c>
      <c r="Y360" s="228">
        <f t="shared" si="231"/>
        <v>0</v>
      </c>
      <c r="Z360" s="227"/>
      <c r="AA360" s="228">
        <f t="shared" si="216"/>
        <v>0</v>
      </c>
      <c r="AB360" s="227">
        <v>0</v>
      </c>
      <c r="AC360" s="228">
        <f t="shared" si="212"/>
        <v>0</v>
      </c>
      <c r="AD360" s="227"/>
      <c r="AE360" s="228">
        <f t="shared" si="217"/>
        <v>0</v>
      </c>
      <c r="AF360" s="227">
        <v>0</v>
      </c>
      <c r="AG360" s="228">
        <f t="shared" si="210"/>
        <v>0</v>
      </c>
      <c r="AH360" s="227"/>
      <c r="AI360" s="228">
        <f t="shared" si="218"/>
        <v>0</v>
      </c>
      <c r="AJ360" s="227">
        <v>0</v>
      </c>
      <c r="AK360" s="228">
        <f t="shared" si="236"/>
        <v>0</v>
      </c>
      <c r="AL360" s="227"/>
      <c r="AM360" s="228">
        <f t="shared" si="219"/>
        <v>0</v>
      </c>
      <c r="AN360" s="227">
        <v>0</v>
      </c>
      <c r="AO360" s="228">
        <f t="shared" si="237"/>
        <v>0</v>
      </c>
      <c r="AP360" s="228"/>
      <c r="AQ360" s="228">
        <f t="shared" si="220"/>
        <v>0</v>
      </c>
      <c r="AR360" s="228">
        <v>0</v>
      </c>
      <c r="AS360" s="228">
        <f t="shared" si="214"/>
        <v>0</v>
      </c>
      <c r="AT360" s="227"/>
      <c r="AU360" s="228">
        <f t="shared" si="221"/>
        <v>0</v>
      </c>
      <c r="AV360" s="285">
        <v>0</v>
      </c>
      <c r="AW360" s="228">
        <f t="shared" si="230"/>
        <v>0</v>
      </c>
      <c r="AX360" s="227"/>
      <c r="AY360" s="228">
        <f t="shared" si="222"/>
        <v>0</v>
      </c>
      <c r="AZ360" s="227">
        <v>0</v>
      </c>
      <c r="BA360" s="228">
        <f>K360*AZ360</f>
        <v>0</v>
      </c>
      <c r="BB360" s="228"/>
      <c r="BC360" s="228">
        <f t="shared" si="223"/>
        <v>0</v>
      </c>
      <c r="BD360" s="228"/>
      <c r="BE360" s="228">
        <f t="shared" si="241"/>
        <v>0</v>
      </c>
      <c r="BF360" s="228"/>
      <c r="BG360" s="228">
        <f t="shared" si="224"/>
        <v>0</v>
      </c>
      <c r="BH360" s="228"/>
      <c r="BI360" s="228">
        <f t="shared" si="239"/>
        <v>0</v>
      </c>
      <c r="BJ360" s="228"/>
      <c r="BK360" s="228">
        <f t="shared" si="225"/>
        <v>0</v>
      </c>
      <c r="BL360" s="228">
        <v>0</v>
      </c>
      <c r="BM360" s="220">
        <f>K360*BL360</f>
        <v>0</v>
      </c>
      <c r="BN360" s="220"/>
      <c r="BO360" s="220">
        <f t="shared" si="226"/>
        <v>0</v>
      </c>
      <c r="BP360" s="220">
        <f t="shared" si="227"/>
        <v>0</v>
      </c>
      <c r="BQ360" s="220">
        <f t="shared" si="228"/>
        <v>0</v>
      </c>
      <c r="BR360" s="220">
        <f t="shared" si="229"/>
        <v>0</v>
      </c>
      <c r="BS360" s="254">
        <v>0.08</v>
      </c>
      <c r="BT360" s="229" t="s">
        <v>39</v>
      </c>
      <c r="BU360" s="230"/>
      <c r="BV360" s="230"/>
      <c r="BW360" s="231"/>
    </row>
    <row r="361" s="209" customFormat="1" ht="60" customHeight="1" spans="1:75">
      <c r="A361" s="219">
        <v>418</v>
      </c>
      <c r="B361" s="220" t="s">
        <v>1554</v>
      </c>
      <c r="C361" s="221" t="s">
        <v>1142</v>
      </c>
      <c r="D361" s="221" t="s">
        <v>1299</v>
      </c>
      <c r="E361" s="221" t="s">
        <v>1300</v>
      </c>
      <c r="F361" s="219" t="s">
        <v>81</v>
      </c>
      <c r="G361" s="222" t="s">
        <v>38</v>
      </c>
      <c r="H361" s="222" t="s">
        <v>60</v>
      </c>
      <c r="I361" s="237" t="s">
        <v>1303</v>
      </c>
      <c r="J361" s="222" t="s">
        <v>1304</v>
      </c>
      <c r="K361" s="223" cm="1">
        <f t="array" ref="K361">_xlfn.XLOOKUP(D361&amp;E361&amp;H361&amp;I361&amp;J361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1" s="223"/>
      <c r="M361" s="224"/>
      <c r="N361" s="225"/>
      <c r="O361" s="226">
        <v>340000</v>
      </c>
      <c r="P361" s="235">
        <v>0.27</v>
      </c>
      <c r="Q361" s="228">
        <f t="shared" si="238"/>
        <v>0</v>
      </c>
      <c r="R361" s="356"/>
      <c r="S361" s="228">
        <f t="shared" si="215"/>
        <v>0</v>
      </c>
      <c r="T361" s="235">
        <v>0</v>
      </c>
      <c r="U361" s="228">
        <f t="shared" si="209"/>
        <v>0</v>
      </c>
      <c r="V361" s="228"/>
      <c r="W361" s="228">
        <f t="shared" si="232"/>
        <v>0</v>
      </c>
      <c r="X361" s="235">
        <v>0</v>
      </c>
      <c r="Y361" s="228">
        <f t="shared" si="231"/>
        <v>0</v>
      </c>
      <c r="Z361" s="228"/>
      <c r="AA361" s="228">
        <f t="shared" si="216"/>
        <v>0</v>
      </c>
      <c r="AB361" s="235">
        <v>0</v>
      </c>
      <c r="AC361" s="228">
        <f t="shared" si="212"/>
        <v>0</v>
      </c>
      <c r="AD361" s="228"/>
      <c r="AE361" s="228">
        <f t="shared" si="217"/>
        <v>0</v>
      </c>
      <c r="AF361" s="235">
        <v>0</v>
      </c>
      <c r="AG361" s="228">
        <f t="shared" si="210"/>
        <v>0</v>
      </c>
      <c r="AH361" s="228"/>
      <c r="AI361" s="228">
        <f t="shared" si="218"/>
        <v>0</v>
      </c>
      <c r="AJ361" s="235">
        <v>0</v>
      </c>
      <c r="AK361" s="228">
        <f t="shared" si="236"/>
        <v>0</v>
      </c>
      <c r="AL361" s="228"/>
      <c r="AM361" s="228">
        <f t="shared" si="219"/>
        <v>0</v>
      </c>
      <c r="AN361" s="235">
        <v>0</v>
      </c>
      <c r="AO361" s="228">
        <f t="shared" si="237"/>
        <v>0</v>
      </c>
      <c r="AP361" s="228"/>
      <c r="AQ361" s="228">
        <f t="shared" si="220"/>
        <v>0</v>
      </c>
      <c r="AR361" s="228">
        <v>0</v>
      </c>
      <c r="AS361" s="228">
        <f t="shared" si="214"/>
        <v>0</v>
      </c>
      <c r="AT361" s="263"/>
      <c r="AU361" s="331">
        <f t="shared" si="221"/>
        <v>0</v>
      </c>
      <c r="AV361" s="235">
        <v>0</v>
      </c>
      <c r="AW361" s="228">
        <f t="shared" si="230"/>
        <v>0</v>
      </c>
      <c r="AX361" s="263"/>
      <c r="AY361" s="228">
        <f t="shared" si="222"/>
        <v>0</v>
      </c>
      <c r="AZ361" s="235" t="s">
        <v>1457</v>
      </c>
      <c r="BA361" s="228">
        <f t="shared" ref="BA361:BA376" si="242">BB361</f>
        <v>0</v>
      </c>
      <c r="BB361" s="228"/>
      <c r="BC361" s="228">
        <f t="shared" si="223"/>
        <v>0</v>
      </c>
      <c r="BD361" s="235">
        <v>0</v>
      </c>
      <c r="BE361" s="228">
        <f t="shared" si="241"/>
        <v>0</v>
      </c>
      <c r="BF361" s="228"/>
      <c r="BG361" s="228">
        <f t="shared" si="224"/>
        <v>0</v>
      </c>
      <c r="BH361" s="235">
        <v>0</v>
      </c>
      <c r="BI361" s="228">
        <f t="shared" si="239"/>
        <v>0</v>
      </c>
      <c r="BJ361" s="228"/>
      <c r="BK361" s="228">
        <f t="shared" si="225"/>
        <v>0</v>
      </c>
      <c r="BL361" s="235" t="s">
        <v>1457</v>
      </c>
      <c r="BM361" s="220">
        <f t="shared" ref="BM361:BM376" si="243">BN361</f>
        <v>0</v>
      </c>
      <c r="BN361" s="220"/>
      <c r="BO361" s="220">
        <f t="shared" si="226"/>
        <v>0</v>
      </c>
      <c r="BP361" s="220">
        <f t="shared" si="227"/>
        <v>0</v>
      </c>
      <c r="BQ361" s="220">
        <f t="shared" si="228"/>
        <v>0</v>
      </c>
      <c r="BR361" s="357">
        <f t="shared" si="229"/>
        <v>0</v>
      </c>
      <c r="BS361" s="236" t="s">
        <v>39</v>
      </c>
      <c r="BT361" s="236" t="s">
        <v>39</v>
      </c>
      <c r="BU361" s="230" t="s">
        <v>1305</v>
      </c>
      <c r="BV361" s="230" t="s">
        <v>1306</v>
      </c>
      <c r="BW361" s="231"/>
    </row>
    <row r="362" s="209" customFormat="1" ht="60" customHeight="1" spans="1:75">
      <c r="A362" s="219">
        <v>419</v>
      </c>
      <c r="B362" s="220" t="s">
        <v>1555</v>
      </c>
      <c r="C362" s="221" t="s">
        <v>1142</v>
      </c>
      <c r="D362" s="221" t="s">
        <v>1299</v>
      </c>
      <c r="E362" s="221" t="s">
        <v>1300</v>
      </c>
      <c r="F362" s="219" t="s">
        <v>81</v>
      </c>
      <c r="G362" s="222" t="s">
        <v>38</v>
      </c>
      <c r="H362" s="222" t="s">
        <v>66</v>
      </c>
      <c r="I362" s="237" t="s">
        <v>1309</v>
      </c>
      <c r="J362" s="222" t="s">
        <v>1310</v>
      </c>
      <c r="K362" s="223" cm="1">
        <f t="array" ref="K362">_xlfn.XLOOKUP(D362&amp;E362&amp;H362&amp;I362&amp;J362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2" s="223"/>
      <c r="M362" s="224"/>
      <c r="N362" s="225"/>
      <c r="O362" s="226">
        <v>296000</v>
      </c>
      <c r="P362" s="235">
        <v>0.19</v>
      </c>
      <c r="Q362" s="228">
        <f t="shared" si="238"/>
        <v>0</v>
      </c>
      <c r="R362" s="356"/>
      <c r="S362" s="228">
        <f t="shared" si="215"/>
        <v>0</v>
      </c>
      <c r="T362" s="235">
        <v>0</v>
      </c>
      <c r="U362" s="228">
        <f t="shared" si="209"/>
        <v>0</v>
      </c>
      <c r="V362" s="228"/>
      <c r="W362" s="228">
        <f t="shared" si="232"/>
        <v>0</v>
      </c>
      <c r="X362" s="235">
        <v>0</v>
      </c>
      <c r="Y362" s="228">
        <f t="shared" si="231"/>
        <v>0</v>
      </c>
      <c r="Z362" s="228"/>
      <c r="AA362" s="228">
        <f t="shared" si="216"/>
        <v>0</v>
      </c>
      <c r="AB362" s="235">
        <v>0</v>
      </c>
      <c r="AC362" s="228">
        <f t="shared" si="212"/>
        <v>0</v>
      </c>
      <c r="AD362" s="228"/>
      <c r="AE362" s="228">
        <f t="shared" si="217"/>
        <v>0</v>
      </c>
      <c r="AF362" s="235">
        <v>0</v>
      </c>
      <c r="AG362" s="228">
        <f t="shared" si="210"/>
        <v>0</v>
      </c>
      <c r="AH362" s="228"/>
      <c r="AI362" s="228">
        <f t="shared" si="218"/>
        <v>0</v>
      </c>
      <c r="AJ362" s="235">
        <v>0</v>
      </c>
      <c r="AK362" s="228">
        <f t="shared" si="236"/>
        <v>0</v>
      </c>
      <c r="AL362" s="228"/>
      <c r="AM362" s="228">
        <f t="shared" si="219"/>
        <v>0</v>
      </c>
      <c r="AN362" s="235">
        <v>0</v>
      </c>
      <c r="AO362" s="228">
        <f t="shared" si="237"/>
        <v>0</v>
      </c>
      <c r="AP362" s="228"/>
      <c r="AQ362" s="228">
        <f t="shared" si="220"/>
        <v>0</v>
      </c>
      <c r="AR362" s="228">
        <v>0.035</v>
      </c>
      <c r="AS362" s="228">
        <f t="shared" si="214"/>
        <v>0</v>
      </c>
      <c r="AT362" s="258"/>
      <c r="AU362" s="331">
        <f t="shared" si="221"/>
        <v>0</v>
      </c>
      <c r="AV362" s="235" t="s">
        <v>1457</v>
      </c>
      <c r="AW362" s="228">
        <f>AX362</f>
        <v>0</v>
      </c>
      <c r="AX362" s="258"/>
      <c r="AY362" s="228">
        <f t="shared" si="222"/>
        <v>0</v>
      </c>
      <c r="AZ362" s="235" t="s">
        <v>1457</v>
      </c>
      <c r="BA362" s="228">
        <f t="shared" si="242"/>
        <v>0</v>
      </c>
      <c r="BB362" s="228"/>
      <c r="BC362" s="228">
        <f t="shared" si="223"/>
        <v>0</v>
      </c>
      <c r="BD362" s="235">
        <v>0</v>
      </c>
      <c r="BE362" s="228">
        <f t="shared" si="241"/>
        <v>0</v>
      </c>
      <c r="BF362" s="228"/>
      <c r="BG362" s="228">
        <f t="shared" si="224"/>
        <v>0</v>
      </c>
      <c r="BH362" s="235">
        <v>0</v>
      </c>
      <c r="BI362" s="228">
        <f t="shared" si="239"/>
        <v>0</v>
      </c>
      <c r="BJ362" s="228"/>
      <c r="BK362" s="228">
        <f t="shared" si="225"/>
        <v>0</v>
      </c>
      <c r="BL362" s="235" t="s">
        <v>1457</v>
      </c>
      <c r="BM362" s="220">
        <f t="shared" si="243"/>
        <v>0</v>
      </c>
      <c r="BN362" s="220"/>
      <c r="BO362" s="220">
        <f t="shared" si="226"/>
        <v>0</v>
      </c>
      <c r="BP362" s="220">
        <f t="shared" si="227"/>
        <v>0</v>
      </c>
      <c r="BQ362" s="220">
        <f t="shared" si="228"/>
        <v>0</v>
      </c>
      <c r="BR362" s="357">
        <f t="shared" si="229"/>
        <v>0</v>
      </c>
      <c r="BS362" s="236" t="s">
        <v>39</v>
      </c>
      <c r="BT362" s="236" t="s">
        <v>39</v>
      </c>
      <c r="BU362" s="230" t="s">
        <v>1305</v>
      </c>
      <c r="BV362" s="230" t="s">
        <v>1306</v>
      </c>
      <c r="BW362" s="231"/>
    </row>
    <row r="363" s="209" customFormat="1" ht="96" customHeight="1" spans="1:75">
      <c r="A363" s="219">
        <v>420</v>
      </c>
      <c r="B363" s="220" t="s">
        <v>1556</v>
      </c>
      <c r="C363" s="221" t="s">
        <v>1142</v>
      </c>
      <c r="D363" s="221" t="s">
        <v>1299</v>
      </c>
      <c r="E363" s="221" t="s">
        <v>1300</v>
      </c>
      <c r="F363" s="219" t="s">
        <v>81</v>
      </c>
      <c r="G363" s="222" t="s">
        <v>38</v>
      </c>
      <c r="H363" s="222" t="s">
        <v>70</v>
      </c>
      <c r="I363" s="237" t="s">
        <v>339</v>
      </c>
      <c r="J363" s="222" t="s">
        <v>1313</v>
      </c>
      <c r="K363" s="223" cm="1">
        <f t="array" ref="K363">_xlfn.XLOOKUP(D363&amp;E363&amp;H363&amp;I363&amp;J363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3" s="223"/>
      <c r="M363" s="224"/>
      <c r="N363" s="225"/>
      <c r="O363" s="226">
        <v>1440000</v>
      </c>
      <c r="P363" s="247" t="s">
        <v>1557</v>
      </c>
      <c r="Q363" s="228">
        <f>K363*23.5%</f>
        <v>0</v>
      </c>
      <c r="R363" s="356"/>
      <c r="S363" s="228">
        <f t="shared" si="215"/>
        <v>0</v>
      </c>
      <c r="T363" s="235">
        <v>0</v>
      </c>
      <c r="U363" s="228">
        <f t="shared" si="209"/>
        <v>0</v>
      </c>
      <c r="V363" s="228"/>
      <c r="W363" s="228">
        <f t="shared" si="232"/>
        <v>0</v>
      </c>
      <c r="X363" s="235">
        <v>0</v>
      </c>
      <c r="Y363" s="228">
        <f t="shared" si="231"/>
        <v>0</v>
      </c>
      <c r="Z363" s="228"/>
      <c r="AA363" s="228">
        <f t="shared" si="216"/>
        <v>0</v>
      </c>
      <c r="AB363" s="235">
        <v>0</v>
      </c>
      <c r="AC363" s="228">
        <f t="shared" si="212"/>
        <v>0</v>
      </c>
      <c r="AD363" s="228"/>
      <c r="AE363" s="228">
        <f t="shared" si="217"/>
        <v>0</v>
      </c>
      <c r="AF363" s="235">
        <v>0</v>
      </c>
      <c r="AG363" s="228">
        <f t="shared" si="210"/>
        <v>0</v>
      </c>
      <c r="AH363" s="228"/>
      <c r="AI363" s="228">
        <f t="shared" si="218"/>
        <v>0</v>
      </c>
      <c r="AJ363" s="235">
        <v>0</v>
      </c>
      <c r="AK363" s="228">
        <f t="shared" si="236"/>
        <v>0</v>
      </c>
      <c r="AL363" s="228"/>
      <c r="AM363" s="228">
        <f t="shared" si="219"/>
        <v>0</v>
      </c>
      <c r="AN363" s="235">
        <v>0</v>
      </c>
      <c r="AO363" s="228">
        <f t="shared" si="237"/>
        <v>0</v>
      </c>
      <c r="AP363" s="228"/>
      <c r="AQ363" s="228">
        <f t="shared" si="220"/>
        <v>0</v>
      </c>
      <c r="AR363" s="228">
        <v>0</v>
      </c>
      <c r="AS363" s="228">
        <f t="shared" si="214"/>
        <v>0</v>
      </c>
      <c r="AT363" s="263"/>
      <c r="AU363" s="331">
        <f t="shared" si="221"/>
        <v>0</v>
      </c>
      <c r="AV363" s="235">
        <v>0</v>
      </c>
      <c r="AW363" s="228">
        <f>K363*AV363</f>
        <v>0</v>
      </c>
      <c r="AX363" s="263"/>
      <c r="AY363" s="228">
        <f t="shared" si="222"/>
        <v>0</v>
      </c>
      <c r="AZ363" s="235" t="s">
        <v>1457</v>
      </c>
      <c r="BA363" s="228">
        <f t="shared" si="242"/>
        <v>0</v>
      </c>
      <c r="BB363" s="228"/>
      <c r="BC363" s="228">
        <f t="shared" si="223"/>
        <v>0</v>
      </c>
      <c r="BD363" s="235">
        <v>0</v>
      </c>
      <c r="BE363" s="228">
        <f t="shared" si="241"/>
        <v>0</v>
      </c>
      <c r="BF363" s="228"/>
      <c r="BG363" s="228">
        <f t="shared" si="224"/>
        <v>0</v>
      </c>
      <c r="BH363" s="235">
        <v>0</v>
      </c>
      <c r="BI363" s="228">
        <f t="shared" si="239"/>
        <v>0</v>
      </c>
      <c r="BJ363" s="228"/>
      <c r="BK363" s="228">
        <f t="shared" si="225"/>
        <v>0</v>
      </c>
      <c r="BL363" s="235" t="s">
        <v>1457</v>
      </c>
      <c r="BM363" s="220">
        <f t="shared" si="243"/>
        <v>0</v>
      </c>
      <c r="BN363" s="220"/>
      <c r="BO363" s="220">
        <f t="shared" si="226"/>
        <v>0</v>
      </c>
      <c r="BP363" s="220">
        <f t="shared" si="227"/>
        <v>0</v>
      </c>
      <c r="BQ363" s="220">
        <f t="shared" si="228"/>
        <v>0</v>
      </c>
      <c r="BR363" s="357">
        <f t="shared" si="229"/>
        <v>0</v>
      </c>
      <c r="BS363" s="236" t="s">
        <v>39</v>
      </c>
      <c r="BT363" s="236" t="s">
        <v>39</v>
      </c>
      <c r="BU363" s="230" t="s">
        <v>1305</v>
      </c>
      <c r="BV363" s="230" t="s">
        <v>1306</v>
      </c>
      <c r="BW363" s="231"/>
    </row>
    <row r="364" s="209" customFormat="1" ht="60" customHeight="1" spans="1:75">
      <c r="A364" s="219">
        <v>421</v>
      </c>
      <c r="B364" s="220" t="s">
        <v>1558</v>
      </c>
      <c r="C364" s="221" t="s">
        <v>1142</v>
      </c>
      <c r="D364" s="221" t="s">
        <v>1299</v>
      </c>
      <c r="E364" s="221" t="s">
        <v>1300</v>
      </c>
      <c r="F364" s="219" t="s">
        <v>81</v>
      </c>
      <c r="G364" s="222" t="s">
        <v>38</v>
      </c>
      <c r="H364" s="222" t="s">
        <v>74</v>
      </c>
      <c r="I364" s="237" t="s">
        <v>98</v>
      </c>
      <c r="J364" s="222" t="s">
        <v>1316</v>
      </c>
      <c r="K364" s="223" cm="1">
        <f t="array" ref="K364">_xlfn.XLOOKUP(D364&amp;E364&amp;H364&amp;I364&amp;J364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4" s="223"/>
      <c r="M364" s="224"/>
      <c r="N364" s="225"/>
      <c r="O364" s="226">
        <v>800000</v>
      </c>
      <c r="P364" s="235">
        <v>0.19</v>
      </c>
      <c r="Q364" s="228">
        <f t="shared" ref="Q364:Q382" si="244">K364*P364</f>
        <v>0</v>
      </c>
      <c r="R364" s="356"/>
      <c r="S364" s="228">
        <f t="shared" si="215"/>
        <v>0</v>
      </c>
      <c r="T364" s="235">
        <v>0</v>
      </c>
      <c r="U364" s="228">
        <f t="shared" si="209"/>
        <v>0</v>
      </c>
      <c r="V364" s="228"/>
      <c r="W364" s="228">
        <f t="shared" si="232"/>
        <v>0</v>
      </c>
      <c r="X364" s="235">
        <v>0</v>
      </c>
      <c r="Y364" s="228">
        <f t="shared" si="231"/>
        <v>0</v>
      </c>
      <c r="Z364" s="228"/>
      <c r="AA364" s="228">
        <f t="shared" si="216"/>
        <v>0</v>
      </c>
      <c r="AB364" s="235">
        <v>0</v>
      </c>
      <c r="AC364" s="228">
        <f t="shared" si="212"/>
        <v>0</v>
      </c>
      <c r="AD364" s="228"/>
      <c r="AE364" s="228">
        <f t="shared" si="217"/>
        <v>0</v>
      </c>
      <c r="AF364" s="235">
        <v>0</v>
      </c>
      <c r="AG364" s="228">
        <f t="shared" si="210"/>
        <v>0</v>
      </c>
      <c r="AH364" s="228"/>
      <c r="AI364" s="228">
        <f t="shared" si="218"/>
        <v>0</v>
      </c>
      <c r="AJ364" s="235">
        <v>0</v>
      </c>
      <c r="AK364" s="228">
        <f t="shared" si="236"/>
        <v>0</v>
      </c>
      <c r="AL364" s="228"/>
      <c r="AM364" s="228">
        <f t="shared" si="219"/>
        <v>0</v>
      </c>
      <c r="AN364" s="235">
        <v>0</v>
      </c>
      <c r="AO364" s="228">
        <f t="shared" si="237"/>
        <v>0</v>
      </c>
      <c r="AP364" s="228"/>
      <c r="AQ364" s="228">
        <f t="shared" si="220"/>
        <v>0</v>
      </c>
      <c r="AR364" s="228">
        <v>0.035</v>
      </c>
      <c r="AS364" s="228">
        <f t="shared" si="214"/>
        <v>0</v>
      </c>
      <c r="AT364" s="258"/>
      <c r="AU364" s="331">
        <f t="shared" si="221"/>
        <v>0</v>
      </c>
      <c r="AV364" s="235" t="s">
        <v>1457</v>
      </c>
      <c r="AW364" s="228">
        <f t="shared" ref="AW364:AW369" si="245">AX364</f>
        <v>0</v>
      </c>
      <c r="AX364" s="258"/>
      <c r="AY364" s="228">
        <f t="shared" si="222"/>
        <v>0</v>
      </c>
      <c r="AZ364" s="235" t="s">
        <v>1457</v>
      </c>
      <c r="BA364" s="228">
        <f t="shared" si="242"/>
        <v>0</v>
      </c>
      <c r="BB364" s="228"/>
      <c r="BC364" s="228">
        <f t="shared" si="223"/>
        <v>0</v>
      </c>
      <c r="BD364" s="235">
        <v>0</v>
      </c>
      <c r="BE364" s="228">
        <f t="shared" si="241"/>
        <v>0</v>
      </c>
      <c r="BF364" s="228"/>
      <c r="BG364" s="228">
        <f t="shared" si="224"/>
        <v>0</v>
      </c>
      <c r="BH364" s="235">
        <v>0</v>
      </c>
      <c r="BI364" s="228">
        <f t="shared" si="239"/>
        <v>0</v>
      </c>
      <c r="BJ364" s="228"/>
      <c r="BK364" s="228">
        <f t="shared" si="225"/>
        <v>0</v>
      </c>
      <c r="BL364" s="235" t="s">
        <v>1457</v>
      </c>
      <c r="BM364" s="220">
        <f t="shared" si="243"/>
        <v>0</v>
      </c>
      <c r="BN364" s="220"/>
      <c r="BO364" s="220">
        <f t="shared" si="226"/>
        <v>0</v>
      </c>
      <c r="BP364" s="220">
        <f t="shared" si="227"/>
        <v>0</v>
      </c>
      <c r="BQ364" s="220">
        <f t="shared" si="228"/>
        <v>0</v>
      </c>
      <c r="BR364" s="357">
        <f t="shared" si="229"/>
        <v>0</v>
      </c>
      <c r="BS364" s="236" t="s">
        <v>39</v>
      </c>
      <c r="BT364" s="236" t="s">
        <v>39</v>
      </c>
      <c r="BU364" s="230" t="s">
        <v>1305</v>
      </c>
      <c r="BV364" s="230" t="s">
        <v>1306</v>
      </c>
      <c r="BW364" s="231"/>
    </row>
    <row r="365" s="209" customFormat="1" ht="60" customHeight="1" spans="1:75">
      <c r="A365" s="219">
        <v>422</v>
      </c>
      <c r="B365" s="220" t="s">
        <v>1559</v>
      </c>
      <c r="C365" s="221" t="s">
        <v>1142</v>
      </c>
      <c r="D365" s="221" t="s">
        <v>1299</v>
      </c>
      <c r="E365" s="221" t="s">
        <v>1300</v>
      </c>
      <c r="F365" s="219" t="s">
        <v>81</v>
      </c>
      <c r="G365" s="222" t="s">
        <v>38</v>
      </c>
      <c r="H365" s="222" t="s">
        <v>265</v>
      </c>
      <c r="I365" s="237" t="s">
        <v>198</v>
      </c>
      <c r="J365" s="222" t="s">
        <v>1318</v>
      </c>
      <c r="K365" s="223" cm="1">
        <f t="array" ref="K365">_xlfn.XLOOKUP(D365&amp;E365&amp;H365&amp;I365&amp;J365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5" s="223"/>
      <c r="M365" s="224"/>
      <c r="N365" s="225"/>
      <c r="O365" s="226">
        <v>290000</v>
      </c>
      <c r="P365" s="235">
        <v>0.19</v>
      </c>
      <c r="Q365" s="228">
        <f t="shared" si="244"/>
        <v>0</v>
      </c>
      <c r="R365" s="356"/>
      <c r="S365" s="228">
        <f t="shared" si="215"/>
        <v>0</v>
      </c>
      <c r="T365" s="235">
        <v>0</v>
      </c>
      <c r="U365" s="228">
        <f t="shared" si="209"/>
        <v>0</v>
      </c>
      <c r="V365" s="228"/>
      <c r="W365" s="228">
        <f t="shared" si="232"/>
        <v>0</v>
      </c>
      <c r="X365" s="235">
        <v>0</v>
      </c>
      <c r="Y365" s="228">
        <f t="shared" si="231"/>
        <v>0</v>
      </c>
      <c r="Z365" s="228"/>
      <c r="AA365" s="228">
        <f t="shared" si="216"/>
        <v>0</v>
      </c>
      <c r="AB365" s="235">
        <v>0</v>
      </c>
      <c r="AC365" s="228">
        <f t="shared" si="212"/>
        <v>0</v>
      </c>
      <c r="AD365" s="228"/>
      <c r="AE365" s="228">
        <f t="shared" si="217"/>
        <v>0</v>
      </c>
      <c r="AF365" s="235">
        <v>0</v>
      </c>
      <c r="AG365" s="228">
        <f t="shared" si="210"/>
        <v>0</v>
      </c>
      <c r="AH365" s="228"/>
      <c r="AI365" s="228">
        <f t="shared" si="218"/>
        <v>0</v>
      </c>
      <c r="AJ365" s="235">
        <v>0</v>
      </c>
      <c r="AK365" s="228">
        <f t="shared" si="236"/>
        <v>0</v>
      </c>
      <c r="AL365" s="228"/>
      <c r="AM365" s="228">
        <f t="shared" si="219"/>
        <v>0</v>
      </c>
      <c r="AN365" s="235">
        <v>0</v>
      </c>
      <c r="AO365" s="228">
        <f t="shared" si="237"/>
        <v>0</v>
      </c>
      <c r="AP365" s="228"/>
      <c r="AQ365" s="228">
        <f t="shared" si="220"/>
        <v>0</v>
      </c>
      <c r="AR365" s="228">
        <v>0.035</v>
      </c>
      <c r="AS365" s="228">
        <f t="shared" si="214"/>
        <v>0</v>
      </c>
      <c r="AT365" s="258"/>
      <c r="AU365" s="331">
        <f t="shared" si="221"/>
        <v>0</v>
      </c>
      <c r="AV365" s="235" t="s">
        <v>1457</v>
      </c>
      <c r="AW365" s="228">
        <f t="shared" si="245"/>
        <v>0</v>
      </c>
      <c r="AX365" s="258"/>
      <c r="AY365" s="228">
        <f t="shared" si="222"/>
        <v>0</v>
      </c>
      <c r="AZ365" s="235" t="s">
        <v>1457</v>
      </c>
      <c r="BA365" s="228">
        <f t="shared" si="242"/>
        <v>0</v>
      </c>
      <c r="BB365" s="228"/>
      <c r="BC365" s="228">
        <f t="shared" si="223"/>
        <v>0</v>
      </c>
      <c r="BD365" s="235">
        <v>0</v>
      </c>
      <c r="BE365" s="228">
        <f t="shared" si="241"/>
        <v>0</v>
      </c>
      <c r="BF365" s="228"/>
      <c r="BG365" s="228">
        <f t="shared" si="224"/>
        <v>0</v>
      </c>
      <c r="BH365" s="235">
        <v>0</v>
      </c>
      <c r="BI365" s="228">
        <f t="shared" si="239"/>
        <v>0</v>
      </c>
      <c r="BJ365" s="228"/>
      <c r="BK365" s="228">
        <f t="shared" si="225"/>
        <v>0</v>
      </c>
      <c r="BL365" s="235" t="s">
        <v>1457</v>
      </c>
      <c r="BM365" s="220">
        <f t="shared" si="243"/>
        <v>0</v>
      </c>
      <c r="BN365" s="281"/>
      <c r="BO365" s="220">
        <f t="shared" si="226"/>
        <v>0</v>
      </c>
      <c r="BP365" s="220">
        <f t="shared" si="227"/>
        <v>0</v>
      </c>
      <c r="BQ365" s="220">
        <f t="shared" si="228"/>
        <v>0</v>
      </c>
      <c r="BR365" s="357">
        <f t="shared" si="229"/>
        <v>0</v>
      </c>
      <c r="BS365" s="236" t="s">
        <v>39</v>
      </c>
      <c r="BT365" s="236" t="s">
        <v>39</v>
      </c>
      <c r="BU365" s="230" t="s">
        <v>1305</v>
      </c>
      <c r="BV365" s="230" t="s">
        <v>1306</v>
      </c>
      <c r="BW365" s="231"/>
    </row>
    <row r="366" s="209" customFormat="1" ht="60" customHeight="1" spans="1:75">
      <c r="A366" s="219">
        <v>423</v>
      </c>
      <c r="B366" s="220" t="s">
        <v>1560</v>
      </c>
      <c r="C366" s="221" t="s">
        <v>1142</v>
      </c>
      <c r="D366" s="221" t="s">
        <v>1299</v>
      </c>
      <c r="E366" s="221" t="s">
        <v>1300</v>
      </c>
      <c r="F366" s="219" t="s">
        <v>81</v>
      </c>
      <c r="G366" s="222" t="s">
        <v>38</v>
      </c>
      <c r="H366" s="222" t="s">
        <v>86</v>
      </c>
      <c r="I366" s="237" t="s">
        <v>316</v>
      </c>
      <c r="J366" s="222" t="s">
        <v>1320</v>
      </c>
      <c r="K366" s="223" cm="1">
        <f t="array" ref="K366">_xlfn.XLOOKUP(D366&amp;E366&amp;H366&amp;I366&amp;J366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6" s="223"/>
      <c r="M366" s="224"/>
      <c r="N366" s="225"/>
      <c r="O366" s="226">
        <v>210000</v>
      </c>
      <c r="P366" s="235">
        <v>0.19</v>
      </c>
      <c r="Q366" s="228">
        <f t="shared" si="244"/>
        <v>0</v>
      </c>
      <c r="R366" s="356"/>
      <c r="S366" s="228">
        <f t="shared" si="215"/>
        <v>0</v>
      </c>
      <c r="T366" s="235">
        <v>0</v>
      </c>
      <c r="U366" s="228">
        <f t="shared" ref="U366:U382" si="246">K366*T366</f>
        <v>0</v>
      </c>
      <c r="V366" s="228"/>
      <c r="W366" s="228">
        <f t="shared" si="232"/>
        <v>0</v>
      </c>
      <c r="X366" s="235">
        <v>0</v>
      </c>
      <c r="Y366" s="228">
        <f t="shared" si="231"/>
        <v>0</v>
      </c>
      <c r="Z366" s="228"/>
      <c r="AA366" s="228">
        <f t="shared" si="216"/>
        <v>0</v>
      </c>
      <c r="AB366" s="235">
        <v>0</v>
      </c>
      <c r="AC366" s="228">
        <f t="shared" si="212"/>
        <v>0</v>
      </c>
      <c r="AD366" s="228"/>
      <c r="AE366" s="228">
        <f t="shared" si="217"/>
        <v>0</v>
      </c>
      <c r="AF366" s="235">
        <v>0</v>
      </c>
      <c r="AG366" s="228">
        <f t="shared" ref="AG366:AG382" si="247">K366*AF366</f>
        <v>0</v>
      </c>
      <c r="AH366" s="228"/>
      <c r="AI366" s="228">
        <f t="shared" si="218"/>
        <v>0</v>
      </c>
      <c r="AJ366" s="235">
        <v>0</v>
      </c>
      <c r="AK366" s="228">
        <f t="shared" si="236"/>
        <v>0</v>
      </c>
      <c r="AL366" s="228"/>
      <c r="AM366" s="228">
        <f t="shared" si="219"/>
        <v>0</v>
      </c>
      <c r="AN366" s="235">
        <v>0</v>
      </c>
      <c r="AO366" s="228">
        <f t="shared" si="237"/>
        <v>0</v>
      </c>
      <c r="AP366" s="228"/>
      <c r="AQ366" s="228">
        <f t="shared" si="220"/>
        <v>0</v>
      </c>
      <c r="AR366" s="228">
        <v>0.035</v>
      </c>
      <c r="AS366" s="228">
        <f t="shared" si="214"/>
        <v>0</v>
      </c>
      <c r="AT366" s="263"/>
      <c r="AU366" s="331">
        <f t="shared" si="221"/>
        <v>0</v>
      </c>
      <c r="AV366" s="235" t="s">
        <v>1457</v>
      </c>
      <c r="AW366" s="228">
        <f t="shared" si="245"/>
        <v>0</v>
      </c>
      <c r="AX366" s="258"/>
      <c r="AY366" s="228">
        <f t="shared" si="222"/>
        <v>0</v>
      </c>
      <c r="AZ366" s="235" t="s">
        <v>1457</v>
      </c>
      <c r="BA366" s="228">
        <f t="shared" si="242"/>
        <v>0</v>
      </c>
      <c r="BB366" s="228"/>
      <c r="BC366" s="228">
        <f t="shared" si="223"/>
        <v>0</v>
      </c>
      <c r="BD366" s="235">
        <v>0</v>
      </c>
      <c r="BE366" s="228">
        <f t="shared" si="241"/>
        <v>0</v>
      </c>
      <c r="BF366" s="228"/>
      <c r="BG366" s="228">
        <f t="shared" si="224"/>
        <v>0</v>
      </c>
      <c r="BH366" s="235">
        <v>0</v>
      </c>
      <c r="BI366" s="228">
        <f t="shared" si="239"/>
        <v>0</v>
      </c>
      <c r="BJ366" s="228"/>
      <c r="BK366" s="228">
        <f t="shared" si="225"/>
        <v>0</v>
      </c>
      <c r="BL366" s="235" t="s">
        <v>1457</v>
      </c>
      <c r="BM366" s="220">
        <f t="shared" si="243"/>
        <v>0</v>
      </c>
      <c r="BN366" s="281"/>
      <c r="BO366" s="220">
        <f t="shared" si="226"/>
        <v>0</v>
      </c>
      <c r="BP366" s="220">
        <f t="shared" si="227"/>
        <v>0</v>
      </c>
      <c r="BQ366" s="220">
        <f t="shared" si="228"/>
        <v>0</v>
      </c>
      <c r="BR366" s="357">
        <f t="shared" si="229"/>
        <v>0</v>
      </c>
      <c r="BS366" s="236" t="s">
        <v>39</v>
      </c>
      <c r="BT366" s="236" t="s">
        <v>39</v>
      </c>
      <c r="BU366" s="230" t="s">
        <v>1305</v>
      </c>
      <c r="BV366" s="230" t="s">
        <v>1306</v>
      </c>
      <c r="BW366" s="231"/>
    </row>
    <row r="367" s="209" customFormat="1" ht="60" customHeight="1" spans="1:75">
      <c r="A367" s="219">
        <v>424</v>
      </c>
      <c r="B367" s="220" t="s">
        <v>1561</v>
      </c>
      <c r="C367" s="221" t="s">
        <v>1142</v>
      </c>
      <c r="D367" s="221" t="s">
        <v>1299</v>
      </c>
      <c r="E367" s="221" t="s">
        <v>1300</v>
      </c>
      <c r="F367" s="219" t="s">
        <v>81</v>
      </c>
      <c r="G367" s="222" t="s">
        <v>38</v>
      </c>
      <c r="H367" s="222" t="s">
        <v>272</v>
      </c>
      <c r="I367" s="237" t="s">
        <v>1322</v>
      </c>
      <c r="J367" s="222" t="s">
        <v>1323</v>
      </c>
      <c r="K367" s="223" cm="1">
        <f t="array" ref="K367">_xlfn.XLOOKUP(D367&amp;E367&amp;H367&amp;I367&amp;J367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7" s="223"/>
      <c r="M367" s="224"/>
      <c r="N367" s="225"/>
      <c r="O367" s="226">
        <v>280000</v>
      </c>
      <c r="P367" s="235">
        <v>0.19</v>
      </c>
      <c r="Q367" s="228">
        <f t="shared" si="244"/>
        <v>0</v>
      </c>
      <c r="R367" s="356"/>
      <c r="S367" s="228">
        <f t="shared" si="215"/>
        <v>0</v>
      </c>
      <c r="T367" s="235">
        <v>0</v>
      </c>
      <c r="U367" s="228">
        <f t="shared" si="246"/>
        <v>0</v>
      </c>
      <c r="V367" s="228"/>
      <c r="W367" s="228">
        <f t="shared" si="232"/>
        <v>0</v>
      </c>
      <c r="X367" s="235">
        <v>0</v>
      </c>
      <c r="Y367" s="228">
        <f t="shared" si="231"/>
        <v>0</v>
      </c>
      <c r="Z367" s="228"/>
      <c r="AA367" s="228">
        <f t="shared" si="216"/>
        <v>0</v>
      </c>
      <c r="AB367" s="235">
        <v>0</v>
      </c>
      <c r="AC367" s="228">
        <f t="shared" si="212"/>
        <v>0</v>
      </c>
      <c r="AD367" s="228"/>
      <c r="AE367" s="228">
        <f t="shared" si="217"/>
        <v>0</v>
      </c>
      <c r="AF367" s="235">
        <v>0</v>
      </c>
      <c r="AG367" s="228">
        <f t="shared" si="247"/>
        <v>0</v>
      </c>
      <c r="AH367" s="228"/>
      <c r="AI367" s="228">
        <f t="shared" si="218"/>
        <v>0</v>
      </c>
      <c r="AJ367" s="235">
        <v>0</v>
      </c>
      <c r="AK367" s="228">
        <f t="shared" si="236"/>
        <v>0</v>
      </c>
      <c r="AL367" s="228"/>
      <c r="AM367" s="228">
        <f t="shared" si="219"/>
        <v>0</v>
      </c>
      <c r="AN367" s="235">
        <v>0</v>
      </c>
      <c r="AO367" s="228">
        <f t="shared" si="237"/>
        <v>0</v>
      </c>
      <c r="AP367" s="228"/>
      <c r="AQ367" s="228">
        <f t="shared" si="220"/>
        <v>0</v>
      </c>
      <c r="AR367" s="228">
        <v>0.035</v>
      </c>
      <c r="AS367" s="228">
        <f t="shared" si="214"/>
        <v>0</v>
      </c>
      <c r="AT367" s="258"/>
      <c r="AU367" s="331">
        <f t="shared" si="221"/>
        <v>0</v>
      </c>
      <c r="AV367" s="235" t="s">
        <v>1457</v>
      </c>
      <c r="AW367" s="228">
        <f t="shared" si="245"/>
        <v>0</v>
      </c>
      <c r="AX367" s="258"/>
      <c r="AY367" s="228">
        <f t="shared" si="222"/>
        <v>0</v>
      </c>
      <c r="AZ367" s="235" t="s">
        <v>1457</v>
      </c>
      <c r="BA367" s="228">
        <f t="shared" si="242"/>
        <v>0</v>
      </c>
      <c r="BB367" s="228"/>
      <c r="BC367" s="228">
        <f t="shared" si="223"/>
        <v>0</v>
      </c>
      <c r="BD367" s="235">
        <v>0</v>
      </c>
      <c r="BE367" s="228">
        <f t="shared" si="241"/>
        <v>0</v>
      </c>
      <c r="BF367" s="228"/>
      <c r="BG367" s="228">
        <f t="shared" si="224"/>
        <v>0</v>
      </c>
      <c r="BH367" s="235">
        <v>0</v>
      </c>
      <c r="BI367" s="228">
        <f t="shared" si="239"/>
        <v>0</v>
      </c>
      <c r="BJ367" s="228"/>
      <c r="BK367" s="228">
        <f t="shared" si="225"/>
        <v>0</v>
      </c>
      <c r="BL367" s="235" t="s">
        <v>1457</v>
      </c>
      <c r="BM367" s="220">
        <f t="shared" si="243"/>
        <v>0</v>
      </c>
      <c r="BN367" s="281"/>
      <c r="BO367" s="220">
        <f t="shared" si="226"/>
        <v>0</v>
      </c>
      <c r="BP367" s="220">
        <f t="shared" si="227"/>
        <v>0</v>
      </c>
      <c r="BQ367" s="220">
        <f t="shared" si="228"/>
        <v>0</v>
      </c>
      <c r="BR367" s="357">
        <f t="shared" si="229"/>
        <v>0</v>
      </c>
      <c r="BS367" s="236" t="s">
        <v>39</v>
      </c>
      <c r="BT367" s="236" t="s">
        <v>39</v>
      </c>
      <c r="BU367" s="230" t="s">
        <v>1305</v>
      </c>
      <c r="BV367" s="230" t="s">
        <v>1306</v>
      </c>
      <c r="BW367" s="231"/>
    </row>
    <row r="368" s="209" customFormat="1" ht="60" customHeight="1" spans="1:75">
      <c r="A368" s="219">
        <v>425</v>
      </c>
      <c r="B368" s="220" t="s">
        <v>1562</v>
      </c>
      <c r="C368" s="221" t="s">
        <v>1142</v>
      </c>
      <c r="D368" s="221" t="s">
        <v>1299</v>
      </c>
      <c r="E368" s="221" t="s">
        <v>1300</v>
      </c>
      <c r="F368" s="219" t="s">
        <v>81</v>
      </c>
      <c r="G368" s="222" t="s">
        <v>38</v>
      </c>
      <c r="H368" s="222" t="s">
        <v>276</v>
      </c>
      <c r="I368" s="237" t="s">
        <v>1325</v>
      </c>
      <c r="J368" s="222" t="s">
        <v>1326</v>
      </c>
      <c r="K368" s="223" cm="1">
        <f t="array" ref="K368">_xlfn.XLOOKUP(D368&amp;E368&amp;H368&amp;I368&amp;J368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8" s="223"/>
      <c r="M368" s="224"/>
      <c r="N368" s="225"/>
      <c r="O368" s="226">
        <v>260000</v>
      </c>
      <c r="P368" s="235">
        <v>0.19</v>
      </c>
      <c r="Q368" s="228">
        <f t="shared" si="244"/>
        <v>0</v>
      </c>
      <c r="R368" s="356"/>
      <c r="S368" s="228">
        <f t="shared" si="215"/>
        <v>0</v>
      </c>
      <c r="T368" s="235">
        <v>0</v>
      </c>
      <c r="U368" s="228">
        <f t="shared" si="246"/>
        <v>0</v>
      </c>
      <c r="V368" s="228"/>
      <c r="W368" s="228">
        <f t="shared" si="232"/>
        <v>0</v>
      </c>
      <c r="X368" s="235">
        <v>0</v>
      </c>
      <c r="Y368" s="228">
        <f t="shared" si="231"/>
        <v>0</v>
      </c>
      <c r="Z368" s="228"/>
      <c r="AA368" s="228">
        <f t="shared" si="216"/>
        <v>0</v>
      </c>
      <c r="AB368" s="235">
        <v>0</v>
      </c>
      <c r="AC368" s="228">
        <f t="shared" ref="AC368:AC382" si="248">K368*AB368</f>
        <v>0</v>
      </c>
      <c r="AD368" s="228"/>
      <c r="AE368" s="228">
        <f t="shared" si="217"/>
        <v>0</v>
      </c>
      <c r="AF368" s="235">
        <v>0</v>
      </c>
      <c r="AG368" s="228">
        <f t="shared" si="247"/>
        <v>0</v>
      </c>
      <c r="AH368" s="228"/>
      <c r="AI368" s="228">
        <f t="shared" si="218"/>
        <v>0</v>
      </c>
      <c r="AJ368" s="235">
        <v>0</v>
      </c>
      <c r="AK368" s="228">
        <f t="shared" si="236"/>
        <v>0</v>
      </c>
      <c r="AL368" s="228"/>
      <c r="AM368" s="228">
        <f t="shared" si="219"/>
        <v>0</v>
      </c>
      <c r="AN368" s="235">
        <v>0</v>
      </c>
      <c r="AO368" s="228">
        <f t="shared" si="237"/>
        <v>0</v>
      </c>
      <c r="AP368" s="228"/>
      <c r="AQ368" s="228">
        <f t="shared" si="220"/>
        <v>0</v>
      </c>
      <c r="AR368" s="228" t="s">
        <v>1563</v>
      </c>
      <c r="AS368" s="228">
        <v>0</v>
      </c>
      <c r="AT368" s="258"/>
      <c r="AU368" s="331">
        <f t="shared" si="221"/>
        <v>0</v>
      </c>
      <c r="AV368" s="235" t="s">
        <v>1457</v>
      </c>
      <c r="AW368" s="228">
        <f t="shared" si="245"/>
        <v>0</v>
      </c>
      <c r="AX368" s="258"/>
      <c r="AY368" s="228">
        <f t="shared" si="222"/>
        <v>0</v>
      </c>
      <c r="AZ368" s="235" t="s">
        <v>1457</v>
      </c>
      <c r="BA368" s="228">
        <f t="shared" si="242"/>
        <v>0</v>
      </c>
      <c r="BB368" s="228"/>
      <c r="BC368" s="228">
        <f t="shared" si="223"/>
        <v>0</v>
      </c>
      <c r="BD368" s="235">
        <v>0</v>
      </c>
      <c r="BE368" s="228">
        <f t="shared" si="241"/>
        <v>0</v>
      </c>
      <c r="BF368" s="228"/>
      <c r="BG368" s="228">
        <f t="shared" si="224"/>
        <v>0</v>
      </c>
      <c r="BH368" s="235">
        <v>0</v>
      </c>
      <c r="BI368" s="228">
        <f t="shared" si="239"/>
        <v>0</v>
      </c>
      <c r="BJ368" s="228"/>
      <c r="BK368" s="228">
        <f t="shared" si="225"/>
        <v>0</v>
      </c>
      <c r="BL368" s="235" t="s">
        <v>1457</v>
      </c>
      <c r="BM368" s="220">
        <f t="shared" si="243"/>
        <v>0</v>
      </c>
      <c r="BN368" s="281"/>
      <c r="BO368" s="220">
        <f t="shared" si="226"/>
        <v>0</v>
      </c>
      <c r="BP368" s="220">
        <f t="shared" si="227"/>
        <v>0</v>
      </c>
      <c r="BQ368" s="220">
        <f t="shared" si="228"/>
        <v>0</v>
      </c>
      <c r="BR368" s="357">
        <f t="shared" si="229"/>
        <v>0</v>
      </c>
      <c r="BS368" s="236" t="s">
        <v>39</v>
      </c>
      <c r="BT368" s="236" t="s">
        <v>39</v>
      </c>
      <c r="BU368" s="230" t="s">
        <v>1305</v>
      </c>
      <c r="BV368" s="230" t="s">
        <v>1306</v>
      </c>
      <c r="BW368" s="231"/>
    </row>
    <row r="369" s="209" customFormat="1" ht="60" customHeight="1" spans="1:75">
      <c r="A369" s="219">
        <v>426</v>
      </c>
      <c r="B369" s="220" t="s">
        <v>1564</v>
      </c>
      <c r="C369" s="221" t="s">
        <v>1142</v>
      </c>
      <c r="D369" s="221" t="s">
        <v>1299</v>
      </c>
      <c r="E369" s="221" t="s">
        <v>1300</v>
      </c>
      <c r="F369" s="219" t="s">
        <v>81</v>
      </c>
      <c r="G369" s="222" t="s">
        <v>38</v>
      </c>
      <c r="H369" s="222" t="s">
        <v>280</v>
      </c>
      <c r="I369" s="237" t="s">
        <v>1328</v>
      </c>
      <c r="J369" s="222" t="s">
        <v>1329</v>
      </c>
      <c r="K369" s="223" cm="1">
        <f t="array" ref="K369">_xlfn.XLOOKUP(D369&amp;E369&amp;H369&amp;I369&amp;J369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9" s="223"/>
      <c r="M369" s="224"/>
      <c r="N369" s="225"/>
      <c r="O369" s="226">
        <v>320000</v>
      </c>
      <c r="P369" s="235">
        <v>0.18</v>
      </c>
      <c r="Q369" s="228">
        <f t="shared" si="244"/>
        <v>0</v>
      </c>
      <c r="R369" s="356"/>
      <c r="S369" s="228">
        <f t="shared" si="215"/>
        <v>0</v>
      </c>
      <c r="T369" s="235">
        <v>0</v>
      </c>
      <c r="U369" s="228">
        <f t="shared" si="246"/>
        <v>0</v>
      </c>
      <c r="V369" s="228"/>
      <c r="W369" s="228">
        <f t="shared" si="232"/>
        <v>0</v>
      </c>
      <c r="X369" s="235">
        <v>0</v>
      </c>
      <c r="Y369" s="228">
        <f t="shared" si="231"/>
        <v>0</v>
      </c>
      <c r="Z369" s="228"/>
      <c r="AA369" s="228">
        <f t="shared" si="216"/>
        <v>0</v>
      </c>
      <c r="AB369" s="235">
        <v>0</v>
      </c>
      <c r="AC369" s="228">
        <f t="shared" si="248"/>
        <v>0</v>
      </c>
      <c r="AD369" s="228"/>
      <c r="AE369" s="228">
        <f t="shared" si="217"/>
        <v>0</v>
      </c>
      <c r="AF369" s="235">
        <v>0</v>
      </c>
      <c r="AG369" s="228">
        <f t="shared" si="247"/>
        <v>0</v>
      </c>
      <c r="AH369" s="228"/>
      <c r="AI369" s="228">
        <f t="shared" si="218"/>
        <v>0</v>
      </c>
      <c r="AJ369" s="235">
        <v>0</v>
      </c>
      <c r="AK369" s="228">
        <f t="shared" si="236"/>
        <v>0</v>
      </c>
      <c r="AL369" s="228"/>
      <c r="AM369" s="228">
        <f t="shared" si="219"/>
        <v>0</v>
      </c>
      <c r="AN369" s="235">
        <v>0</v>
      </c>
      <c r="AO369" s="228">
        <f t="shared" si="237"/>
        <v>0</v>
      </c>
      <c r="AP369" s="228"/>
      <c r="AQ369" s="228">
        <f t="shared" si="220"/>
        <v>0</v>
      </c>
      <c r="AR369" s="228">
        <v>0.03</v>
      </c>
      <c r="AS369" s="228">
        <f>K369*AR369</f>
        <v>0</v>
      </c>
      <c r="AT369" s="258"/>
      <c r="AU369" s="331">
        <f t="shared" si="221"/>
        <v>0</v>
      </c>
      <c r="AV369" s="235" t="s">
        <v>1457</v>
      </c>
      <c r="AW369" s="228">
        <f t="shared" si="245"/>
        <v>0</v>
      </c>
      <c r="AX369" s="258"/>
      <c r="AY369" s="228">
        <f t="shared" si="222"/>
        <v>0</v>
      </c>
      <c r="AZ369" s="235" t="s">
        <v>1457</v>
      </c>
      <c r="BA369" s="228">
        <f t="shared" si="242"/>
        <v>0</v>
      </c>
      <c r="BB369" s="228"/>
      <c r="BC369" s="228">
        <f t="shared" si="223"/>
        <v>0</v>
      </c>
      <c r="BD369" s="235">
        <v>0</v>
      </c>
      <c r="BE369" s="228">
        <f t="shared" si="241"/>
        <v>0</v>
      </c>
      <c r="BF369" s="228"/>
      <c r="BG369" s="228">
        <f t="shared" si="224"/>
        <v>0</v>
      </c>
      <c r="BH369" s="235">
        <v>0</v>
      </c>
      <c r="BI369" s="228">
        <f t="shared" si="239"/>
        <v>0</v>
      </c>
      <c r="BJ369" s="228"/>
      <c r="BK369" s="228">
        <f t="shared" si="225"/>
        <v>0</v>
      </c>
      <c r="BL369" s="235" t="s">
        <v>1457</v>
      </c>
      <c r="BM369" s="220">
        <f t="shared" si="243"/>
        <v>0</v>
      </c>
      <c r="BN369" s="220"/>
      <c r="BO369" s="220">
        <f t="shared" si="226"/>
        <v>0</v>
      </c>
      <c r="BP369" s="220">
        <f t="shared" si="227"/>
        <v>0</v>
      </c>
      <c r="BQ369" s="220">
        <f t="shared" si="228"/>
        <v>0</v>
      </c>
      <c r="BR369" s="357">
        <f t="shared" si="229"/>
        <v>0</v>
      </c>
      <c r="BS369" s="236" t="s">
        <v>39</v>
      </c>
      <c r="BT369" s="236" t="s">
        <v>39</v>
      </c>
      <c r="BU369" s="230" t="s">
        <v>1305</v>
      </c>
      <c r="BV369" s="230" t="s">
        <v>1306</v>
      </c>
      <c r="BW369" s="231"/>
    </row>
    <row r="370" s="209" customFormat="1" ht="60" customHeight="1" spans="1:75">
      <c r="A370" s="219">
        <v>427</v>
      </c>
      <c r="B370" s="220" t="s">
        <v>1565</v>
      </c>
      <c r="C370" s="221" t="s">
        <v>1142</v>
      </c>
      <c r="D370" s="221" t="s">
        <v>1299</v>
      </c>
      <c r="E370" s="221" t="s">
        <v>1300</v>
      </c>
      <c r="F370" s="219" t="s">
        <v>81</v>
      </c>
      <c r="G370" s="222" t="s">
        <v>38</v>
      </c>
      <c r="H370" s="222" t="s">
        <v>284</v>
      </c>
      <c r="I370" s="237" t="s">
        <v>186</v>
      </c>
      <c r="J370" s="222" t="s">
        <v>1331</v>
      </c>
      <c r="K370" s="223" cm="1">
        <f t="array" ref="K370">_xlfn.XLOOKUP(D370&amp;E370&amp;H370&amp;I370&amp;J370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0" s="223"/>
      <c r="M370" s="224"/>
      <c r="N370" s="225"/>
      <c r="O370" s="226">
        <v>330000</v>
      </c>
      <c r="P370" s="235">
        <v>0.28</v>
      </c>
      <c r="Q370" s="228">
        <f t="shared" si="244"/>
        <v>0</v>
      </c>
      <c r="R370" s="356"/>
      <c r="S370" s="228">
        <f t="shared" si="215"/>
        <v>0</v>
      </c>
      <c r="T370" s="235">
        <v>0</v>
      </c>
      <c r="U370" s="228">
        <f t="shared" si="246"/>
        <v>0</v>
      </c>
      <c r="V370" s="228"/>
      <c r="W370" s="228">
        <f t="shared" si="232"/>
        <v>0</v>
      </c>
      <c r="X370" s="235">
        <v>0</v>
      </c>
      <c r="Y370" s="228">
        <f t="shared" si="231"/>
        <v>0</v>
      </c>
      <c r="Z370" s="228"/>
      <c r="AA370" s="228">
        <f t="shared" si="216"/>
        <v>0</v>
      </c>
      <c r="AB370" s="235">
        <v>0</v>
      </c>
      <c r="AC370" s="228">
        <f t="shared" si="248"/>
        <v>0</v>
      </c>
      <c r="AD370" s="228"/>
      <c r="AE370" s="228">
        <f t="shared" si="217"/>
        <v>0</v>
      </c>
      <c r="AF370" s="235">
        <v>0</v>
      </c>
      <c r="AG370" s="228">
        <f t="shared" si="247"/>
        <v>0</v>
      </c>
      <c r="AH370" s="228"/>
      <c r="AI370" s="228">
        <f t="shared" si="218"/>
        <v>0</v>
      </c>
      <c r="AJ370" s="235">
        <v>0</v>
      </c>
      <c r="AK370" s="228">
        <f t="shared" si="236"/>
        <v>0</v>
      </c>
      <c r="AL370" s="228"/>
      <c r="AM370" s="228">
        <f t="shared" si="219"/>
        <v>0</v>
      </c>
      <c r="AN370" s="235">
        <v>0</v>
      </c>
      <c r="AO370" s="228">
        <f t="shared" si="237"/>
        <v>0</v>
      </c>
      <c r="AP370" s="228"/>
      <c r="AQ370" s="228">
        <f t="shared" si="220"/>
        <v>0</v>
      </c>
      <c r="AR370" s="228">
        <v>0</v>
      </c>
      <c r="AS370" s="228">
        <f>K370*AR370</f>
        <v>0</v>
      </c>
      <c r="AT370" s="263"/>
      <c r="AU370" s="331">
        <f t="shared" si="221"/>
        <v>0</v>
      </c>
      <c r="AV370" s="235">
        <v>0</v>
      </c>
      <c r="AW370" s="228">
        <f>K370*AV370</f>
        <v>0</v>
      </c>
      <c r="AX370" s="263"/>
      <c r="AY370" s="228">
        <f t="shared" si="222"/>
        <v>0</v>
      </c>
      <c r="AZ370" s="235" t="s">
        <v>1457</v>
      </c>
      <c r="BA370" s="228">
        <f t="shared" si="242"/>
        <v>0</v>
      </c>
      <c r="BB370" s="228"/>
      <c r="BC370" s="228">
        <f t="shared" si="223"/>
        <v>0</v>
      </c>
      <c r="BD370" s="235">
        <v>0</v>
      </c>
      <c r="BE370" s="228">
        <f t="shared" si="241"/>
        <v>0</v>
      </c>
      <c r="BF370" s="228"/>
      <c r="BG370" s="228">
        <f t="shared" si="224"/>
        <v>0</v>
      </c>
      <c r="BH370" s="235">
        <v>0</v>
      </c>
      <c r="BI370" s="228">
        <f t="shared" si="239"/>
        <v>0</v>
      </c>
      <c r="BJ370" s="228"/>
      <c r="BK370" s="228">
        <f t="shared" si="225"/>
        <v>0</v>
      </c>
      <c r="BL370" s="235" t="s">
        <v>1457</v>
      </c>
      <c r="BM370" s="220">
        <f t="shared" si="243"/>
        <v>0</v>
      </c>
      <c r="BN370" s="220"/>
      <c r="BO370" s="220">
        <f t="shared" si="226"/>
        <v>0</v>
      </c>
      <c r="BP370" s="220">
        <f t="shared" si="227"/>
        <v>0</v>
      </c>
      <c r="BQ370" s="220">
        <f t="shared" si="228"/>
        <v>0</v>
      </c>
      <c r="BR370" s="357">
        <f t="shared" si="229"/>
        <v>0</v>
      </c>
      <c r="BS370" s="236" t="s">
        <v>39</v>
      </c>
      <c r="BT370" s="236" t="s">
        <v>39</v>
      </c>
      <c r="BU370" s="230" t="s">
        <v>1305</v>
      </c>
      <c r="BV370" s="230" t="s">
        <v>1332</v>
      </c>
      <c r="BW370" s="231"/>
    </row>
    <row r="371" s="209" customFormat="1" ht="60" customHeight="1" spans="1:75">
      <c r="A371" s="219">
        <v>428</v>
      </c>
      <c r="B371" s="220" t="s">
        <v>1566</v>
      </c>
      <c r="C371" s="221" t="s">
        <v>1142</v>
      </c>
      <c r="D371" s="221" t="s">
        <v>1299</v>
      </c>
      <c r="E371" s="221" t="s">
        <v>1300</v>
      </c>
      <c r="F371" s="219" t="s">
        <v>81</v>
      </c>
      <c r="G371" s="222" t="s">
        <v>38</v>
      </c>
      <c r="H371" s="222" t="s">
        <v>322</v>
      </c>
      <c r="I371" s="237" t="s">
        <v>723</v>
      </c>
      <c r="J371" s="222" t="s">
        <v>1334</v>
      </c>
      <c r="K371" s="223" cm="1">
        <f t="array" ref="K371">_xlfn.XLOOKUP(D371&amp;E371&amp;H371&amp;I371&amp;J371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1" s="223"/>
      <c r="M371" s="224"/>
      <c r="N371" s="225"/>
      <c r="O371" s="226">
        <v>280000</v>
      </c>
      <c r="P371" s="235">
        <v>0.19</v>
      </c>
      <c r="Q371" s="228">
        <f t="shared" si="244"/>
        <v>0</v>
      </c>
      <c r="R371" s="356"/>
      <c r="S371" s="228">
        <f t="shared" si="215"/>
        <v>0</v>
      </c>
      <c r="T371" s="235">
        <v>0</v>
      </c>
      <c r="U371" s="228">
        <f t="shared" si="246"/>
        <v>0</v>
      </c>
      <c r="V371" s="228"/>
      <c r="W371" s="228">
        <f t="shared" si="232"/>
        <v>0</v>
      </c>
      <c r="X371" s="235">
        <v>0</v>
      </c>
      <c r="Y371" s="228">
        <f t="shared" si="231"/>
        <v>0</v>
      </c>
      <c r="Z371" s="228"/>
      <c r="AA371" s="228">
        <f t="shared" si="216"/>
        <v>0</v>
      </c>
      <c r="AB371" s="235">
        <v>0</v>
      </c>
      <c r="AC371" s="228">
        <f t="shared" si="248"/>
        <v>0</v>
      </c>
      <c r="AD371" s="228"/>
      <c r="AE371" s="228">
        <f t="shared" si="217"/>
        <v>0</v>
      </c>
      <c r="AF371" s="235">
        <v>0</v>
      </c>
      <c r="AG371" s="228">
        <f t="shared" si="247"/>
        <v>0</v>
      </c>
      <c r="AH371" s="228"/>
      <c r="AI371" s="228">
        <f t="shared" si="218"/>
        <v>0</v>
      </c>
      <c r="AJ371" s="235">
        <v>0</v>
      </c>
      <c r="AK371" s="228">
        <f t="shared" si="236"/>
        <v>0</v>
      </c>
      <c r="AL371" s="228"/>
      <c r="AM371" s="228">
        <f t="shared" si="219"/>
        <v>0</v>
      </c>
      <c r="AN371" s="235">
        <v>0</v>
      </c>
      <c r="AO371" s="228">
        <f t="shared" si="237"/>
        <v>0</v>
      </c>
      <c r="AP371" s="228"/>
      <c r="AQ371" s="228">
        <f t="shared" si="220"/>
        <v>0</v>
      </c>
      <c r="AR371" s="228" t="s">
        <v>1567</v>
      </c>
      <c r="AS371" s="228">
        <f>AT371</f>
        <v>0</v>
      </c>
      <c r="AT371" s="258"/>
      <c r="AU371" s="331">
        <f t="shared" si="221"/>
        <v>0</v>
      </c>
      <c r="AV371" s="235" t="s">
        <v>1457</v>
      </c>
      <c r="AW371" s="228">
        <f>AX371</f>
        <v>0</v>
      </c>
      <c r="AX371" s="258"/>
      <c r="AY371" s="228">
        <f t="shared" si="222"/>
        <v>0</v>
      </c>
      <c r="AZ371" s="235" t="s">
        <v>1457</v>
      </c>
      <c r="BA371" s="228">
        <f t="shared" si="242"/>
        <v>0</v>
      </c>
      <c r="BB371" s="228"/>
      <c r="BC371" s="228">
        <f t="shared" si="223"/>
        <v>0</v>
      </c>
      <c r="BD371" s="235">
        <v>0</v>
      </c>
      <c r="BE371" s="228">
        <f t="shared" si="241"/>
        <v>0</v>
      </c>
      <c r="BF371" s="228"/>
      <c r="BG371" s="228">
        <f t="shared" si="224"/>
        <v>0</v>
      </c>
      <c r="BH371" s="235">
        <v>0</v>
      </c>
      <c r="BI371" s="228">
        <f t="shared" si="239"/>
        <v>0</v>
      </c>
      <c r="BJ371" s="228"/>
      <c r="BK371" s="228">
        <f t="shared" si="225"/>
        <v>0</v>
      </c>
      <c r="BL371" s="235" t="s">
        <v>1457</v>
      </c>
      <c r="BM371" s="220">
        <f t="shared" si="243"/>
        <v>0</v>
      </c>
      <c r="BN371" s="220"/>
      <c r="BO371" s="220">
        <f t="shared" si="226"/>
        <v>0</v>
      </c>
      <c r="BP371" s="220">
        <f t="shared" si="227"/>
        <v>0</v>
      </c>
      <c r="BQ371" s="220">
        <f t="shared" si="228"/>
        <v>0</v>
      </c>
      <c r="BR371" s="357">
        <f t="shared" si="229"/>
        <v>0</v>
      </c>
      <c r="BS371" s="236" t="s">
        <v>39</v>
      </c>
      <c r="BT371" s="236" t="s">
        <v>39</v>
      </c>
      <c r="BU371" s="230" t="s">
        <v>1305</v>
      </c>
      <c r="BV371" s="230" t="s">
        <v>1306</v>
      </c>
      <c r="BW371" s="231"/>
    </row>
    <row r="372" s="209" customFormat="1" ht="60" customHeight="1" spans="1:75">
      <c r="A372" s="219">
        <v>429</v>
      </c>
      <c r="B372" s="220" t="s">
        <v>1568</v>
      </c>
      <c r="C372" s="221" t="s">
        <v>1142</v>
      </c>
      <c r="D372" s="221" t="s">
        <v>1299</v>
      </c>
      <c r="E372" s="221" t="s">
        <v>1300</v>
      </c>
      <c r="F372" s="219" t="s">
        <v>81</v>
      </c>
      <c r="G372" s="222" t="s">
        <v>38</v>
      </c>
      <c r="H372" s="222" t="s">
        <v>329</v>
      </c>
      <c r="I372" s="237" t="s">
        <v>1190</v>
      </c>
      <c r="J372" s="222" t="s">
        <v>1336</v>
      </c>
      <c r="K372" s="223" cm="1">
        <f t="array" ref="K372">_xlfn.XLOOKUP(D372&amp;E372&amp;H372&amp;I372&amp;J372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2" s="223"/>
      <c r="M372" s="224"/>
      <c r="N372" s="225"/>
      <c r="O372" s="226">
        <v>330000</v>
      </c>
      <c r="P372" s="247">
        <v>0.275</v>
      </c>
      <c r="Q372" s="228">
        <f t="shared" si="244"/>
        <v>0</v>
      </c>
      <c r="R372" s="356"/>
      <c r="S372" s="228">
        <f t="shared" si="215"/>
        <v>0</v>
      </c>
      <c r="T372" s="235">
        <v>0</v>
      </c>
      <c r="U372" s="228">
        <f t="shared" si="246"/>
        <v>0</v>
      </c>
      <c r="V372" s="228"/>
      <c r="W372" s="228">
        <f t="shared" si="232"/>
        <v>0</v>
      </c>
      <c r="X372" s="235">
        <v>0</v>
      </c>
      <c r="Y372" s="228">
        <f t="shared" si="231"/>
        <v>0</v>
      </c>
      <c r="Z372" s="228"/>
      <c r="AA372" s="228">
        <f t="shared" si="216"/>
        <v>0</v>
      </c>
      <c r="AB372" s="235">
        <v>0</v>
      </c>
      <c r="AC372" s="228">
        <f t="shared" si="248"/>
        <v>0</v>
      </c>
      <c r="AD372" s="228"/>
      <c r="AE372" s="228">
        <f t="shared" si="217"/>
        <v>0</v>
      </c>
      <c r="AF372" s="235">
        <v>0</v>
      </c>
      <c r="AG372" s="228">
        <f t="shared" si="247"/>
        <v>0</v>
      </c>
      <c r="AH372" s="228"/>
      <c r="AI372" s="228">
        <f t="shared" si="218"/>
        <v>0</v>
      </c>
      <c r="AJ372" s="235">
        <v>0</v>
      </c>
      <c r="AK372" s="228">
        <f t="shared" si="236"/>
        <v>0</v>
      </c>
      <c r="AL372" s="228"/>
      <c r="AM372" s="228">
        <f t="shared" si="219"/>
        <v>0</v>
      </c>
      <c r="AN372" s="235">
        <v>0</v>
      </c>
      <c r="AO372" s="228">
        <f t="shared" si="237"/>
        <v>0</v>
      </c>
      <c r="AP372" s="228"/>
      <c r="AQ372" s="228">
        <f t="shared" si="220"/>
        <v>0</v>
      </c>
      <c r="AR372" s="228">
        <v>0</v>
      </c>
      <c r="AS372" s="228">
        <f>K372*AR372</f>
        <v>0</v>
      </c>
      <c r="AT372" s="263"/>
      <c r="AU372" s="331">
        <f t="shared" si="221"/>
        <v>0</v>
      </c>
      <c r="AV372" s="235">
        <v>0</v>
      </c>
      <c r="AW372" s="228">
        <f>K372*AV372</f>
        <v>0</v>
      </c>
      <c r="AX372" s="263"/>
      <c r="AY372" s="228">
        <f t="shared" si="222"/>
        <v>0</v>
      </c>
      <c r="AZ372" s="235" t="s">
        <v>1457</v>
      </c>
      <c r="BA372" s="228">
        <f t="shared" si="242"/>
        <v>0</v>
      </c>
      <c r="BB372" s="228"/>
      <c r="BC372" s="228">
        <f t="shared" si="223"/>
        <v>0</v>
      </c>
      <c r="BD372" s="235">
        <v>0</v>
      </c>
      <c r="BE372" s="228">
        <f t="shared" si="241"/>
        <v>0</v>
      </c>
      <c r="BF372" s="228"/>
      <c r="BG372" s="228">
        <f t="shared" si="224"/>
        <v>0</v>
      </c>
      <c r="BH372" s="235">
        <v>0</v>
      </c>
      <c r="BI372" s="228">
        <f t="shared" si="239"/>
        <v>0</v>
      </c>
      <c r="BJ372" s="228"/>
      <c r="BK372" s="228">
        <f t="shared" si="225"/>
        <v>0</v>
      </c>
      <c r="BL372" s="235" t="s">
        <v>1457</v>
      </c>
      <c r="BM372" s="220">
        <f t="shared" si="243"/>
        <v>0</v>
      </c>
      <c r="BN372" s="220"/>
      <c r="BO372" s="220">
        <f t="shared" si="226"/>
        <v>0</v>
      </c>
      <c r="BP372" s="220">
        <f t="shared" si="227"/>
        <v>0</v>
      </c>
      <c r="BQ372" s="220">
        <f t="shared" si="228"/>
        <v>0</v>
      </c>
      <c r="BR372" s="357">
        <f t="shared" si="229"/>
        <v>0</v>
      </c>
      <c r="BS372" s="236" t="s">
        <v>39</v>
      </c>
      <c r="BT372" s="236" t="s">
        <v>39</v>
      </c>
      <c r="BU372" s="230" t="s">
        <v>1305</v>
      </c>
      <c r="BV372" s="230" t="s">
        <v>1332</v>
      </c>
      <c r="BW372" s="231"/>
    </row>
    <row r="373" s="209" customFormat="1" ht="60" customHeight="1" spans="1:75">
      <c r="A373" s="219">
        <v>430</v>
      </c>
      <c r="B373" s="220" t="s">
        <v>1569</v>
      </c>
      <c r="C373" s="221" t="s">
        <v>1142</v>
      </c>
      <c r="D373" s="221" t="s">
        <v>1299</v>
      </c>
      <c r="E373" s="221" t="s">
        <v>1300</v>
      </c>
      <c r="F373" s="219" t="s">
        <v>81</v>
      </c>
      <c r="G373" s="222" t="s">
        <v>38</v>
      </c>
      <c r="H373" s="222" t="s">
        <v>333</v>
      </c>
      <c r="I373" s="237" t="s">
        <v>1338</v>
      </c>
      <c r="J373" s="222" t="s">
        <v>1339</v>
      </c>
      <c r="K373" s="223" cm="1">
        <f t="array" ref="K373">_xlfn.XLOOKUP(D373&amp;E373&amp;H373&amp;I373&amp;J373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3" s="223"/>
      <c r="M373" s="224"/>
      <c r="N373" s="225">
        <v>312</v>
      </c>
      <c r="O373" s="226">
        <v>330000</v>
      </c>
      <c r="P373" s="235">
        <v>0.19</v>
      </c>
      <c r="Q373" s="228">
        <f t="shared" si="244"/>
        <v>0</v>
      </c>
      <c r="R373" s="267">
        <v>0</v>
      </c>
      <c r="S373" s="228">
        <f t="shared" si="215"/>
        <v>0</v>
      </c>
      <c r="T373" s="235">
        <v>0</v>
      </c>
      <c r="U373" s="228">
        <f t="shared" si="246"/>
        <v>0</v>
      </c>
      <c r="V373" s="228">
        <v>0</v>
      </c>
      <c r="W373" s="228">
        <f t="shared" si="232"/>
        <v>0</v>
      </c>
      <c r="X373" s="235">
        <v>0</v>
      </c>
      <c r="Y373" s="228">
        <f t="shared" si="231"/>
        <v>0</v>
      </c>
      <c r="Z373" s="228">
        <v>0</v>
      </c>
      <c r="AA373" s="228">
        <f t="shared" si="216"/>
        <v>0</v>
      </c>
      <c r="AB373" s="235">
        <v>0</v>
      </c>
      <c r="AC373" s="228">
        <f t="shared" si="248"/>
        <v>0</v>
      </c>
      <c r="AD373" s="228">
        <v>0</v>
      </c>
      <c r="AE373" s="228">
        <f t="shared" si="217"/>
        <v>0</v>
      </c>
      <c r="AF373" s="235">
        <v>0</v>
      </c>
      <c r="AG373" s="228">
        <f t="shared" si="247"/>
        <v>0</v>
      </c>
      <c r="AH373" s="228">
        <v>0</v>
      </c>
      <c r="AI373" s="228">
        <f t="shared" si="218"/>
        <v>0</v>
      </c>
      <c r="AJ373" s="235">
        <v>0</v>
      </c>
      <c r="AK373" s="228">
        <f t="shared" si="236"/>
        <v>0</v>
      </c>
      <c r="AL373" s="228">
        <v>0</v>
      </c>
      <c r="AM373" s="228">
        <f t="shared" si="219"/>
        <v>0</v>
      </c>
      <c r="AN373" s="235">
        <v>0</v>
      </c>
      <c r="AO373" s="228">
        <f t="shared" si="237"/>
        <v>0</v>
      </c>
      <c r="AP373" s="228">
        <v>0</v>
      </c>
      <c r="AQ373" s="228">
        <f t="shared" si="220"/>
        <v>0</v>
      </c>
      <c r="AR373" s="228">
        <v>0.035</v>
      </c>
      <c r="AS373" s="228">
        <f>K373*AR373</f>
        <v>0</v>
      </c>
      <c r="AT373" s="263">
        <v>0</v>
      </c>
      <c r="AU373" s="331">
        <f t="shared" si="221"/>
        <v>0</v>
      </c>
      <c r="AV373" s="235" t="s">
        <v>1457</v>
      </c>
      <c r="AW373" s="228">
        <f>AX373</f>
        <v>0</v>
      </c>
      <c r="AX373" s="258">
        <v>0</v>
      </c>
      <c r="AY373" s="228">
        <f t="shared" si="222"/>
        <v>0</v>
      </c>
      <c r="AZ373" s="235" t="s">
        <v>1457</v>
      </c>
      <c r="BA373" s="228">
        <f t="shared" si="242"/>
        <v>0</v>
      </c>
      <c r="BB373" s="228">
        <v>0</v>
      </c>
      <c r="BC373" s="228">
        <f t="shared" si="223"/>
        <v>0</v>
      </c>
      <c r="BD373" s="235">
        <v>0</v>
      </c>
      <c r="BE373" s="228">
        <f t="shared" si="241"/>
        <v>0</v>
      </c>
      <c r="BF373" s="228">
        <v>0</v>
      </c>
      <c r="BG373" s="228">
        <f t="shared" si="224"/>
        <v>0</v>
      </c>
      <c r="BH373" s="235">
        <v>0</v>
      </c>
      <c r="BI373" s="228">
        <f t="shared" si="239"/>
        <v>0</v>
      </c>
      <c r="BJ373" s="228">
        <v>0</v>
      </c>
      <c r="BK373" s="228">
        <f t="shared" si="225"/>
        <v>0</v>
      </c>
      <c r="BL373" s="235" t="s">
        <v>1457</v>
      </c>
      <c r="BM373" s="220">
        <f t="shared" si="243"/>
        <v>0</v>
      </c>
      <c r="BN373" s="220">
        <v>0</v>
      </c>
      <c r="BO373" s="220">
        <f t="shared" si="226"/>
        <v>0</v>
      </c>
      <c r="BP373" s="220">
        <f t="shared" si="227"/>
        <v>312</v>
      </c>
      <c r="BQ373" s="220">
        <f t="shared" si="228"/>
        <v>312</v>
      </c>
      <c r="BR373" s="357">
        <f t="shared" si="229"/>
        <v>0</v>
      </c>
      <c r="BS373" s="236" t="s">
        <v>39</v>
      </c>
      <c r="BT373" s="236" t="s">
        <v>39</v>
      </c>
      <c r="BU373" s="230" t="s">
        <v>1305</v>
      </c>
      <c r="BV373" s="230" t="s">
        <v>1306</v>
      </c>
      <c r="BW373" s="231"/>
    </row>
    <row r="374" s="209" customFormat="1" ht="48" customHeight="1" spans="1:75">
      <c r="A374" s="219">
        <v>432</v>
      </c>
      <c r="B374" s="220" t="s">
        <v>1570</v>
      </c>
      <c r="C374" s="221" t="s">
        <v>1142</v>
      </c>
      <c r="D374" s="221" t="s">
        <v>1341</v>
      </c>
      <c r="E374" s="221" t="s">
        <v>1342</v>
      </c>
      <c r="F374" s="219" t="s">
        <v>81</v>
      </c>
      <c r="G374" s="222" t="s">
        <v>38</v>
      </c>
      <c r="H374" s="233" t="s">
        <v>60</v>
      </c>
      <c r="I374" s="237" t="s">
        <v>1344</v>
      </c>
      <c r="J374" s="233" t="s">
        <v>1345</v>
      </c>
      <c r="K374" s="223" cm="1">
        <f t="array" ref="K374">_xlfn.XLOOKUP(D374&amp;E374&amp;H374&amp;I374&amp;J374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2862.5</v>
      </c>
      <c r="L374" s="223"/>
      <c r="M374" s="224"/>
      <c r="N374" s="225"/>
      <c r="O374" s="226">
        <v>0</v>
      </c>
      <c r="P374" s="235">
        <v>0.06</v>
      </c>
      <c r="Q374" s="228">
        <f t="shared" si="244"/>
        <v>171.75</v>
      </c>
      <c r="R374" s="228"/>
      <c r="S374" s="228">
        <f t="shared" si="215"/>
        <v>171.75</v>
      </c>
      <c r="T374" s="235">
        <v>0</v>
      </c>
      <c r="U374" s="228">
        <f t="shared" si="246"/>
        <v>0</v>
      </c>
      <c r="V374" s="265"/>
      <c r="W374" s="228">
        <f t="shared" si="232"/>
        <v>0</v>
      </c>
      <c r="X374" s="235" t="s">
        <v>1457</v>
      </c>
      <c r="Y374" s="228">
        <f>Z374</f>
        <v>0</v>
      </c>
      <c r="Z374" s="228"/>
      <c r="AA374" s="228">
        <f t="shared" si="216"/>
        <v>0</v>
      </c>
      <c r="AB374" s="235">
        <v>0</v>
      </c>
      <c r="AC374" s="228">
        <f t="shared" si="248"/>
        <v>0</v>
      </c>
      <c r="AD374" s="265"/>
      <c r="AE374" s="228">
        <f t="shared" si="217"/>
        <v>0</v>
      </c>
      <c r="AF374" s="235">
        <v>0</v>
      </c>
      <c r="AG374" s="228">
        <f t="shared" si="247"/>
        <v>0</v>
      </c>
      <c r="AH374" s="265"/>
      <c r="AI374" s="228">
        <f t="shared" si="218"/>
        <v>0</v>
      </c>
      <c r="AJ374" s="235">
        <v>0</v>
      </c>
      <c r="AK374" s="228">
        <f t="shared" si="236"/>
        <v>0</v>
      </c>
      <c r="AL374" s="265"/>
      <c r="AM374" s="228">
        <f t="shared" si="219"/>
        <v>0</v>
      </c>
      <c r="AN374" s="235" t="s">
        <v>1457</v>
      </c>
      <c r="AO374" s="228">
        <f>AP374</f>
        <v>0</v>
      </c>
      <c r="AP374" s="265"/>
      <c r="AQ374" s="228">
        <f t="shared" si="220"/>
        <v>0</v>
      </c>
      <c r="AR374" s="228" t="s">
        <v>1457</v>
      </c>
      <c r="AS374" s="228">
        <f>AT374</f>
        <v>790.1</v>
      </c>
      <c r="AT374" s="358">
        <v>790.1</v>
      </c>
      <c r="AU374" s="228">
        <f t="shared" si="221"/>
        <v>0</v>
      </c>
      <c r="AV374" s="235" t="s">
        <v>1571</v>
      </c>
      <c r="AW374" s="228">
        <f>AX374</f>
        <v>0</v>
      </c>
      <c r="AX374" s="265"/>
      <c r="AY374" s="228">
        <f t="shared" si="222"/>
        <v>0</v>
      </c>
      <c r="AZ374" s="240" t="s">
        <v>1457</v>
      </c>
      <c r="BA374" s="228">
        <f t="shared" si="242"/>
        <v>0</v>
      </c>
      <c r="BB374" s="265"/>
      <c r="BC374" s="228">
        <f t="shared" si="223"/>
        <v>0</v>
      </c>
      <c r="BD374" s="228">
        <v>0</v>
      </c>
      <c r="BE374" s="228">
        <f t="shared" si="241"/>
        <v>0</v>
      </c>
      <c r="BF374" s="265"/>
      <c r="BG374" s="228">
        <f t="shared" si="224"/>
        <v>0</v>
      </c>
      <c r="BH374" s="228">
        <v>0</v>
      </c>
      <c r="BI374" s="228">
        <f t="shared" si="239"/>
        <v>0</v>
      </c>
      <c r="BJ374" s="265"/>
      <c r="BK374" s="228">
        <f t="shared" si="225"/>
        <v>0</v>
      </c>
      <c r="BL374" s="228" t="s">
        <v>1457</v>
      </c>
      <c r="BM374" s="220">
        <f t="shared" si="243"/>
        <v>0</v>
      </c>
      <c r="BN374" s="220"/>
      <c r="BO374" s="220">
        <f t="shared" si="226"/>
        <v>0</v>
      </c>
      <c r="BP374" s="220">
        <f t="shared" si="227"/>
        <v>961.85</v>
      </c>
      <c r="BQ374" s="220">
        <f t="shared" si="228"/>
        <v>790.1</v>
      </c>
      <c r="BR374" s="220">
        <f t="shared" si="229"/>
        <v>171.75</v>
      </c>
      <c r="BS374" s="236" t="s">
        <v>39</v>
      </c>
      <c r="BT374" s="236" t="s">
        <v>39</v>
      </c>
      <c r="BU374" s="230" t="s">
        <v>1346</v>
      </c>
      <c r="BV374" s="230" t="s">
        <v>1347</v>
      </c>
      <c r="BW374" s="231"/>
    </row>
    <row r="375" s="209" customFormat="1" ht="48" customHeight="1" spans="1:75">
      <c r="A375" s="219">
        <v>433</v>
      </c>
      <c r="B375" s="220" t="s">
        <v>1572</v>
      </c>
      <c r="C375" s="221" t="s">
        <v>1142</v>
      </c>
      <c r="D375" s="221" t="s">
        <v>1341</v>
      </c>
      <c r="E375" s="221" t="s">
        <v>1342</v>
      </c>
      <c r="F375" s="219" t="s">
        <v>81</v>
      </c>
      <c r="G375" s="222" t="s">
        <v>38</v>
      </c>
      <c r="H375" s="233" t="s">
        <v>66</v>
      </c>
      <c r="I375" s="237" t="s">
        <v>1350</v>
      </c>
      <c r="J375" s="233" t="s">
        <v>1351</v>
      </c>
      <c r="K375" s="223" cm="1">
        <f t="array" ref="K375">_xlfn.XLOOKUP(D375&amp;E375&amp;H375&amp;I375&amp;J375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5949.1</v>
      </c>
      <c r="L375" s="223"/>
      <c r="M375" s="224"/>
      <c r="N375" s="225">
        <v>84</v>
      </c>
      <c r="O375" s="226">
        <v>0</v>
      </c>
      <c r="P375" s="235">
        <v>0.06</v>
      </c>
      <c r="Q375" s="228">
        <f t="shared" si="244"/>
        <v>356.946</v>
      </c>
      <c r="R375" s="228">
        <v>1713.2412</v>
      </c>
      <c r="S375" s="228">
        <f t="shared" si="215"/>
        <v>-1356.2952</v>
      </c>
      <c r="T375" s="235">
        <v>0</v>
      </c>
      <c r="U375" s="228">
        <f t="shared" si="246"/>
        <v>0</v>
      </c>
      <c r="V375" s="265">
        <v>0</v>
      </c>
      <c r="W375" s="228">
        <f t="shared" si="232"/>
        <v>0</v>
      </c>
      <c r="X375" s="235" t="s">
        <v>1457</v>
      </c>
      <c r="Y375" s="228">
        <f>Z375</f>
        <v>0</v>
      </c>
      <c r="Z375" s="228">
        <v>0</v>
      </c>
      <c r="AA375" s="228">
        <f t="shared" si="216"/>
        <v>0</v>
      </c>
      <c r="AB375" s="235">
        <v>0</v>
      </c>
      <c r="AC375" s="228">
        <f t="shared" si="248"/>
        <v>0</v>
      </c>
      <c r="AD375" s="265">
        <v>0</v>
      </c>
      <c r="AE375" s="228">
        <f t="shared" si="217"/>
        <v>0</v>
      </c>
      <c r="AF375" s="235">
        <v>0</v>
      </c>
      <c r="AG375" s="228">
        <f t="shared" si="247"/>
        <v>0</v>
      </c>
      <c r="AH375" s="265">
        <v>0</v>
      </c>
      <c r="AI375" s="228">
        <f t="shared" si="218"/>
        <v>0</v>
      </c>
      <c r="AJ375" s="235">
        <v>0</v>
      </c>
      <c r="AK375" s="228">
        <f t="shared" si="236"/>
        <v>0</v>
      </c>
      <c r="AL375" s="265">
        <v>0</v>
      </c>
      <c r="AM375" s="228">
        <f t="shared" si="219"/>
        <v>0</v>
      </c>
      <c r="AN375" s="235" t="s">
        <v>1457</v>
      </c>
      <c r="AO375" s="228">
        <f>AP375</f>
        <v>0</v>
      </c>
      <c r="AP375" s="265">
        <v>0</v>
      </c>
      <c r="AQ375" s="228">
        <f t="shared" si="220"/>
        <v>0</v>
      </c>
      <c r="AR375" s="228" t="s">
        <v>1573</v>
      </c>
      <c r="AS375" s="228">
        <v>0</v>
      </c>
      <c r="AT375" s="265">
        <v>0</v>
      </c>
      <c r="AU375" s="228">
        <f t="shared" si="221"/>
        <v>0</v>
      </c>
      <c r="AV375" s="235" t="s">
        <v>1571</v>
      </c>
      <c r="AW375" s="228">
        <f>AX375</f>
        <v>0</v>
      </c>
      <c r="AX375" s="265">
        <v>0</v>
      </c>
      <c r="AY375" s="228">
        <f t="shared" si="222"/>
        <v>0</v>
      </c>
      <c r="AZ375" s="235" t="s">
        <v>1457</v>
      </c>
      <c r="BA375" s="228">
        <f t="shared" si="242"/>
        <v>0</v>
      </c>
      <c r="BB375" s="265">
        <v>0</v>
      </c>
      <c r="BC375" s="228">
        <f t="shared" si="223"/>
        <v>0</v>
      </c>
      <c r="BD375" s="228">
        <v>0</v>
      </c>
      <c r="BE375" s="228">
        <f t="shared" si="241"/>
        <v>0</v>
      </c>
      <c r="BF375" s="265">
        <v>0</v>
      </c>
      <c r="BG375" s="228">
        <f t="shared" si="224"/>
        <v>0</v>
      </c>
      <c r="BH375" s="228">
        <v>0</v>
      </c>
      <c r="BI375" s="228">
        <f t="shared" si="239"/>
        <v>0</v>
      </c>
      <c r="BJ375" s="265">
        <v>0</v>
      </c>
      <c r="BK375" s="228">
        <f t="shared" si="225"/>
        <v>0</v>
      </c>
      <c r="BL375" s="228" t="s">
        <v>1457</v>
      </c>
      <c r="BM375" s="220">
        <f t="shared" si="243"/>
        <v>7873.79</v>
      </c>
      <c r="BN375" s="220">
        <v>7873.79</v>
      </c>
      <c r="BO375" s="220">
        <f t="shared" si="226"/>
        <v>0</v>
      </c>
      <c r="BP375" s="220">
        <f t="shared" si="227"/>
        <v>8314.736</v>
      </c>
      <c r="BQ375" s="220">
        <f t="shared" si="228"/>
        <v>9671.0312</v>
      </c>
      <c r="BR375" s="220">
        <f t="shared" si="229"/>
        <v>-1356.2952</v>
      </c>
      <c r="BS375" s="236" t="s">
        <v>39</v>
      </c>
      <c r="BT375" s="236" t="s">
        <v>39</v>
      </c>
      <c r="BU375" s="230" t="s">
        <v>1352</v>
      </c>
      <c r="BV375" s="230" t="s">
        <v>1347</v>
      </c>
      <c r="BW375" s="231"/>
    </row>
    <row r="376" s="209" customFormat="1" ht="24" customHeight="1" spans="1:75">
      <c r="A376" s="219">
        <v>434</v>
      </c>
      <c r="B376" s="220" t="s">
        <v>1574</v>
      </c>
      <c r="C376" s="221" t="s">
        <v>1142</v>
      </c>
      <c r="D376" s="221" t="s">
        <v>1341</v>
      </c>
      <c r="E376" s="221" t="s">
        <v>1342</v>
      </c>
      <c r="F376" s="219" t="s">
        <v>81</v>
      </c>
      <c r="G376" s="222" t="s">
        <v>38</v>
      </c>
      <c r="H376" s="233" t="s">
        <v>74</v>
      </c>
      <c r="I376" s="237" t="s">
        <v>1575</v>
      </c>
      <c r="J376" s="233" t="s">
        <v>1576</v>
      </c>
      <c r="K376" s="223" cm="1">
        <f t="array" ref="K376">_xlfn.XLOOKUP(D376&amp;E376&amp;H376&amp;I376&amp;J376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6" s="223"/>
      <c r="M376" s="224"/>
      <c r="N376" s="359"/>
      <c r="O376" s="226">
        <v>0</v>
      </c>
      <c r="P376" s="235">
        <v>0</v>
      </c>
      <c r="Q376" s="228">
        <f t="shared" si="244"/>
        <v>0</v>
      </c>
      <c r="R376" s="265"/>
      <c r="S376" s="228">
        <f t="shared" si="215"/>
        <v>0</v>
      </c>
      <c r="T376" s="235">
        <v>0</v>
      </c>
      <c r="U376" s="228">
        <f t="shared" si="246"/>
        <v>0</v>
      </c>
      <c r="V376" s="265"/>
      <c r="W376" s="228">
        <f t="shared" si="232"/>
        <v>0</v>
      </c>
      <c r="X376" s="235">
        <v>0</v>
      </c>
      <c r="Y376" s="228">
        <f t="shared" ref="Y376:Y382" si="249">K376*X376</f>
        <v>0</v>
      </c>
      <c r="Z376" s="265"/>
      <c r="AA376" s="228">
        <f t="shared" si="216"/>
        <v>0</v>
      </c>
      <c r="AB376" s="235">
        <v>0</v>
      </c>
      <c r="AC376" s="228">
        <f t="shared" si="248"/>
        <v>0</v>
      </c>
      <c r="AD376" s="265"/>
      <c r="AE376" s="228">
        <f t="shared" si="217"/>
        <v>0</v>
      </c>
      <c r="AF376" s="235">
        <v>0</v>
      </c>
      <c r="AG376" s="228">
        <f t="shared" si="247"/>
        <v>0</v>
      </c>
      <c r="AH376" s="265"/>
      <c r="AI376" s="228">
        <f t="shared" si="218"/>
        <v>0</v>
      </c>
      <c r="AJ376" s="235">
        <v>0</v>
      </c>
      <c r="AK376" s="228">
        <f t="shared" si="236"/>
        <v>0</v>
      </c>
      <c r="AL376" s="265"/>
      <c r="AM376" s="228">
        <f t="shared" si="219"/>
        <v>0</v>
      </c>
      <c r="AN376" s="235">
        <v>0</v>
      </c>
      <c r="AO376" s="228">
        <f t="shared" ref="AO376:AO382" si="250">K376*AN376</f>
        <v>0</v>
      </c>
      <c r="AP376" s="265"/>
      <c r="AQ376" s="228">
        <f t="shared" si="220"/>
        <v>0</v>
      </c>
      <c r="AR376" s="228">
        <v>0</v>
      </c>
      <c r="AS376" s="228">
        <f t="shared" ref="AS376:AS382" si="251">K376*AR376</f>
        <v>0</v>
      </c>
      <c r="AT376" s="265"/>
      <c r="AU376" s="228">
        <f t="shared" si="221"/>
        <v>0</v>
      </c>
      <c r="AV376" s="235">
        <v>0</v>
      </c>
      <c r="AW376" s="228">
        <f t="shared" ref="AW376:AW382" si="252">K376*AV376</f>
        <v>0</v>
      </c>
      <c r="AX376" s="265"/>
      <c r="AY376" s="228">
        <f t="shared" si="222"/>
        <v>0</v>
      </c>
      <c r="AZ376" s="235" t="s">
        <v>1457</v>
      </c>
      <c r="BA376" s="228">
        <f t="shared" si="242"/>
        <v>0</v>
      </c>
      <c r="BB376" s="265"/>
      <c r="BC376" s="228">
        <f t="shared" si="223"/>
        <v>0</v>
      </c>
      <c r="BD376" s="228">
        <v>0</v>
      </c>
      <c r="BE376" s="228">
        <f t="shared" si="241"/>
        <v>0</v>
      </c>
      <c r="BF376" s="265"/>
      <c r="BG376" s="228">
        <f t="shared" si="224"/>
        <v>0</v>
      </c>
      <c r="BH376" s="228">
        <v>0</v>
      </c>
      <c r="BI376" s="228">
        <f t="shared" si="239"/>
        <v>0</v>
      </c>
      <c r="BJ376" s="265"/>
      <c r="BK376" s="228">
        <f t="shared" si="225"/>
        <v>0</v>
      </c>
      <c r="BL376" s="228" t="s">
        <v>1457</v>
      </c>
      <c r="BM376" s="220">
        <f t="shared" si="243"/>
        <v>0</v>
      </c>
      <c r="BN376" s="220"/>
      <c r="BO376" s="220">
        <f t="shared" si="226"/>
        <v>0</v>
      </c>
      <c r="BP376" s="220">
        <f t="shared" si="227"/>
        <v>0</v>
      </c>
      <c r="BQ376" s="220">
        <f t="shared" si="228"/>
        <v>0</v>
      </c>
      <c r="BR376" s="220">
        <f t="shared" si="229"/>
        <v>0</v>
      </c>
      <c r="BS376" s="236" t="s">
        <v>39</v>
      </c>
      <c r="BT376" s="236" t="s">
        <v>39</v>
      </c>
      <c r="BU376" s="230"/>
      <c r="BV376" s="230" t="s">
        <v>1577</v>
      </c>
      <c r="BW376" s="231"/>
    </row>
    <row r="377" s="210" customFormat="1" ht="24" customHeight="1" spans="1:75">
      <c r="A377" s="360"/>
      <c r="B377" s="220" t="s">
        <v>1578</v>
      </c>
      <c r="C377" s="221" t="s">
        <v>1142</v>
      </c>
      <c r="D377" s="221" t="s">
        <v>1299</v>
      </c>
      <c r="E377" s="221" t="s">
        <v>1300</v>
      </c>
      <c r="F377" s="219" t="s">
        <v>81</v>
      </c>
      <c r="G377" s="222" t="s">
        <v>38</v>
      </c>
      <c r="H377" s="219" t="s">
        <v>74</v>
      </c>
      <c r="I377" s="237" t="s">
        <v>98</v>
      </c>
      <c r="J377" s="219" t="s">
        <v>1579</v>
      </c>
      <c r="K377" s="223" cm="1">
        <f t="array" ref="K377">_xlfn.XLOOKUP(D377&amp;E377&amp;H377&amp;I377&amp;J377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7" s="223"/>
      <c r="M377" s="361" t="s">
        <v>1580</v>
      </c>
      <c r="N377" s="225"/>
      <c r="O377" s="362"/>
      <c r="P377" s="285"/>
      <c r="Q377" s="228">
        <f t="shared" si="244"/>
        <v>0</v>
      </c>
      <c r="R377" s="276"/>
      <c r="S377" s="228">
        <f t="shared" si="215"/>
        <v>0</v>
      </c>
      <c r="T377" s="227"/>
      <c r="U377" s="228">
        <f t="shared" si="246"/>
        <v>0</v>
      </c>
      <c r="V377" s="276"/>
      <c r="W377" s="228">
        <f t="shared" si="232"/>
        <v>0</v>
      </c>
      <c r="X377" s="227"/>
      <c r="Y377" s="228">
        <f t="shared" si="249"/>
        <v>0</v>
      </c>
      <c r="Z377" s="276"/>
      <c r="AA377" s="228">
        <f t="shared" si="216"/>
        <v>0</v>
      </c>
      <c r="AB377" s="227"/>
      <c r="AC377" s="228">
        <f t="shared" si="248"/>
        <v>0</v>
      </c>
      <c r="AD377" s="276"/>
      <c r="AE377" s="228">
        <f t="shared" si="217"/>
        <v>0</v>
      </c>
      <c r="AF377" s="227"/>
      <c r="AG377" s="228">
        <f t="shared" si="247"/>
        <v>0</v>
      </c>
      <c r="AH377" s="276"/>
      <c r="AI377" s="228">
        <f t="shared" si="218"/>
        <v>0</v>
      </c>
      <c r="AJ377" s="227"/>
      <c r="AK377" s="228">
        <f t="shared" si="236"/>
        <v>0</v>
      </c>
      <c r="AL377" s="276"/>
      <c r="AM377" s="228">
        <f t="shared" si="219"/>
        <v>0</v>
      </c>
      <c r="AN377" s="227"/>
      <c r="AO377" s="228">
        <f t="shared" si="250"/>
        <v>0</v>
      </c>
      <c r="AP377" s="276"/>
      <c r="AQ377" s="228">
        <f t="shared" si="220"/>
        <v>0</v>
      </c>
      <c r="AR377" s="228"/>
      <c r="AS377" s="228">
        <f t="shared" si="251"/>
        <v>0</v>
      </c>
      <c r="AT377" s="276"/>
      <c r="AU377" s="228">
        <f t="shared" si="221"/>
        <v>0</v>
      </c>
      <c r="AV377" s="285"/>
      <c r="AW377" s="228">
        <f t="shared" si="252"/>
        <v>0</v>
      </c>
      <c r="AX377" s="276"/>
      <c r="AY377" s="228">
        <f t="shared" si="222"/>
        <v>0</v>
      </c>
      <c r="AZ377" s="227"/>
      <c r="BA377" s="228">
        <f t="shared" ref="BA377:BA382" si="253">K377*AZ377</f>
        <v>0</v>
      </c>
      <c r="BB377" s="276"/>
      <c r="BC377" s="228">
        <f t="shared" si="223"/>
        <v>0</v>
      </c>
      <c r="BD377" s="228"/>
      <c r="BE377" s="228">
        <f t="shared" si="241"/>
        <v>0</v>
      </c>
      <c r="BF377" s="276"/>
      <c r="BG377" s="228">
        <f t="shared" si="224"/>
        <v>0</v>
      </c>
      <c r="BH377" s="228"/>
      <c r="BI377" s="228">
        <f t="shared" si="239"/>
        <v>0</v>
      </c>
      <c r="BJ377" s="276"/>
      <c r="BK377" s="228">
        <f t="shared" si="225"/>
        <v>0</v>
      </c>
      <c r="BL377" s="228"/>
      <c r="BM377" s="220">
        <f t="shared" ref="BM377:BM382" si="254">K377*BL377</f>
        <v>0</v>
      </c>
      <c r="BN377" s="363"/>
      <c r="BO377" s="220">
        <f t="shared" si="226"/>
        <v>0</v>
      </c>
      <c r="BP377" s="220">
        <f t="shared" si="227"/>
        <v>0</v>
      </c>
      <c r="BQ377" s="220">
        <f t="shared" si="228"/>
        <v>0</v>
      </c>
      <c r="BR377" s="220">
        <f t="shared" si="229"/>
        <v>0</v>
      </c>
      <c r="BS377" s="364"/>
      <c r="BT377" s="365"/>
      <c r="BU377" s="295"/>
      <c r="BV377" s="230"/>
      <c r="BW377" s="231"/>
    </row>
    <row r="378" s="210" customFormat="1" ht="24" customHeight="1" spans="1:75">
      <c r="A378" s="360"/>
      <c r="B378" s="220" t="s">
        <v>1578</v>
      </c>
      <c r="C378" s="221" t="s">
        <v>1142</v>
      </c>
      <c r="D378" s="221" t="s">
        <v>1299</v>
      </c>
      <c r="E378" s="221" t="s">
        <v>1300</v>
      </c>
      <c r="F378" s="219" t="s">
        <v>81</v>
      </c>
      <c r="G378" s="222" t="s">
        <v>38</v>
      </c>
      <c r="H378" s="219" t="s">
        <v>276</v>
      </c>
      <c r="I378" s="237" t="s">
        <v>319</v>
      </c>
      <c r="J378" s="219" t="s">
        <v>1581</v>
      </c>
      <c r="K378" s="223" cm="1">
        <f t="array" ref="K378">_xlfn.XLOOKUP(D378&amp;E378&amp;H378&amp;I378&amp;J378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8" s="223"/>
      <c r="M378" s="361" t="s">
        <v>1580</v>
      </c>
      <c r="N378" s="225"/>
      <c r="O378" s="362"/>
      <c r="P378" s="285"/>
      <c r="Q378" s="228">
        <f t="shared" si="244"/>
        <v>0</v>
      </c>
      <c r="R378" s="276"/>
      <c r="S378" s="228">
        <f t="shared" si="215"/>
        <v>0</v>
      </c>
      <c r="T378" s="227"/>
      <c r="U378" s="228">
        <f t="shared" si="246"/>
        <v>0</v>
      </c>
      <c r="V378" s="276"/>
      <c r="W378" s="228">
        <f t="shared" si="232"/>
        <v>0</v>
      </c>
      <c r="X378" s="227"/>
      <c r="Y378" s="228">
        <f t="shared" si="249"/>
        <v>0</v>
      </c>
      <c r="Z378" s="276"/>
      <c r="AA378" s="228">
        <f t="shared" si="216"/>
        <v>0</v>
      </c>
      <c r="AB378" s="227"/>
      <c r="AC378" s="228">
        <f t="shared" si="248"/>
        <v>0</v>
      </c>
      <c r="AD378" s="276"/>
      <c r="AE378" s="228">
        <f t="shared" si="217"/>
        <v>0</v>
      </c>
      <c r="AF378" s="227"/>
      <c r="AG378" s="228">
        <f t="shared" si="247"/>
        <v>0</v>
      </c>
      <c r="AH378" s="276"/>
      <c r="AI378" s="228">
        <f t="shared" si="218"/>
        <v>0</v>
      </c>
      <c r="AJ378" s="227"/>
      <c r="AK378" s="228">
        <f t="shared" si="236"/>
        <v>0</v>
      </c>
      <c r="AL378" s="276"/>
      <c r="AM378" s="228">
        <f t="shared" si="219"/>
        <v>0</v>
      </c>
      <c r="AN378" s="227"/>
      <c r="AO378" s="228">
        <f t="shared" si="250"/>
        <v>0</v>
      </c>
      <c r="AP378" s="276"/>
      <c r="AQ378" s="228">
        <f t="shared" si="220"/>
        <v>0</v>
      </c>
      <c r="AR378" s="228"/>
      <c r="AS378" s="228">
        <f t="shared" si="251"/>
        <v>0</v>
      </c>
      <c r="AT378" s="276"/>
      <c r="AU378" s="228">
        <f t="shared" si="221"/>
        <v>0</v>
      </c>
      <c r="AV378" s="285"/>
      <c r="AW378" s="228">
        <f t="shared" si="252"/>
        <v>0</v>
      </c>
      <c r="AX378" s="276"/>
      <c r="AY378" s="228">
        <f t="shared" si="222"/>
        <v>0</v>
      </c>
      <c r="AZ378" s="227"/>
      <c r="BA378" s="228">
        <f t="shared" si="253"/>
        <v>0</v>
      </c>
      <c r="BB378" s="276"/>
      <c r="BC378" s="228">
        <f t="shared" si="223"/>
        <v>0</v>
      </c>
      <c r="BD378" s="228"/>
      <c r="BE378" s="228">
        <f t="shared" si="241"/>
        <v>0</v>
      </c>
      <c r="BF378" s="276"/>
      <c r="BG378" s="228">
        <f t="shared" si="224"/>
        <v>0</v>
      </c>
      <c r="BH378" s="228"/>
      <c r="BI378" s="228">
        <f t="shared" si="239"/>
        <v>0</v>
      </c>
      <c r="BJ378" s="276"/>
      <c r="BK378" s="228">
        <f t="shared" si="225"/>
        <v>0</v>
      </c>
      <c r="BL378" s="228"/>
      <c r="BM378" s="220">
        <f t="shared" si="254"/>
        <v>0</v>
      </c>
      <c r="BN378" s="363"/>
      <c r="BO378" s="220">
        <f t="shared" si="226"/>
        <v>0</v>
      </c>
      <c r="BP378" s="220">
        <f t="shared" si="227"/>
        <v>0</v>
      </c>
      <c r="BQ378" s="220">
        <f t="shared" si="228"/>
        <v>0</v>
      </c>
      <c r="BR378" s="220">
        <f t="shared" si="229"/>
        <v>0</v>
      </c>
      <c r="BS378" s="364"/>
      <c r="BT378" s="365"/>
      <c r="BU378" s="295"/>
      <c r="BV378" s="230"/>
      <c r="BW378" s="231"/>
    </row>
    <row r="379" s="210" customFormat="1" ht="24" customHeight="1" spans="1:75">
      <c r="A379" s="360"/>
      <c r="B379" s="220" t="s">
        <v>1578</v>
      </c>
      <c r="C379" s="221" t="s">
        <v>1142</v>
      </c>
      <c r="D379" s="221" t="s">
        <v>1299</v>
      </c>
      <c r="E379" s="221" t="s">
        <v>1300</v>
      </c>
      <c r="F379" s="219" t="s">
        <v>81</v>
      </c>
      <c r="G379" s="222" t="s">
        <v>38</v>
      </c>
      <c r="H379" s="219" t="s">
        <v>280</v>
      </c>
      <c r="I379" s="237" t="s">
        <v>1582</v>
      </c>
      <c r="J379" s="219" t="s">
        <v>1583</v>
      </c>
      <c r="K379" s="223" cm="1">
        <f t="array" ref="K379">_xlfn.XLOOKUP(D379&amp;E379&amp;H379&amp;I379&amp;J379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9" s="223"/>
      <c r="M379" s="361" t="s">
        <v>1580</v>
      </c>
      <c r="N379" s="225"/>
      <c r="O379" s="362"/>
      <c r="P379" s="285"/>
      <c r="Q379" s="228">
        <f t="shared" si="244"/>
        <v>0</v>
      </c>
      <c r="R379" s="276"/>
      <c r="S379" s="228">
        <f t="shared" si="215"/>
        <v>0</v>
      </c>
      <c r="T379" s="227"/>
      <c r="U379" s="228">
        <f t="shared" si="246"/>
        <v>0</v>
      </c>
      <c r="V379" s="276"/>
      <c r="W379" s="228">
        <f t="shared" si="232"/>
        <v>0</v>
      </c>
      <c r="X379" s="227"/>
      <c r="Y379" s="228">
        <f t="shared" si="249"/>
        <v>0</v>
      </c>
      <c r="Z379" s="276"/>
      <c r="AA379" s="228">
        <f t="shared" si="216"/>
        <v>0</v>
      </c>
      <c r="AB379" s="227"/>
      <c r="AC379" s="228">
        <f t="shared" si="248"/>
        <v>0</v>
      </c>
      <c r="AD379" s="276"/>
      <c r="AE379" s="228">
        <f t="shared" si="217"/>
        <v>0</v>
      </c>
      <c r="AF379" s="227"/>
      <c r="AG379" s="228">
        <f t="shared" si="247"/>
        <v>0</v>
      </c>
      <c r="AH379" s="276"/>
      <c r="AI379" s="228">
        <f t="shared" si="218"/>
        <v>0</v>
      </c>
      <c r="AJ379" s="227"/>
      <c r="AK379" s="228">
        <f t="shared" si="236"/>
        <v>0</v>
      </c>
      <c r="AL379" s="276"/>
      <c r="AM379" s="228">
        <f t="shared" si="219"/>
        <v>0</v>
      </c>
      <c r="AN379" s="227"/>
      <c r="AO379" s="228">
        <f t="shared" si="250"/>
        <v>0</v>
      </c>
      <c r="AP379" s="276"/>
      <c r="AQ379" s="228">
        <f t="shared" si="220"/>
        <v>0</v>
      </c>
      <c r="AR379" s="228"/>
      <c r="AS379" s="228">
        <f t="shared" si="251"/>
        <v>0</v>
      </c>
      <c r="AT379" s="276"/>
      <c r="AU379" s="228">
        <f t="shared" si="221"/>
        <v>0</v>
      </c>
      <c r="AV379" s="285"/>
      <c r="AW379" s="228">
        <f t="shared" si="252"/>
        <v>0</v>
      </c>
      <c r="AX379" s="276"/>
      <c r="AY379" s="228">
        <f t="shared" si="222"/>
        <v>0</v>
      </c>
      <c r="AZ379" s="227"/>
      <c r="BA379" s="228">
        <f t="shared" si="253"/>
        <v>0</v>
      </c>
      <c r="BB379" s="276"/>
      <c r="BC379" s="228">
        <f t="shared" si="223"/>
        <v>0</v>
      </c>
      <c r="BD379" s="228"/>
      <c r="BE379" s="228">
        <f t="shared" si="241"/>
        <v>0</v>
      </c>
      <c r="BF379" s="276"/>
      <c r="BG379" s="228">
        <f t="shared" si="224"/>
        <v>0</v>
      </c>
      <c r="BH379" s="228"/>
      <c r="BI379" s="228">
        <f t="shared" si="239"/>
        <v>0</v>
      </c>
      <c r="BJ379" s="276"/>
      <c r="BK379" s="228">
        <f t="shared" si="225"/>
        <v>0</v>
      </c>
      <c r="BL379" s="228"/>
      <c r="BM379" s="220">
        <f t="shared" si="254"/>
        <v>0</v>
      </c>
      <c r="BN379" s="363"/>
      <c r="BO379" s="220">
        <f t="shared" si="226"/>
        <v>0</v>
      </c>
      <c r="BP379" s="220">
        <f t="shared" si="227"/>
        <v>0</v>
      </c>
      <c r="BQ379" s="220">
        <f t="shared" si="228"/>
        <v>0</v>
      </c>
      <c r="BR379" s="220">
        <f t="shared" si="229"/>
        <v>0</v>
      </c>
      <c r="BS379" s="364"/>
      <c r="BT379" s="365"/>
      <c r="BU379" s="295"/>
      <c r="BV379" s="230"/>
      <c r="BW379" s="231"/>
    </row>
    <row r="380" s="210" customFormat="1" ht="24" customHeight="1" spans="1:75">
      <c r="A380" s="360"/>
      <c r="B380" s="220" t="s">
        <v>1578</v>
      </c>
      <c r="C380" s="221" t="s">
        <v>1142</v>
      </c>
      <c r="D380" s="221" t="s">
        <v>1299</v>
      </c>
      <c r="E380" s="221" t="s">
        <v>1300</v>
      </c>
      <c r="F380" s="219" t="s">
        <v>81</v>
      </c>
      <c r="G380" s="222" t="s">
        <v>38</v>
      </c>
      <c r="H380" s="219" t="s">
        <v>284</v>
      </c>
      <c r="I380" s="237" t="s">
        <v>186</v>
      </c>
      <c r="J380" s="219" t="s">
        <v>1329</v>
      </c>
      <c r="K380" s="223" cm="1">
        <f t="array" ref="K380">_xlfn.XLOOKUP(D380&amp;E380&amp;H380&amp;I380&amp;J380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0" s="223"/>
      <c r="M380" s="361" t="s">
        <v>1580</v>
      </c>
      <c r="N380" s="225"/>
      <c r="O380" s="362"/>
      <c r="P380" s="285"/>
      <c r="Q380" s="228">
        <f t="shared" si="244"/>
        <v>0</v>
      </c>
      <c r="R380" s="276"/>
      <c r="S380" s="228">
        <f t="shared" si="215"/>
        <v>0</v>
      </c>
      <c r="T380" s="227"/>
      <c r="U380" s="228">
        <f t="shared" si="246"/>
        <v>0</v>
      </c>
      <c r="V380" s="276"/>
      <c r="W380" s="228">
        <f t="shared" si="232"/>
        <v>0</v>
      </c>
      <c r="X380" s="227"/>
      <c r="Y380" s="228">
        <f t="shared" si="249"/>
        <v>0</v>
      </c>
      <c r="Z380" s="276"/>
      <c r="AA380" s="228">
        <f t="shared" si="216"/>
        <v>0</v>
      </c>
      <c r="AB380" s="227"/>
      <c r="AC380" s="228">
        <f t="shared" si="248"/>
        <v>0</v>
      </c>
      <c r="AD380" s="276"/>
      <c r="AE380" s="228">
        <f t="shared" si="217"/>
        <v>0</v>
      </c>
      <c r="AF380" s="227"/>
      <c r="AG380" s="228">
        <f t="shared" si="247"/>
        <v>0</v>
      </c>
      <c r="AH380" s="276"/>
      <c r="AI380" s="228">
        <f t="shared" si="218"/>
        <v>0</v>
      </c>
      <c r="AJ380" s="227"/>
      <c r="AK380" s="228">
        <f t="shared" si="236"/>
        <v>0</v>
      </c>
      <c r="AL380" s="276"/>
      <c r="AM380" s="228">
        <f t="shared" si="219"/>
        <v>0</v>
      </c>
      <c r="AN380" s="227"/>
      <c r="AO380" s="228">
        <f t="shared" si="250"/>
        <v>0</v>
      </c>
      <c r="AP380" s="276"/>
      <c r="AQ380" s="228">
        <f t="shared" si="220"/>
        <v>0</v>
      </c>
      <c r="AR380" s="228"/>
      <c r="AS380" s="228">
        <f t="shared" si="251"/>
        <v>0</v>
      </c>
      <c r="AT380" s="276"/>
      <c r="AU380" s="228">
        <f t="shared" si="221"/>
        <v>0</v>
      </c>
      <c r="AV380" s="285"/>
      <c r="AW380" s="228">
        <f t="shared" si="252"/>
        <v>0</v>
      </c>
      <c r="AX380" s="276"/>
      <c r="AY380" s="228">
        <f t="shared" si="222"/>
        <v>0</v>
      </c>
      <c r="AZ380" s="227"/>
      <c r="BA380" s="228">
        <f t="shared" si="253"/>
        <v>0</v>
      </c>
      <c r="BB380" s="276"/>
      <c r="BC380" s="228">
        <f t="shared" si="223"/>
        <v>0</v>
      </c>
      <c r="BD380" s="228"/>
      <c r="BE380" s="228">
        <f t="shared" si="241"/>
        <v>0</v>
      </c>
      <c r="BF380" s="276"/>
      <c r="BG380" s="228">
        <f t="shared" si="224"/>
        <v>0</v>
      </c>
      <c r="BH380" s="228"/>
      <c r="BI380" s="228">
        <f t="shared" si="239"/>
        <v>0</v>
      </c>
      <c r="BJ380" s="276"/>
      <c r="BK380" s="228">
        <f t="shared" si="225"/>
        <v>0</v>
      </c>
      <c r="BL380" s="228"/>
      <c r="BM380" s="220">
        <f t="shared" si="254"/>
        <v>0</v>
      </c>
      <c r="BN380" s="363"/>
      <c r="BO380" s="220">
        <f t="shared" si="226"/>
        <v>0</v>
      </c>
      <c r="BP380" s="220">
        <f t="shared" si="227"/>
        <v>0</v>
      </c>
      <c r="BQ380" s="220">
        <f t="shared" si="228"/>
        <v>0</v>
      </c>
      <c r="BR380" s="220">
        <f t="shared" si="229"/>
        <v>0</v>
      </c>
      <c r="BS380" s="364"/>
      <c r="BT380" s="365"/>
      <c r="BU380" s="295"/>
      <c r="BV380" s="230"/>
      <c r="BW380" s="231"/>
    </row>
    <row r="381" s="210" customFormat="1" ht="24" customHeight="1" spans="1:75">
      <c r="A381" s="360"/>
      <c r="B381" s="220" t="s">
        <v>1578</v>
      </c>
      <c r="C381" s="221" t="s">
        <v>1142</v>
      </c>
      <c r="D381" s="221" t="s">
        <v>1299</v>
      </c>
      <c r="E381" s="221" t="s">
        <v>1300</v>
      </c>
      <c r="F381" s="219" t="s">
        <v>81</v>
      </c>
      <c r="G381" s="222" t="s">
        <v>38</v>
      </c>
      <c r="H381" s="219" t="s">
        <v>322</v>
      </c>
      <c r="I381" s="237" t="s">
        <v>1190</v>
      </c>
      <c r="J381" s="219" t="s">
        <v>1584</v>
      </c>
      <c r="K381" s="223" cm="1">
        <f t="array" ref="K381">_xlfn.XLOOKUP(D381&amp;E381&amp;H381&amp;I381&amp;J381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1" s="223"/>
      <c r="M381" s="361" t="s">
        <v>1580</v>
      </c>
      <c r="N381" s="225"/>
      <c r="O381" s="362"/>
      <c r="P381" s="285"/>
      <c r="Q381" s="228">
        <f t="shared" si="244"/>
        <v>0</v>
      </c>
      <c r="R381" s="276"/>
      <c r="S381" s="228">
        <f t="shared" si="215"/>
        <v>0</v>
      </c>
      <c r="T381" s="227"/>
      <c r="U381" s="228">
        <f t="shared" si="246"/>
        <v>0</v>
      </c>
      <c r="V381" s="276"/>
      <c r="W381" s="228">
        <f t="shared" si="232"/>
        <v>0</v>
      </c>
      <c r="X381" s="227"/>
      <c r="Y381" s="228">
        <f t="shared" si="249"/>
        <v>0</v>
      </c>
      <c r="Z381" s="276"/>
      <c r="AA381" s="228">
        <f t="shared" si="216"/>
        <v>0</v>
      </c>
      <c r="AB381" s="227"/>
      <c r="AC381" s="228">
        <f t="shared" si="248"/>
        <v>0</v>
      </c>
      <c r="AD381" s="276"/>
      <c r="AE381" s="228">
        <f t="shared" si="217"/>
        <v>0</v>
      </c>
      <c r="AF381" s="227"/>
      <c r="AG381" s="228">
        <f t="shared" si="247"/>
        <v>0</v>
      </c>
      <c r="AH381" s="276"/>
      <c r="AI381" s="228">
        <f t="shared" si="218"/>
        <v>0</v>
      </c>
      <c r="AJ381" s="227"/>
      <c r="AK381" s="228">
        <f t="shared" si="236"/>
        <v>0</v>
      </c>
      <c r="AL381" s="276"/>
      <c r="AM381" s="228">
        <f t="shared" si="219"/>
        <v>0</v>
      </c>
      <c r="AN381" s="227"/>
      <c r="AO381" s="228">
        <f t="shared" si="250"/>
        <v>0</v>
      </c>
      <c r="AP381" s="276"/>
      <c r="AQ381" s="228">
        <f t="shared" si="220"/>
        <v>0</v>
      </c>
      <c r="AR381" s="228"/>
      <c r="AS381" s="228">
        <f t="shared" si="251"/>
        <v>0</v>
      </c>
      <c r="AT381" s="276"/>
      <c r="AU381" s="228">
        <f t="shared" si="221"/>
        <v>0</v>
      </c>
      <c r="AV381" s="285"/>
      <c r="AW381" s="228">
        <f t="shared" si="252"/>
        <v>0</v>
      </c>
      <c r="AX381" s="276"/>
      <c r="AY381" s="228">
        <f t="shared" si="222"/>
        <v>0</v>
      </c>
      <c r="AZ381" s="227"/>
      <c r="BA381" s="228">
        <f t="shared" si="253"/>
        <v>0</v>
      </c>
      <c r="BB381" s="276"/>
      <c r="BC381" s="228">
        <f t="shared" si="223"/>
        <v>0</v>
      </c>
      <c r="BD381" s="228"/>
      <c r="BE381" s="228">
        <f t="shared" si="241"/>
        <v>0</v>
      </c>
      <c r="BF381" s="276"/>
      <c r="BG381" s="228">
        <f t="shared" si="224"/>
        <v>0</v>
      </c>
      <c r="BH381" s="228"/>
      <c r="BI381" s="228">
        <f t="shared" si="239"/>
        <v>0</v>
      </c>
      <c r="BJ381" s="276"/>
      <c r="BK381" s="228">
        <f t="shared" si="225"/>
        <v>0</v>
      </c>
      <c r="BL381" s="228"/>
      <c r="BM381" s="220">
        <f t="shared" si="254"/>
        <v>0</v>
      </c>
      <c r="BN381" s="363"/>
      <c r="BO381" s="220">
        <f t="shared" si="226"/>
        <v>0</v>
      </c>
      <c r="BP381" s="220">
        <f t="shared" si="227"/>
        <v>0</v>
      </c>
      <c r="BQ381" s="220">
        <f t="shared" si="228"/>
        <v>0</v>
      </c>
      <c r="BR381" s="220">
        <f t="shared" si="229"/>
        <v>0</v>
      </c>
      <c r="BS381" s="364"/>
      <c r="BT381" s="365"/>
      <c r="BU381" s="295"/>
      <c r="BV381" s="230"/>
      <c r="BW381" s="231"/>
    </row>
    <row r="382" s="210" customFormat="1" ht="24" customHeight="1" spans="1:75">
      <c r="A382" s="360"/>
      <c r="B382" s="220" t="s">
        <v>1578</v>
      </c>
      <c r="C382" s="221" t="s">
        <v>1142</v>
      </c>
      <c r="D382" s="221" t="s">
        <v>1299</v>
      </c>
      <c r="E382" s="221" t="s">
        <v>1300</v>
      </c>
      <c r="F382" s="219" t="s">
        <v>81</v>
      </c>
      <c r="G382" s="222" t="s">
        <v>38</v>
      </c>
      <c r="H382" s="219" t="s">
        <v>329</v>
      </c>
      <c r="I382" s="237" t="s">
        <v>1585</v>
      </c>
      <c r="J382" s="219" t="s">
        <v>1586</v>
      </c>
      <c r="K382" s="223" cm="1">
        <f t="array" ref="K382">_xlfn.XLOOKUP(D382&amp;E382&amp;H382&amp;I382&amp;J382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2" s="223"/>
      <c r="M382" s="361" t="s">
        <v>1580</v>
      </c>
      <c r="N382" s="225"/>
      <c r="O382" s="362"/>
      <c r="P382" s="285"/>
      <c r="Q382" s="228">
        <f t="shared" si="244"/>
        <v>0</v>
      </c>
      <c r="R382" s="276"/>
      <c r="S382" s="228">
        <f t="shared" si="215"/>
        <v>0</v>
      </c>
      <c r="T382" s="227"/>
      <c r="U382" s="228">
        <f t="shared" si="246"/>
        <v>0</v>
      </c>
      <c r="V382" s="276"/>
      <c r="W382" s="228">
        <f t="shared" si="232"/>
        <v>0</v>
      </c>
      <c r="X382" s="227"/>
      <c r="Y382" s="228">
        <f t="shared" si="249"/>
        <v>0</v>
      </c>
      <c r="Z382" s="276"/>
      <c r="AA382" s="228">
        <f t="shared" si="216"/>
        <v>0</v>
      </c>
      <c r="AB382" s="227"/>
      <c r="AC382" s="228">
        <f t="shared" si="248"/>
        <v>0</v>
      </c>
      <c r="AD382" s="276"/>
      <c r="AE382" s="228">
        <f t="shared" si="217"/>
        <v>0</v>
      </c>
      <c r="AF382" s="227"/>
      <c r="AG382" s="228">
        <f t="shared" si="247"/>
        <v>0</v>
      </c>
      <c r="AH382" s="276"/>
      <c r="AI382" s="228">
        <f t="shared" si="218"/>
        <v>0</v>
      </c>
      <c r="AJ382" s="227"/>
      <c r="AK382" s="228">
        <f t="shared" si="236"/>
        <v>0</v>
      </c>
      <c r="AL382" s="276"/>
      <c r="AM382" s="228">
        <f t="shared" si="219"/>
        <v>0</v>
      </c>
      <c r="AN382" s="227"/>
      <c r="AO382" s="228">
        <f t="shared" si="250"/>
        <v>0</v>
      </c>
      <c r="AP382" s="276"/>
      <c r="AQ382" s="228">
        <f t="shared" si="220"/>
        <v>0</v>
      </c>
      <c r="AR382" s="228"/>
      <c r="AS382" s="228">
        <f t="shared" si="251"/>
        <v>0</v>
      </c>
      <c r="AT382" s="276"/>
      <c r="AU382" s="228">
        <f t="shared" si="221"/>
        <v>0</v>
      </c>
      <c r="AV382" s="285"/>
      <c r="AW382" s="228">
        <f t="shared" si="252"/>
        <v>0</v>
      </c>
      <c r="AX382" s="276"/>
      <c r="AY382" s="228">
        <f t="shared" si="222"/>
        <v>0</v>
      </c>
      <c r="AZ382" s="227"/>
      <c r="BA382" s="228">
        <f t="shared" si="253"/>
        <v>0</v>
      </c>
      <c r="BB382" s="276"/>
      <c r="BC382" s="228">
        <f t="shared" si="223"/>
        <v>0</v>
      </c>
      <c r="BD382" s="228"/>
      <c r="BE382" s="228">
        <f t="shared" si="241"/>
        <v>0</v>
      </c>
      <c r="BF382" s="276"/>
      <c r="BG382" s="228">
        <f t="shared" si="224"/>
        <v>0</v>
      </c>
      <c r="BH382" s="228"/>
      <c r="BI382" s="228">
        <f t="shared" si="239"/>
        <v>0</v>
      </c>
      <c r="BJ382" s="276"/>
      <c r="BK382" s="228">
        <f t="shared" si="225"/>
        <v>0</v>
      </c>
      <c r="BL382" s="228"/>
      <c r="BM382" s="220">
        <f t="shared" si="254"/>
        <v>0</v>
      </c>
      <c r="BN382" s="363"/>
      <c r="BO382" s="220">
        <f t="shared" si="226"/>
        <v>0</v>
      </c>
      <c r="BP382" s="220">
        <f t="shared" si="227"/>
        <v>0</v>
      </c>
      <c r="BQ382" s="220">
        <f t="shared" si="228"/>
        <v>0</v>
      </c>
      <c r="BR382" s="220">
        <f t="shared" si="229"/>
        <v>0</v>
      </c>
      <c r="BS382" s="364"/>
      <c r="BT382" s="365"/>
      <c r="BU382" s="295"/>
      <c r="BV382" s="230"/>
      <c r="BW382" s="231"/>
    </row>
    <row r="383" s="210" customFormat="1" spans="1:75">
      <c r="A383" s="360"/>
      <c r="B383" s="220" t="s">
        <v>1578</v>
      </c>
      <c r="C383" s="221" t="s">
        <v>443</v>
      </c>
      <c r="D383" s="221" t="s">
        <v>810</v>
      </c>
      <c r="E383" s="221" t="s">
        <v>811</v>
      </c>
      <c r="F383" s="219" t="s">
        <v>81</v>
      </c>
      <c r="G383" s="222" t="s">
        <v>1462</v>
      </c>
      <c r="H383" s="219"/>
      <c r="I383" s="237" t="s">
        <v>1587</v>
      </c>
      <c r="J383" s="219" t="s">
        <v>1588</v>
      </c>
      <c r="K383" s="223" cm="1">
        <f t="array" ref="K383">_xlfn.XLOOKUP(D383&amp;E383&amp;H383&amp;I383&amp;J383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3" s="223"/>
      <c r="M383" s="361" t="s">
        <v>1589</v>
      </c>
      <c r="N383" s="253"/>
      <c r="O383" s="362"/>
      <c r="P383" s="285"/>
      <c r="Q383" s="228">
        <f t="shared" ref="Q383:Q388" si="255">R383</f>
        <v>0</v>
      </c>
      <c r="R383" s="227"/>
      <c r="S383" s="228">
        <f t="shared" si="215"/>
        <v>0</v>
      </c>
      <c r="T383" s="227"/>
      <c r="U383" s="228">
        <f t="shared" ref="U383:U388" si="256">V383</f>
        <v>0</v>
      </c>
      <c r="V383" s="227"/>
      <c r="W383" s="228">
        <f t="shared" si="232"/>
        <v>0</v>
      </c>
      <c r="X383" s="227"/>
      <c r="Y383" s="228">
        <f t="shared" ref="Y383:Y388" si="257">Z383</f>
        <v>0</v>
      </c>
      <c r="Z383" s="227"/>
      <c r="AA383" s="228">
        <f t="shared" si="216"/>
        <v>0</v>
      </c>
      <c r="AB383" s="227"/>
      <c r="AC383" s="228">
        <f t="shared" ref="AC383:AC388" si="258">AD383</f>
        <v>0</v>
      </c>
      <c r="AD383" s="227"/>
      <c r="AE383" s="228">
        <f t="shared" si="217"/>
        <v>0</v>
      </c>
      <c r="AF383" s="227"/>
      <c r="AG383" s="228">
        <f t="shared" ref="AG383:AG388" si="259">AH383</f>
        <v>0</v>
      </c>
      <c r="AH383" s="227"/>
      <c r="AI383" s="228">
        <f t="shared" si="218"/>
        <v>0</v>
      </c>
      <c r="AJ383" s="227"/>
      <c r="AK383" s="228">
        <f t="shared" ref="AK383:AK388" si="260">AL383</f>
        <v>0</v>
      </c>
      <c r="AL383" s="227"/>
      <c r="AM383" s="228">
        <f t="shared" si="219"/>
        <v>0</v>
      </c>
      <c r="AN383" s="227"/>
      <c r="AO383" s="228">
        <f t="shared" ref="AO383:AO388" si="261">AP383</f>
        <v>0</v>
      </c>
      <c r="AP383" s="227"/>
      <c r="AQ383" s="228">
        <f t="shared" si="220"/>
        <v>0</v>
      </c>
      <c r="AR383" s="228"/>
      <c r="AS383" s="228">
        <f t="shared" ref="AS383:AS388" si="262">AT383</f>
        <v>0</v>
      </c>
      <c r="AT383" s="227"/>
      <c r="AU383" s="228">
        <f t="shared" si="221"/>
        <v>0</v>
      </c>
      <c r="AV383" s="285"/>
      <c r="AW383" s="228">
        <f t="shared" ref="AW383:AW388" si="263">AX383</f>
        <v>0</v>
      </c>
      <c r="AX383" s="343"/>
      <c r="AY383" s="228">
        <f t="shared" si="222"/>
        <v>0</v>
      </c>
      <c r="AZ383" s="227"/>
      <c r="BA383" s="228">
        <f t="shared" ref="BA383:BA389" si="264">BB383</f>
        <v>0</v>
      </c>
      <c r="BB383" s="228"/>
      <c r="BC383" s="228">
        <f t="shared" si="223"/>
        <v>0</v>
      </c>
      <c r="BD383" s="228"/>
      <c r="BE383" s="228">
        <f t="shared" ref="BE383:BE388" si="265">BF383</f>
        <v>0</v>
      </c>
      <c r="BF383" s="228"/>
      <c r="BG383" s="228">
        <f t="shared" si="224"/>
        <v>0</v>
      </c>
      <c r="BH383" s="228"/>
      <c r="BI383" s="228">
        <f t="shared" ref="BI383:BI388" si="266">BJ383</f>
        <v>0</v>
      </c>
      <c r="BJ383" s="228"/>
      <c r="BK383" s="228">
        <f t="shared" si="225"/>
        <v>0</v>
      </c>
      <c r="BL383" s="228"/>
      <c r="BM383" s="220">
        <f t="shared" ref="BM383:BM388" si="267">BN383</f>
        <v>0</v>
      </c>
      <c r="BN383" s="220"/>
      <c r="BO383" s="220">
        <f t="shared" si="226"/>
        <v>0</v>
      </c>
      <c r="BP383" s="220">
        <f t="shared" si="227"/>
        <v>0</v>
      </c>
      <c r="BQ383" s="220">
        <f t="shared" si="228"/>
        <v>0</v>
      </c>
      <c r="BR383" s="220">
        <f t="shared" si="229"/>
        <v>0</v>
      </c>
      <c r="BS383" s="364"/>
      <c r="BT383" s="365"/>
      <c r="BU383" s="295"/>
      <c r="BV383" s="230"/>
      <c r="BW383" s="231"/>
    </row>
    <row r="384" s="210" customFormat="1" spans="1:75">
      <c r="A384" s="360"/>
      <c r="B384" s="220" t="s">
        <v>1578</v>
      </c>
      <c r="C384" s="221" t="s">
        <v>443</v>
      </c>
      <c r="D384" s="221" t="s">
        <v>810</v>
      </c>
      <c r="E384" s="221" t="s">
        <v>811</v>
      </c>
      <c r="F384" s="219" t="s">
        <v>81</v>
      </c>
      <c r="G384" s="222" t="s">
        <v>1462</v>
      </c>
      <c r="H384" s="219"/>
      <c r="I384" s="237" t="s">
        <v>1590</v>
      </c>
      <c r="J384" s="219" t="s">
        <v>1591</v>
      </c>
      <c r="K384" s="223" cm="1">
        <f t="array" ref="K384">_xlfn.XLOOKUP(D384&amp;E384&amp;H384&amp;I384&amp;J384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4" s="223"/>
      <c r="M384" s="361" t="s">
        <v>1589</v>
      </c>
      <c r="N384" s="253"/>
      <c r="O384" s="362"/>
      <c r="P384" s="285"/>
      <c r="Q384" s="228">
        <f t="shared" si="255"/>
        <v>0</v>
      </c>
      <c r="R384" s="227"/>
      <c r="S384" s="228">
        <f t="shared" si="215"/>
        <v>0</v>
      </c>
      <c r="T384" s="227"/>
      <c r="U384" s="228">
        <f t="shared" si="256"/>
        <v>0</v>
      </c>
      <c r="V384" s="227"/>
      <c r="W384" s="228">
        <f t="shared" si="232"/>
        <v>0</v>
      </c>
      <c r="X384" s="227"/>
      <c r="Y384" s="228">
        <f t="shared" si="257"/>
        <v>0</v>
      </c>
      <c r="Z384" s="227"/>
      <c r="AA384" s="228">
        <f t="shared" si="216"/>
        <v>0</v>
      </c>
      <c r="AB384" s="227"/>
      <c r="AC384" s="228">
        <f t="shared" si="258"/>
        <v>0</v>
      </c>
      <c r="AD384" s="227"/>
      <c r="AE384" s="228">
        <f t="shared" si="217"/>
        <v>0</v>
      </c>
      <c r="AF384" s="227"/>
      <c r="AG384" s="228">
        <f t="shared" si="259"/>
        <v>0</v>
      </c>
      <c r="AH384" s="227"/>
      <c r="AI384" s="228">
        <f t="shared" si="218"/>
        <v>0</v>
      </c>
      <c r="AJ384" s="227"/>
      <c r="AK384" s="228">
        <f t="shared" si="260"/>
        <v>0</v>
      </c>
      <c r="AL384" s="227"/>
      <c r="AM384" s="228">
        <f t="shared" si="219"/>
        <v>0</v>
      </c>
      <c r="AN384" s="227"/>
      <c r="AO384" s="228">
        <f t="shared" si="261"/>
        <v>0</v>
      </c>
      <c r="AP384" s="227"/>
      <c r="AQ384" s="228">
        <f t="shared" si="220"/>
        <v>0</v>
      </c>
      <c r="AR384" s="228"/>
      <c r="AS384" s="228">
        <f t="shared" si="262"/>
        <v>0</v>
      </c>
      <c r="AT384" s="227"/>
      <c r="AU384" s="228">
        <f t="shared" si="221"/>
        <v>0</v>
      </c>
      <c r="AV384" s="285"/>
      <c r="AW384" s="228">
        <f t="shared" si="263"/>
        <v>0</v>
      </c>
      <c r="AX384" s="227"/>
      <c r="AY384" s="228">
        <f t="shared" si="222"/>
        <v>0</v>
      </c>
      <c r="AZ384" s="227"/>
      <c r="BA384" s="228">
        <f t="shared" si="264"/>
        <v>0</v>
      </c>
      <c r="BB384" s="228"/>
      <c r="BC384" s="228">
        <f t="shared" si="223"/>
        <v>0</v>
      </c>
      <c r="BD384" s="228"/>
      <c r="BE384" s="228">
        <f t="shared" si="265"/>
        <v>0</v>
      </c>
      <c r="BF384" s="228"/>
      <c r="BG384" s="228">
        <f t="shared" si="224"/>
        <v>0</v>
      </c>
      <c r="BH384" s="228"/>
      <c r="BI384" s="228">
        <f t="shared" si="266"/>
        <v>0</v>
      </c>
      <c r="BJ384" s="228"/>
      <c r="BK384" s="228">
        <f t="shared" si="225"/>
        <v>0</v>
      </c>
      <c r="BL384" s="228"/>
      <c r="BM384" s="220">
        <f t="shared" si="267"/>
        <v>0</v>
      </c>
      <c r="BN384" s="220"/>
      <c r="BO384" s="220">
        <f t="shared" si="226"/>
        <v>0</v>
      </c>
      <c r="BP384" s="220">
        <f t="shared" si="227"/>
        <v>0</v>
      </c>
      <c r="BQ384" s="220">
        <f t="shared" si="228"/>
        <v>0</v>
      </c>
      <c r="BR384" s="220">
        <f t="shared" si="229"/>
        <v>0</v>
      </c>
      <c r="BS384" s="364"/>
      <c r="BT384" s="365"/>
      <c r="BU384" s="295"/>
      <c r="BV384" s="230"/>
      <c r="BW384" s="231"/>
    </row>
    <row r="385" s="210" customFormat="1" spans="1:75">
      <c r="A385" s="360"/>
      <c r="B385" s="220" t="s">
        <v>1578</v>
      </c>
      <c r="C385" s="221" t="s">
        <v>443</v>
      </c>
      <c r="D385" s="221" t="s">
        <v>810</v>
      </c>
      <c r="E385" s="221" t="s">
        <v>811</v>
      </c>
      <c r="F385" s="219" t="s">
        <v>81</v>
      </c>
      <c r="G385" s="222" t="s">
        <v>1462</v>
      </c>
      <c r="H385" s="219"/>
      <c r="I385" s="237" t="s">
        <v>1592</v>
      </c>
      <c r="J385" s="219" t="s">
        <v>1593</v>
      </c>
      <c r="K385" s="223" cm="1">
        <f t="array" ref="K385">_xlfn.XLOOKUP(D385&amp;E385&amp;H385&amp;I385&amp;J385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5" s="223"/>
      <c r="M385" s="361" t="s">
        <v>1589</v>
      </c>
      <c r="N385" s="253"/>
      <c r="O385" s="362"/>
      <c r="P385" s="285"/>
      <c r="Q385" s="228">
        <f t="shared" si="255"/>
        <v>0</v>
      </c>
      <c r="R385" s="227"/>
      <c r="S385" s="228">
        <f t="shared" si="215"/>
        <v>0</v>
      </c>
      <c r="T385" s="227"/>
      <c r="U385" s="228">
        <f t="shared" si="256"/>
        <v>0</v>
      </c>
      <c r="V385" s="227"/>
      <c r="W385" s="228">
        <f t="shared" si="232"/>
        <v>0</v>
      </c>
      <c r="X385" s="227"/>
      <c r="Y385" s="228">
        <f t="shared" si="257"/>
        <v>0</v>
      </c>
      <c r="Z385" s="227"/>
      <c r="AA385" s="228">
        <f t="shared" si="216"/>
        <v>0</v>
      </c>
      <c r="AB385" s="227"/>
      <c r="AC385" s="228">
        <f t="shared" si="258"/>
        <v>0</v>
      </c>
      <c r="AD385" s="227"/>
      <c r="AE385" s="228">
        <f t="shared" si="217"/>
        <v>0</v>
      </c>
      <c r="AF385" s="227"/>
      <c r="AG385" s="228">
        <f t="shared" si="259"/>
        <v>0</v>
      </c>
      <c r="AH385" s="227"/>
      <c r="AI385" s="228">
        <f t="shared" si="218"/>
        <v>0</v>
      </c>
      <c r="AJ385" s="227"/>
      <c r="AK385" s="228">
        <f t="shared" si="260"/>
        <v>0</v>
      </c>
      <c r="AL385" s="227"/>
      <c r="AM385" s="228">
        <f t="shared" si="219"/>
        <v>0</v>
      </c>
      <c r="AN385" s="227"/>
      <c r="AO385" s="228">
        <f t="shared" si="261"/>
        <v>0</v>
      </c>
      <c r="AP385" s="227"/>
      <c r="AQ385" s="228">
        <f t="shared" si="220"/>
        <v>0</v>
      </c>
      <c r="AR385" s="228"/>
      <c r="AS385" s="228">
        <f t="shared" si="262"/>
        <v>0</v>
      </c>
      <c r="AT385" s="227"/>
      <c r="AU385" s="228">
        <f t="shared" si="221"/>
        <v>0</v>
      </c>
      <c r="AV385" s="285"/>
      <c r="AW385" s="228">
        <f t="shared" si="263"/>
        <v>0</v>
      </c>
      <c r="AX385" s="227"/>
      <c r="AY385" s="228">
        <f t="shared" si="222"/>
        <v>0</v>
      </c>
      <c r="AZ385" s="227"/>
      <c r="BA385" s="228">
        <f t="shared" si="264"/>
        <v>0</v>
      </c>
      <c r="BB385" s="228"/>
      <c r="BC385" s="228">
        <f t="shared" si="223"/>
        <v>0</v>
      </c>
      <c r="BD385" s="228"/>
      <c r="BE385" s="228">
        <f t="shared" si="265"/>
        <v>0</v>
      </c>
      <c r="BF385" s="228"/>
      <c r="BG385" s="228">
        <f t="shared" si="224"/>
        <v>0</v>
      </c>
      <c r="BH385" s="228"/>
      <c r="BI385" s="228">
        <f t="shared" si="266"/>
        <v>0</v>
      </c>
      <c r="BJ385" s="228"/>
      <c r="BK385" s="228">
        <f t="shared" si="225"/>
        <v>0</v>
      </c>
      <c r="BL385" s="228"/>
      <c r="BM385" s="220">
        <f t="shared" si="267"/>
        <v>0</v>
      </c>
      <c r="BN385" s="220"/>
      <c r="BO385" s="220">
        <f t="shared" si="226"/>
        <v>0</v>
      </c>
      <c r="BP385" s="220">
        <f t="shared" si="227"/>
        <v>0</v>
      </c>
      <c r="BQ385" s="220">
        <f t="shared" si="228"/>
        <v>0</v>
      </c>
      <c r="BR385" s="220">
        <f t="shared" si="229"/>
        <v>0</v>
      </c>
      <c r="BS385" s="364"/>
      <c r="BT385" s="365"/>
      <c r="BU385" s="295"/>
      <c r="BV385" s="230"/>
      <c r="BW385" s="231"/>
    </row>
    <row r="386" s="210" customFormat="1" spans="1:75">
      <c r="A386" s="360"/>
      <c r="B386" s="220" t="s">
        <v>1578</v>
      </c>
      <c r="C386" s="221" t="s">
        <v>443</v>
      </c>
      <c r="D386" s="221" t="s">
        <v>810</v>
      </c>
      <c r="E386" s="221" t="s">
        <v>811</v>
      </c>
      <c r="F386" s="219" t="s">
        <v>81</v>
      </c>
      <c r="G386" s="222" t="s">
        <v>1462</v>
      </c>
      <c r="H386" s="219"/>
      <c r="I386" s="237" t="s">
        <v>94</v>
      </c>
      <c r="J386" s="219" t="s">
        <v>1594</v>
      </c>
      <c r="K386" s="223" cm="1">
        <f t="array" ref="K386">_xlfn.XLOOKUP(D386&amp;E386&amp;H386&amp;I386&amp;J386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6" s="223"/>
      <c r="M386" s="361" t="s">
        <v>1589</v>
      </c>
      <c r="N386" s="253"/>
      <c r="O386" s="362"/>
      <c r="P386" s="285"/>
      <c r="Q386" s="228">
        <f t="shared" si="255"/>
        <v>0</v>
      </c>
      <c r="R386" s="227"/>
      <c r="S386" s="228">
        <f t="shared" si="215"/>
        <v>0</v>
      </c>
      <c r="T386" s="227"/>
      <c r="U386" s="228">
        <f t="shared" si="256"/>
        <v>0</v>
      </c>
      <c r="V386" s="227"/>
      <c r="W386" s="228">
        <f t="shared" si="232"/>
        <v>0</v>
      </c>
      <c r="X386" s="227"/>
      <c r="Y386" s="228">
        <f t="shared" si="257"/>
        <v>0</v>
      </c>
      <c r="Z386" s="227"/>
      <c r="AA386" s="228">
        <f t="shared" si="216"/>
        <v>0</v>
      </c>
      <c r="AB386" s="227"/>
      <c r="AC386" s="228">
        <f t="shared" si="258"/>
        <v>0</v>
      </c>
      <c r="AD386" s="227"/>
      <c r="AE386" s="228">
        <f t="shared" si="217"/>
        <v>0</v>
      </c>
      <c r="AF386" s="227"/>
      <c r="AG386" s="228">
        <f t="shared" si="259"/>
        <v>0</v>
      </c>
      <c r="AH386" s="227"/>
      <c r="AI386" s="228">
        <f t="shared" si="218"/>
        <v>0</v>
      </c>
      <c r="AJ386" s="227"/>
      <c r="AK386" s="228">
        <f t="shared" si="260"/>
        <v>0</v>
      </c>
      <c r="AL386" s="227"/>
      <c r="AM386" s="228">
        <f t="shared" si="219"/>
        <v>0</v>
      </c>
      <c r="AN386" s="227"/>
      <c r="AO386" s="228">
        <f t="shared" si="261"/>
        <v>0</v>
      </c>
      <c r="AP386" s="227"/>
      <c r="AQ386" s="228">
        <f t="shared" si="220"/>
        <v>0</v>
      </c>
      <c r="AR386" s="228"/>
      <c r="AS386" s="228">
        <f t="shared" si="262"/>
        <v>0</v>
      </c>
      <c r="AT386" s="227"/>
      <c r="AU386" s="228">
        <f t="shared" si="221"/>
        <v>0</v>
      </c>
      <c r="AV386" s="285"/>
      <c r="AW386" s="228">
        <f t="shared" si="263"/>
        <v>0</v>
      </c>
      <c r="AX386" s="227"/>
      <c r="AY386" s="228">
        <f t="shared" si="222"/>
        <v>0</v>
      </c>
      <c r="AZ386" s="227"/>
      <c r="BA386" s="228">
        <f t="shared" si="264"/>
        <v>0</v>
      </c>
      <c r="BB386" s="228"/>
      <c r="BC386" s="228">
        <f t="shared" si="223"/>
        <v>0</v>
      </c>
      <c r="BD386" s="228"/>
      <c r="BE386" s="228">
        <f t="shared" si="265"/>
        <v>0</v>
      </c>
      <c r="BF386" s="228"/>
      <c r="BG386" s="228">
        <f t="shared" si="224"/>
        <v>0</v>
      </c>
      <c r="BH386" s="228"/>
      <c r="BI386" s="228">
        <f t="shared" si="266"/>
        <v>0</v>
      </c>
      <c r="BJ386" s="228"/>
      <c r="BK386" s="228">
        <f t="shared" si="225"/>
        <v>0</v>
      </c>
      <c r="BL386" s="228"/>
      <c r="BM386" s="220">
        <f t="shared" si="267"/>
        <v>0</v>
      </c>
      <c r="BN386" s="220"/>
      <c r="BO386" s="220">
        <f t="shared" si="226"/>
        <v>0</v>
      </c>
      <c r="BP386" s="220">
        <f t="shared" si="227"/>
        <v>0</v>
      </c>
      <c r="BQ386" s="220">
        <f t="shared" si="228"/>
        <v>0</v>
      </c>
      <c r="BR386" s="220">
        <f t="shared" si="229"/>
        <v>0</v>
      </c>
      <c r="BS386" s="364"/>
      <c r="BT386" s="365"/>
      <c r="BU386" s="295"/>
      <c r="BV386" s="230"/>
      <c r="BW386" s="231"/>
    </row>
    <row r="387" s="210" customFormat="1" spans="1:75">
      <c r="A387" s="360"/>
      <c r="B387" s="220" t="s">
        <v>1578</v>
      </c>
      <c r="C387" s="221" t="s">
        <v>443</v>
      </c>
      <c r="D387" s="221" t="s">
        <v>810</v>
      </c>
      <c r="E387" s="221" t="s">
        <v>811</v>
      </c>
      <c r="F387" s="219" t="s">
        <v>81</v>
      </c>
      <c r="G387" s="222" t="s">
        <v>1462</v>
      </c>
      <c r="H387" s="219"/>
      <c r="I387" s="237" t="s">
        <v>1595</v>
      </c>
      <c r="J387" s="219" t="s">
        <v>1260</v>
      </c>
      <c r="K387" s="223" cm="1">
        <f t="array" ref="K387">_xlfn.XLOOKUP(D387&amp;E387&amp;H387&amp;I387&amp;J387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7" s="223"/>
      <c r="M387" s="361" t="s">
        <v>1589</v>
      </c>
      <c r="N387" s="253"/>
      <c r="O387" s="362"/>
      <c r="P387" s="285"/>
      <c r="Q387" s="228">
        <f t="shared" si="255"/>
        <v>0</v>
      </c>
      <c r="R387" s="227"/>
      <c r="S387" s="228">
        <f t="shared" ref="S387:S434" si="268">Q387-R387</f>
        <v>0</v>
      </c>
      <c r="T387" s="227"/>
      <c r="U387" s="228">
        <f t="shared" si="256"/>
        <v>0</v>
      </c>
      <c r="V387" s="227"/>
      <c r="W387" s="228">
        <f t="shared" si="232"/>
        <v>0</v>
      </c>
      <c r="X387" s="227"/>
      <c r="Y387" s="228">
        <f t="shared" si="257"/>
        <v>0</v>
      </c>
      <c r="Z387" s="227"/>
      <c r="AA387" s="228">
        <f t="shared" ref="AA387:AA432" si="269">Y387-Z387</f>
        <v>0</v>
      </c>
      <c r="AB387" s="227"/>
      <c r="AC387" s="228">
        <f t="shared" si="258"/>
        <v>0</v>
      </c>
      <c r="AD387" s="227"/>
      <c r="AE387" s="228">
        <f t="shared" ref="AE387:AE434" si="270">AC387-AD387</f>
        <v>0</v>
      </c>
      <c r="AF387" s="227"/>
      <c r="AG387" s="228">
        <f t="shared" si="259"/>
        <v>0</v>
      </c>
      <c r="AH387" s="227"/>
      <c r="AI387" s="228">
        <f t="shared" ref="AI387:AI434" si="271">AG387-AH387</f>
        <v>0</v>
      </c>
      <c r="AJ387" s="227"/>
      <c r="AK387" s="228">
        <f t="shared" si="260"/>
        <v>0</v>
      </c>
      <c r="AL387" s="227"/>
      <c r="AM387" s="228">
        <f t="shared" ref="AM387:AM434" si="272">AK387-AL387</f>
        <v>0</v>
      </c>
      <c r="AN387" s="227"/>
      <c r="AO387" s="228">
        <f t="shared" si="261"/>
        <v>0</v>
      </c>
      <c r="AP387" s="227"/>
      <c r="AQ387" s="228">
        <f t="shared" ref="AQ387:AQ434" si="273">AO387-AP387</f>
        <v>0</v>
      </c>
      <c r="AR387" s="228"/>
      <c r="AS387" s="228">
        <f t="shared" si="262"/>
        <v>0</v>
      </c>
      <c r="AT387" s="227"/>
      <c r="AU387" s="228">
        <f t="shared" ref="AU387:AU434" si="274">AS387-AT387</f>
        <v>0</v>
      </c>
      <c r="AV387" s="285"/>
      <c r="AW387" s="228">
        <f t="shared" si="263"/>
        <v>0</v>
      </c>
      <c r="AX387" s="227"/>
      <c r="AY387" s="228">
        <f t="shared" ref="AY387:AY434" si="275">AW387-AX387</f>
        <v>0</v>
      </c>
      <c r="AZ387" s="227"/>
      <c r="BA387" s="228">
        <f t="shared" si="264"/>
        <v>0</v>
      </c>
      <c r="BB387" s="228"/>
      <c r="BC387" s="228">
        <f t="shared" ref="BC387:BC434" si="276">BA387-BB387</f>
        <v>0</v>
      </c>
      <c r="BD387" s="228"/>
      <c r="BE387" s="228">
        <f t="shared" si="265"/>
        <v>0</v>
      </c>
      <c r="BF387" s="228"/>
      <c r="BG387" s="228">
        <f t="shared" ref="BG387:BG434" si="277">BE387-BF387</f>
        <v>0</v>
      </c>
      <c r="BH387" s="228"/>
      <c r="BI387" s="228">
        <f t="shared" si="266"/>
        <v>0</v>
      </c>
      <c r="BJ387" s="228"/>
      <c r="BK387" s="228">
        <f t="shared" ref="BK387:BK434" si="278">BI387-BJ387</f>
        <v>0</v>
      </c>
      <c r="BL387" s="228"/>
      <c r="BM387" s="220">
        <f t="shared" si="267"/>
        <v>0</v>
      </c>
      <c r="BN387" s="220"/>
      <c r="BO387" s="220">
        <f t="shared" ref="BO387:BO434" si="279">BM387-BN387</f>
        <v>0</v>
      </c>
      <c r="BP387" s="220">
        <f t="shared" ref="BP387:BP434" si="280">N387+Q387+U387+Y387+AC387+AG387+AK387+AO387+AS387+AW387+BA387+BE387+BI387+BM387</f>
        <v>0</v>
      </c>
      <c r="BQ387" s="220">
        <f t="shared" ref="BQ387:BQ434" si="281">N387+R387+V387+Z387+AD387+AH387+AL387+AP387+AT387+AX387+BB387+BF387+BJ387+BN387</f>
        <v>0</v>
      </c>
      <c r="BR387" s="220">
        <f t="shared" ref="BR387:BR434" si="282">BP387-BQ387</f>
        <v>0</v>
      </c>
      <c r="BS387" s="364"/>
      <c r="BT387" s="365"/>
      <c r="BU387" s="295"/>
      <c r="BV387" s="230"/>
      <c r="BW387" s="231"/>
    </row>
    <row r="388" s="210" customFormat="1" spans="1:75">
      <c r="A388" s="360"/>
      <c r="B388" s="220" t="s">
        <v>1578</v>
      </c>
      <c r="C388" s="221" t="s">
        <v>443</v>
      </c>
      <c r="D388" s="221" t="s">
        <v>810</v>
      </c>
      <c r="E388" s="221" t="s">
        <v>811</v>
      </c>
      <c r="F388" s="219" t="s">
        <v>81</v>
      </c>
      <c r="G388" s="222" t="s">
        <v>1462</v>
      </c>
      <c r="H388" s="219"/>
      <c r="I388" s="237" t="s">
        <v>98</v>
      </c>
      <c r="J388" s="219" t="s">
        <v>1596</v>
      </c>
      <c r="K388" s="223" cm="1">
        <f t="array" ref="K388">_xlfn.XLOOKUP(D388&amp;E388&amp;H388&amp;I388&amp;J388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8" s="223"/>
      <c r="M388" s="361" t="s">
        <v>1589</v>
      </c>
      <c r="N388" s="253"/>
      <c r="O388" s="362"/>
      <c r="P388" s="285"/>
      <c r="Q388" s="228">
        <f t="shared" si="255"/>
        <v>0</v>
      </c>
      <c r="R388" s="227"/>
      <c r="S388" s="228">
        <f t="shared" si="268"/>
        <v>0</v>
      </c>
      <c r="T388" s="227"/>
      <c r="U388" s="228">
        <f t="shared" si="256"/>
        <v>0</v>
      </c>
      <c r="V388" s="227"/>
      <c r="W388" s="228">
        <f t="shared" si="232"/>
        <v>0</v>
      </c>
      <c r="X388" s="227"/>
      <c r="Y388" s="228">
        <f t="shared" si="257"/>
        <v>0</v>
      </c>
      <c r="Z388" s="227"/>
      <c r="AA388" s="228">
        <f t="shared" si="269"/>
        <v>0</v>
      </c>
      <c r="AB388" s="227"/>
      <c r="AC388" s="228">
        <f t="shared" si="258"/>
        <v>0</v>
      </c>
      <c r="AD388" s="227"/>
      <c r="AE388" s="228">
        <f t="shared" si="270"/>
        <v>0</v>
      </c>
      <c r="AF388" s="227"/>
      <c r="AG388" s="228">
        <f t="shared" si="259"/>
        <v>0</v>
      </c>
      <c r="AH388" s="227"/>
      <c r="AI388" s="228">
        <f t="shared" si="271"/>
        <v>0</v>
      </c>
      <c r="AJ388" s="227"/>
      <c r="AK388" s="228">
        <f t="shared" si="260"/>
        <v>0</v>
      </c>
      <c r="AL388" s="227"/>
      <c r="AM388" s="228">
        <f t="shared" si="272"/>
        <v>0</v>
      </c>
      <c r="AN388" s="227"/>
      <c r="AO388" s="228">
        <f t="shared" si="261"/>
        <v>0</v>
      </c>
      <c r="AP388" s="227"/>
      <c r="AQ388" s="228">
        <f t="shared" si="273"/>
        <v>0</v>
      </c>
      <c r="AR388" s="228"/>
      <c r="AS388" s="228">
        <f t="shared" si="262"/>
        <v>0</v>
      </c>
      <c r="AT388" s="227"/>
      <c r="AU388" s="228">
        <f t="shared" si="274"/>
        <v>0</v>
      </c>
      <c r="AV388" s="285"/>
      <c r="AW388" s="228">
        <f t="shared" si="263"/>
        <v>0</v>
      </c>
      <c r="AX388" s="227"/>
      <c r="AY388" s="228">
        <f t="shared" si="275"/>
        <v>0</v>
      </c>
      <c r="AZ388" s="227"/>
      <c r="BA388" s="228">
        <f t="shared" si="264"/>
        <v>0</v>
      </c>
      <c r="BB388" s="228"/>
      <c r="BC388" s="228">
        <f t="shared" si="276"/>
        <v>0</v>
      </c>
      <c r="BD388" s="228"/>
      <c r="BE388" s="228">
        <f t="shared" si="265"/>
        <v>0</v>
      </c>
      <c r="BF388" s="228"/>
      <c r="BG388" s="228">
        <f t="shared" si="277"/>
        <v>0</v>
      </c>
      <c r="BH388" s="228"/>
      <c r="BI388" s="228">
        <f t="shared" si="266"/>
        <v>0</v>
      </c>
      <c r="BJ388" s="228"/>
      <c r="BK388" s="228">
        <f t="shared" si="278"/>
        <v>0</v>
      </c>
      <c r="BL388" s="228"/>
      <c r="BM388" s="220">
        <f t="shared" si="267"/>
        <v>0</v>
      </c>
      <c r="BN388" s="220"/>
      <c r="BO388" s="220">
        <f t="shared" si="279"/>
        <v>0</v>
      </c>
      <c r="BP388" s="220">
        <f t="shared" si="280"/>
        <v>0</v>
      </c>
      <c r="BQ388" s="220">
        <f t="shared" si="281"/>
        <v>0</v>
      </c>
      <c r="BR388" s="220">
        <f t="shared" si="282"/>
        <v>0</v>
      </c>
      <c r="BS388" s="364"/>
      <c r="BT388" s="365"/>
      <c r="BU388" s="295"/>
      <c r="BV388" s="230"/>
      <c r="BW388" s="231"/>
    </row>
    <row r="389" s="210" customFormat="1" ht="24" customHeight="1" spans="1:75">
      <c r="A389" s="360"/>
      <c r="B389" s="220" t="s">
        <v>1578</v>
      </c>
      <c r="C389" s="221" t="s">
        <v>175</v>
      </c>
      <c r="D389" s="221" t="s">
        <v>290</v>
      </c>
      <c r="E389" s="242" t="s">
        <v>291</v>
      </c>
      <c r="F389" s="219" t="s">
        <v>81</v>
      </c>
      <c r="G389" s="243" t="s">
        <v>1460</v>
      </c>
      <c r="H389" s="219"/>
      <c r="I389" s="237" t="s">
        <v>94</v>
      </c>
      <c r="J389" s="219" t="s">
        <v>326</v>
      </c>
      <c r="K389" s="223" cm="1">
        <f t="array" ref="K389">_xlfn.XLOOKUP(D389&amp;E389&amp;H389&amp;I389&amp;J389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9" s="223"/>
      <c r="M389" s="361" t="s">
        <v>1580</v>
      </c>
      <c r="N389" s="225"/>
      <c r="O389" s="362"/>
      <c r="P389" s="285"/>
      <c r="Q389" s="228">
        <f>K389*P389</f>
        <v>0</v>
      </c>
      <c r="R389" s="227"/>
      <c r="S389" s="228">
        <f t="shared" si="268"/>
        <v>0</v>
      </c>
      <c r="T389" s="247">
        <v>0.01</v>
      </c>
      <c r="U389" s="228">
        <f>K389*T389</f>
        <v>0</v>
      </c>
      <c r="V389" s="366"/>
      <c r="W389" s="228">
        <f t="shared" si="232"/>
        <v>0</v>
      </c>
      <c r="X389" s="227"/>
      <c r="Y389" s="228">
        <f>K389*X389</f>
        <v>0</v>
      </c>
      <c r="Z389" s="227"/>
      <c r="AA389" s="228">
        <f t="shared" si="269"/>
        <v>0</v>
      </c>
      <c r="AB389" s="227">
        <v>0</v>
      </c>
      <c r="AC389" s="228">
        <f>K389*AB389</f>
        <v>0</v>
      </c>
      <c r="AD389" s="227"/>
      <c r="AE389" s="228">
        <f t="shared" si="270"/>
        <v>0</v>
      </c>
      <c r="AF389" s="227"/>
      <c r="AG389" s="228">
        <f>K389*AF389</f>
        <v>0</v>
      </c>
      <c r="AH389" s="227"/>
      <c r="AI389" s="228">
        <f t="shared" si="271"/>
        <v>0</v>
      </c>
      <c r="AJ389" s="227">
        <v>0</v>
      </c>
      <c r="AK389" s="228">
        <f>K389*AJ389</f>
        <v>0</v>
      </c>
      <c r="AL389" s="228">
        <v>0</v>
      </c>
      <c r="AM389" s="228">
        <f t="shared" si="272"/>
        <v>0</v>
      </c>
      <c r="AN389" s="228">
        <f>O389*AM389</f>
        <v>0</v>
      </c>
      <c r="AO389" s="228">
        <f>K389*AN389</f>
        <v>0</v>
      </c>
      <c r="AP389" s="228"/>
      <c r="AQ389" s="228">
        <f t="shared" si="273"/>
        <v>0</v>
      </c>
      <c r="AR389" s="228"/>
      <c r="AS389" s="228">
        <f>K389*AR389</f>
        <v>0</v>
      </c>
      <c r="AT389" s="227"/>
      <c r="AU389" s="228">
        <f t="shared" si="274"/>
        <v>0</v>
      </c>
      <c r="AV389" s="285"/>
      <c r="AW389" s="228">
        <f>K389*AV389</f>
        <v>0</v>
      </c>
      <c r="AX389" s="227"/>
      <c r="AY389" s="228">
        <f t="shared" si="275"/>
        <v>0</v>
      </c>
      <c r="AZ389" s="227"/>
      <c r="BA389" s="228">
        <f t="shared" si="264"/>
        <v>1000</v>
      </c>
      <c r="BB389" s="228">
        <f>1000</f>
        <v>1000</v>
      </c>
      <c r="BC389" s="228">
        <f t="shared" si="276"/>
        <v>0</v>
      </c>
      <c r="BD389" s="235">
        <v>0</v>
      </c>
      <c r="BE389" s="228">
        <f>K389*BD389</f>
        <v>0</v>
      </c>
      <c r="BF389" s="228"/>
      <c r="BG389" s="228">
        <f t="shared" si="277"/>
        <v>0</v>
      </c>
      <c r="BH389" s="235">
        <v>0</v>
      </c>
      <c r="BI389" s="228">
        <f>K389*BH389</f>
        <v>0</v>
      </c>
      <c r="BJ389" s="228"/>
      <c r="BK389" s="228">
        <f t="shared" si="278"/>
        <v>0</v>
      </c>
      <c r="BL389" s="235" t="s">
        <v>1457</v>
      </c>
      <c r="BM389" s="220">
        <v>0</v>
      </c>
      <c r="BN389" s="220"/>
      <c r="BO389" s="220">
        <v>0</v>
      </c>
      <c r="BP389" s="220">
        <f t="shared" si="280"/>
        <v>1000</v>
      </c>
      <c r="BQ389" s="220">
        <f t="shared" si="281"/>
        <v>1000</v>
      </c>
      <c r="BR389" s="220">
        <f t="shared" si="282"/>
        <v>0</v>
      </c>
      <c r="BS389" s="247" t="s">
        <v>39</v>
      </c>
      <c r="BT389" s="235" t="s">
        <v>39</v>
      </c>
      <c r="BU389" s="295"/>
      <c r="BV389" s="230"/>
      <c r="BW389" s="231"/>
    </row>
    <row r="390" s="210" customFormat="1" ht="24" customHeight="1" spans="1:75">
      <c r="A390" s="360"/>
      <c r="B390" s="220" t="s">
        <v>1578</v>
      </c>
      <c r="C390" s="221" t="s">
        <v>443</v>
      </c>
      <c r="D390" s="221" t="s">
        <v>576</v>
      </c>
      <c r="E390" s="221" t="s">
        <v>577</v>
      </c>
      <c r="F390" s="219" t="s">
        <v>81</v>
      </c>
      <c r="G390" s="222" t="s">
        <v>578</v>
      </c>
      <c r="H390" s="219" t="s">
        <v>621</v>
      </c>
      <c r="I390" s="237" t="s">
        <v>771</v>
      </c>
      <c r="J390" s="219" t="s">
        <v>121</v>
      </c>
      <c r="K390" s="223" cm="1">
        <f t="array" ref="K390">_xlfn.XLOOKUP(D390&amp;E390&amp;H390&amp;I390&amp;J390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0" s="223"/>
      <c r="M390" s="361" t="s">
        <v>1580</v>
      </c>
      <c r="N390" s="253"/>
      <c r="O390" s="362"/>
      <c r="P390" s="285"/>
      <c r="Q390" s="228">
        <f>K390*P390</f>
        <v>0</v>
      </c>
      <c r="R390" s="228"/>
      <c r="S390" s="228">
        <f t="shared" si="268"/>
        <v>0</v>
      </c>
      <c r="T390" s="227"/>
      <c r="U390" s="228">
        <f>K390*T390</f>
        <v>0</v>
      </c>
      <c r="V390" s="228"/>
      <c r="W390" s="228">
        <f t="shared" si="232"/>
        <v>0</v>
      </c>
      <c r="X390" s="227"/>
      <c r="Y390" s="228">
        <f>K390*X390</f>
        <v>0</v>
      </c>
      <c r="Z390" s="228"/>
      <c r="AA390" s="228">
        <f t="shared" si="269"/>
        <v>0</v>
      </c>
      <c r="AB390" s="227"/>
      <c r="AC390" s="228">
        <f>K390*AB390</f>
        <v>0</v>
      </c>
      <c r="AD390" s="228"/>
      <c r="AE390" s="228">
        <f t="shared" si="270"/>
        <v>0</v>
      </c>
      <c r="AF390" s="227"/>
      <c r="AG390" s="228">
        <f>K390*AF390</f>
        <v>0</v>
      </c>
      <c r="AH390" s="228"/>
      <c r="AI390" s="228">
        <f t="shared" si="271"/>
        <v>0</v>
      </c>
      <c r="AJ390" s="227"/>
      <c r="AK390" s="228">
        <f>K390*AJ390</f>
        <v>0</v>
      </c>
      <c r="AL390" s="228"/>
      <c r="AM390" s="228">
        <f t="shared" si="272"/>
        <v>0</v>
      </c>
      <c r="AN390" s="227"/>
      <c r="AO390" s="228">
        <f>K390*AN390</f>
        <v>0</v>
      </c>
      <c r="AP390" s="228"/>
      <c r="AQ390" s="228">
        <f t="shared" si="273"/>
        <v>0</v>
      </c>
      <c r="AR390" s="228"/>
      <c r="AS390" s="228">
        <f>K390*AR390</f>
        <v>0</v>
      </c>
      <c r="AT390" s="228"/>
      <c r="AU390" s="228">
        <f t="shared" si="274"/>
        <v>0</v>
      </c>
      <c r="AV390" s="285"/>
      <c r="AW390" s="228">
        <f>K390*AV390</f>
        <v>0</v>
      </c>
      <c r="AX390" s="228"/>
      <c r="AY390" s="228">
        <f t="shared" si="275"/>
        <v>0</v>
      </c>
      <c r="AZ390" s="227"/>
      <c r="BA390" s="228">
        <f>K390*AZ390</f>
        <v>0</v>
      </c>
      <c r="BB390" s="228"/>
      <c r="BC390" s="228">
        <f t="shared" si="276"/>
        <v>0</v>
      </c>
      <c r="BD390" s="228"/>
      <c r="BE390" s="228">
        <f>K390*BD390</f>
        <v>0</v>
      </c>
      <c r="BF390" s="228"/>
      <c r="BG390" s="228">
        <f t="shared" si="277"/>
        <v>0</v>
      </c>
      <c r="BH390" s="228"/>
      <c r="BI390" s="228">
        <f>K390*BH390</f>
        <v>0</v>
      </c>
      <c r="BJ390" s="228"/>
      <c r="BK390" s="228">
        <f t="shared" si="278"/>
        <v>0</v>
      </c>
      <c r="BL390" s="228"/>
      <c r="BM390" s="220">
        <f>K390*BL390</f>
        <v>0</v>
      </c>
      <c r="BN390" s="239"/>
      <c r="BO390" s="220">
        <f t="shared" si="279"/>
        <v>0</v>
      </c>
      <c r="BP390" s="220">
        <f t="shared" si="280"/>
        <v>0</v>
      </c>
      <c r="BQ390" s="220">
        <f t="shared" si="281"/>
        <v>0</v>
      </c>
      <c r="BR390" s="220">
        <f t="shared" si="282"/>
        <v>0</v>
      </c>
      <c r="BS390" s="364"/>
      <c r="BT390" s="365"/>
      <c r="BU390" s="295"/>
      <c r="BV390" s="230"/>
      <c r="BW390" s="231"/>
    </row>
    <row r="391" s="210" customFormat="1" ht="24" customHeight="1" spans="1:75">
      <c r="A391" s="360"/>
      <c r="B391" s="220" t="s">
        <v>1578</v>
      </c>
      <c r="C391" s="221" t="s">
        <v>443</v>
      </c>
      <c r="D391" s="221" t="s">
        <v>576</v>
      </c>
      <c r="E391" s="221" t="s">
        <v>577</v>
      </c>
      <c r="F391" s="219" t="s">
        <v>81</v>
      </c>
      <c r="G391" s="222" t="s">
        <v>578</v>
      </c>
      <c r="H391" s="219" t="s">
        <v>60</v>
      </c>
      <c r="I391" s="237" t="s">
        <v>580</v>
      </c>
      <c r="J391" s="219" t="s">
        <v>1597</v>
      </c>
      <c r="K391" s="223" cm="1">
        <f t="array" ref="K391">_xlfn.XLOOKUP(D391&amp;E391&amp;H391&amp;I391&amp;J391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1" s="223"/>
      <c r="M391" s="361" t="s">
        <v>1580</v>
      </c>
      <c r="N391" s="253"/>
      <c r="O391" s="362"/>
      <c r="P391" s="285"/>
      <c r="Q391" s="228">
        <f>K391*P391</f>
        <v>0</v>
      </c>
      <c r="R391" s="228"/>
      <c r="S391" s="228">
        <f t="shared" si="268"/>
        <v>0</v>
      </c>
      <c r="T391" s="227"/>
      <c r="U391" s="228">
        <f>K391*T391</f>
        <v>0</v>
      </c>
      <c r="V391" s="228"/>
      <c r="W391" s="228">
        <f t="shared" si="232"/>
        <v>0</v>
      </c>
      <c r="X391" s="227"/>
      <c r="Y391" s="228">
        <f>K391*X391</f>
        <v>0</v>
      </c>
      <c r="Z391" s="228"/>
      <c r="AA391" s="228">
        <f t="shared" si="269"/>
        <v>0</v>
      </c>
      <c r="AB391" s="227"/>
      <c r="AC391" s="228">
        <f>K391*AB391</f>
        <v>0</v>
      </c>
      <c r="AD391" s="228"/>
      <c r="AE391" s="228">
        <f t="shared" si="270"/>
        <v>0</v>
      </c>
      <c r="AF391" s="227"/>
      <c r="AG391" s="228">
        <f>K391*AF391</f>
        <v>0</v>
      </c>
      <c r="AH391" s="228"/>
      <c r="AI391" s="228">
        <f t="shared" si="271"/>
        <v>0</v>
      </c>
      <c r="AJ391" s="227"/>
      <c r="AK391" s="228">
        <f>K391*AJ391</f>
        <v>0</v>
      </c>
      <c r="AL391" s="228"/>
      <c r="AM391" s="228">
        <f t="shared" si="272"/>
        <v>0</v>
      </c>
      <c r="AN391" s="227"/>
      <c r="AO391" s="228">
        <f>K391*AN391</f>
        <v>0</v>
      </c>
      <c r="AP391" s="228"/>
      <c r="AQ391" s="228">
        <f t="shared" si="273"/>
        <v>0</v>
      </c>
      <c r="AR391" s="228"/>
      <c r="AS391" s="228">
        <f>K391*AR391</f>
        <v>0</v>
      </c>
      <c r="AT391" s="228"/>
      <c r="AU391" s="228">
        <f t="shared" si="274"/>
        <v>0</v>
      </c>
      <c r="AV391" s="285"/>
      <c r="AW391" s="228">
        <f>K391*AV391</f>
        <v>0</v>
      </c>
      <c r="AX391" s="228"/>
      <c r="AY391" s="228">
        <f t="shared" si="275"/>
        <v>0</v>
      </c>
      <c r="AZ391" s="227"/>
      <c r="BA391" s="228">
        <f>K391*AZ391</f>
        <v>0</v>
      </c>
      <c r="BB391" s="228"/>
      <c r="BC391" s="228">
        <f t="shared" si="276"/>
        <v>0</v>
      </c>
      <c r="BD391" s="228"/>
      <c r="BE391" s="228">
        <f>K391*BD391</f>
        <v>0</v>
      </c>
      <c r="BF391" s="228"/>
      <c r="BG391" s="228">
        <f t="shared" si="277"/>
        <v>0</v>
      </c>
      <c r="BH391" s="228"/>
      <c r="BI391" s="228">
        <f>K391*BH391</f>
        <v>0</v>
      </c>
      <c r="BJ391" s="228"/>
      <c r="BK391" s="228">
        <f t="shared" si="278"/>
        <v>0</v>
      </c>
      <c r="BL391" s="228"/>
      <c r="BM391" s="220">
        <f>K391*BL391</f>
        <v>0</v>
      </c>
      <c r="BN391" s="239"/>
      <c r="BO391" s="220">
        <f t="shared" si="279"/>
        <v>0</v>
      </c>
      <c r="BP391" s="220">
        <f t="shared" si="280"/>
        <v>0</v>
      </c>
      <c r="BQ391" s="220">
        <f t="shared" si="281"/>
        <v>0</v>
      </c>
      <c r="BR391" s="220">
        <f t="shared" si="282"/>
        <v>0</v>
      </c>
      <c r="BS391" s="364"/>
      <c r="BT391" s="365"/>
      <c r="BU391" s="295"/>
      <c r="BV391" s="230"/>
      <c r="BW391" s="231"/>
    </row>
    <row r="392" s="210" customFormat="1" ht="24" customHeight="1" spans="1:75">
      <c r="A392" s="360"/>
      <c r="B392" s="220" t="s">
        <v>1578</v>
      </c>
      <c r="C392" s="221" t="s">
        <v>443</v>
      </c>
      <c r="D392" s="221" t="s">
        <v>576</v>
      </c>
      <c r="E392" s="221" t="s">
        <v>577</v>
      </c>
      <c r="F392" s="219" t="s">
        <v>81</v>
      </c>
      <c r="G392" s="222" t="s">
        <v>578</v>
      </c>
      <c r="H392" s="219" t="s">
        <v>70</v>
      </c>
      <c r="I392" s="237" t="s">
        <v>240</v>
      </c>
      <c r="J392" s="219" t="s">
        <v>1598</v>
      </c>
      <c r="K392" s="223" cm="1">
        <f t="array" ref="K392">_xlfn.XLOOKUP(D392&amp;E392&amp;H392&amp;I392&amp;J392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2" s="223"/>
      <c r="M392" s="361" t="s">
        <v>1580</v>
      </c>
      <c r="N392" s="253"/>
      <c r="O392" s="362"/>
      <c r="P392" s="285"/>
      <c r="Q392" s="228">
        <f>K392*P392</f>
        <v>0</v>
      </c>
      <c r="R392" s="228"/>
      <c r="S392" s="228">
        <f t="shared" si="268"/>
        <v>0</v>
      </c>
      <c r="T392" s="227"/>
      <c r="U392" s="228">
        <f>K392*T392</f>
        <v>0</v>
      </c>
      <c r="V392" s="228"/>
      <c r="W392" s="228">
        <f t="shared" si="232"/>
        <v>0</v>
      </c>
      <c r="X392" s="227"/>
      <c r="Y392" s="228">
        <f>K392*X392</f>
        <v>0</v>
      </c>
      <c r="Z392" s="228"/>
      <c r="AA392" s="228">
        <f t="shared" si="269"/>
        <v>0</v>
      </c>
      <c r="AB392" s="227"/>
      <c r="AC392" s="228">
        <f>K392*AB392</f>
        <v>0</v>
      </c>
      <c r="AD392" s="228"/>
      <c r="AE392" s="228">
        <f t="shared" si="270"/>
        <v>0</v>
      </c>
      <c r="AF392" s="227"/>
      <c r="AG392" s="228">
        <f>K392*AF392</f>
        <v>0</v>
      </c>
      <c r="AH392" s="228"/>
      <c r="AI392" s="228">
        <f t="shared" si="271"/>
        <v>0</v>
      </c>
      <c r="AJ392" s="227"/>
      <c r="AK392" s="228">
        <f>K392*AJ392</f>
        <v>0</v>
      </c>
      <c r="AL392" s="228"/>
      <c r="AM392" s="228">
        <f t="shared" si="272"/>
        <v>0</v>
      </c>
      <c r="AN392" s="227"/>
      <c r="AO392" s="228">
        <f>K392*AN392</f>
        <v>0</v>
      </c>
      <c r="AP392" s="228"/>
      <c r="AQ392" s="228">
        <f t="shared" si="273"/>
        <v>0</v>
      </c>
      <c r="AR392" s="228"/>
      <c r="AS392" s="228">
        <f>K392*AR392</f>
        <v>0</v>
      </c>
      <c r="AT392" s="228"/>
      <c r="AU392" s="228">
        <f t="shared" si="274"/>
        <v>0</v>
      </c>
      <c r="AV392" s="285"/>
      <c r="AW392" s="228">
        <f>K392*AV392</f>
        <v>0</v>
      </c>
      <c r="AX392" s="228"/>
      <c r="AY392" s="228">
        <f t="shared" si="275"/>
        <v>0</v>
      </c>
      <c r="AZ392" s="227"/>
      <c r="BA392" s="228">
        <f>K392*AZ392</f>
        <v>0</v>
      </c>
      <c r="BB392" s="228"/>
      <c r="BC392" s="228">
        <f t="shared" si="276"/>
        <v>0</v>
      </c>
      <c r="BD392" s="228"/>
      <c r="BE392" s="228">
        <f>K392*BD392</f>
        <v>0</v>
      </c>
      <c r="BF392" s="228"/>
      <c r="BG392" s="228">
        <f t="shared" si="277"/>
        <v>0</v>
      </c>
      <c r="BH392" s="228"/>
      <c r="BI392" s="228">
        <f>K392*BH392</f>
        <v>0</v>
      </c>
      <c r="BJ392" s="228"/>
      <c r="BK392" s="228">
        <f t="shared" si="278"/>
        <v>0</v>
      </c>
      <c r="BL392" s="228"/>
      <c r="BM392" s="220">
        <f>K392*BL392</f>
        <v>0</v>
      </c>
      <c r="BN392" s="239"/>
      <c r="BO392" s="220">
        <f t="shared" si="279"/>
        <v>0</v>
      </c>
      <c r="BP392" s="220">
        <f t="shared" si="280"/>
        <v>0</v>
      </c>
      <c r="BQ392" s="220">
        <f t="shared" si="281"/>
        <v>0</v>
      </c>
      <c r="BR392" s="220">
        <f t="shared" si="282"/>
        <v>0</v>
      </c>
      <c r="BS392" s="364"/>
      <c r="BT392" s="365"/>
      <c r="BU392" s="295"/>
      <c r="BV392" s="230"/>
      <c r="BW392" s="231"/>
    </row>
    <row r="393" s="210" customFormat="1" spans="1:75">
      <c r="A393" s="360"/>
      <c r="B393" s="220" t="s">
        <v>1578</v>
      </c>
      <c r="C393" s="221" t="s">
        <v>443</v>
      </c>
      <c r="D393" s="221" t="s">
        <v>733</v>
      </c>
      <c r="E393" s="221" t="s">
        <v>734</v>
      </c>
      <c r="F393" s="219" t="s">
        <v>81</v>
      </c>
      <c r="G393" s="222" t="s">
        <v>1462</v>
      </c>
      <c r="H393" s="219" t="s">
        <v>272</v>
      </c>
      <c r="I393" s="237" t="s">
        <v>1599</v>
      </c>
      <c r="J393" s="219" t="s">
        <v>1600</v>
      </c>
      <c r="K393" s="223" cm="1">
        <f t="array" ref="K393">_xlfn.XLOOKUP(D393&amp;E393&amp;H393&amp;I393&amp;J393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3" s="223"/>
      <c r="M393" s="361" t="s">
        <v>1589</v>
      </c>
      <c r="N393" s="253"/>
      <c r="O393" s="362"/>
      <c r="P393" s="285"/>
      <c r="Q393" s="228">
        <f>R393</f>
        <v>0</v>
      </c>
      <c r="R393" s="227"/>
      <c r="S393" s="228">
        <f t="shared" si="268"/>
        <v>0</v>
      </c>
      <c r="T393" s="227"/>
      <c r="U393" s="228">
        <f>V393</f>
        <v>0</v>
      </c>
      <c r="V393" s="227"/>
      <c r="W393" s="228">
        <f t="shared" si="232"/>
        <v>0</v>
      </c>
      <c r="X393" s="227"/>
      <c r="Y393" s="228">
        <f>Z393</f>
        <v>0</v>
      </c>
      <c r="Z393" s="227"/>
      <c r="AA393" s="228">
        <f t="shared" si="269"/>
        <v>0</v>
      </c>
      <c r="AB393" s="227"/>
      <c r="AC393" s="228">
        <f>AD393</f>
        <v>0</v>
      </c>
      <c r="AD393" s="227"/>
      <c r="AE393" s="228">
        <f t="shared" si="270"/>
        <v>0</v>
      </c>
      <c r="AF393" s="227"/>
      <c r="AG393" s="228">
        <f>AH393</f>
        <v>0</v>
      </c>
      <c r="AH393" s="227"/>
      <c r="AI393" s="228">
        <f t="shared" si="271"/>
        <v>0</v>
      </c>
      <c r="AJ393" s="227"/>
      <c r="AK393" s="228">
        <f>AL393</f>
        <v>0</v>
      </c>
      <c r="AL393" s="227"/>
      <c r="AM393" s="228">
        <f t="shared" si="272"/>
        <v>0</v>
      </c>
      <c r="AN393" s="227"/>
      <c r="AO393" s="228">
        <f>AP393</f>
        <v>0</v>
      </c>
      <c r="AP393" s="228"/>
      <c r="AQ393" s="228">
        <f t="shared" si="273"/>
        <v>0</v>
      </c>
      <c r="AR393" s="228"/>
      <c r="AS393" s="228">
        <f>AT393</f>
        <v>0</v>
      </c>
      <c r="AT393" s="227"/>
      <c r="AU393" s="228">
        <f t="shared" si="274"/>
        <v>0</v>
      </c>
      <c r="AV393" s="285"/>
      <c r="AW393" s="228">
        <f>AX393</f>
        <v>0</v>
      </c>
      <c r="AX393" s="228"/>
      <c r="AY393" s="228">
        <f t="shared" si="275"/>
        <v>0</v>
      </c>
      <c r="AZ393" s="227"/>
      <c r="BA393" s="228">
        <f>BB393</f>
        <v>0</v>
      </c>
      <c r="BB393" s="228"/>
      <c r="BC393" s="228">
        <f t="shared" si="276"/>
        <v>0</v>
      </c>
      <c r="BD393" s="228"/>
      <c r="BE393" s="228">
        <f>BF393</f>
        <v>0</v>
      </c>
      <c r="BF393" s="228"/>
      <c r="BG393" s="228">
        <f t="shared" si="277"/>
        <v>0</v>
      </c>
      <c r="BH393" s="228"/>
      <c r="BI393" s="228">
        <f>BJ393</f>
        <v>0</v>
      </c>
      <c r="BJ393" s="228"/>
      <c r="BK393" s="228">
        <f t="shared" si="278"/>
        <v>0</v>
      </c>
      <c r="BL393" s="228"/>
      <c r="BM393" s="220">
        <f>BN393</f>
        <v>0</v>
      </c>
      <c r="BN393" s="220"/>
      <c r="BO393" s="220">
        <f t="shared" si="279"/>
        <v>0</v>
      </c>
      <c r="BP393" s="220">
        <f t="shared" si="280"/>
        <v>0</v>
      </c>
      <c r="BQ393" s="220">
        <f t="shared" si="281"/>
        <v>0</v>
      </c>
      <c r="BR393" s="220">
        <f t="shared" si="282"/>
        <v>0</v>
      </c>
      <c r="BS393" s="364"/>
      <c r="BT393" s="365"/>
      <c r="BU393" s="295"/>
      <c r="BV393" s="230"/>
      <c r="BW393" s="231"/>
    </row>
    <row r="394" s="210" customFormat="1" spans="1:75">
      <c r="A394" s="360"/>
      <c r="B394" s="220" t="s">
        <v>1578</v>
      </c>
      <c r="C394" s="221" t="s">
        <v>443</v>
      </c>
      <c r="D394" s="221" t="s">
        <v>733</v>
      </c>
      <c r="E394" s="221" t="s">
        <v>734</v>
      </c>
      <c r="F394" s="219" t="s">
        <v>81</v>
      </c>
      <c r="G394" s="222" t="s">
        <v>1462</v>
      </c>
      <c r="H394" s="219" t="s">
        <v>280</v>
      </c>
      <c r="I394" s="237" t="s">
        <v>1601</v>
      </c>
      <c r="J394" s="219" t="s">
        <v>1602</v>
      </c>
      <c r="K394" s="223" cm="1">
        <f t="array" ref="K394">_xlfn.XLOOKUP(D394&amp;E394&amp;H394&amp;I394&amp;J394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4" s="223"/>
      <c r="M394" s="361" t="s">
        <v>1589</v>
      </c>
      <c r="N394" s="253"/>
      <c r="O394" s="362"/>
      <c r="P394" s="285"/>
      <c r="Q394" s="228">
        <f>R394</f>
        <v>0</v>
      </c>
      <c r="R394" s="227"/>
      <c r="S394" s="228">
        <f t="shared" si="268"/>
        <v>0</v>
      </c>
      <c r="T394" s="227"/>
      <c r="U394" s="228">
        <f>V394</f>
        <v>0</v>
      </c>
      <c r="V394" s="227"/>
      <c r="W394" s="228">
        <f t="shared" si="232"/>
        <v>0</v>
      </c>
      <c r="X394" s="227"/>
      <c r="Y394" s="228">
        <f>Z394</f>
        <v>0</v>
      </c>
      <c r="Z394" s="227"/>
      <c r="AA394" s="228">
        <f t="shared" si="269"/>
        <v>0</v>
      </c>
      <c r="AB394" s="227"/>
      <c r="AC394" s="228">
        <f>AD394</f>
        <v>0</v>
      </c>
      <c r="AD394" s="227"/>
      <c r="AE394" s="228">
        <f t="shared" si="270"/>
        <v>0</v>
      </c>
      <c r="AF394" s="227"/>
      <c r="AG394" s="228">
        <f>AH394</f>
        <v>0</v>
      </c>
      <c r="AH394" s="227"/>
      <c r="AI394" s="228">
        <f t="shared" si="271"/>
        <v>0</v>
      </c>
      <c r="AJ394" s="227"/>
      <c r="AK394" s="228">
        <f>AL394</f>
        <v>0</v>
      </c>
      <c r="AL394" s="227"/>
      <c r="AM394" s="228">
        <f t="shared" si="272"/>
        <v>0</v>
      </c>
      <c r="AN394" s="227"/>
      <c r="AO394" s="228">
        <f>AP394</f>
        <v>0</v>
      </c>
      <c r="AP394" s="228"/>
      <c r="AQ394" s="228">
        <f t="shared" si="273"/>
        <v>0</v>
      </c>
      <c r="AR394" s="228"/>
      <c r="AS394" s="228">
        <f>AT394</f>
        <v>0</v>
      </c>
      <c r="AT394" s="227"/>
      <c r="AU394" s="228">
        <f t="shared" si="274"/>
        <v>0</v>
      </c>
      <c r="AV394" s="285"/>
      <c r="AW394" s="228">
        <f>AX394</f>
        <v>0</v>
      </c>
      <c r="AX394" s="227"/>
      <c r="AY394" s="228">
        <f t="shared" si="275"/>
        <v>0</v>
      </c>
      <c r="AZ394" s="227"/>
      <c r="BA394" s="228">
        <f>BB394</f>
        <v>0</v>
      </c>
      <c r="BB394" s="228"/>
      <c r="BC394" s="228">
        <f t="shared" si="276"/>
        <v>0</v>
      </c>
      <c r="BD394" s="228"/>
      <c r="BE394" s="228">
        <f>BF394</f>
        <v>0</v>
      </c>
      <c r="BF394" s="228"/>
      <c r="BG394" s="228">
        <f t="shared" si="277"/>
        <v>0</v>
      </c>
      <c r="BH394" s="228"/>
      <c r="BI394" s="228">
        <f>BJ394</f>
        <v>0</v>
      </c>
      <c r="BJ394" s="228"/>
      <c r="BK394" s="228">
        <f t="shared" si="278"/>
        <v>0</v>
      </c>
      <c r="BL394" s="228"/>
      <c r="BM394" s="220">
        <f>BN394</f>
        <v>0</v>
      </c>
      <c r="BN394" s="220"/>
      <c r="BO394" s="220">
        <f t="shared" si="279"/>
        <v>0</v>
      </c>
      <c r="BP394" s="220">
        <f t="shared" si="280"/>
        <v>0</v>
      </c>
      <c r="BQ394" s="220">
        <f t="shared" si="281"/>
        <v>0</v>
      </c>
      <c r="BR394" s="220">
        <f t="shared" si="282"/>
        <v>0</v>
      </c>
      <c r="BS394" s="364"/>
      <c r="BT394" s="365"/>
      <c r="BU394" s="295"/>
      <c r="BV394" s="230"/>
      <c r="BW394" s="231"/>
    </row>
    <row r="395" s="210" customFormat="1" spans="1:75">
      <c r="A395" s="360"/>
      <c r="B395" s="220" t="s">
        <v>1578</v>
      </c>
      <c r="C395" s="221" t="s">
        <v>443</v>
      </c>
      <c r="D395" s="221" t="s">
        <v>733</v>
      </c>
      <c r="E395" s="221" t="s">
        <v>734</v>
      </c>
      <c r="F395" s="219" t="s">
        <v>81</v>
      </c>
      <c r="G395" s="222" t="s">
        <v>1462</v>
      </c>
      <c r="H395" s="219" t="s">
        <v>86</v>
      </c>
      <c r="I395" s="237" t="s">
        <v>1603</v>
      </c>
      <c r="J395" s="219" t="s">
        <v>758</v>
      </c>
      <c r="K395" s="223" cm="1">
        <f t="array" ref="K395">_xlfn.XLOOKUP(D395&amp;E395&amp;H395&amp;I395&amp;J395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5" s="223"/>
      <c r="M395" s="361" t="s">
        <v>1604</v>
      </c>
      <c r="N395" s="253"/>
      <c r="O395" s="362"/>
      <c r="P395" s="285"/>
      <c r="Q395" s="228">
        <f>R395</f>
        <v>0</v>
      </c>
      <c r="R395" s="227"/>
      <c r="S395" s="228">
        <f t="shared" si="268"/>
        <v>0</v>
      </c>
      <c r="T395" s="227"/>
      <c r="U395" s="228">
        <f>V395</f>
        <v>0</v>
      </c>
      <c r="V395" s="227"/>
      <c r="W395" s="228">
        <f t="shared" si="232"/>
        <v>0</v>
      </c>
      <c r="X395" s="227"/>
      <c r="Y395" s="228">
        <f>Z395</f>
        <v>0</v>
      </c>
      <c r="Z395" s="227"/>
      <c r="AA395" s="228">
        <f t="shared" si="269"/>
        <v>0</v>
      </c>
      <c r="AB395" s="227"/>
      <c r="AC395" s="228">
        <f>AD395</f>
        <v>0</v>
      </c>
      <c r="AD395" s="227"/>
      <c r="AE395" s="228">
        <f t="shared" si="270"/>
        <v>0</v>
      </c>
      <c r="AF395" s="227"/>
      <c r="AG395" s="228">
        <f>AH395</f>
        <v>0</v>
      </c>
      <c r="AH395" s="227"/>
      <c r="AI395" s="228">
        <f t="shared" si="271"/>
        <v>0</v>
      </c>
      <c r="AJ395" s="227"/>
      <c r="AK395" s="228">
        <f>AL395</f>
        <v>0</v>
      </c>
      <c r="AL395" s="227"/>
      <c r="AM395" s="228">
        <f t="shared" si="272"/>
        <v>0</v>
      </c>
      <c r="AN395" s="227"/>
      <c r="AO395" s="228">
        <f>AP395</f>
        <v>0</v>
      </c>
      <c r="AP395" s="228"/>
      <c r="AQ395" s="228">
        <f t="shared" si="273"/>
        <v>0</v>
      </c>
      <c r="AR395" s="228"/>
      <c r="AS395" s="228">
        <f>AT395</f>
        <v>0</v>
      </c>
      <c r="AT395" s="227"/>
      <c r="AU395" s="228">
        <f t="shared" si="274"/>
        <v>0</v>
      </c>
      <c r="AV395" s="285"/>
      <c r="AW395" s="228">
        <f>AX395</f>
        <v>0</v>
      </c>
      <c r="AX395" s="227"/>
      <c r="AY395" s="228">
        <f t="shared" si="275"/>
        <v>0</v>
      </c>
      <c r="AZ395" s="227"/>
      <c r="BA395" s="228">
        <f>BB395</f>
        <v>0</v>
      </c>
      <c r="BB395" s="228"/>
      <c r="BC395" s="228">
        <f t="shared" si="276"/>
        <v>0</v>
      </c>
      <c r="BD395" s="228"/>
      <c r="BE395" s="228">
        <f>BF395</f>
        <v>0</v>
      </c>
      <c r="BF395" s="228"/>
      <c r="BG395" s="228">
        <f t="shared" si="277"/>
        <v>0</v>
      </c>
      <c r="BH395" s="228"/>
      <c r="BI395" s="228">
        <f>BJ395</f>
        <v>0</v>
      </c>
      <c r="BJ395" s="228"/>
      <c r="BK395" s="228">
        <f t="shared" si="278"/>
        <v>0</v>
      </c>
      <c r="BL395" s="228"/>
      <c r="BM395" s="220">
        <f>BN395</f>
        <v>0</v>
      </c>
      <c r="BN395" s="220"/>
      <c r="BO395" s="220">
        <f t="shared" si="279"/>
        <v>0</v>
      </c>
      <c r="BP395" s="220">
        <f t="shared" si="280"/>
        <v>0</v>
      </c>
      <c r="BQ395" s="220">
        <f t="shared" si="281"/>
        <v>0</v>
      </c>
      <c r="BR395" s="220">
        <f t="shared" si="282"/>
        <v>0</v>
      </c>
      <c r="BS395" s="364"/>
      <c r="BT395" s="365"/>
      <c r="BU395" s="295"/>
      <c r="BV395" s="230"/>
      <c r="BW395" s="231"/>
    </row>
    <row r="396" s="210" customFormat="1" spans="1:75">
      <c r="A396" s="360"/>
      <c r="B396" s="220" t="s">
        <v>1578</v>
      </c>
      <c r="C396" s="221" t="s">
        <v>443</v>
      </c>
      <c r="D396" s="221" t="s">
        <v>733</v>
      </c>
      <c r="E396" s="221" t="s">
        <v>734</v>
      </c>
      <c r="F396" s="219" t="s">
        <v>81</v>
      </c>
      <c r="G396" s="222" t="s">
        <v>1462</v>
      </c>
      <c r="H396" s="219" t="s">
        <v>272</v>
      </c>
      <c r="I396" s="237" t="s">
        <v>1603</v>
      </c>
      <c r="J396" s="219" t="s">
        <v>737</v>
      </c>
      <c r="K396" s="223" cm="1">
        <f t="array" ref="K396">_xlfn.XLOOKUP(D396&amp;E396&amp;H396&amp;I396&amp;J396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6" s="223"/>
      <c r="M396" s="361" t="s">
        <v>1604</v>
      </c>
      <c r="N396" s="253"/>
      <c r="O396" s="362"/>
      <c r="P396" s="285"/>
      <c r="Q396" s="228">
        <f>R396</f>
        <v>0</v>
      </c>
      <c r="R396" s="227"/>
      <c r="S396" s="228">
        <f t="shared" si="268"/>
        <v>0</v>
      </c>
      <c r="T396" s="227"/>
      <c r="U396" s="228">
        <f>V396</f>
        <v>0</v>
      </c>
      <c r="V396" s="227"/>
      <c r="W396" s="228">
        <f t="shared" ref="W396:W434" si="283">U396-V396</f>
        <v>0</v>
      </c>
      <c r="X396" s="227"/>
      <c r="Y396" s="228">
        <f>Z396</f>
        <v>0</v>
      </c>
      <c r="Z396" s="227"/>
      <c r="AA396" s="228">
        <f t="shared" si="269"/>
        <v>0</v>
      </c>
      <c r="AB396" s="227"/>
      <c r="AC396" s="228">
        <f>AD396</f>
        <v>0</v>
      </c>
      <c r="AD396" s="227"/>
      <c r="AE396" s="228">
        <f t="shared" si="270"/>
        <v>0</v>
      </c>
      <c r="AF396" s="227"/>
      <c r="AG396" s="228">
        <f>AH396</f>
        <v>0</v>
      </c>
      <c r="AH396" s="227"/>
      <c r="AI396" s="228">
        <f t="shared" si="271"/>
        <v>0</v>
      </c>
      <c r="AJ396" s="227"/>
      <c r="AK396" s="228">
        <f>AL396</f>
        <v>0</v>
      </c>
      <c r="AL396" s="227"/>
      <c r="AM396" s="228">
        <f t="shared" si="272"/>
        <v>0</v>
      </c>
      <c r="AN396" s="227"/>
      <c r="AO396" s="228">
        <f>AP396</f>
        <v>0</v>
      </c>
      <c r="AP396" s="228"/>
      <c r="AQ396" s="228">
        <f t="shared" si="273"/>
        <v>0</v>
      </c>
      <c r="AR396" s="228"/>
      <c r="AS396" s="228">
        <f>AT396</f>
        <v>0</v>
      </c>
      <c r="AT396" s="227"/>
      <c r="AU396" s="228">
        <f t="shared" si="274"/>
        <v>0</v>
      </c>
      <c r="AV396" s="285"/>
      <c r="AW396" s="228">
        <f>AX396</f>
        <v>0</v>
      </c>
      <c r="AX396" s="227"/>
      <c r="AY396" s="228">
        <f t="shared" si="275"/>
        <v>0</v>
      </c>
      <c r="AZ396" s="227"/>
      <c r="BA396" s="228">
        <f>BB396</f>
        <v>0</v>
      </c>
      <c r="BB396" s="228"/>
      <c r="BC396" s="228">
        <f t="shared" si="276"/>
        <v>0</v>
      </c>
      <c r="BD396" s="228"/>
      <c r="BE396" s="228">
        <f>BF396</f>
        <v>0</v>
      </c>
      <c r="BF396" s="228"/>
      <c r="BG396" s="228">
        <f t="shared" si="277"/>
        <v>0</v>
      </c>
      <c r="BH396" s="228"/>
      <c r="BI396" s="228">
        <f>BJ396</f>
        <v>0</v>
      </c>
      <c r="BJ396" s="228"/>
      <c r="BK396" s="228">
        <f t="shared" si="278"/>
        <v>0</v>
      </c>
      <c r="BL396" s="228"/>
      <c r="BM396" s="220">
        <f>BN396</f>
        <v>0</v>
      </c>
      <c r="BN396" s="220"/>
      <c r="BO396" s="220">
        <f t="shared" si="279"/>
        <v>0</v>
      </c>
      <c r="BP396" s="220">
        <f t="shared" si="280"/>
        <v>0</v>
      </c>
      <c r="BQ396" s="220">
        <f t="shared" si="281"/>
        <v>0</v>
      </c>
      <c r="BR396" s="220">
        <f t="shared" si="282"/>
        <v>0</v>
      </c>
      <c r="BS396" s="364"/>
      <c r="BT396" s="365"/>
      <c r="BU396" s="295"/>
      <c r="BV396" s="230"/>
      <c r="BW396" s="231"/>
    </row>
    <row r="397" s="210" customFormat="1" ht="24" customHeight="1" spans="1:75">
      <c r="A397" s="360"/>
      <c r="B397" s="220" t="s">
        <v>1578</v>
      </c>
      <c r="C397" s="221" t="s">
        <v>34</v>
      </c>
      <c r="D397" s="221" t="s">
        <v>78</v>
      </c>
      <c r="E397" s="221" t="s">
        <v>79</v>
      </c>
      <c r="F397" s="219" t="s">
        <v>81</v>
      </c>
      <c r="G397" s="222" t="s">
        <v>38</v>
      </c>
      <c r="H397" s="219" t="s">
        <v>60</v>
      </c>
      <c r="I397" s="237" t="s">
        <v>98</v>
      </c>
      <c r="J397" s="219" t="s">
        <v>1605</v>
      </c>
      <c r="K397" s="223" cm="1">
        <f t="array" ref="K397">_xlfn.XLOOKUP(D397&amp;E397&amp;H397&amp;I397&amp;J397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7" s="223"/>
      <c r="M397" s="361" t="s">
        <v>1580</v>
      </c>
      <c r="N397" s="225"/>
      <c r="O397" s="362"/>
      <c r="P397" s="285"/>
      <c r="Q397" s="228">
        <f>K397*P397</f>
        <v>0</v>
      </c>
      <c r="R397" s="227"/>
      <c r="S397" s="228">
        <f t="shared" si="268"/>
        <v>0</v>
      </c>
      <c r="T397" s="227"/>
      <c r="U397" s="228">
        <f>K397*T397</f>
        <v>0</v>
      </c>
      <c r="V397" s="227"/>
      <c r="W397" s="228">
        <f t="shared" si="283"/>
        <v>0</v>
      </c>
      <c r="X397" s="227"/>
      <c r="Y397" s="228">
        <f>K397*X397</f>
        <v>0</v>
      </c>
      <c r="Z397" s="227"/>
      <c r="AA397" s="228">
        <f t="shared" si="269"/>
        <v>0</v>
      </c>
      <c r="AB397" s="227"/>
      <c r="AC397" s="228">
        <f>K397*AB397</f>
        <v>0</v>
      </c>
      <c r="AD397" s="227"/>
      <c r="AE397" s="228">
        <f t="shared" si="270"/>
        <v>0</v>
      </c>
      <c r="AF397" s="227"/>
      <c r="AG397" s="228">
        <f>K397*AF397</f>
        <v>0</v>
      </c>
      <c r="AH397" s="227"/>
      <c r="AI397" s="228">
        <f t="shared" si="271"/>
        <v>0</v>
      </c>
      <c r="AJ397" s="227"/>
      <c r="AK397" s="228">
        <f>K397*AJ397</f>
        <v>0</v>
      </c>
      <c r="AL397" s="227"/>
      <c r="AM397" s="228">
        <f t="shared" si="272"/>
        <v>0</v>
      </c>
      <c r="AN397" s="227"/>
      <c r="AO397" s="228">
        <f>K397*AN397</f>
        <v>0</v>
      </c>
      <c r="AP397" s="228"/>
      <c r="AQ397" s="228">
        <f t="shared" si="273"/>
        <v>0</v>
      </c>
      <c r="AR397" s="228"/>
      <c r="AS397" s="228">
        <f>K397*AR397</f>
        <v>0</v>
      </c>
      <c r="AT397" s="227"/>
      <c r="AU397" s="228">
        <f t="shared" si="274"/>
        <v>0</v>
      </c>
      <c r="AV397" s="285"/>
      <c r="AW397" s="228">
        <f>K397*AV397</f>
        <v>0</v>
      </c>
      <c r="AX397" s="227"/>
      <c r="AY397" s="228">
        <f t="shared" si="275"/>
        <v>0</v>
      </c>
      <c r="AZ397" s="227"/>
      <c r="BA397" s="228">
        <f>K397*AZ397</f>
        <v>0</v>
      </c>
      <c r="BB397" s="228"/>
      <c r="BC397" s="228">
        <f t="shared" si="276"/>
        <v>0</v>
      </c>
      <c r="BD397" s="228"/>
      <c r="BE397" s="228">
        <f>K397*BD397</f>
        <v>0</v>
      </c>
      <c r="BF397" s="228"/>
      <c r="BG397" s="228">
        <f t="shared" si="277"/>
        <v>0</v>
      </c>
      <c r="BH397" s="228"/>
      <c r="BI397" s="228">
        <f>K397*BH397</f>
        <v>0</v>
      </c>
      <c r="BJ397" s="228"/>
      <c r="BK397" s="228">
        <f t="shared" si="278"/>
        <v>0</v>
      </c>
      <c r="BL397" s="228"/>
      <c r="BM397" s="220">
        <f>K397*BL397</f>
        <v>0</v>
      </c>
      <c r="BN397" s="220"/>
      <c r="BO397" s="220">
        <f t="shared" si="279"/>
        <v>0</v>
      </c>
      <c r="BP397" s="220">
        <f t="shared" si="280"/>
        <v>0</v>
      </c>
      <c r="BQ397" s="220">
        <f t="shared" si="281"/>
        <v>0</v>
      </c>
      <c r="BR397" s="220">
        <f t="shared" si="282"/>
        <v>0</v>
      </c>
      <c r="BS397" s="364"/>
      <c r="BT397" s="365"/>
      <c r="BU397" s="295"/>
      <c r="BV397" s="230"/>
      <c r="BW397" s="231"/>
    </row>
    <row r="398" s="210" customFormat="1" spans="1:75">
      <c r="A398" s="360"/>
      <c r="B398" s="220" t="s">
        <v>1578</v>
      </c>
      <c r="C398" s="221" t="s">
        <v>34</v>
      </c>
      <c r="D398" s="221" t="s">
        <v>78</v>
      </c>
      <c r="E398" s="221" t="s">
        <v>79</v>
      </c>
      <c r="F398" s="219" t="s">
        <v>81</v>
      </c>
      <c r="G398" s="222" t="s">
        <v>38</v>
      </c>
      <c r="H398" s="219" t="s">
        <v>265</v>
      </c>
      <c r="I398" s="237" t="s">
        <v>1606</v>
      </c>
      <c r="J398" s="219" t="s">
        <v>1607</v>
      </c>
      <c r="K398" s="223" cm="1">
        <f t="array" ref="K398">_xlfn.XLOOKUP(D398&amp;E398&amp;H398&amp;I398&amp;J398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8" s="223"/>
      <c r="M398" s="361" t="s">
        <v>1608</v>
      </c>
      <c r="N398" s="225"/>
      <c r="O398" s="362"/>
      <c r="P398" s="285"/>
      <c r="Q398" s="228">
        <f t="shared" ref="Q398:Q403" si="284">R398</f>
        <v>3022.1724</v>
      </c>
      <c r="R398" s="227">
        <v>3022.1724</v>
      </c>
      <c r="S398" s="228">
        <f t="shared" si="268"/>
        <v>0</v>
      </c>
      <c r="T398" s="227"/>
      <c r="U398" s="228">
        <f t="shared" ref="U398:U403" si="285">V398</f>
        <v>1007.3908</v>
      </c>
      <c r="V398" s="227">
        <v>1007.3908</v>
      </c>
      <c r="W398" s="228">
        <f t="shared" si="283"/>
        <v>0</v>
      </c>
      <c r="X398" s="227"/>
      <c r="Y398" s="228">
        <f>K398*X398</f>
        <v>0</v>
      </c>
      <c r="Z398" s="227"/>
      <c r="AA398" s="228">
        <f t="shared" si="269"/>
        <v>0</v>
      </c>
      <c r="AB398" s="227"/>
      <c r="AC398" s="228">
        <f t="shared" ref="AC398:AC403" si="286">AD398</f>
        <v>2014.7816</v>
      </c>
      <c r="AD398" s="227">
        <v>2014.7816</v>
      </c>
      <c r="AE398" s="228">
        <f t="shared" si="270"/>
        <v>0</v>
      </c>
      <c r="AF398" s="227"/>
      <c r="AG398" s="228">
        <f t="shared" ref="AG398:AG403" si="287">AH398</f>
        <v>2014.7816</v>
      </c>
      <c r="AH398" s="227">
        <v>2014.7816</v>
      </c>
      <c r="AI398" s="228">
        <f t="shared" si="271"/>
        <v>0</v>
      </c>
      <c r="AJ398" s="227"/>
      <c r="AK398" s="228">
        <f>K398*AJ398</f>
        <v>0</v>
      </c>
      <c r="AL398" s="227"/>
      <c r="AM398" s="228">
        <f t="shared" si="272"/>
        <v>0</v>
      </c>
      <c r="AN398" s="227"/>
      <c r="AO398" s="228">
        <f t="shared" ref="AO398:AO403" si="288">AP398</f>
        <v>2014.7816</v>
      </c>
      <c r="AP398" s="228">
        <v>2014.7816</v>
      </c>
      <c r="AQ398" s="228">
        <f t="shared" si="273"/>
        <v>0</v>
      </c>
      <c r="AR398" s="228"/>
      <c r="AS398" s="228">
        <f>K398*AR398</f>
        <v>0</v>
      </c>
      <c r="AT398" s="227"/>
      <c r="AU398" s="228">
        <f t="shared" si="274"/>
        <v>0</v>
      </c>
      <c r="AV398" s="285"/>
      <c r="AW398" s="228">
        <f t="shared" ref="AW398:AW403" si="289">AX398</f>
        <v>0</v>
      </c>
      <c r="AX398" s="227"/>
      <c r="AY398" s="228">
        <f t="shared" si="275"/>
        <v>0</v>
      </c>
      <c r="AZ398" s="227"/>
      <c r="BA398" s="228">
        <f t="shared" ref="BA398:BA403" si="290">BB398</f>
        <v>6361.3316</v>
      </c>
      <c r="BB398" s="228">
        <v>6361.3316</v>
      </c>
      <c r="BC398" s="228">
        <f t="shared" si="276"/>
        <v>0</v>
      </c>
      <c r="BD398" s="228"/>
      <c r="BE398" s="228">
        <f>K398*BD398</f>
        <v>0</v>
      </c>
      <c r="BF398" s="228"/>
      <c r="BG398" s="228">
        <f t="shared" si="277"/>
        <v>0</v>
      </c>
      <c r="BH398" s="228"/>
      <c r="BI398" s="228">
        <f>K398*BH398</f>
        <v>0</v>
      </c>
      <c r="BJ398" s="228"/>
      <c r="BK398" s="228">
        <f t="shared" si="278"/>
        <v>0</v>
      </c>
      <c r="BL398" s="228"/>
      <c r="BM398" s="220">
        <f>K398*BL398</f>
        <v>0</v>
      </c>
      <c r="BN398" s="220"/>
      <c r="BO398" s="220">
        <f t="shared" si="279"/>
        <v>0</v>
      </c>
      <c r="BP398" s="220">
        <f t="shared" si="280"/>
        <v>16435.2396</v>
      </c>
      <c r="BQ398" s="220">
        <f t="shared" si="281"/>
        <v>16435.2396</v>
      </c>
      <c r="BR398" s="220">
        <f t="shared" si="282"/>
        <v>0</v>
      </c>
      <c r="BS398" s="364"/>
      <c r="BT398" s="365"/>
      <c r="BU398" s="295"/>
      <c r="BV398" s="230"/>
      <c r="BW398" s="231"/>
    </row>
    <row r="399" s="210" customFormat="1" spans="1:75">
      <c r="A399" s="360"/>
      <c r="B399" s="220" t="s">
        <v>1578</v>
      </c>
      <c r="C399" s="221" t="s">
        <v>1142</v>
      </c>
      <c r="D399" s="221" t="s">
        <v>1143</v>
      </c>
      <c r="E399" s="221" t="s">
        <v>1144</v>
      </c>
      <c r="F399" s="219" t="s">
        <v>81</v>
      </c>
      <c r="G399" s="222" t="s">
        <v>1462</v>
      </c>
      <c r="H399" s="219"/>
      <c r="I399" s="237" t="s">
        <v>1609</v>
      </c>
      <c r="J399" s="219" t="s">
        <v>1610</v>
      </c>
      <c r="K399" s="223" cm="1">
        <f t="array" ref="K399">_xlfn.XLOOKUP(D399&amp;E399&amp;H399&amp;I399&amp;J399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9" s="223"/>
      <c r="M399" s="361" t="s">
        <v>1589</v>
      </c>
      <c r="N399" s="253"/>
      <c r="O399" s="362"/>
      <c r="P399" s="285"/>
      <c r="Q399" s="228">
        <f t="shared" si="284"/>
        <v>0</v>
      </c>
      <c r="R399" s="227"/>
      <c r="S399" s="228">
        <f t="shared" si="268"/>
        <v>0</v>
      </c>
      <c r="T399" s="227"/>
      <c r="U399" s="228">
        <f t="shared" si="285"/>
        <v>0</v>
      </c>
      <c r="V399" s="227"/>
      <c r="W399" s="228">
        <f t="shared" si="283"/>
        <v>0</v>
      </c>
      <c r="X399" s="227"/>
      <c r="Y399" s="228">
        <f>Z399</f>
        <v>0</v>
      </c>
      <c r="Z399" s="343"/>
      <c r="AA399" s="228">
        <f t="shared" si="269"/>
        <v>0</v>
      </c>
      <c r="AB399" s="227"/>
      <c r="AC399" s="228">
        <f t="shared" si="286"/>
        <v>0</v>
      </c>
      <c r="AD399" s="227"/>
      <c r="AE399" s="228">
        <f t="shared" si="270"/>
        <v>0</v>
      </c>
      <c r="AF399" s="227"/>
      <c r="AG399" s="228">
        <f t="shared" si="287"/>
        <v>0</v>
      </c>
      <c r="AH399" s="227"/>
      <c r="AI399" s="228">
        <f t="shared" si="271"/>
        <v>0</v>
      </c>
      <c r="AJ399" s="227"/>
      <c r="AK399" s="228">
        <f>AL399</f>
        <v>0</v>
      </c>
      <c r="AL399" s="227"/>
      <c r="AM399" s="228">
        <f t="shared" si="272"/>
        <v>0</v>
      </c>
      <c r="AN399" s="227"/>
      <c r="AO399" s="228">
        <f t="shared" si="288"/>
        <v>0</v>
      </c>
      <c r="AP399" s="228"/>
      <c r="AQ399" s="228">
        <f t="shared" si="273"/>
        <v>0</v>
      </c>
      <c r="AR399" s="228"/>
      <c r="AS399" s="228">
        <f>AT399</f>
        <v>0</v>
      </c>
      <c r="AT399" s="227"/>
      <c r="AU399" s="228">
        <f t="shared" si="274"/>
        <v>0</v>
      </c>
      <c r="AV399" s="285"/>
      <c r="AW399" s="228">
        <f t="shared" si="289"/>
        <v>0</v>
      </c>
      <c r="AX399" s="227"/>
      <c r="AY399" s="228">
        <f t="shared" si="275"/>
        <v>0</v>
      </c>
      <c r="AZ399" s="227"/>
      <c r="BA399" s="228">
        <f t="shared" si="290"/>
        <v>0</v>
      </c>
      <c r="BB399" s="228"/>
      <c r="BC399" s="228">
        <f t="shared" si="276"/>
        <v>0</v>
      </c>
      <c r="BD399" s="228"/>
      <c r="BE399" s="228">
        <f>BF399</f>
        <v>0</v>
      </c>
      <c r="BF399" s="228"/>
      <c r="BG399" s="228">
        <f t="shared" si="277"/>
        <v>0</v>
      </c>
      <c r="BH399" s="228"/>
      <c r="BI399" s="228">
        <f>BJ399</f>
        <v>0</v>
      </c>
      <c r="BJ399" s="228"/>
      <c r="BK399" s="228">
        <f t="shared" si="278"/>
        <v>0</v>
      </c>
      <c r="BL399" s="228"/>
      <c r="BM399" s="220">
        <f>BN399</f>
        <v>0</v>
      </c>
      <c r="BN399" s="220"/>
      <c r="BO399" s="220">
        <f t="shared" si="279"/>
        <v>0</v>
      </c>
      <c r="BP399" s="220">
        <f t="shared" si="280"/>
        <v>0</v>
      </c>
      <c r="BQ399" s="220">
        <f t="shared" si="281"/>
        <v>0</v>
      </c>
      <c r="BR399" s="220">
        <f t="shared" si="282"/>
        <v>0</v>
      </c>
      <c r="BS399" s="364"/>
      <c r="BT399" s="365"/>
      <c r="BU399" s="295"/>
      <c r="BV399" s="230"/>
      <c r="BW399" s="231"/>
    </row>
    <row r="400" s="210" customFormat="1" spans="1:75">
      <c r="A400" s="360"/>
      <c r="B400" s="220" t="s">
        <v>1578</v>
      </c>
      <c r="C400" s="221" t="s">
        <v>1142</v>
      </c>
      <c r="D400" s="221" t="s">
        <v>1143</v>
      </c>
      <c r="E400" s="221" t="s">
        <v>1144</v>
      </c>
      <c r="F400" s="219" t="s">
        <v>81</v>
      </c>
      <c r="G400" s="222" t="s">
        <v>1462</v>
      </c>
      <c r="H400" s="219"/>
      <c r="I400" s="237" t="s">
        <v>1611</v>
      </c>
      <c r="J400" s="219" t="s">
        <v>1594</v>
      </c>
      <c r="K400" s="223" cm="1">
        <f t="array" ref="K400">_xlfn.XLOOKUP(D400&amp;E400&amp;H400&amp;I400&amp;J400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0" s="223"/>
      <c r="M400" s="361" t="s">
        <v>1589</v>
      </c>
      <c r="N400" s="253"/>
      <c r="O400" s="362"/>
      <c r="P400" s="285"/>
      <c r="Q400" s="228">
        <f t="shared" si="284"/>
        <v>0</v>
      </c>
      <c r="R400" s="227"/>
      <c r="S400" s="228">
        <f t="shared" si="268"/>
        <v>0</v>
      </c>
      <c r="T400" s="227"/>
      <c r="U400" s="228">
        <f t="shared" si="285"/>
        <v>0</v>
      </c>
      <c r="V400" s="227"/>
      <c r="W400" s="228">
        <f t="shared" si="283"/>
        <v>0</v>
      </c>
      <c r="X400" s="227"/>
      <c r="Y400" s="228">
        <f>Z400</f>
        <v>0</v>
      </c>
      <c r="Z400" s="227"/>
      <c r="AA400" s="228">
        <f t="shared" si="269"/>
        <v>0</v>
      </c>
      <c r="AB400" s="227"/>
      <c r="AC400" s="228">
        <f t="shared" si="286"/>
        <v>0</v>
      </c>
      <c r="AD400" s="227"/>
      <c r="AE400" s="228">
        <f t="shared" si="270"/>
        <v>0</v>
      </c>
      <c r="AF400" s="227"/>
      <c r="AG400" s="228">
        <f t="shared" si="287"/>
        <v>0</v>
      </c>
      <c r="AH400" s="227"/>
      <c r="AI400" s="228">
        <f t="shared" si="271"/>
        <v>0</v>
      </c>
      <c r="AJ400" s="227"/>
      <c r="AK400" s="228">
        <f>AL400</f>
        <v>0</v>
      </c>
      <c r="AL400" s="227"/>
      <c r="AM400" s="228">
        <f t="shared" si="272"/>
        <v>0</v>
      </c>
      <c r="AN400" s="227"/>
      <c r="AO400" s="228">
        <f t="shared" si="288"/>
        <v>0</v>
      </c>
      <c r="AP400" s="228"/>
      <c r="AQ400" s="228">
        <f t="shared" si="273"/>
        <v>0</v>
      </c>
      <c r="AR400" s="228"/>
      <c r="AS400" s="228">
        <f>AT400</f>
        <v>0</v>
      </c>
      <c r="AT400" s="227"/>
      <c r="AU400" s="228">
        <f t="shared" si="274"/>
        <v>0</v>
      </c>
      <c r="AV400" s="285"/>
      <c r="AW400" s="228">
        <f t="shared" si="289"/>
        <v>0</v>
      </c>
      <c r="AX400" s="227"/>
      <c r="AY400" s="228">
        <f t="shared" si="275"/>
        <v>0</v>
      </c>
      <c r="AZ400" s="227"/>
      <c r="BA400" s="228">
        <f t="shared" si="290"/>
        <v>0</v>
      </c>
      <c r="BB400" s="228"/>
      <c r="BC400" s="228">
        <f t="shared" si="276"/>
        <v>0</v>
      </c>
      <c r="BD400" s="228"/>
      <c r="BE400" s="228">
        <f>BF400</f>
        <v>0</v>
      </c>
      <c r="BF400" s="228"/>
      <c r="BG400" s="228">
        <f t="shared" si="277"/>
        <v>0</v>
      </c>
      <c r="BH400" s="228"/>
      <c r="BI400" s="228">
        <f>BJ400</f>
        <v>0</v>
      </c>
      <c r="BJ400" s="228"/>
      <c r="BK400" s="228">
        <f t="shared" si="278"/>
        <v>0</v>
      </c>
      <c r="BL400" s="228"/>
      <c r="BM400" s="220">
        <f>BN400</f>
        <v>0</v>
      </c>
      <c r="BN400" s="220"/>
      <c r="BO400" s="220">
        <f t="shared" si="279"/>
        <v>0</v>
      </c>
      <c r="BP400" s="220">
        <f t="shared" si="280"/>
        <v>0</v>
      </c>
      <c r="BQ400" s="220">
        <f t="shared" si="281"/>
        <v>0</v>
      </c>
      <c r="BR400" s="220">
        <f t="shared" si="282"/>
        <v>0</v>
      </c>
      <c r="BS400" s="364"/>
      <c r="BT400" s="365"/>
      <c r="BU400" s="295"/>
      <c r="BV400" s="230"/>
      <c r="BW400" s="231"/>
    </row>
    <row r="401" s="210" customFormat="1" spans="1:75">
      <c r="A401" s="360"/>
      <c r="B401" s="220" t="s">
        <v>1578</v>
      </c>
      <c r="C401" s="221" t="s">
        <v>1142</v>
      </c>
      <c r="D401" s="221" t="s">
        <v>1143</v>
      </c>
      <c r="E401" s="221" t="s">
        <v>1144</v>
      </c>
      <c r="F401" s="219" t="s">
        <v>81</v>
      </c>
      <c r="G401" s="222" t="s">
        <v>1462</v>
      </c>
      <c r="H401" s="219"/>
      <c r="I401" s="237" t="s">
        <v>98</v>
      </c>
      <c r="J401" s="219" t="s">
        <v>1612</v>
      </c>
      <c r="K401" s="223" cm="1">
        <f t="array" ref="K401">_xlfn.XLOOKUP(D401&amp;E401&amp;H401&amp;I401&amp;J401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1" s="223"/>
      <c r="M401" s="361" t="s">
        <v>1589</v>
      </c>
      <c r="N401" s="253"/>
      <c r="O401" s="362"/>
      <c r="P401" s="285"/>
      <c r="Q401" s="228">
        <f t="shared" si="284"/>
        <v>0</v>
      </c>
      <c r="R401" s="227"/>
      <c r="S401" s="228">
        <f t="shared" si="268"/>
        <v>0</v>
      </c>
      <c r="T401" s="227"/>
      <c r="U401" s="228">
        <f t="shared" si="285"/>
        <v>0</v>
      </c>
      <c r="V401" s="227"/>
      <c r="W401" s="228">
        <f t="shared" si="283"/>
        <v>0</v>
      </c>
      <c r="X401" s="227"/>
      <c r="Y401" s="228">
        <f>Z401</f>
        <v>0</v>
      </c>
      <c r="Z401" s="227"/>
      <c r="AA401" s="228">
        <f t="shared" si="269"/>
        <v>0</v>
      </c>
      <c r="AB401" s="227"/>
      <c r="AC401" s="228">
        <f t="shared" si="286"/>
        <v>0</v>
      </c>
      <c r="AD401" s="227"/>
      <c r="AE401" s="228">
        <f t="shared" si="270"/>
        <v>0</v>
      </c>
      <c r="AF401" s="227"/>
      <c r="AG401" s="228">
        <f t="shared" si="287"/>
        <v>0</v>
      </c>
      <c r="AH401" s="227"/>
      <c r="AI401" s="228">
        <f t="shared" si="271"/>
        <v>0</v>
      </c>
      <c r="AJ401" s="227"/>
      <c r="AK401" s="228">
        <f>AL401</f>
        <v>0</v>
      </c>
      <c r="AL401" s="227"/>
      <c r="AM401" s="228">
        <f t="shared" si="272"/>
        <v>0</v>
      </c>
      <c r="AN401" s="227"/>
      <c r="AO401" s="228">
        <f t="shared" si="288"/>
        <v>0</v>
      </c>
      <c r="AP401" s="228"/>
      <c r="AQ401" s="228">
        <f t="shared" si="273"/>
        <v>0</v>
      </c>
      <c r="AR401" s="228"/>
      <c r="AS401" s="228">
        <f>AT401</f>
        <v>0</v>
      </c>
      <c r="AT401" s="227"/>
      <c r="AU401" s="228">
        <f t="shared" si="274"/>
        <v>0</v>
      </c>
      <c r="AV401" s="285"/>
      <c r="AW401" s="228">
        <f t="shared" si="289"/>
        <v>0</v>
      </c>
      <c r="AX401" s="227"/>
      <c r="AY401" s="228">
        <f t="shared" si="275"/>
        <v>0</v>
      </c>
      <c r="AZ401" s="227"/>
      <c r="BA401" s="228">
        <f t="shared" si="290"/>
        <v>0</v>
      </c>
      <c r="BB401" s="228"/>
      <c r="BC401" s="228">
        <f t="shared" si="276"/>
        <v>0</v>
      </c>
      <c r="BD401" s="228"/>
      <c r="BE401" s="228">
        <f>BF401</f>
        <v>0</v>
      </c>
      <c r="BF401" s="228"/>
      <c r="BG401" s="228">
        <f t="shared" si="277"/>
        <v>0</v>
      </c>
      <c r="BH401" s="228"/>
      <c r="BI401" s="228">
        <f>BJ401</f>
        <v>0</v>
      </c>
      <c r="BJ401" s="228"/>
      <c r="BK401" s="228">
        <f t="shared" si="278"/>
        <v>0</v>
      </c>
      <c r="BL401" s="228"/>
      <c r="BM401" s="220">
        <f>BN401</f>
        <v>0</v>
      </c>
      <c r="BN401" s="220"/>
      <c r="BO401" s="220">
        <f t="shared" si="279"/>
        <v>0</v>
      </c>
      <c r="BP401" s="220">
        <f t="shared" si="280"/>
        <v>0</v>
      </c>
      <c r="BQ401" s="220">
        <f t="shared" si="281"/>
        <v>0</v>
      </c>
      <c r="BR401" s="220">
        <f t="shared" si="282"/>
        <v>0</v>
      </c>
      <c r="BS401" s="364"/>
      <c r="BT401" s="365"/>
      <c r="BU401" s="295"/>
      <c r="BV401" s="230"/>
      <c r="BW401" s="231"/>
    </row>
    <row r="402" s="210" customFormat="1" spans="1:75">
      <c r="A402" s="360"/>
      <c r="B402" s="220" t="s">
        <v>1578</v>
      </c>
      <c r="C402" s="221" t="s">
        <v>874</v>
      </c>
      <c r="D402" s="221" t="s">
        <v>1111</v>
      </c>
      <c r="E402" s="221" t="s">
        <v>1112</v>
      </c>
      <c r="F402" s="219" t="s">
        <v>81</v>
      </c>
      <c r="G402" s="222" t="s">
        <v>1462</v>
      </c>
      <c r="H402" s="219" t="s">
        <v>39</v>
      </c>
      <c r="I402" s="237" t="s">
        <v>1613</v>
      </c>
      <c r="J402" s="219" t="s">
        <v>1134</v>
      </c>
      <c r="K402" s="223" cm="1">
        <f t="array" ref="K402">_xlfn.XLOOKUP(D402&amp;E402&amp;H402&amp;I402&amp;J402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2" s="223"/>
      <c r="M402" s="361" t="s">
        <v>1604</v>
      </c>
      <c r="N402" s="253"/>
      <c r="O402" s="362"/>
      <c r="P402" s="285"/>
      <c r="Q402" s="228">
        <f t="shared" si="284"/>
        <v>0</v>
      </c>
      <c r="R402" s="227"/>
      <c r="S402" s="228">
        <f t="shared" si="268"/>
        <v>0</v>
      </c>
      <c r="T402" s="227"/>
      <c r="U402" s="228">
        <f t="shared" si="285"/>
        <v>0</v>
      </c>
      <c r="V402" s="227"/>
      <c r="W402" s="228">
        <f t="shared" si="283"/>
        <v>0</v>
      </c>
      <c r="X402" s="227"/>
      <c r="Y402" s="228">
        <f>Z402</f>
        <v>0</v>
      </c>
      <c r="Z402" s="227"/>
      <c r="AA402" s="228">
        <f t="shared" si="269"/>
        <v>0</v>
      </c>
      <c r="AB402" s="227"/>
      <c r="AC402" s="228">
        <f t="shared" si="286"/>
        <v>0</v>
      </c>
      <c r="AD402" s="227"/>
      <c r="AE402" s="228">
        <f t="shared" si="270"/>
        <v>0</v>
      </c>
      <c r="AF402" s="227"/>
      <c r="AG402" s="228">
        <f t="shared" si="287"/>
        <v>0</v>
      </c>
      <c r="AH402" s="227"/>
      <c r="AI402" s="228">
        <f t="shared" si="271"/>
        <v>0</v>
      </c>
      <c r="AJ402" s="227"/>
      <c r="AK402" s="228">
        <f>AL402</f>
        <v>0</v>
      </c>
      <c r="AL402" s="227"/>
      <c r="AM402" s="228">
        <f t="shared" si="272"/>
        <v>0</v>
      </c>
      <c r="AN402" s="227"/>
      <c r="AO402" s="228">
        <f t="shared" si="288"/>
        <v>0</v>
      </c>
      <c r="AP402" s="228"/>
      <c r="AQ402" s="228">
        <f t="shared" si="273"/>
        <v>0</v>
      </c>
      <c r="AR402" s="228"/>
      <c r="AS402" s="228">
        <f>AT402</f>
        <v>0</v>
      </c>
      <c r="AT402" s="227"/>
      <c r="AU402" s="228">
        <f t="shared" si="274"/>
        <v>0</v>
      </c>
      <c r="AV402" s="285"/>
      <c r="AW402" s="228">
        <f t="shared" si="289"/>
        <v>0</v>
      </c>
      <c r="AX402" s="227"/>
      <c r="AY402" s="228">
        <f t="shared" si="275"/>
        <v>0</v>
      </c>
      <c r="AZ402" s="227"/>
      <c r="BA402" s="228">
        <f t="shared" si="290"/>
        <v>0</v>
      </c>
      <c r="BB402" s="228"/>
      <c r="BC402" s="228">
        <f t="shared" si="276"/>
        <v>0</v>
      </c>
      <c r="BD402" s="228"/>
      <c r="BE402" s="228">
        <f>BF402</f>
        <v>0</v>
      </c>
      <c r="BF402" s="228"/>
      <c r="BG402" s="228">
        <f t="shared" si="277"/>
        <v>0</v>
      </c>
      <c r="BH402" s="228"/>
      <c r="BI402" s="228">
        <f>BJ402</f>
        <v>0</v>
      </c>
      <c r="BJ402" s="228"/>
      <c r="BK402" s="228">
        <f t="shared" si="278"/>
        <v>0</v>
      </c>
      <c r="BL402" s="228"/>
      <c r="BM402" s="220">
        <f>BN402</f>
        <v>0</v>
      </c>
      <c r="BN402" s="220"/>
      <c r="BO402" s="220">
        <f t="shared" si="279"/>
        <v>0</v>
      </c>
      <c r="BP402" s="220">
        <f t="shared" si="280"/>
        <v>0</v>
      </c>
      <c r="BQ402" s="220">
        <f t="shared" si="281"/>
        <v>0</v>
      </c>
      <c r="BR402" s="220">
        <f t="shared" si="282"/>
        <v>0</v>
      </c>
      <c r="BS402" s="364"/>
      <c r="BT402" s="365"/>
      <c r="BU402" s="295"/>
      <c r="BV402" s="230"/>
      <c r="BW402" s="231"/>
    </row>
    <row r="403" s="210" customFormat="1" spans="1:75">
      <c r="A403" s="360"/>
      <c r="B403" s="220" t="s">
        <v>1578</v>
      </c>
      <c r="C403" s="221" t="s">
        <v>874</v>
      </c>
      <c r="D403" s="221" t="s">
        <v>1111</v>
      </c>
      <c r="E403" s="221" t="s">
        <v>1112</v>
      </c>
      <c r="F403" s="219" t="s">
        <v>81</v>
      </c>
      <c r="G403" s="222" t="s">
        <v>1462</v>
      </c>
      <c r="H403" s="219" t="s">
        <v>39</v>
      </c>
      <c r="I403" s="237" t="s">
        <v>1614</v>
      </c>
      <c r="J403" s="219" t="s">
        <v>1615</v>
      </c>
      <c r="K403" s="223" cm="1">
        <f t="array" ref="K403">_xlfn.XLOOKUP(D403&amp;E403&amp;H403&amp;I403&amp;J403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3" s="223"/>
      <c r="M403" s="361" t="s">
        <v>1604</v>
      </c>
      <c r="N403" s="253"/>
      <c r="O403" s="362"/>
      <c r="P403" s="285"/>
      <c r="Q403" s="228">
        <f t="shared" si="284"/>
        <v>0</v>
      </c>
      <c r="R403" s="227"/>
      <c r="S403" s="228">
        <f t="shared" si="268"/>
        <v>0</v>
      </c>
      <c r="T403" s="227"/>
      <c r="U403" s="228">
        <f t="shared" si="285"/>
        <v>0</v>
      </c>
      <c r="V403" s="227"/>
      <c r="W403" s="228">
        <f t="shared" si="283"/>
        <v>0</v>
      </c>
      <c r="X403" s="227"/>
      <c r="Y403" s="228">
        <f>Z403</f>
        <v>0</v>
      </c>
      <c r="Z403" s="227"/>
      <c r="AA403" s="228">
        <f t="shared" si="269"/>
        <v>0</v>
      </c>
      <c r="AB403" s="227"/>
      <c r="AC403" s="228">
        <f t="shared" si="286"/>
        <v>0</v>
      </c>
      <c r="AD403" s="227"/>
      <c r="AE403" s="228">
        <f t="shared" si="270"/>
        <v>0</v>
      </c>
      <c r="AF403" s="227"/>
      <c r="AG403" s="228">
        <f t="shared" si="287"/>
        <v>0</v>
      </c>
      <c r="AH403" s="227"/>
      <c r="AI403" s="228">
        <f t="shared" si="271"/>
        <v>0</v>
      </c>
      <c r="AJ403" s="227"/>
      <c r="AK403" s="228">
        <f>AL403</f>
        <v>0</v>
      </c>
      <c r="AL403" s="227"/>
      <c r="AM403" s="228">
        <f t="shared" si="272"/>
        <v>0</v>
      </c>
      <c r="AN403" s="227"/>
      <c r="AO403" s="228">
        <f t="shared" si="288"/>
        <v>0</v>
      </c>
      <c r="AP403" s="228"/>
      <c r="AQ403" s="228">
        <f t="shared" si="273"/>
        <v>0</v>
      </c>
      <c r="AR403" s="228"/>
      <c r="AS403" s="228">
        <f>AT403</f>
        <v>0</v>
      </c>
      <c r="AT403" s="227"/>
      <c r="AU403" s="228">
        <f t="shared" si="274"/>
        <v>0</v>
      </c>
      <c r="AV403" s="285"/>
      <c r="AW403" s="228">
        <f t="shared" si="289"/>
        <v>0</v>
      </c>
      <c r="AX403" s="227"/>
      <c r="AY403" s="228">
        <f t="shared" si="275"/>
        <v>0</v>
      </c>
      <c r="AZ403" s="227"/>
      <c r="BA403" s="228">
        <f t="shared" si="290"/>
        <v>0</v>
      </c>
      <c r="BB403" s="228"/>
      <c r="BC403" s="228">
        <f t="shared" si="276"/>
        <v>0</v>
      </c>
      <c r="BD403" s="228"/>
      <c r="BE403" s="228">
        <f>BF403</f>
        <v>0</v>
      </c>
      <c r="BF403" s="228"/>
      <c r="BG403" s="228">
        <f t="shared" si="277"/>
        <v>0</v>
      </c>
      <c r="BH403" s="228"/>
      <c r="BI403" s="228">
        <f>BJ403</f>
        <v>0</v>
      </c>
      <c r="BJ403" s="228"/>
      <c r="BK403" s="228">
        <f t="shared" si="278"/>
        <v>0</v>
      </c>
      <c r="BL403" s="228"/>
      <c r="BM403" s="220">
        <f>BN403</f>
        <v>0</v>
      </c>
      <c r="BN403" s="220"/>
      <c r="BO403" s="220">
        <f t="shared" si="279"/>
        <v>0</v>
      </c>
      <c r="BP403" s="220">
        <f t="shared" si="280"/>
        <v>0</v>
      </c>
      <c r="BQ403" s="220">
        <f t="shared" si="281"/>
        <v>0</v>
      </c>
      <c r="BR403" s="220">
        <f t="shared" si="282"/>
        <v>0</v>
      </c>
      <c r="BS403" s="364"/>
      <c r="BT403" s="365"/>
      <c r="BU403" s="295"/>
      <c r="BV403" s="230"/>
      <c r="BW403" s="231"/>
    </row>
    <row r="404" s="211" customFormat="1" ht="24" customHeight="1" spans="1:75">
      <c r="A404" s="367"/>
      <c r="B404" s="300" t="s">
        <v>1578</v>
      </c>
      <c r="C404" s="242" t="s">
        <v>175</v>
      </c>
      <c r="D404" s="242" t="s">
        <v>246</v>
      </c>
      <c r="E404" s="242" t="s">
        <v>247</v>
      </c>
      <c r="F404" s="299" t="s">
        <v>81</v>
      </c>
      <c r="G404" s="368" t="s">
        <v>1460</v>
      </c>
      <c r="H404" s="299" t="s">
        <v>86</v>
      </c>
      <c r="I404" s="369" t="s">
        <v>530</v>
      </c>
      <c r="J404" s="299" t="s">
        <v>1616</v>
      </c>
      <c r="K404" s="223" cm="1">
        <f t="array" ref="K404">_xlfn.XLOOKUP(D404&amp;E404&amp;H404&amp;I404&amp;J404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4" s="304"/>
      <c r="M404" s="370" t="s">
        <v>1580</v>
      </c>
      <c r="N404" s="371"/>
      <c r="O404" s="372"/>
      <c r="P404" s="308"/>
      <c r="Q404" s="303">
        <f t="shared" ref="Q404:Q410" si="291">K404*P404</f>
        <v>0</v>
      </c>
      <c r="R404" s="312"/>
      <c r="S404" s="303">
        <f t="shared" si="268"/>
        <v>0</v>
      </c>
      <c r="T404" s="312"/>
      <c r="U404" s="303">
        <f t="shared" ref="U404:U410" si="292">K404*T404</f>
        <v>0</v>
      </c>
      <c r="V404" s="303"/>
      <c r="W404" s="303">
        <f t="shared" si="283"/>
        <v>0</v>
      </c>
      <c r="X404" s="312"/>
      <c r="Y404" s="303">
        <f t="shared" ref="Y404:Y410" si="293">K404*X404</f>
        <v>0</v>
      </c>
      <c r="Z404" s="303"/>
      <c r="AA404" s="303">
        <f t="shared" si="269"/>
        <v>0</v>
      </c>
      <c r="AB404" s="312"/>
      <c r="AC404" s="303">
        <f t="shared" ref="AC404:AC410" si="294">K404*AB404</f>
        <v>0</v>
      </c>
      <c r="AD404" s="303"/>
      <c r="AE404" s="303">
        <f t="shared" si="270"/>
        <v>0</v>
      </c>
      <c r="AF404" s="312"/>
      <c r="AG404" s="303">
        <f t="shared" ref="AG404:AG410" si="295">K404*AF404</f>
        <v>0</v>
      </c>
      <c r="AH404" s="303"/>
      <c r="AI404" s="303">
        <f t="shared" si="271"/>
        <v>0</v>
      </c>
      <c r="AJ404" s="312"/>
      <c r="AK404" s="303">
        <f t="shared" ref="AK404:AK410" si="296">K404*AJ404</f>
        <v>0</v>
      </c>
      <c r="AL404" s="303"/>
      <c r="AM404" s="303">
        <f t="shared" si="272"/>
        <v>0</v>
      </c>
      <c r="AN404" s="312"/>
      <c r="AO404" s="303">
        <f t="shared" ref="AO404:AO410" si="297">K404*AN404</f>
        <v>0</v>
      </c>
      <c r="AP404" s="303"/>
      <c r="AQ404" s="303">
        <f t="shared" si="273"/>
        <v>0</v>
      </c>
      <c r="AR404" s="303"/>
      <c r="AS404" s="303">
        <f t="shared" ref="AS404:AS406" si="298">K404*AR404</f>
        <v>0</v>
      </c>
      <c r="AT404" s="312"/>
      <c r="AU404" s="303">
        <f t="shared" si="274"/>
        <v>0</v>
      </c>
      <c r="AV404" s="308"/>
      <c r="AW404" s="303">
        <f t="shared" ref="AW404:AW410" si="299">K404*AV404</f>
        <v>0</v>
      </c>
      <c r="AX404" s="312"/>
      <c r="AY404" s="303">
        <f t="shared" si="275"/>
        <v>0</v>
      </c>
      <c r="AZ404" s="312"/>
      <c r="BA404" s="303">
        <f t="shared" ref="BA404:BA410" si="300">K404*AZ404</f>
        <v>0</v>
      </c>
      <c r="BB404" s="303"/>
      <c r="BC404" s="303">
        <f t="shared" si="276"/>
        <v>0</v>
      </c>
      <c r="BD404" s="303"/>
      <c r="BE404" s="303">
        <f t="shared" ref="BE404:BE410" si="301">K404*BD404</f>
        <v>0</v>
      </c>
      <c r="BF404" s="310"/>
      <c r="BG404" s="303">
        <f t="shared" si="277"/>
        <v>0</v>
      </c>
      <c r="BH404" s="303"/>
      <c r="BI404" s="303">
        <f t="shared" ref="BI404:BI410" si="302">K404*BH404</f>
        <v>0</v>
      </c>
      <c r="BJ404" s="310"/>
      <c r="BK404" s="303">
        <f t="shared" si="278"/>
        <v>0</v>
      </c>
      <c r="BL404" s="303"/>
      <c r="BM404" s="300">
        <f t="shared" ref="BM404:BM410" si="303">K404*BL404</f>
        <v>0</v>
      </c>
      <c r="BN404" s="300"/>
      <c r="BO404" s="300">
        <f t="shared" si="279"/>
        <v>0</v>
      </c>
      <c r="BP404" s="300">
        <f t="shared" si="280"/>
        <v>0</v>
      </c>
      <c r="BQ404" s="300">
        <f t="shared" si="281"/>
        <v>0</v>
      </c>
      <c r="BR404" s="300">
        <f t="shared" si="282"/>
        <v>0</v>
      </c>
      <c r="BS404" s="373"/>
      <c r="BT404" s="374"/>
      <c r="BU404" s="375"/>
      <c r="BV404" s="317"/>
      <c r="BW404" s="318"/>
    </row>
    <row r="405" s="210" customFormat="1" ht="24" customHeight="1" spans="1:75">
      <c r="A405" s="360"/>
      <c r="B405" s="220" t="s">
        <v>1578</v>
      </c>
      <c r="C405" s="221" t="s">
        <v>175</v>
      </c>
      <c r="D405" s="221" t="s">
        <v>399</v>
      </c>
      <c r="E405" s="221" t="s">
        <v>400</v>
      </c>
      <c r="F405" s="219" t="s">
        <v>47</v>
      </c>
      <c r="G405" s="222" t="s">
        <v>374</v>
      </c>
      <c r="H405" s="219" t="s">
        <v>39</v>
      </c>
      <c r="I405" s="237" t="s">
        <v>1617</v>
      </c>
      <c r="J405" s="219" t="s">
        <v>1618</v>
      </c>
      <c r="K405" s="223" cm="1">
        <f t="array" ref="K405">_xlfn.XLOOKUP(D405&amp;E405&amp;H405&amp;I405&amp;J405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5" s="223"/>
      <c r="M405" s="361" t="s">
        <v>1619</v>
      </c>
      <c r="N405" s="253"/>
      <c r="O405" s="362"/>
      <c r="P405" s="285"/>
      <c r="Q405" s="228">
        <f t="shared" si="291"/>
        <v>0</v>
      </c>
      <c r="R405" s="227"/>
      <c r="S405" s="228">
        <f t="shared" si="268"/>
        <v>0</v>
      </c>
      <c r="T405" s="227"/>
      <c r="U405" s="228">
        <f t="shared" si="292"/>
        <v>0</v>
      </c>
      <c r="V405" s="227"/>
      <c r="W405" s="228">
        <f t="shared" si="283"/>
        <v>0</v>
      </c>
      <c r="X405" s="227"/>
      <c r="Y405" s="228">
        <f t="shared" si="293"/>
        <v>0</v>
      </c>
      <c r="Z405" s="227"/>
      <c r="AA405" s="228">
        <f t="shared" si="269"/>
        <v>0</v>
      </c>
      <c r="AB405" s="227"/>
      <c r="AC405" s="228">
        <f t="shared" si="294"/>
        <v>0</v>
      </c>
      <c r="AD405" s="227"/>
      <c r="AE405" s="228">
        <f t="shared" si="270"/>
        <v>0</v>
      </c>
      <c r="AF405" s="227"/>
      <c r="AG405" s="228">
        <f t="shared" si="295"/>
        <v>0</v>
      </c>
      <c r="AH405" s="227"/>
      <c r="AI405" s="228">
        <f t="shared" si="271"/>
        <v>0</v>
      </c>
      <c r="AJ405" s="227"/>
      <c r="AK405" s="228">
        <f t="shared" si="296"/>
        <v>0</v>
      </c>
      <c r="AL405" s="227"/>
      <c r="AM405" s="228">
        <f t="shared" si="272"/>
        <v>0</v>
      </c>
      <c r="AN405" s="227"/>
      <c r="AO405" s="228">
        <f t="shared" si="297"/>
        <v>0</v>
      </c>
      <c r="AP405" s="228"/>
      <c r="AQ405" s="228">
        <f t="shared" si="273"/>
        <v>0</v>
      </c>
      <c r="AR405" s="228"/>
      <c r="AS405" s="228">
        <f t="shared" si="298"/>
        <v>0</v>
      </c>
      <c r="AT405" s="227"/>
      <c r="AU405" s="228">
        <f t="shared" si="274"/>
        <v>0</v>
      </c>
      <c r="AV405" s="285"/>
      <c r="AW405" s="228">
        <f t="shared" si="299"/>
        <v>0</v>
      </c>
      <c r="AX405" s="227"/>
      <c r="AY405" s="228">
        <f t="shared" si="275"/>
        <v>0</v>
      </c>
      <c r="AZ405" s="227"/>
      <c r="BA405" s="228">
        <f t="shared" si="300"/>
        <v>0</v>
      </c>
      <c r="BB405" s="228"/>
      <c r="BC405" s="228">
        <f t="shared" si="276"/>
        <v>0</v>
      </c>
      <c r="BD405" s="228"/>
      <c r="BE405" s="228">
        <f t="shared" si="301"/>
        <v>0</v>
      </c>
      <c r="BF405" s="228"/>
      <c r="BG405" s="228">
        <f t="shared" si="277"/>
        <v>0</v>
      </c>
      <c r="BH405" s="228"/>
      <c r="BI405" s="228">
        <f t="shared" si="302"/>
        <v>0</v>
      </c>
      <c r="BJ405" s="228"/>
      <c r="BK405" s="228">
        <f t="shared" si="278"/>
        <v>0</v>
      </c>
      <c r="BL405" s="228"/>
      <c r="BM405" s="220">
        <f t="shared" si="303"/>
        <v>0</v>
      </c>
      <c r="BN405" s="220"/>
      <c r="BO405" s="220">
        <f t="shared" si="279"/>
        <v>0</v>
      </c>
      <c r="BP405" s="220">
        <f t="shared" si="280"/>
        <v>0</v>
      </c>
      <c r="BQ405" s="220">
        <f t="shared" si="281"/>
        <v>0</v>
      </c>
      <c r="BR405" s="220">
        <f t="shared" si="282"/>
        <v>0</v>
      </c>
      <c r="BS405" s="364"/>
      <c r="BT405" s="365"/>
      <c r="BU405" s="295"/>
      <c r="BV405" s="230"/>
      <c r="BW405" s="231"/>
    </row>
    <row r="406" s="210" customFormat="1" ht="24" customHeight="1" spans="1:75">
      <c r="A406" s="360"/>
      <c r="B406" s="220" t="s">
        <v>1578</v>
      </c>
      <c r="C406" s="221" t="s">
        <v>175</v>
      </c>
      <c r="D406" s="221" t="s">
        <v>399</v>
      </c>
      <c r="E406" s="221" t="s">
        <v>400</v>
      </c>
      <c r="F406" s="219" t="s">
        <v>47</v>
      </c>
      <c r="G406" s="222" t="s">
        <v>374</v>
      </c>
      <c r="H406" s="219" t="s">
        <v>39</v>
      </c>
      <c r="I406" s="237" t="s">
        <v>1617</v>
      </c>
      <c r="J406" s="219" t="s">
        <v>1618</v>
      </c>
      <c r="K406" s="223" cm="1">
        <f t="array" ref="K406">_xlfn.XLOOKUP(D406&amp;E406&amp;H406&amp;I406&amp;J406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6" s="223"/>
      <c r="M406" s="361" t="s">
        <v>1619</v>
      </c>
      <c r="N406" s="253"/>
      <c r="O406" s="362"/>
      <c r="P406" s="285"/>
      <c r="Q406" s="228">
        <f t="shared" si="291"/>
        <v>0</v>
      </c>
      <c r="R406" s="227"/>
      <c r="S406" s="228">
        <f t="shared" si="268"/>
        <v>0</v>
      </c>
      <c r="T406" s="227"/>
      <c r="U406" s="228">
        <f t="shared" si="292"/>
        <v>0</v>
      </c>
      <c r="V406" s="227"/>
      <c r="W406" s="228">
        <f t="shared" si="283"/>
        <v>0</v>
      </c>
      <c r="X406" s="227"/>
      <c r="Y406" s="228">
        <f t="shared" si="293"/>
        <v>0</v>
      </c>
      <c r="Z406" s="227"/>
      <c r="AA406" s="228">
        <f t="shared" si="269"/>
        <v>0</v>
      </c>
      <c r="AB406" s="227"/>
      <c r="AC406" s="228">
        <f t="shared" si="294"/>
        <v>0</v>
      </c>
      <c r="AD406" s="227"/>
      <c r="AE406" s="228">
        <f t="shared" si="270"/>
        <v>0</v>
      </c>
      <c r="AF406" s="227"/>
      <c r="AG406" s="228">
        <f t="shared" si="295"/>
        <v>0</v>
      </c>
      <c r="AH406" s="227"/>
      <c r="AI406" s="228">
        <f t="shared" si="271"/>
        <v>0</v>
      </c>
      <c r="AJ406" s="227"/>
      <c r="AK406" s="228">
        <f t="shared" si="296"/>
        <v>0</v>
      </c>
      <c r="AL406" s="227"/>
      <c r="AM406" s="228">
        <f t="shared" si="272"/>
        <v>0</v>
      </c>
      <c r="AN406" s="227"/>
      <c r="AO406" s="228">
        <f t="shared" si="297"/>
        <v>0</v>
      </c>
      <c r="AP406" s="228"/>
      <c r="AQ406" s="228">
        <f t="shared" si="273"/>
        <v>0</v>
      </c>
      <c r="AR406" s="228"/>
      <c r="AS406" s="228">
        <f t="shared" si="298"/>
        <v>0</v>
      </c>
      <c r="AT406" s="227"/>
      <c r="AU406" s="228">
        <f t="shared" si="274"/>
        <v>0</v>
      </c>
      <c r="AV406" s="285"/>
      <c r="AW406" s="228">
        <f t="shared" si="299"/>
        <v>0</v>
      </c>
      <c r="AX406" s="227"/>
      <c r="AY406" s="228">
        <f t="shared" si="275"/>
        <v>0</v>
      </c>
      <c r="AZ406" s="227"/>
      <c r="BA406" s="228">
        <f t="shared" si="300"/>
        <v>0</v>
      </c>
      <c r="BB406" s="228"/>
      <c r="BC406" s="228">
        <f t="shared" si="276"/>
        <v>0</v>
      </c>
      <c r="BD406" s="228"/>
      <c r="BE406" s="228">
        <f t="shared" si="301"/>
        <v>0</v>
      </c>
      <c r="BF406" s="228"/>
      <c r="BG406" s="228">
        <f t="shared" si="277"/>
        <v>0</v>
      </c>
      <c r="BH406" s="228"/>
      <c r="BI406" s="228">
        <f t="shared" si="302"/>
        <v>0</v>
      </c>
      <c r="BJ406" s="228"/>
      <c r="BK406" s="228">
        <f t="shared" si="278"/>
        <v>0</v>
      </c>
      <c r="BL406" s="228"/>
      <c r="BM406" s="220">
        <f t="shared" si="303"/>
        <v>0</v>
      </c>
      <c r="BN406" s="220"/>
      <c r="BO406" s="220">
        <f t="shared" si="279"/>
        <v>0</v>
      </c>
      <c r="BP406" s="220">
        <f t="shared" si="280"/>
        <v>0</v>
      </c>
      <c r="BQ406" s="220">
        <f t="shared" si="281"/>
        <v>0</v>
      </c>
      <c r="BR406" s="220">
        <f t="shared" si="282"/>
        <v>0</v>
      </c>
      <c r="BS406" s="364"/>
      <c r="BT406" s="365"/>
      <c r="BU406" s="295"/>
      <c r="BV406" s="230"/>
      <c r="BW406" s="231"/>
    </row>
    <row r="407" s="210" customFormat="1" ht="24" customHeight="1" spans="1:75">
      <c r="A407" s="360"/>
      <c r="B407" s="220" t="s">
        <v>1578</v>
      </c>
      <c r="C407" s="221" t="s">
        <v>443</v>
      </c>
      <c r="D407" s="221" t="s">
        <v>506</v>
      </c>
      <c r="E407" s="221" t="s">
        <v>507</v>
      </c>
      <c r="F407" s="219" t="s">
        <v>81</v>
      </c>
      <c r="G407" s="222" t="s">
        <v>374</v>
      </c>
      <c r="H407" s="219"/>
      <c r="I407" s="237" t="s">
        <v>186</v>
      </c>
      <c r="J407" s="219" t="s">
        <v>1620</v>
      </c>
      <c r="K407" s="223" cm="1">
        <f t="array" ref="K407">_xlfn.XLOOKUP(D407&amp;E407&amp;H407&amp;I407&amp;J407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7" s="223"/>
      <c r="M407" s="361" t="s">
        <v>1580</v>
      </c>
      <c r="N407" s="253"/>
      <c r="O407" s="362"/>
      <c r="P407" s="285"/>
      <c r="Q407" s="276">
        <f t="shared" si="291"/>
        <v>0</v>
      </c>
      <c r="R407" s="227"/>
      <c r="S407" s="276">
        <f t="shared" si="268"/>
        <v>0</v>
      </c>
      <c r="T407" s="227"/>
      <c r="U407" s="228">
        <f t="shared" si="292"/>
        <v>0</v>
      </c>
      <c r="V407" s="227"/>
      <c r="W407" s="228">
        <f t="shared" si="283"/>
        <v>0</v>
      </c>
      <c r="X407" s="227"/>
      <c r="Y407" s="228">
        <f t="shared" si="293"/>
        <v>0</v>
      </c>
      <c r="Z407" s="227"/>
      <c r="AA407" s="228">
        <f t="shared" si="269"/>
        <v>0</v>
      </c>
      <c r="AB407" s="227"/>
      <c r="AC407" s="228">
        <f t="shared" si="294"/>
        <v>0</v>
      </c>
      <c r="AD407" s="227"/>
      <c r="AE407" s="228">
        <f t="shared" si="270"/>
        <v>0</v>
      </c>
      <c r="AF407" s="227"/>
      <c r="AG407" s="228">
        <f t="shared" si="295"/>
        <v>0</v>
      </c>
      <c r="AH407" s="227"/>
      <c r="AI407" s="228">
        <f t="shared" si="271"/>
        <v>0</v>
      </c>
      <c r="AJ407" s="227"/>
      <c r="AK407" s="228">
        <f t="shared" si="296"/>
        <v>0</v>
      </c>
      <c r="AL407" s="227"/>
      <c r="AM407" s="228">
        <f t="shared" si="272"/>
        <v>0</v>
      </c>
      <c r="AN407" s="227"/>
      <c r="AO407" s="228">
        <f t="shared" si="297"/>
        <v>0</v>
      </c>
      <c r="AP407" s="228"/>
      <c r="AQ407" s="228">
        <f t="shared" si="273"/>
        <v>0</v>
      </c>
      <c r="AR407" s="228"/>
      <c r="AS407" s="228"/>
      <c r="AT407" s="227"/>
      <c r="AU407" s="228">
        <f t="shared" si="274"/>
        <v>0</v>
      </c>
      <c r="AV407" s="285"/>
      <c r="AW407" s="228">
        <f t="shared" si="299"/>
        <v>0</v>
      </c>
      <c r="AX407" s="227"/>
      <c r="AY407" s="228">
        <f t="shared" si="275"/>
        <v>0</v>
      </c>
      <c r="AZ407" s="227"/>
      <c r="BA407" s="228">
        <f t="shared" si="300"/>
        <v>0</v>
      </c>
      <c r="BB407" s="228"/>
      <c r="BC407" s="228">
        <f t="shared" si="276"/>
        <v>0</v>
      </c>
      <c r="BD407" s="228"/>
      <c r="BE407" s="228">
        <f t="shared" si="301"/>
        <v>0</v>
      </c>
      <c r="BF407" s="228"/>
      <c r="BG407" s="228">
        <f t="shared" si="277"/>
        <v>0</v>
      </c>
      <c r="BH407" s="228"/>
      <c r="BI407" s="228">
        <f t="shared" si="302"/>
        <v>0</v>
      </c>
      <c r="BJ407" s="228"/>
      <c r="BK407" s="228">
        <f t="shared" si="278"/>
        <v>0</v>
      </c>
      <c r="BL407" s="228"/>
      <c r="BM407" s="220">
        <f t="shared" si="303"/>
        <v>0</v>
      </c>
      <c r="BN407" s="220"/>
      <c r="BO407" s="220">
        <f t="shared" si="279"/>
        <v>0</v>
      </c>
      <c r="BP407" s="294">
        <f t="shared" si="280"/>
        <v>0</v>
      </c>
      <c r="BQ407" s="220">
        <f t="shared" si="281"/>
        <v>0</v>
      </c>
      <c r="BR407" s="294">
        <f t="shared" si="282"/>
        <v>0</v>
      </c>
      <c r="BS407" s="364"/>
      <c r="BT407" s="365"/>
      <c r="BU407" s="295"/>
      <c r="BV407" s="230"/>
      <c r="BW407" s="231"/>
    </row>
    <row r="408" s="210" customFormat="1" ht="24" customHeight="1" spans="1:75">
      <c r="A408" s="360"/>
      <c r="B408" s="220" t="s">
        <v>1578</v>
      </c>
      <c r="C408" s="221" t="s">
        <v>443</v>
      </c>
      <c r="D408" s="221" t="s">
        <v>506</v>
      </c>
      <c r="E408" s="221" t="s">
        <v>507</v>
      </c>
      <c r="F408" s="219" t="s">
        <v>81</v>
      </c>
      <c r="G408" s="222" t="s">
        <v>374</v>
      </c>
      <c r="H408" s="219"/>
      <c r="I408" s="237" t="s">
        <v>98</v>
      </c>
      <c r="J408" s="219" t="s">
        <v>1621</v>
      </c>
      <c r="K408" s="223" cm="1">
        <f t="array" ref="K408">_xlfn.XLOOKUP(D408&amp;E408&amp;H408&amp;I408&amp;J408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8" s="223"/>
      <c r="M408" s="361" t="s">
        <v>1580</v>
      </c>
      <c r="N408" s="253"/>
      <c r="O408" s="362"/>
      <c r="P408" s="285"/>
      <c r="Q408" s="276">
        <f t="shared" si="291"/>
        <v>0</v>
      </c>
      <c r="R408" s="227"/>
      <c r="S408" s="276">
        <f t="shared" si="268"/>
        <v>0</v>
      </c>
      <c r="T408" s="227"/>
      <c r="U408" s="228">
        <f t="shared" si="292"/>
        <v>0</v>
      </c>
      <c r="V408" s="227"/>
      <c r="W408" s="228">
        <f t="shared" si="283"/>
        <v>0</v>
      </c>
      <c r="X408" s="227"/>
      <c r="Y408" s="228">
        <f t="shared" si="293"/>
        <v>0</v>
      </c>
      <c r="Z408" s="227"/>
      <c r="AA408" s="228">
        <f t="shared" si="269"/>
        <v>0</v>
      </c>
      <c r="AB408" s="227"/>
      <c r="AC408" s="228">
        <f t="shared" si="294"/>
        <v>0</v>
      </c>
      <c r="AD408" s="227"/>
      <c r="AE408" s="228">
        <f t="shared" si="270"/>
        <v>0</v>
      </c>
      <c r="AF408" s="227"/>
      <c r="AG408" s="228">
        <f t="shared" si="295"/>
        <v>0</v>
      </c>
      <c r="AH408" s="227"/>
      <c r="AI408" s="228">
        <f t="shared" si="271"/>
        <v>0</v>
      </c>
      <c r="AJ408" s="227"/>
      <c r="AK408" s="228">
        <f t="shared" si="296"/>
        <v>0</v>
      </c>
      <c r="AL408" s="227"/>
      <c r="AM408" s="228">
        <f t="shared" si="272"/>
        <v>0</v>
      </c>
      <c r="AN408" s="227"/>
      <c r="AO408" s="228">
        <f t="shared" si="297"/>
        <v>0</v>
      </c>
      <c r="AP408" s="228"/>
      <c r="AQ408" s="228">
        <f t="shared" si="273"/>
        <v>0</v>
      </c>
      <c r="AR408" s="247"/>
      <c r="AS408" s="228"/>
      <c r="AT408" s="227"/>
      <c r="AU408" s="228">
        <f t="shared" si="274"/>
        <v>0</v>
      </c>
      <c r="AV408" s="285"/>
      <c r="AW408" s="228">
        <f t="shared" si="299"/>
        <v>0</v>
      </c>
      <c r="AX408" s="227"/>
      <c r="AY408" s="228">
        <f t="shared" si="275"/>
        <v>0</v>
      </c>
      <c r="AZ408" s="227"/>
      <c r="BA408" s="228">
        <f t="shared" si="300"/>
        <v>0</v>
      </c>
      <c r="BB408" s="228"/>
      <c r="BC408" s="228">
        <f t="shared" si="276"/>
        <v>0</v>
      </c>
      <c r="BD408" s="228"/>
      <c r="BE408" s="228">
        <f t="shared" si="301"/>
        <v>0</v>
      </c>
      <c r="BF408" s="228"/>
      <c r="BG408" s="228">
        <f t="shared" si="277"/>
        <v>0</v>
      </c>
      <c r="BH408" s="228"/>
      <c r="BI408" s="228">
        <f t="shared" si="302"/>
        <v>0</v>
      </c>
      <c r="BJ408" s="228"/>
      <c r="BK408" s="228">
        <f t="shared" si="278"/>
        <v>0</v>
      </c>
      <c r="BL408" s="228"/>
      <c r="BM408" s="220">
        <f t="shared" si="303"/>
        <v>0</v>
      </c>
      <c r="BN408" s="220"/>
      <c r="BO408" s="220">
        <f t="shared" si="279"/>
        <v>0</v>
      </c>
      <c r="BP408" s="294">
        <f t="shared" si="280"/>
        <v>0</v>
      </c>
      <c r="BQ408" s="220">
        <f t="shared" si="281"/>
        <v>0</v>
      </c>
      <c r="BR408" s="294">
        <f t="shared" si="282"/>
        <v>0</v>
      </c>
      <c r="BS408" s="364"/>
      <c r="BT408" s="365"/>
      <c r="BU408" s="295"/>
      <c r="BV408" s="230"/>
      <c r="BW408" s="231"/>
    </row>
    <row r="409" s="210" customFormat="1" ht="24" customHeight="1" spans="1:75">
      <c r="A409" s="360"/>
      <c r="B409" s="220" t="s">
        <v>1578</v>
      </c>
      <c r="C409" s="221" t="s">
        <v>443</v>
      </c>
      <c r="D409" s="221" t="s">
        <v>506</v>
      </c>
      <c r="E409" s="221" t="s">
        <v>507</v>
      </c>
      <c r="F409" s="219" t="s">
        <v>81</v>
      </c>
      <c r="G409" s="222" t="s">
        <v>374</v>
      </c>
      <c r="H409" s="219"/>
      <c r="I409" s="237" t="s">
        <v>240</v>
      </c>
      <c r="J409" s="219" t="s">
        <v>1622</v>
      </c>
      <c r="K409" s="223" cm="1">
        <f t="array" ref="K409">_xlfn.XLOOKUP(D409&amp;E409&amp;H409&amp;I409&amp;J409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9" s="223"/>
      <c r="M409" s="361" t="s">
        <v>1580</v>
      </c>
      <c r="N409" s="253"/>
      <c r="O409" s="362"/>
      <c r="P409" s="285"/>
      <c r="Q409" s="276">
        <f t="shared" si="291"/>
        <v>0</v>
      </c>
      <c r="R409" s="227"/>
      <c r="S409" s="276">
        <f t="shared" si="268"/>
        <v>0</v>
      </c>
      <c r="T409" s="227"/>
      <c r="U409" s="228">
        <f t="shared" si="292"/>
        <v>0</v>
      </c>
      <c r="V409" s="227"/>
      <c r="W409" s="228">
        <f t="shared" si="283"/>
        <v>0</v>
      </c>
      <c r="X409" s="227"/>
      <c r="Y409" s="228">
        <f t="shared" si="293"/>
        <v>0</v>
      </c>
      <c r="Z409" s="227"/>
      <c r="AA409" s="228">
        <f t="shared" si="269"/>
        <v>0</v>
      </c>
      <c r="AB409" s="227"/>
      <c r="AC409" s="228">
        <f t="shared" si="294"/>
        <v>0</v>
      </c>
      <c r="AD409" s="227"/>
      <c r="AE409" s="228">
        <f t="shared" si="270"/>
        <v>0</v>
      </c>
      <c r="AF409" s="227"/>
      <c r="AG409" s="228">
        <f t="shared" si="295"/>
        <v>0</v>
      </c>
      <c r="AH409" s="227"/>
      <c r="AI409" s="228">
        <f t="shared" si="271"/>
        <v>0</v>
      </c>
      <c r="AJ409" s="227"/>
      <c r="AK409" s="228">
        <f t="shared" si="296"/>
        <v>0</v>
      </c>
      <c r="AL409" s="227"/>
      <c r="AM409" s="228">
        <f t="shared" si="272"/>
        <v>0</v>
      </c>
      <c r="AN409" s="227"/>
      <c r="AO409" s="228">
        <f t="shared" si="297"/>
        <v>0</v>
      </c>
      <c r="AP409" s="228"/>
      <c r="AQ409" s="228">
        <f t="shared" si="273"/>
        <v>0</v>
      </c>
      <c r="AR409" s="247"/>
      <c r="AS409" s="228"/>
      <c r="AT409" s="227"/>
      <c r="AU409" s="228">
        <f t="shared" si="274"/>
        <v>0</v>
      </c>
      <c r="AV409" s="285"/>
      <c r="AW409" s="228">
        <f t="shared" si="299"/>
        <v>0</v>
      </c>
      <c r="AX409" s="227"/>
      <c r="AY409" s="228">
        <f t="shared" si="275"/>
        <v>0</v>
      </c>
      <c r="AZ409" s="227"/>
      <c r="BA409" s="228">
        <f t="shared" si="300"/>
        <v>0</v>
      </c>
      <c r="BB409" s="228"/>
      <c r="BC409" s="228">
        <f t="shared" si="276"/>
        <v>0</v>
      </c>
      <c r="BD409" s="228"/>
      <c r="BE409" s="228">
        <f t="shared" si="301"/>
        <v>0</v>
      </c>
      <c r="BF409" s="228"/>
      <c r="BG409" s="228">
        <f t="shared" si="277"/>
        <v>0</v>
      </c>
      <c r="BH409" s="228"/>
      <c r="BI409" s="228">
        <f t="shared" si="302"/>
        <v>0</v>
      </c>
      <c r="BJ409" s="228"/>
      <c r="BK409" s="228">
        <f t="shared" si="278"/>
        <v>0</v>
      </c>
      <c r="BL409" s="228"/>
      <c r="BM409" s="220">
        <f t="shared" si="303"/>
        <v>0</v>
      </c>
      <c r="BN409" s="220"/>
      <c r="BO409" s="220">
        <f t="shared" si="279"/>
        <v>0</v>
      </c>
      <c r="BP409" s="294">
        <f t="shared" si="280"/>
        <v>0</v>
      </c>
      <c r="BQ409" s="220">
        <f t="shared" si="281"/>
        <v>0</v>
      </c>
      <c r="BR409" s="294">
        <f t="shared" si="282"/>
        <v>0</v>
      </c>
      <c r="BS409" s="364"/>
      <c r="BT409" s="365"/>
      <c r="BU409" s="295"/>
      <c r="BV409" s="230"/>
      <c r="BW409" s="231"/>
    </row>
    <row r="410" s="210" customFormat="1" ht="24" customHeight="1" spans="1:75">
      <c r="A410" s="360"/>
      <c r="B410" s="220" t="s">
        <v>1578</v>
      </c>
      <c r="C410" s="221" t="s">
        <v>443</v>
      </c>
      <c r="D410" s="221" t="s">
        <v>506</v>
      </c>
      <c r="E410" s="221" t="s">
        <v>507</v>
      </c>
      <c r="F410" s="219" t="s">
        <v>81</v>
      </c>
      <c r="G410" s="222" t="s">
        <v>374</v>
      </c>
      <c r="H410" s="219"/>
      <c r="I410" s="237" t="s">
        <v>548</v>
      </c>
      <c r="J410" s="219" t="s">
        <v>563</v>
      </c>
      <c r="K410" s="223" cm="1">
        <f t="array" ref="K410">_xlfn.XLOOKUP(D410&amp;E410&amp;H410&amp;I410&amp;J410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0" s="223"/>
      <c r="M410" s="361" t="s">
        <v>1580</v>
      </c>
      <c r="N410" s="253"/>
      <c r="O410" s="362"/>
      <c r="P410" s="285"/>
      <c r="Q410" s="276">
        <f t="shared" si="291"/>
        <v>0</v>
      </c>
      <c r="R410" s="227"/>
      <c r="S410" s="276">
        <f t="shared" si="268"/>
        <v>0</v>
      </c>
      <c r="T410" s="227"/>
      <c r="U410" s="228">
        <f t="shared" si="292"/>
        <v>0</v>
      </c>
      <c r="V410" s="227"/>
      <c r="W410" s="228">
        <f t="shared" si="283"/>
        <v>0</v>
      </c>
      <c r="X410" s="227"/>
      <c r="Y410" s="228">
        <f t="shared" si="293"/>
        <v>0</v>
      </c>
      <c r="Z410" s="227"/>
      <c r="AA410" s="228">
        <f t="shared" si="269"/>
        <v>0</v>
      </c>
      <c r="AB410" s="227"/>
      <c r="AC410" s="228">
        <f t="shared" si="294"/>
        <v>0</v>
      </c>
      <c r="AD410" s="227"/>
      <c r="AE410" s="228">
        <f t="shared" si="270"/>
        <v>0</v>
      </c>
      <c r="AF410" s="227"/>
      <c r="AG410" s="228">
        <f t="shared" si="295"/>
        <v>0</v>
      </c>
      <c r="AH410" s="227"/>
      <c r="AI410" s="228">
        <f t="shared" si="271"/>
        <v>0</v>
      </c>
      <c r="AJ410" s="227"/>
      <c r="AK410" s="228">
        <f t="shared" si="296"/>
        <v>0</v>
      </c>
      <c r="AL410" s="227"/>
      <c r="AM410" s="228">
        <f t="shared" si="272"/>
        <v>0</v>
      </c>
      <c r="AN410" s="227"/>
      <c r="AO410" s="228">
        <f t="shared" si="297"/>
        <v>0</v>
      </c>
      <c r="AP410" s="228"/>
      <c r="AQ410" s="228">
        <f t="shared" si="273"/>
        <v>0</v>
      </c>
      <c r="AR410" s="247"/>
      <c r="AS410" s="228"/>
      <c r="AT410" s="227"/>
      <c r="AU410" s="228">
        <f t="shared" si="274"/>
        <v>0</v>
      </c>
      <c r="AV410" s="285"/>
      <c r="AW410" s="228">
        <f t="shared" si="299"/>
        <v>0</v>
      </c>
      <c r="AX410" s="227"/>
      <c r="AY410" s="228">
        <f t="shared" si="275"/>
        <v>0</v>
      </c>
      <c r="AZ410" s="227"/>
      <c r="BA410" s="228">
        <f t="shared" si="300"/>
        <v>0</v>
      </c>
      <c r="BB410" s="228"/>
      <c r="BC410" s="228">
        <f t="shared" si="276"/>
        <v>0</v>
      </c>
      <c r="BD410" s="228"/>
      <c r="BE410" s="228">
        <f t="shared" si="301"/>
        <v>0</v>
      </c>
      <c r="BF410" s="228"/>
      <c r="BG410" s="228">
        <f t="shared" si="277"/>
        <v>0</v>
      </c>
      <c r="BH410" s="228"/>
      <c r="BI410" s="228">
        <f t="shared" si="302"/>
        <v>0</v>
      </c>
      <c r="BJ410" s="228"/>
      <c r="BK410" s="228">
        <f t="shared" si="278"/>
        <v>0</v>
      </c>
      <c r="BL410" s="228"/>
      <c r="BM410" s="220">
        <f t="shared" si="303"/>
        <v>0</v>
      </c>
      <c r="BN410" s="220"/>
      <c r="BO410" s="220">
        <f t="shared" si="279"/>
        <v>0</v>
      </c>
      <c r="BP410" s="294">
        <f t="shared" si="280"/>
        <v>0</v>
      </c>
      <c r="BQ410" s="220">
        <f t="shared" si="281"/>
        <v>0</v>
      </c>
      <c r="BR410" s="294">
        <f t="shared" si="282"/>
        <v>0</v>
      </c>
      <c r="BS410" s="364"/>
      <c r="BT410" s="365"/>
      <c r="BU410" s="295"/>
      <c r="BV410" s="230"/>
      <c r="BW410" s="231"/>
    </row>
    <row r="411" s="210" customFormat="1" spans="1:75">
      <c r="A411" s="360"/>
      <c r="B411" s="220" t="s">
        <v>1578</v>
      </c>
      <c r="C411" s="221" t="s">
        <v>1142</v>
      </c>
      <c r="D411" s="221" t="s">
        <v>1173</v>
      </c>
      <c r="E411" s="221" t="s">
        <v>1174</v>
      </c>
      <c r="F411" s="219" t="s">
        <v>81</v>
      </c>
      <c r="G411" s="222" t="s">
        <v>1462</v>
      </c>
      <c r="H411" s="219" t="s">
        <v>39</v>
      </c>
      <c r="I411" s="237" t="s">
        <v>771</v>
      </c>
      <c r="J411" s="219" t="s">
        <v>1623</v>
      </c>
      <c r="K411" s="223" cm="1">
        <f t="array" ref="K411">_xlfn.XLOOKUP(D411&amp;E411&amp;H411&amp;I411&amp;J411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1" s="223"/>
      <c r="M411" s="361" t="s">
        <v>1589</v>
      </c>
      <c r="N411" s="253"/>
      <c r="O411" s="362"/>
      <c r="P411" s="285"/>
      <c r="Q411" s="228">
        <f t="shared" ref="Q411:Q426" si="304">R411</f>
        <v>0</v>
      </c>
      <c r="R411" s="227"/>
      <c r="S411" s="228">
        <f t="shared" si="268"/>
        <v>0</v>
      </c>
      <c r="T411" s="227"/>
      <c r="U411" s="228">
        <f t="shared" ref="U411:U426" si="305">V411</f>
        <v>0</v>
      </c>
      <c r="V411" s="227"/>
      <c r="W411" s="228">
        <f t="shared" si="283"/>
        <v>0</v>
      </c>
      <c r="X411" s="227"/>
      <c r="Y411" s="228">
        <f t="shared" ref="Y411:Y426" si="306">Z411</f>
        <v>0</v>
      </c>
      <c r="Z411" s="227"/>
      <c r="AA411" s="228">
        <f t="shared" si="269"/>
        <v>0</v>
      </c>
      <c r="AB411" s="227"/>
      <c r="AC411" s="228">
        <f t="shared" ref="AC411:AC426" si="307">AD411</f>
        <v>0</v>
      </c>
      <c r="AD411" s="228"/>
      <c r="AE411" s="228">
        <f t="shared" si="270"/>
        <v>0</v>
      </c>
      <c r="AF411" s="227"/>
      <c r="AG411" s="228">
        <f t="shared" ref="AG411:AG426" si="308">AH411</f>
        <v>0</v>
      </c>
      <c r="AH411" s="228"/>
      <c r="AI411" s="228">
        <f t="shared" si="271"/>
        <v>0</v>
      </c>
      <c r="AJ411" s="227"/>
      <c r="AK411" s="228">
        <f t="shared" ref="AK411:AK426" si="309">AL411</f>
        <v>0</v>
      </c>
      <c r="AL411" s="228"/>
      <c r="AM411" s="228">
        <f t="shared" si="272"/>
        <v>0</v>
      </c>
      <c r="AN411" s="227"/>
      <c r="AO411" s="228">
        <f t="shared" ref="AO411:AO426" si="310">AP411</f>
        <v>0</v>
      </c>
      <c r="AP411" s="228"/>
      <c r="AQ411" s="228">
        <f t="shared" si="273"/>
        <v>0</v>
      </c>
      <c r="AR411" s="247"/>
      <c r="AS411" s="228">
        <f t="shared" ref="AS411:AS426" si="311">AT411</f>
        <v>0</v>
      </c>
      <c r="AT411" s="227"/>
      <c r="AU411" s="228">
        <f t="shared" si="274"/>
        <v>0</v>
      </c>
      <c r="AV411" s="285"/>
      <c r="AW411" s="228">
        <f t="shared" ref="AW411:AW426" si="312">AX411</f>
        <v>0</v>
      </c>
      <c r="AX411" s="227"/>
      <c r="AY411" s="228">
        <f t="shared" si="275"/>
        <v>0</v>
      </c>
      <c r="AZ411" s="227"/>
      <c r="BA411" s="228">
        <f t="shared" ref="BA411:BA426" si="313">BB411</f>
        <v>0</v>
      </c>
      <c r="BB411" s="228"/>
      <c r="BC411" s="228">
        <f t="shared" si="276"/>
        <v>0</v>
      </c>
      <c r="BD411" s="228"/>
      <c r="BE411" s="228">
        <f t="shared" ref="BE411:BE426" si="314">BF411</f>
        <v>0</v>
      </c>
      <c r="BF411" s="228"/>
      <c r="BG411" s="228">
        <f t="shared" si="277"/>
        <v>0</v>
      </c>
      <c r="BH411" s="228"/>
      <c r="BI411" s="228">
        <f t="shared" ref="BI411:BI426" si="315">BJ411</f>
        <v>0</v>
      </c>
      <c r="BJ411" s="228"/>
      <c r="BK411" s="228">
        <f t="shared" si="278"/>
        <v>0</v>
      </c>
      <c r="BL411" s="228"/>
      <c r="BM411" s="220">
        <f t="shared" ref="BM411:BM426" si="316">BN411</f>
        <v>0</v>
      </c>
      <c r="BN411" s="220"/>
      <c r="BO411" s="220">
        <f t="shared" si="279"/>
        <v>0</v>
      </c>
      <c r="BP411" s="220">
        <f t="shared" si="280"/>
        <v>0</v>
      </c>
      <c r="BQ411" s="220">
        <f t="shared" si="281"/>
        <v>0</v>
      </c>
      <c r="BR411" s="220">
        <f t="shared" si="282"/>
        <v>0</v>
      </c>
      <c r="BS411" s="364"/>
      <c r="BT411" s="365"/>
      <c r="BU411" s="295"/>
      <c r="BV411" s="230"/>
      <c r="BW411" s="231"/>
    </row>
    <row r="412" s="210" customFormat="1" spans="1:75">
      <c r="A412" s="360"/>
      <c r="B412" s="220" t="s">
        <v>1578</v>
      </c>
      <c r="C412" s="221" t="s">
        <v>1142</v>
      </c>
      <c r="D412" s="221" t="s">
        <v>1173</v>
      </c>
      <c r="E412" s="221" t="s">
        <v>1174</v>
      </c>
      <c r="F412" s="219" t="s">
        <v>81</v>
      </c>
      <c r="G412" s="222" t="s">
        <v>1462</v>
      </c>
      <c r="H412" s="219" t="s">
        <v>39</v>
      </c>
      <c r="I412" s="237" t="s">
        <v>530</v>
      </c>
      <c r="J412" s="219" t="s">
        <v>1624</v>
      </c>
      <c r="K412" s="223" cm="1">
        <f t="array" ref="K412">_xlfn.XLOOKUP(D412&amp;E412&amp;H412&amp;I412&amp;J412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2" s="223"/>
      <c r="M412" s="361" t="s">
        <v>1589</v>
      </c>
      <c r="N412" s="253"/>
      <c r="O412" s="362"/>
      <c r="P412" s="285"/>
      <c r="Q412" s="228">
        <f t="shared" si="304"/>
        <v>0</v>
      </c>
      <c r="R412" s="227"/>
      <c r="S412" s="228">
        <f t="shared" si="268"/>
        <v>0</v>
      </c>
      <c r="T412" s="227"/>
      <c r="U412" s="228">
        <f t="shared" si="305"/>
        <v>0</v>
      </c>
      <c r="V412" s="227"/>
      <c r="W412" s="228">
        <f t="shared" si="283"/>
        <v>0</v>
      </c>
      <c r="X412" s="227"/>
      <c r="Y412" s="228">
        <f t="shared" si="306"/>
        <v>0</v>
      </c>
      <c r="Z412" s="343"/>
      <c r="AA412" s="228">
        <f t="shared" si="269"/>
        <v>0</v>
      </c>
      <c r="AB412" s="227"/>
      <c r="AC412" s="228">
        <f t="shared" si="307"/>
        <v>0</v>
      </c>
      <c r="AD412" s="228"/>
      <c r="AE412" s="228">
        <f t="shared" si="270"/>
        <v>0</v>
      </c>
      <c r="AF412" s="227"/>
      <c r="AG412" s="228">
        <f t="shared" si="308"/>
        <v>0</v>
      </c>
      <c r="AH412" s="228"/>
      <c r="AI412" s="228">
        <f t="shared" si="271"/>
        <v>0</v>
      </c>
      <c r="AJ412" s="227"/>
      <c r="AK412" s="228">
        <f t="shared" si="309"/>
        <v>0</v>
      </c>
      <c r="AL412" s="228"/>
      <c r="AM412" s="228">
        <f t="shared" si="272"/>
        <v>0</v>
      </c>
      <c r="AN412" s="227"/>
      <c r="AO412" s="228">
        <f t="shared" si="310"/>
        <v>0</v>
      </c>
      <c r="AP412" s="228"/>
      <c r="AQ412" s="228">
        <f t="shared" si="273"/>
        <v>0</v>
      </c>
      <c r="AR412" s="247"/>
      <c r="AS412" s="228">
        <f t="shared" si="311"/>
        <v>0</v>
      </c>
      <c r="AT412" s="227"/>
      <c r="AU412" s="228">
        <f t="shared" si="274"/>
        <v>0</v>
      </c>
      <c r="AV412" s="285"/>
      <c r="AW412" s="228">
        <f t="shared" si="312"/>
        <v>0</v>
      </c>
      <c r="AX412" s="227"/>
      <c r="AY412" s="228">
        <f t="shared" si="275"/>
        <v>0</v>
      </c>
      <c r="AZ412" s="227"/>
      <c r="BA412" s="228">
        <f t="shared" si="313"/>
        <v>0</v>
      </c>
      <c r="BB412" s="228"/>
      <c r="BC412" s="228">
        <f t="shared" si="276"/>
        <v>0</v>
      </c>
      <c r="BD412" s="228"/>
      <c r="BE412" s="228">
        <f t="shared" si="314"/>
        <v>0</v>
      </c>
      <c r="BF412" s="228"/>
      <c r="BG412" s="228">
        <f t="shared" si="277"/>
        <v>0</v>
      </c>
      <c r="BH412" s="228"/>
      <c r="BI412" s="228">
        <f t="shared" si="315"/>
        <v>0</v>
      </c>
      <c r="BJ412" s="228"/>
      <c r="BK412" s="228">
        <f t="shared" si="278"/>
        <v>0</v>
      </c>
      <c r="BL412" s="228"/>
      <c r="BM412" s="220">
        <f t="shared" si="316"/>
        <v>0</v>
      </c>
      <c r="BN412" s="220"/>
      <c r="BO412" s="220">
        <f t="shared" si="279"/>
        <v>0</v>
      </c>
      <c r="BP412" s="220">
        <f t="shared" si="280"/>
        <v>0</v>
      </c>
      <c r="BQ412" s="220">
        <f t="shared" si="281"/>
        <v>0</v>
      </c>
      <c r="BR412" s="220">
        <f t="shared" si="282"/>
        <v>0</v>
      </c>
      <c r="BS412" s="364"/>
      <c r="BT412" s="365"/>
      <c r="BU412" s="295"/>
      <c r="BV412" s="230"/>
      <c r="BW412" s="231"/>
    </row>
    <row r="413" s="210" customFormat="1" spans="1:75">
      <c r="A413" s="360"/>
      <c r="B413" s="220" t="s">
        <v>1578</v>
      </c>
      <c r="C413" s="221" t="s">
        <v>1142</v>
      </c>
      <c r="D413" s="221" t="s">
        <v>1173</v>
      </c>
      <c r="E413" s="221" t="s">
        <v>1174</v>
      </c>
      <c r="F413" s="219" t="s">
        <v>81</v>
      </c>
      <c r="G413" s="222" t="s">
        <v>1462</v>
      </c>
      <c r="H413" s="219" t="s">
        <v>39</v>
      </c>
      <c r="I413" s="237" t="s">
        <v>1204</v>
      </c>
      <c r="J413" s="219" t="s">
        <v>1625</v>
      </c>
      <c r="K413" s="223" cm="1">
        <f t="array" ref="K413">_xlfn.XLOOKUP(D413&amp;E413&amp;H413&amp;I413&amp;J413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3" s="223"/>
      <c r="M413" s="361" t="s">
        <v>1589</v>
      </c>
      <c r="N413" s="253"/>
      <c r="O413" s="362"/>
      <c r="P413" s="285"/>
      <c r="Q413" s="228">
        <f t="shared" si="304"/>
        <v>0</v>
      </c>
      <c r="R413" s="227"/>
      <c r="S413" s="228">
        <f t="shared" si="268"/>
        <v>0</v>
      </c>
      <c r="T413" s="227"/>
      <c r="U413" s="228">
        <f t="shared" si="305"/>
        <v>0</v>
      </c>
      <c r="V413" s="227"/>
      <c r="W413" s="228">
        <f t="shared" si="283"/>
        <v>0</v>
      </c>
      <c r="X413" s="227"/>
      <c r="Y413" s="228">
        <f t="shared" si="306"/>
        <v>0</v>
      </c>
      <c r="Z413" s="227"/>
      <c r="AA413" s="228">
        <f t="shared" si="269"/>
        <v>0</v>
      </c>
      <c r="AB413" s="227"/>
      <c r="AC413" s="228">
        <f t="shared" si="307"/>
        <v>0</v>
      </c>
      <c r="AD413" s="228"/>
      <c r="AE413" s="228">
        <f t="shared" si="270"/>
        <v>0</v>
      </c>
      <c r="AF413" s="227"/>
      <c r="AG413" s="228">
        <f t="shared" si="308"/>
        <v>0</v>
      </c>
      <c r="AH413" s="228"/>
      <c r="AI413" s="228">
        <f t="shared" si="271"/>
        <v>0</v>
      </c>
      <c r="AJ413" s="227"/>
      <c r="AK413" s="228">
        <f t="shared" si="309"/>
        <v>0</v>
      </c>
      <c r="AL413" s="228"/>
      <c r="AM413" s="228">
        <f t="shared" si="272"/>
        <v>0</v>
      </c>
      <c r="AN413" s="227"/>
      <c r="AO413" s="228">
        <f t="shared" si="310"/>
        <v>0</v>
      </c>
      <c r="AP413" s="228"/>
      <c r="AQ413" s="228">
        <f t="shared" si="273"/>
        <v>0</v>
      </c>
      <c r="AR413" s="247"/>
      <c r="AS413" s="228">
        <f t="shared" si="311"/>
        <v>0</v>
      </c>
      <c r="AT413" s="227"/>
      <c r="AU413" s="228">
        <f t="shared" si="274"/>
        <v>0</v>
      </c>
      <c r="AV413" s="285"/>
      <c r="AW413" s="228">
        <f t="shared" si="312"/>
        <v>0</v>
      </c>
      <c r="AX413" s="227"/>
      <c r="AY413" s="228">
        <f t="shared" si="275"/>
        <v>0</v>
      </c>
      <c r="AZ413" s="227"/>
      <c r="BA413" s="228">
        <f t="shared" si="313"/>
        <v>0</v>
      </c>
      <c r="BB413" s="228"/>
      <c r="BC413" s="228">
        <f t="shared" si="276"/>
        <v>0</v>
      </c>
      <c r="BD413" s="228"/>
      <c r="BE413" s="228">
        <f t="shared" si="314"/>
        <v>0</v>
      </c>
      <c r="BF413" s="228"/>
      <c r="BG413" s="228">
        <f t="shared" si="277"/>
        <v>0</v>
      </c>
      <c r="BH413" s="228"/>
      <c r="BI413" s="228">
        <f t="shared" si="315"/>
        <v>0</v>
      </c>
      <c r="BJ413" s="228"/>
      <c r="BK413" s="228">
        <f t="shared" si="278"/>
        <v>0</v>
      </c>
      <c r="BL413" s="228"/>
      <c r="BM413" s="220">
        <f t="shared" si="316"/>
        <v>0</v>
      </c>
      <c r="BN413" s="220"/>
      <c r="BO413" s="220">
        <f t="shared" si="279"/>
        <v>0</v>
      </c>
      <c r="BP413" s="220">
        <f t="shared" si="280"/>
        <v>0</v>
      </c>
      <c r="BQ413" s="220">
        <f t="shared" si="281"/>
        <v>0</v>
      </c>
      <c r="BR413" s="220">
        <f t="shared" si="282"/>
        <v>0</v>
      </c>
      <c r="BS413" s="364"/>
      <c r="BT413" s="365"/>
      <c r="BU413" s="295"/>
      <c r="BV413" s="230"/>
      <c r="BW413" s="231"/>
    </row>
    <row r="414" s="210" customFormat="1" spans="1:75">
      <c r="A414" s="360"/>
      <c r="B414" s="220" t="s">
        <v>1578</v>
      </c>
      <c r="C414" s="221" t="s">
        <v>1142</v>
      </c>
      <c r="D414" s="221" t="s">
        <v>1173</v>
      </c>
      <c r="E414" s="221" t="s">
        <v>1174</v>
      </c>
      <c r="F414" s="219" t="s">
        <v>81</v>
      </c>
      <c r="G414" s="222" t="s">
        <v>1462</v>
      </c>
      <c r="H414" s="219" t="s">
        <v>39</v>
      </c>
      <c r="I414" s="237" t="s">
        <v>1626</v>
      </c>
      <c r="J414" s="219" t="s">
        <v>1627</v>
      </c>
      <c r="K414" s="223" cm="1">
        <f t="array" ref="K414">_xlfn.XLOOKUP(D414&amp;E414&amp;H414&amp;I414&amp;J414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4" s="223"/>
      <c r="M414" s="361" t="s">
        <v>1628</v>
      </c>
      <c r="N414" s="253"/>
      <c r="O414" s="362"/>
      <c r="P414" s="285"/>
      <c r="Q414" s="228">
        <f t="shared" si="304"/>
        <v>1992.48</v>
      </c>
      <c r="R414" s="267">
        <v>1992.48</v>
      </c>
      <c r="S414" s="228">
        <f t="shared" si="268"/>
        <v>0</v>
      </c>
      <c r="T414" s="227"/>
      <c r="U414" s="228">
        <f t="shared" si="305"/>
        <v>0</v>
      </c>
      <c r="V414" s="227"/>
      <c r="W414" s="228">
        <f t="shared" si="283"/>
        <v>0</v>
      </c>
      <c r="X414" s="227"/>
      <c r="Y414" s="228">
        <f t="shared" si="306"/>
        <v>0</v>
      </c>
      <c r="Z414" s="227"/>
      <c r="AA414" s="228">
        <f t="shared" si="269"/>
        <v>0</v>
      </c>
      <c r="AB414" s="227"/>
      <c r="AC414" s="228">
        <f t="shared" si="307"/>
        <v>0</v>
      </c>
      <c r="AD414" s="228"/>
      <c r="AE414" s="228">
        <f t="shared" si="270"/>
        <v>0</v>
      </c>
      <c r="AF414" s="227"/>
      <c r="AG414" s="228">
        <f t="shared" si="308"/>
        <v>0</v>
      </c>
      <c r="AH414" s="228"/>
      <c r="AI414" s="228">
        <f t="shared" si="271"/>
        <v>0</v>
      </c>
      <c r="AJ414" s="227"/>
      <c r="AK414" s="228">
        <f t="shared" si="309"/>
        <v>0</v>
      </c>
      <c r="AL414" s="228"/>
      <c r="AM414" s="228">
        <f t="shared" si="272"/>
        <v>0</v>
      </c>
      <c r="AN414" s="227"/>
      <c r="AO414" s="228">
        <f t="shared" si="310"/>
        <v>0</v>
      </c>
      <c r="AP414" s="228"/>
      <c r="AQ414" s="228">
        <f t="shared" si="273"/>
        <v>0</v>
      </c>
      <c r="AR414" s="247"/>
      <c r="AS414" s="228">
        <f t="shared" si="311"/>
        <v>0</v>
      </c>
      <c r="AT414" s="227"/>
      <c r="AU414" s="228">
        <f t="shared" si="274"/>
        <v>0</v>
      </c>
      <c r="AV414" s="285"/>
      <c r="AW414" s="228">
        <f t="shared" si="312"/>
        <v>0</v>
      </c>
      <c r="AX414" s="227"/>
      <c r="AY414" s="228">
        <f t="shared" si="275"/>
        <v>0</v>
      </c>
      <c r="AZ414" s="227"/>
      <c r="BA414" s="228">
        <f t="shared" si="313"/>
        <v>0</v>
      </c>
      <c r="BB414" s="228"/>
      <c r="BC414" s="228">
        <f t="shared" si="276"/>
        <v>0</v>
      </c>
      <c r="BD414" s="228"/>
      <c r="BE414" s="228">
        <f t="shared" si="314"/>
        <v>0</v>
      </c>
      <c r="BF414" s="228"/>
      <c r="BG414" s="228">
        <f t="shared" si="277"/>
        <v>0</v>
      </c>
      <c r="BH414" s="228"/>
      <c r="BI414" s="228">
        <f t="shared" si="315"/>
        <v>0</v>
      </c>
      <c r="BJ414" s="228"/>
      <c r="BK414" s="228">
        <f t="shared" si="278"/>
        <v>0</v>
      </c>
      <c r="BL414" s="228"/>
      <c r="BM414" s="220">
        <f t="shared" si="316"/>
        <v>0</v>
      </c>
      <c r="BN414" s="243"/>
      <c r="BO414" s="220">
        <f t="shared" si="279"/>
        <v>0</v>
      </c>
      <c r="BP414" s="220">
        <f t="shared" si="280"/>
        <v>1992.48</v>
      </c>
      <c r="BQ414" s="220">
        <f t="shared" si="281"/>
        <v>1992.48</v>
      </c>
      <c r="BR414" s="220">
        <f t="shared" si="282"/>
        <v>0</v>
      </c>
      <c r="BS414" s="364"/>
      <c r="BT414" s="365"/>
      <c r="BU414" s="295"/>
      <c r="BV414" s="230"/>
      <c r="BW414" s="231"/>
    </row>
    <row r="415" s="210" customFormat="1" spans="1:75">
      <c r="A415" s="360"/>
      <c r="B415" s="220" t="s">
        <v>1578</v>
      </c>
      <c r="C415" s="221" t="s">
        <v>1142</v>
      </c>
      <c r="D415" s="221" t="s">
        <v>1173</v>
      </c>
      <c r="E415" s="221" t="s">
        <v>1174</v>
      </c>
      <c r="F415" s="219" t="s">
        <v>81</v>
      </c>
      <c r="G415" s="222" t="s">
        <v>1462</v>
      </c>
      <c r="H415" s="219" t="s">
        <v>39</v>
      </c>
      <c r="I415" s="237" t="s">
        <v>1629</v>
      </c>
      <c r="J415" s="219" t="s">
        <v>1630</v>
      </c>
      <c r="K415" s="223" cm="1">
        <f t="array" ref="K415">_xlfn.XLOOKUP(D415&amp;E415&amp;H415&amp;I415&amp;J415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5" s="223"/>
      <c r="M415" s="361" t="s">
        <v>1628</v>
      </c>
      <c r="N415" s="253"/>
      <c r="O415" s="362"/>
      <c r="P415" s="285"/>
      <c r="Q415" s="228">
        <f t="shared" si="304"/>
        <v>10204.824</v>
      </c>
      <c r="R415" s="267">
        <v>10204.824</v>
      </c>
      <c r="S415" s="228">
        <f t="shared" si="268"/>
        <v>0</v>
      </c>
      <c r="T415" s="227"/>
      <c r="U415" s="228">
        <f t="shared" si="305"/>
        <v>0</v>
      </c>
      <c r="V415" s="227"/>
      <c r="W415" s="228">
        <f t="shared" si="283"/>
        <v>0</v>
      </c>
      <c r="X415" s="227"/>
      <c r="Y415" s="228">
        <f t="shared" si="306"/>
        <v>0</v>
      </c>
      <c r="Z415" s="227"/>
      <c r="AA415" s="228">
        <f t="shared" si="269"/>
        <v>0</v>
      </c>
      <c r="AB415" s="227"/>
      <c r="AC415" s="228">
        <f t="shared" si="307"/>
        <v>0</v>
      </c>
      <c r="AD415" s="228"/>
      <c r="AE415" s="228">
        <f t="shared" si="270"/>
        <v>0</v>
      </c>
      <c r="AF415" s="227"/>
      <c r="AG415" s="228">
        <f t="shared" si="308"/>
        <v>0</v>
      </c>
      <c r="AH415" s="228"/>
      <c r="AI415" s="228">
        <f t="shared" si="271"/>
        <v>0</v>
      </c>
      <c r="AJ415" s="227"/>
      <c r="AK415" s="228">
        <f t="shared" si="309"/>
        <v>0</v>
      </c>
      <c r="AL415" s="228"/>
      <c r="AM415" s="228">
        <f t="shared" si="272"/>
        <v>0</v>
      </c>
      <c r="AN415" s="227"/>
      <c r="AO415" s="228">
        <f t="shared" si="310"/>
        <v>0</v>
      </c>
      <c r="AP415" s="228"/>
      <c r="AQ415" s="228">
        <f t="shared" si="273"/>
        <v>0</v>
      </c>
      <c r="AR415" s="247"/>
      <c r="AS415" s="228">
        <f t="shared" si="311"/>
        <v>0</v>
      </c>
      <c r="AT415" s="227"/>
      <c r="AU415" s="228">
        <f t="shared" si="274"/>
        <v>0</v>
      </c>
      <c r="AV415" s="285"/>
      <c r="AW415" s="228">
        <f t="shared" si="312"/>
        <v>0</v>
      </c>
      <c r="AX415" s="227"/>
      <c r="AY415" s="228">
        <f t="shared" si="275"/>
        <v>0</v>
      </c>
      <c r="AZ415" s="227"/>
      <c r="BA415" s="228">
        <f t="shared" si="313"/>
        <v>0</v>
      </c>
      <c r="BB415" s="228"/>
      <c r="BC415" s="228">
        <f t="shared" si="276"/>
        <v>0</v>
      </c>
      <c r="BD415" s="228"/>
      <c r="BE415" s="228">
        <f t="shared" si="314"/>
        <v>0</v>
      </c>
      <c r="BF415" s="228"/>
      <c r="BG415" s="228">
        <f t="shared" si="277"/>
        <v>0</v>
      </c>
      <c r="BH415" s="228"/>
      <c r="BI415" s="228">
        <f t="shared" si="315"/>
        <v>0</v>
      </c>
      <c r="BJ415" s="228"/>
      <c r="BK415" s="228">
        <f t="shared" si="278"/>
        <v>0</v>
      </c>
      <c r="BL415" s="228"/>
      <c r="BM415" s="220">
        <f t="shared" si="316"/>
        <v>0</v>
      </c>
      <c r="BN415" s="243"/>
      <c r="BO415" s="220">
        <f t="shared" si="279"/>
        <v>0</v>
      </c>
      <c r="BP415" s="220">
        <f t="shared" si="280"/>
        <v>10204.824</v>
      </c>
      <c r="BQ415" s="220">
        <f t="shared" si="281"/>
        <v>10204.824</v>
      </c>
      <c r="BR415" s="220">
        <f t="shared" si="282"/>
        <v>0</v>
      </c>
      <c r="BS415" s="364"/>
      <c r="BT415" s="365"/>
      <c r="BU415" s="295"/>
      <c r="BV415" s="230"/>
      <c r="BW415" s="231"/>
    </row>
    <row r="416" s="210" customFormat="1" spans="1:75">
      <c r="A416" s="360"/>
      <c r="B416" s="220" t="s">
        <v>1578</v>
      </c>
      <c r="C416" s="221" t="s">
        <v>175</v>
      </c>
      <c r="D416" s="221" t="s">
        <v>237</v>
      </c>
      <c r="E416" s="221" t="s">
        <v>238</v>
      </c>
      <c r="F416" s="219" t="s">
        <v>81</v>
      </c>
      <c r="G416" s="222" t="s">
        <v>1462</v>
      </c>
      <c r="H416" s="219"/>
      <c r="I416" s="237" t="s">
        <v>1631</v>
      </c>
      <c r="J416" s="219" t="s">
        <v>1632</v>
      </c>
      <c r="K416" s="223" cm="1">
        <f t="array" ref="K416">_xlfn.XLOOKUP(D416&amp;E416&amp;H416&amp;I416&amp;J416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6" s="223"/>
      <c r="M416" s="361" t="s">
        <v>1589</v>
      </c>
      <c r="N416" s="253"/>
      <c r="O416" s="362"/>
      <c r="P416" s="285"/>
      <c r="Q416" s="228">
        <f t="shared" si="304"/>
        <v>0</v>
      </c>
      <c r="R416" s="227"/>
      <c r="S416" s="228">
        <f t="shared" si="268"/>
        <v>0</v>
      </c>
      <c r="T416" s="227"/>
      <c r="U416" s="228">
        <f t="shared" si="305"/>
        <v>0</v>
      </c>
      <c r="V416" s="227"/>
      <c r="W416" s="228">
        <f t="shared" si="283"/>
        <v>0</v>
      </c>
      <c r="X416" s="227"/>
      <c r="Y416" s="228">
        <f t="shared" si="306"/>
        <v>0</v>
      </c>
      <c r="Z416" s="227"/>
      <c r="AA416" s="228">
        <f t="shared" si="269"/>
        <v>0</v>
      </c>
      <c r="AB416" s="227"/>
      <c r="AC416" s="228">
        <f t="shared" si="307"/>
        <v>0</v>
      </c>
      <c r="AD416" s="227"/>
      <c r="AE416" s="228">
        <f t="shared" si="270"/>
        <v>0</v>
      </c>
      <c r="AF416" s="227"/>
      <c r="AG416" s="228">
        <f t="shared" si="308"/>
        <v>0</v>
      </c>
      <c r="AH416" s="227"/>
      <c r="AI416" s="228">
        <f t="shared" si="271"/>
        <v>0</v>
      </c>
      <c r="AJ416" s="227"/>
      <c r="AK416" s="228">
        <f t="shared" si="309"/>
        <v>0</v>
      </c>
      <c r="AL416" s="227"/>
      <c r="AM416" s="228">
        <f t="shared" si="272"/>
        <v>0</v>
      </c>
      <c r="AN416" s="227"/>
      <c r="AO416" s="228">
        <f t="shared" si="310"/>
        <v>0</v>
      </c>
      <c r="AP416" s="228"/>
      <c r="AQ416" s="228">
        <f t="shared" si="273"/>
        <v>0</v>
      </c>
      <c r="AR416" s="247"/>
      <c r="AS416" s="228">
        <f t="shared" si="311"/>
        <v>0</v>
      </c>
      <c r="AT416" s="227"/>
      <c r="AU416" s="228">
        <f t="shared" si="274"/>
        <v>0</v>
      </c>
      <c r="AV416" s="285"/>
      <c r="AW416" s="228">
        <f t="shared" si="312"/>
        <v>0</v>
      </c>
      <c r="AX416" s="227"/>
      <c r="AY416" s="228">
        <f t="shared" si="275"/>
        <v>0</v>
      </c>
      <c r="AZ416" s="227"/>
      <c r="BA416" s="228">
        <f t="shared" si="313"/>
        <v>0</v>
      </c>
      <c r="BB416" s="228"/>
      <c r="BC416" s="228">
        <f t="shared" si="276"/>
        <v>0</v>
      </c>
      <c r="BD416" s="228"/>
      <c r="BE416" s="228">
        <f t="shared" si="314"/>
        <v>0</v>
      </c>
      <c r="BF416" s="228"/>
      <c r="BG416" s="228">
        <f t="shared" si="277"/>
        <v>0</v>
      </c>
      <c r="BH416" s="228"/>
      <c r="BI416" s="228">
        <f t="shared" si="315"/>
        <v>0</v>
      </c>
      <c r="BJ416" s="228"/>
      <c r="BK416" s="228">
        <f t="shared" si="278"/>
        <v>0</v>
      </c>
      <c r="BL416" s="228"/>
      <c r="BM416" s="220">
        <f t="shared" si="316"/>
        <v>0</v>
      </c>
      <c r="BN416" s="220"/>
      <c r="BO416" s="220">
        <f t="shared" si="279"/>
        <v>0</v>
      </c>
      <c r="BP416" s="220">
        <f t="shared" si="280"/>
        <v>0</v>
      </c>
      <c r="BQ416" s="220">
        <f t="shared" si="281"/>
        <v>0</v>
      </c>
      <c r="BR416" s="220">
        <f t="shared" si="282"/>
        <v>0</v>
      </c>
      <c r="BS416" s="364"/>
      <c r="BT416" s="365"/>
      <c r="BU416" s="295"/>
      <c r="BV416" s="230"/>
      <c r="BW416" s="231"/>
    </row>
    <row r="417" s="210" customFormat="1" spans="1:75">
      <c r="A417" s="360"/>
      <c r="B417" s="220" t="s">
        <v>1578</v>
      </c>
      <c r="C417" s="221" t="s">
        <v>175</v>
      </c>
      <c r="D417" s="221" t="s">
        <v>237</v>
      </c>
      <c r="E417" s="221" t="s">
        <v>238</v>
      </c>
      <c r="F417" s="219" t="s">
        <v>81</v>
      </c>
      <c r="G417" s="222" t="s">
        <v>1462</v>
      </c>
      <c r="H417" s="219"/>
      <c r="I417" s="237" t="s">
        <v>589</v>
      </c>
      <c r="J417" s="219" t="s">
        <v>1633</v>
      </c>
      <c r="K417" s="223" cm="1">
        <f t="array" ref="K417">_xlfn.XLOOKUP(D417&amp;E417&amp;H417&amp;I417&amp;J417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7" s="223"/>
      <c r="M417" s="361" t="s">
        <v>1589</v>
      </c>
      <c r="N417" s="253"/>
      <c r="O417" s="362"/>
      <c r="P417" s="285"/>
      <c r="Q417" s="228">
        <f t="shared" si="304"/>
        <v>0</v>
      </c>
      <c r="R417" s="227"/>
      <c r="S417" s="228">
        <f t="shared" si="268"/>
        <v>0</v>
      </c>
      <c r="T417" s="227"/>
      <c r="U417" s="228">
        <f t="shared" si="305"/>
        <v>0</v>
      </c>
      <c r="V417" s="227"/>
      <c r="W417" s="228">
        <f t="shared" si="283"/>
        <v>0</v>
      </c>
      <c r="X417" s="227"/>
      <c r="Y417" s="228">
        <f t="shared" si="306"/>
        <v>0</v>
      </c>
      <c r="Z417" s="227"/>
      <c r="AA417" s="228">
        <f t="shared" si="269"/>
        <v>0</v>
      </c>
      <c r="AB417" s="227"/>
      <c r="AC417" s="228">
        <f t="shared" si="307"/>
        <v>0</v>
      </c>
      <c r="AD417" s="227"/>
      <c r="AE417" s="228">
        <f t="shared" si="270"/>
        <v>0</v>
      </c>
      <c r="AF417" s="227"/>
      <c r="AG417" s="228">
        <f t="shared" si="308"/>
        <v>0</v>
      </c>
      <c r="AH417" s="227"/>
      <c r="AI417" s="228">
        <f t="shared" si="271"/>
        <v>0</v>
      </c>
      <c r="AJ417" s="227"/>
      <c r="AK417" s="228">
        <f t="shared" si="309"/>
        <v>0</v>
      </c>
      <c r="AL417" s="227"/>
      <c r="AM417" s="228">
        <f t="shared" si="272"/>
        <v>0</v>
      </c>
      <c r="AN417" s="227"/>
      <c r="AO417" s="228">
        <f t="shared" si="310"/>
        <v>0</v>
      </c>
      <c r="AP417" s="228"/>
      <c r="AQ417" s="228">
        <f t="shared" si="273"/>
        <v>0</v>
      </c>
      <c r="AR417" s="247"/>
      <c r="AS417" s="228">
        <f t="shared" si="311"/>
        <v>0</v>
      </c>
      <c r="AT417" s="227"/>
      <c r="AU417" s="228">
        <f t="shared" si="274"/>
        <v>0</v>
      </c>
      <c r="AV417" s="285"/>
      <c r="AW417" s="228">
        <f t="shared" si="312"/>
        <v>0</v>
      </c>
      <c r="AX417" s="227"/>
      <c r="AY417" s="228">
        <f t="shared" si="275"/>
        <v>0</v>
      </c>
      <c r="AZ417" s="227"/>
      <c r="BA417" s="228">
        <f t="shared" si="313"/>
        <v>0</v>
      </c>
      <c r="BB417" s="228"/>
      <c r="BC417" s="228">
        <f t="shared" si="276"/>
        <v>0</v>
      </c>
      <c r="BD417" s="228"/>
      <c r="BE417" s="228">
        <f t="shared" si="314"/>
        <v>0</v>
      </c>
      <c r="BF417" s="228"/>
      <c r="BG417" s="228">
        <f t="shared" si="277"/>
        <v>0</v>
      </c>
      <c r="BH417" s="228"/>
      <c r="BI417" s="228">
        <f t="shared" si="315"/>
        <v>0</v>
      </c>
      <c r="BJ417" s="228"/>
      <c r="BK417" s="228">
        <f t="shared" si="278"/>
        <v>0</v>
      </c>
      <c r="BL417" s="228"/>
      <c r="BM417" s="220">
        <f t="shared" si="316"/>
        <v>0</v>
      </c>
      <c r="BN417" s="220"/>
      <c r="BO417" s="220">
        <f t="shared" si="279"/>
        <v>0</v>
      </c>
      <c r="BP417" s="220">
        <f t="shared" si="280"/>
        <v>0</v>
      </c>
      <c r="BQ417" s="220">
        <f t="shared" si="281"/>
        <v>0</v>
      </c>
      <c r="BR417" s="220">
        <f t="shared" si="282"/>
        <v>0</v>
      </c>
      <c r="BS417" s="364"/>
      <c r="BT417" s="365"/>
      <c r="BU417" s="295"/>
      <c r="BV417" s="230"/>
      <c r="BW417" s="231"/>
    </row>
    <row r="418" s="210" customFormat="1" spans="1:75">
      <c r="A418" s="360"/>
      <c r="B418" s="220" t="s">
        <v>1578</v>
      </c>
      <c r="C418" s="221" t="s">
        <v>1142</v>
      </c>
      <c r="D418" s="221" t="s">
        <v>1207</v>
      </c>
      <c r="E418" s="221" t="s">
        <v>1208</v>
      </c>
      <c r="F418" s="219" t="s">
        <v>53</v>
      </c>
      <c r="G418" s="222" t="s">
        <v>1462</v>
      </c>
      <c r="H418" s="219" t="s">
        <v>86</v>
      </c>
      <c r="I418" s="237" t="s">
        <v>1634</v>
      </c>
      <c r="J418" s="219" t="s">
        <v>1635</v>
      </c>
      <c r="K418" s="223" cm="1">
        <f t="array" ref="K418">_xlfn.XLOOKUP(D418&amp;E418&amp;H418&amp;I418&amp;J418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8" s="223"/>
      <c r="M418" s="361" t="s">
        <v>1589</v>
      </c>
      <c r="N418" s="253"/>
      <c r="O418" s="362"/>
      <c r="P418" s="285"/>
      <c r="Q418" s="228">
        <f t="shared" si="304"/>
        <v>0</v>
      </c>
      <c r="R418" s="227"/>
      <c r="S418" s="228">
        <f t="shared" si="268"/>
        <v>0</v>
      </c>
      <c r="T418" s="227"/>
      <c r="U418" s="228">
        <f t="shared" si="305"/>
        <v>0</v>
      </c>
      <c r="V418" s="227"/>
      <c r="W418" s="228">
        <f t="shared" si="283"/>
        <v>0</v>
      </c>
      <c r="X418" s="227"/>
      <c r="Y418" s="228">
        <f t="shared" si="306"/>
        <v>0</v>
      </c>
      <c r="Z418" s="227"/>
      <c r="AA418" s="228">
        <f t="shared" si="269"/>
        <v>0</v>
      </c>
      <c r="AB418" s="227"/>
      <c r="AC418" s="228">
        <f t="shared" si="307"/>
        <v>0</v>
      </c>
      <c r="AD418" s="227"/>
      <c r="AE418" s="228">
        <f t="shared" si="270"/>
        <v>0</v>
      </c>
      <c r="AF418" s="227"/>
      <c r="AG418" s="228">
        <f t="shared" si="308"/>
        <v>0</v>
      </c>
      <c r="AH418" s="227"/>
      <c r="AI418" s="228">
        <f t="shared" si="271"/>
        <v>0</v>
      </c>
      <c r="AJ418" s="227"/>
      <c r="AK418" s="228">
        <f t="shared" si="309"/>
        <v>0</v>
      </c>
      <c r="AL418" s="227"/>
      <c r="AM418" s="228">
        <f t="shared" si="272"/>
        <v>0</v>
      </c>
      <c r="AN418" s="227"/>
      <c r="AO418" s="228">
        <f t="shared" si="310"/>
        <v>0</v>
      </c>
      <c r="AP418" s="228"/>
      <c r="AQ418" s="228">
        <f t="shared" si="273"/>
        <v>0</v>
      </c>
      <c r="AR418" s="247"/>
      <c r="AS418" s="228">
        <f t="shared" si="311"/>
        <v>0</v>
      </c>
      <c r="AT418" s="227"/>
      <c r="AU418" s="228">
        <f t="shared" si="274"/>
        <v>0</v>
      </c>
      <c r="AV418" s="285"/>
      <c r="AW418" s="228">
        <f t="shared" si="312"/>
        <v>0</v>
      </c>
      <c r="AX418" s="227"/>
      <c r="AY418" s="228">
        <f t="shared" si="275"/>
        <v>0</v>
      </c>
      <c r="AZ418" s="227"/>
      <c r="BA418" s="228">
        <f t="shared" si="313"/>
        <v>0</v>
      </c>
      <c r="BB418" s="228"/>
      <c r="BC418" s="228">
        <f t="shared" si="276"/>
        <v>0</v>
      </c>
      <c r="BD418" s="228"/>
      <c r="BE418" s="228">
        <f t="shared" si="314"/>
        <v>0</v>
      </c>
      <c r="BF418" s="228"/>
      <c r="BG418" s="228">
        <f t="shared" si="277"/>
        <v>0</v>
      </c>
      <c r="BH418" s="228"/>
      <c r="BI418" s="228">
        <f t="shared" si="315"/>
        <v>0</v>
      </c>
      <c r="BJ418" s="228"/>
      <c r="BK418" s="228">
        <f t="shared" si="278"/>
        <v>0</v>
      </c>
      <c r="BL418" s="228"/>
      <c r="BM418" s="220">
        <f t="shared" si="316"/>
        <v>0</v>
      </c>
      <c r="BN418" s="220"/>
      <c r="BO418" s="220">
        <f t="shared" si="279"/>
        <v>0</v>
      </c>
      <c r="BP418" s="220">
        <f t="shared" si="280"/>
        <v>0</v>
      </c>
      <c r="BQ418" s="220">
        <f t="shared" si="281"/>
        <v>0</v>
      </c>
      <c r="BR418" s="220">
        <f t="shared" si="282"/>
        <v>0</v>
      </c>
      <c r="BS418" s="364"/>
      <c r="BT418" s="365"/>
      <c r="BU418" s="295"/>
      <c r="BV418" s="230"/>
      <c r="BW418" s="231"/>
    </row>
    <row r="419" s="210" customFormat="1" spans="1:75">
      <c r="A419" s="360"/>
      <c r="B419" s="220" t="s">
        <v>1578</v>
      </c>
      <c r="C419" s="221" t="s">
        <v>1142</v>
      </c>
      <c r="D419" s="221" t="s">
        <v>1207</v>
      </c>
      <c r="E419" s="221" t="s">
        <v>1208</v>
      </c>
      <c r="F419" s="219" t="s">
        <v>53</v>
      </c>
      <c r="G419" s="222" t="s">
        <v>1462</v>
      </c>
      <c r="H419" s="219" t="s">
        <v>272</v>
      </c>
      <c r="I419" s="237" t="s">
        <v>1201</v>
      </c>
      <c r="J419" s="219" t="s">
        <v>1586</v>
      </c>
      <c r="K419" s="223" cm="1">
        <f t="array" ref="K419">_xlfn.XLOOKUP(D419&amp;E419&amp;H419&amp;I419&amp;J419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9" s="223"/>
      <c r="M419" s="361" t="s">
        <v>1589</v>
      </c>
      <c r="N419" s="253"/>
      <c r="O419" s="362"/>
      <c r="P419" s="285"/>
      <c r="Q419" s="228">
        <f t="shared" si="304"/>
        <v>0</v>
      </c>
      <c r="R419" s="227"/>
      <c r="S419" s="228">
        <f t="shared" si="268"/>
        <v>0</v>
      </c>
      <c r="T419" s="227"/>
      <c r="U419" s="228">
        <f t="shared" si="305"/>
        <v>0</v>
      </c>
      <c r="V419" s="227"/>
      <c r="W419" s="228">
        <f t="shared" si="283"/>
        <v>0</v>
      </c>
      <c r="X419" s="227"/>
      <c r="Y419" s="228">
        <f t="shared" si="306"/>
        <v>0</v>
      </c>
      <c r="Z419" s="227"/>
      <c r="AA419" s="228">
        <f t="shared" si="269"/>
        <v>0</v>
      </c>
      <c r="AB419" s="227"/>
      <c r="AC419" s="228">
        <f t="shared" si="307"/>
        <v>0</v>
      </c>
      <c r="AD419" s="227"/>
      <c r="AE419" s="228">
        <f t="shared" si="270"/>
        <v>0</v>
      </c>
      <c r="AF419" s="227"/>
      <c r="AG419" s="228">
        <f t="shared" si="308"/>
        <v>0</v>
      </c>
      <c r="AH419" s="227"/>
      <c r="AI419" s="228">
        <f t="shared" si="271"/>
        <v>0</v>
      </c>
      <c r="AJ419" s="227"/>
      <c r="AK419" s="228">
        <f t="shared" si="309"/>
        <v>0</v>
      </c>
      <c r="AL419" s="227"/>
      <c r="AM419" s="228">
        <f t="shared" si="272"/>
        <v>0</v>
      </c>
      <c r="AN419" s="227"/>
      <c r="AO419" s="228">
        <f t="shared" si="310"/>
        <v>0</v>
      </c>
      <c r="AP419" s="228"/>
      <c r="AQ419" s="228">
        <f t="shared" si="273"/>
        <v>0</v>
      </c>
      <c r="AR419" s="247"/>
      <c r="AS419" s="228">
        <f t="shared" si="311"/>
        <v>0</v>
      </c>
      <c r="AT419" s="227"/>
      <c r="AU419" s="228">
        <f t="shared" si="274"/>
        <v>0</v>
      </c>
      <c r="AV419" s="285"/>
      <c r="AW419" s="228">
        <f t="shared" si="312"/>
        <v>0</v>
      </c>
      <c r="AX419" s="227"/>
      <c r="AY419" s="228">
        <f t="shared" si="275"/>
        <v>0</v>
      </c>
      <c r="AZ419" s="227"/>
      <c r="BA419" s="228">
        <f t="shared" si="313"/>
        <v>0</v>
      </c>
      <c r="BB419" s="228"/>
      <c r="BC419" s="228">
        <f t="shared" si="276"/>
        <v>0</v>
      </c>
      <c r="BD419" s="228"/>
      <c r="BE419" s="228">
        <f t="shared" si="314"/>
        <v>0</v>
      </c>
      <c r="BF419" s="228"/>
      <c r="BG419" s="228">
        <f t="shared" si="277"/>
        <v>0</v>
      </c>
      <c r="BH419" s="228"/>
      <c r="BI419" s="228">
        <f t="shared" si="315"/>
        <v>0</v>
      </c>
      <c r="BJ419" s="228"/>
      <c r="BK419" s="228">
        <f t="shared" si="278"/>
        <v>0</v>
      </c>
      <c r="BL419" s="228"/>
      <c r="BM419" s="220">
        <f t="shared" si="316"/>
        <v>0</v>
      </c>
      <c r="BN419" s="220"/>
      <c r="BO419" s="220">
        <f t="shared" si="279"/>
        <v>0</v>
      </c>
      <c r="BP419" s="220">
        <f t="shared" si="280"/>
        <v>0</v>
      </c>
      <c r="BQ419" s="220">
        <f t="shared" si="281"/>
        <v>0</v>
      </c>
      <c r="BR419" s="220">
        <f t="shared" si="282"/>
        <v>0</v>
      </c>
      <c r="BS419" s="364"/>
      <c r="BT419" s="365"/>
      <c r="BU419" s="295"/>
      <c r="BV419" s="230"/>
      <c r="BW419" s="231"/>
    </row>
    <row r="420" s="210" customFormat="1" spans="1:75">
      <c r="A420" s="360"/>
      <c r="B420" s="220" t="s">
        <v>1578</v>
      </c>
      <c r="C420" s="221" t="s">
        <v>1142</v>
      </c>
      <c r="D420" s="221" t="s">
        <v>1207</v>
      </c>
      <c r="E420" s="221" t="s">
        <v>1208</v>
      </c>
      <c r="F420" s="219" t="s">
        <v>53</v>
      </c>
      <c r="G420" s="222" t="s">
        <v>1462</v>
      </c>
      <c r="H420" s="219" t="s">
        <v>280</v>
      </c>
      <c r="I420" s="237" t="s">
        <v>1636</v>
      </c>
      <c r="J420" s="219" t="s">
        <v>1637</v>
      </c>
      <c r="K420" s="223" cm="1">
        <f t="array" ref="K420">_xlfn.XLOOKUP(D420&amp;E420&amp;H420&amp;I420&amp;J420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0" s="223"/>
      <c r="M420" s="361" t="s">
        <v>1589</v>
      </c>
      <c r="N420" s="253"/>
      <c r="O420" s="362"/>
      <c r="P420" s="285"/>
      <c r="Q420" s="228">
        <f t="shared" si="304"/>
        <v>0</v>
      </c>
      <c r="R420" s="227"/>
      <c r="S420" s="228">
        <f t="shared" si="268"/>
        <v>0</v>
      </c>
      <c r="T420" s="227"/>
      <c r="U420" s="228">
        <f t="shared" si="305"/>
        <v>0</v>
      </c>
      <c r="V420" s="227"/>
      <c r="W420" s="228">
        <f t="shared" si="283"/>
        <v>0</v>
      </c>
      <c r="X420" s="227"/>
      <c r="Y420" s="228">
        <f t="shared" si="306"/>
        <v>0</v>
      </c>
      <c r="Z420" s="227"/>
      <c r="AA420" s="228">
        <f t="shared" si="269"/>
        <v>0</v>
      </c>
      <c r="AB420" s="227"/>
      <c r="AC420" s="228">
        <f t="shared" si="307"/>
        <v>0</v>
      </c>
      <c r="AD420" s="227"/>
      <c r="AE420" s="228">
        <f t="shared" si="270"/>
        <v>0</v>
      </c>
      <c r="AF420" s="227"/>
      <c r="AG420" s="228">
        <f t="shared" si="308"/>
        <v>0</v>
      </c>
      <c r="AH420" s="227"/>
      <c r="AI420" s="228">
        <f t="shared" si="271"/>
        <v>0</v>
      </c>
      <c r="AJ420" s="227"/>
      <c r="AK420" s="228">
        <f t="shared" si="309"/>
        <v>0</v>
      </c>
      <c r="AL420" s="227"/>
      <c r="AM420" s="228">
        <f t="shared" si="272"/>
        <v>0</v>
      </c>
      <c r="AN420" s="227"/>
      <c r="AO420" s="228">
        <f t="shared" si="310"/>
        <v>0</v>
      </c>
      <c r="AP420" s="228"/>
      <c r="AQ420" s="228">
        <f t="shared" si="273"/>
        <v>0</v>
      </c>
      <c r="AR420" s="247"/>
      <c r="AS420" s="228">
        <f t="shared" si="311"/>
        <v>0</v>
      </c>
      <c r="AT420" s="227"/>
      <c r="AU420" s="228">
        <f t="shared" si="274"/>
        <v>0</v>
      </c>
      <c r="AV420" s="285"/>
      <c r="AW420" s="228">
        <f t="shared" si="312"/>
        <v>0</v>
      </c>
      <c r="AX420" s="227"/>
      <c r="AY420" s="228">
        <f t="shared" si="275"/>
        <v>0</v>
      </c>
      <c r="AZ420" s="227"/>
      <c r="BA420" s="228">
        <f t="shared" si="313"/>
        <v>0</v>
      </c>
      <c r="BB420" s="228"/>
      <c r="BC420" s="228">
        <f t="shared" si="276"/>
        <v>0</v>
      </c>
      <c r="BD420" s="228"/>
      <c r="BE420" s="228">
        <f t="shared" si="314"/>
        <v>0</v>
      </c>
      <c r="BF420" s="228"/>
      <c r="BG420" s="228">
        <f t="shared" si="277"/>
        <v>0</v>
      </c>
      <c r="BH420" s="228"/>
      <c r="BI420" s="228">
        <f t="shared" si="315"/>
        <v>0</v>
      </c>
      <c r="BJ420" s="228"/>
      <c r="BK420" s="228">
        <f t="shared" si="278"/>
        <v>0</v>
      </c>
      <c r="BL420" s="228"/>
      <c r="BM420" s="220">
        <f t="shared" si="316"/>
        <v>0</v>
      </c>
      <c r="BN420" s="220"/>
      <c r="BO420" s="220">
        <f t="shared" si="279"/>
        <v>0</v>
      </c>
      <c r="BP420" s="220">
        <f t="shared" si="280"/>
        <v>0</v>
      </c>
      <c r="BQ420" s="220">
        <f t="shared" si="281"/>
        <v>0</v>
      </c>
      <c r="BR420" s="220">
        <f t="shared" si="282"/>
        <v>0</v>
      </c>
      <c r="BS420" s="364"/>
      <c r="BT420" s="365"/>
      <c r="BU420" s="295"/>
      <c r="BV420" s="230"/>
      <c r="BW420" s="231"/>
    </row>
    <row r="421" s="210" customFormat="1" spans="1:75">
      <c r="A421" s="360"/>
      <c r="B421" s="220" t="s">
        <v>1578</v>
      </c>
      <c r="C421" s="221" t="s">
        <v>1142</v>
      </c>
      <c r="D421" s="221" t="s">
        <v>1207</v>
      </c>
      <c r="E421" s="221" t="s">
        <v>1208</v>
      </c>
      <c r="F421" s="219" t="s">
        <v>53</v>
      </c>
      <c r="G421" s="222" t="s">
        <v>1462</v>
      </c>
      <c r="H421" s="219" t="s">
        <v>322</v>
      </c>
      <c r="I421" s="237" t="s">
        <v>485</v>
      </c>
      <c r="J421" s="219" t="s">
        <v>1638</v>
      </c>
      <c r="K421" s="223" cm="1">
        <f t="array" ref="K421">_xlfn.XLOOKUP(D421&amp;E421&amp;H421&amp;I421&amp;J421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1" s="223"/>
      <c r="M421" s="361" t="s">
        <v>1589</v>
      </c>
      <c r="N421" s="253"/>
      <c r="O421" s="362"/>
      <c r="P421" s="285"/>
      <c r="Q421" s="228">
        <f t="shared" si="304"/>
        <v>0</v>
      </c>
      <c r="R421" s="227"/>
      <c r="S421" s="228">
        <f t="shared" si="268"/>
        <v>0</v>
      </c>
      <c r="T421" s="227"/>
      <c r="U421" s="228">
        <f t="shared" si="305"/>
        <v>0</v>
      </c>
      <c r="V421" s="227"/>
      <c r="W421" s="228">
        <f t="shared" si="283"/>
        <v>0</v>
      </c>
      <c r="X421" s="227"/>
      <c r="Y421" s="228">
        <f t="shared" si="306"/>
        <v>0</v>
      </c>
      <c r="Z421" s="227"/>
      <c r="AA421" s="228">
        <f t="shared" si="269"/>
        <v>0</v>
      </c>
      <c r="AB421" s="227"/>
      <c r="AC421" s="228">
        <f t="shared" si="307"/>
        <v>0</v>
      </c>
      <c r="AD421" s="227"/>
      <c r="AE421" s="228">
        <f t="shared" si="270"/>
        <v>0</v>
      </c>
      <c r="AF421" s="227"/>
      <c r="AG421" s="228">
        <f t="shared" si="308"/>
        <v>0</v>
      </c>
      <c r="AH421" s="227"/>
      <c r="AI421" s="228">
        <f t="shared" si="271"/>
        <v>0</v>
      </c>
      <c r="AJ421" s="227"/>
      <c r="AK421" s="228">
        <f t="shared" si="309"/>
        <v>0</v>
      </c>
      <c r="AL421" s="227"/>
      <c r="AM421" s="228">
        <f t="shared" si="272"/>
        <v>0</v>
      </c>
      <c r="AN421" s="227"/>
      <c r="AO421" s="228">
        <f t="shared" si="310"/>
        <v>0</v>
      </c>
      <c r="AP421" s="228"/>
      <c r="AQ421" s="228">
        <f t="shared" si="273"/>
        <v>0</v>
      </c>
      <c r="AR421" s="247"/>
      <c r="AS421" s="228">
        <f t="shared" si="311"/>
        <v>0</v>
      </c>
      <c r="AT421" s="227"/>
      <c r="AU421" s="228">
        <f t="shared" si="274"/>
        <v>0</v>
      </c>
      <c r="AV421" s="285"/>
      <c r="AW421" s="228">
        <f t="shared" si="312"/>
        <v>0</v>
      </c>
      <c r="AX421" s="227"/>
      <c r="AY421" s="228">
        <f t="shared" si="275"/>
        <v>0</v>
      </c>
      <c r="AZ421" s="227"/>
      <c r="BA421" s="228">
        <f t="shared" si="313"/>
        <v>0</v>
      </c>
      <c r="BB421" s="228"/>
      <c r="BC421" s="228">
        <f t="shared" si="276"/>
        <v>0</v>
      </c>
      <c r="BD421" s="228"/>
      <c r="BE421" s="228">
        <f t="shared" si="314"/>
        <v>0</v>
      </c>
      <c r="BF421" s="228"/>
      <c r="BG421" s="228">
        <f t="shared" si="277"/>
        <v>0</v>
      </c>
      <c r="BH421" s="228"/>
      <c r="BI421" s="228">
        <f t="shared" si="315"/>
        <v>0</v>
      </c>
      <c r="BJ421" s="228"/>
      <c r="BK421" s="228">
        <f t="shared" si="278"/>
        <v>0</v>
      </c>
      <c r="BL421" s="228"/>
      <c r="BM421" s="220">
        <f t="shared" si="316"/>
        <v>0</v>
      </c>
      <c r="BN421" s="220"/>
      <c r="BO421" s="220">
        <f t="shared" si="279"/>
        <v>0</v>
      </c>
      <c r="BP421" s="220">
        <f t="shared" si="280"/>
        <v>0</v>
      </c>
      <c r="BQ421" s="220">
        <f t="shared" si="281"/>
        <v>0</v>
      </c>
      <c r="BR421" s="220">
        <f t="shared" si="282"/>
        <v>0</v>
      </c>
      <c r="BS421" s="364"/>
      <c r="BT421" s="365"/>
      <c r="BU421" s="295"/>
      <c r="BV421" s="230"/>
      <c r="BW421" s="231"/>
    </row>
    <row r="422" s="210" customFormat="1" spans="1:75">
      <c r="A422" s="360"/>
      <c r="B422" s="220" t="s">
        <v>1578</v>
      </c>
      <c r="C422" s="221" t="s">
        <v>443</v>
      </c>
      <c r="D422" s="221" t="s">
        <v>762</v>
      </c>
      <c r="E422" s="221" t="s">
        <v>763</v>
      </c>
      <c r="F422" s="219" t="s">
        <v>81</v>
      </c>
      <c r="G422" s="222" t="s">
        <v>1462</v>
      </c>
      <c r="H422" s="219"/>
      <c r="I422" s="237" t="s">
        <v>1639</v>
      </c>
      <c r="J422" s="219" t="s">
        <v>1640</v>
      </c>
      <c r="K422" s="223" cm="1">
        <f t="array" ref="K422">_xlfn.XLOOKUP(D422&amp;E422&amp;H422&amp;I422&amp;J422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2" s="223"/>
      <c r="M422" s="361" t="s">
        <v>1589</v>
      </c>
      <c r="N422" s="253"/>
      <c r="O422" s="362"/>
      <c r="P422" s="285"/>
      <c r="Q422" s="228">
        <f t="shared" si="304"/>
        <v>0</v>
      </c>
      <c r="R422" s="227"/>
      <c r="S422" s="228">
        <f t="shared" si="268"/>
        <v>0</v>
      </c>
      <c r="T422" s="227"/>
      <c r="U422" s="228">
        <f t="shared" si="305"/>
        <v>0</v>
      </c>
      <c r="V422" s="227"/>
      <c r="W422" s="228">
        <f t="shared" si="283"/>
        <v>0</v>
      </c>
      <c r="X422" s="227"/>
      <c r="Y422" s="228">
        <f t="shared" si="306"/>
        <v>0</v>
      </c>
      <c r="Z422" s="227"/>
      <c r="AA422" s="228">
        <f t="shared" si="269"/>
        <v>0</v>
      </c>
      <c r="AB422" s="227"/>
      <c r="AC422" s="228">
        <f t="shared" si="307"/>
        <v>0</v>
      </c>
      <c r="AD422" s="227"/>
      <c r="AE422" s="228">
        <f t="shared" si="270"/>
        <v>0</v>
      </c>
      <c r="AF422" s="227"/>
      <c r="AG422" s="228">
        <f t="shared" si="308"/>
        <v>0</v>
      </c>
      <c r="AH422" s="227"/>
      <c r="AI422" s="228">
        <f t="shared" si="271"/>
        <v>0</v>
      </c>
      <c r="AJ422" s="227"/>
      <c r="AK422" s="228">
        <f t="shared" si="309"/>
        <v>0</v>
      </c>
      <c r="AL422" s="227"/>
      <c r="AM422" s="228">
        <f t="shared" si="272"/>
        <v>0</v>
      </c>
      <c r="AN422" s="227"/>
      <c r="AO422" s="228">
        <f t="shared" si="310"/>
        <v>0</v>
      </c>
      <c r="AP422" s="228"/>
      <c r="AQ422" s="228">
        <f t="shared" si="273"/>
        <v>0</v>
      </c>
      <c r="AR422" s="247"/>
      <c r="AS422" s="228">
        <f t="shared" si="311"/>
        <v>0</v>
      </c>
      <c r="AT422" s="227"/>
      <c r="AU422" s="228">
        <f t="shared" si="274"/>
        <v>0</v>
      </c>
      <c r="AV422" s="285"/>
      <c r="AW422" s="228">
        <f t="shared" si="312"/>
        <v>0</v>
      </c>
      <c r="AX422" s="227"/>
      <c r="AY422" s="228">
        <f t="shared" si="275"/>
        <v>0</v>
      </c>
      <c r="AZ422" s="227"/>
      <c r="BA422" s="228">
        <f t="shared" si="313"/>
        <v>0</v>
      </c>
      <c r="BB422" s="228"/>
      <c r="BC422" s="228">
        <f t="shared" si="276"/>
        <v>0</v>
      </c>
      <c r="BD422" s="228"/>
      <c r="BE422" s="228">
        <f t="shared" si="314"/>
        <v>0</v>
      </c>
      <c r="BF422" s="228"/>
      <c r="BG422" s="228">
        <f t="shared" si="277"/>
        <v>0</v>
      </c>
      <c r="BH422" s="228"/>
      <c r="BI422" s="228">
        <f t="shared" si="315"/>
        <v>0</v>
      </c>
      <c r="BJ422" s="228"/>
      <c r="BK422" s="228">
        <f t="shared" si="278"/>
        <v>0</v>
      </c>
      <c r="BL422" s="228"/>
      <c r="BM422" s="220">
        <f t="shared" si="316"/>
        <v>0</v>
      </c>
      <c r="BN422" s="220"/>
      <c r="BO422" s="220">
        <f t="shared" si="279"/>
        <v>0</v>
      </c>
      <c r="BP422" s="220">
        <f t="shared" si="280"/>
        <v>0</v>
      </c>
      <c r="BQ422" s="220">
        <f t="shared" si="281"/>
        <v>0</v>
      </c>
      <c r="BR422" s="220">
        <f t="shared" si="282"/>
        <v>0</v>
      </c>
      <c r="BS422" s="364"/>
      <c r="BT422" s="365"/>
      <c r="BU422" s="295"/>
      <c r="BV422" s="230"/>
      <c r="BW422" s="231"/>
    </row>
    <row r="423" s="210" customFormat="1" spans="1:75">
      <c r="A423" s="360"/>
      <c r="B423" s="220" t="s">
        <v>1578</v>
      </c>
      <c r="C423" s="221" t="s">
        <v>443</v>
      </c>
      <c r="D423" s="221" t="s">
        <v>504</v>
      </c>
      <c r="E423" s="221" t="s">
        <v>763</v>
      </c>
      <c r="F423" s="219" t="s">
        <v>81</v>
      </c>
      <c r="G423" s="222" t="s">
        <v>1462</v>
      </c>
      <c r="H423" s="219"/>
      <c r="I423" s="237" t="s">
        <v>765</v>
      </c>
      <c r="J423" s="219" t="s">
        <v>1641</v>
      </c>
      <c r="K423" s="223" cm="1">
        <f t="array" ref="K423">_xlfn.XLOOKUP(D423&amp;E423&amp;H423&amp;I423&amp;J423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3" s="223"/>
      <c r="M423" s="361" t="s">
        <v>1589</v>
      </c>
      <c r="N423" s="253"/>
      <c r="O423" s="362"/>
      <c r="P423" s="285"/>
      <c r="Q423" s="228">
        <f t="shared" si="304"/>
        <v>0</v>
      </c>
      <c r="R423" s="227"/>
      <c r="S423" s="228">
        <f t="shared" si="268"/>
        <v>0</v>
      </c>
      <c r="T423" s="227"/>
      <c r="U423" s="228">
        <f t="shared" si="305"/>
        <v>0</v>
      </c>
      <c r="V423" s="227"/>
      <c r="W423" s="228">
        <f t="shared" si="283"/>
        <v>0</v>
      </c>
      <c r="X423" s="227"/>
      <c r="Y423" s="228">
        <f t="shared" si="306"/>
        <v>0</v>
      </c>
      <c r="Z423" s="227"/>
      <c r="AA423" s="228">
        <f t="shared" si="269"/>
        <v>0</v>
      </c>
      <c r="AB423" s="227"/>
      <c r="AC423" s="228">
        <f t="shared" si="307"/>
        <v>0</v>
      </c>
      <c r="AD423" s="227"/>
      <c r="AE423" s="228">
        <f t="shared" si="270"/>
        <v>0</v>
      </c>
      <c r="AF423" s="227"/>
      <c r="AG423" s="228">
        <f t="shared" si="308"/>
        <v>0</v>
      </c>
      <c r="AH423" s="227"/>
      <c r="AI423" s="228">
        <f t="shared" si="271"/>
        <v>0</v>
      </c>
      <c r="AJ423" s="227"/>
      <c r="AK423" s="228">
        <f t="shared" si="309"/>
        <v>0</v>
      </c>
      <c r="AL423" s="227"/>
      <c r="AM423" s="228">
        <f t="shared" si="272"/>
        <v>0</v>
      </c>
      <c r="AN423" s="227"/>
      <c r="AO423" s="228">
        <f t="shared" si="310"/>
        <v>0</v>
      </c>
      <c r="AP423" s="228"/>
      <c r="AQ423" s="228">
        <f t="shared" si="273"/>
        <v>0</v>
      </c>
      <c r="AR423" s="247"/>
      <c r="AS423" s="228">
        <f t="shared" si="311"/>
        <v>0</v>
      </c>
      <c r="AT423" s="227"/>
      <c r="AU423" s="228">
        <f t="shared" si="274"/>
        <v>0</v>
      </c>
      <c r="AV423" s="285"/>
      <c r="AW423" s="228">
        <f t="shared" si="312"/>
        <v>0</v>
      </c>
      <c r="AX423" s="227"/>
      <c r="AY423" s="228">
        <f t="shared" si="275"/>
        <v>0</v>
      </c>
      <c r="AZ423" s="227"/>
      <c r="BA423" s="228">
        <f t="shared" si="313"/>
        <v>0</v>
      </c>
      <c r="BB423" s="228"/>
      <c r="BC423" s="228">
        <f t="shared" si="276"/>
        <v>0</v>
      </c>
      <c r="BD423" s="228"/>
      <c r="BE423" s="228">
        <f t="shared" si="314"/>
        <v>0</v>
      </c>
      <c r="BF423" s="228"/>
      <c r="BG423" s="228">
        <f t="shared" si="277"/>
        <v>0</v>
      </c>
      <c r="BH423" s="228"/>
      <c r="BI423" s="228">
        <f t="shared" si="315"/>
        <v>0</v>
      </c>
      <c r="BJ423" s="228"/>
      <c r="BK423" s="228">
        <f t="shared" si="278"/>
        <v>0</v>
      </c>
      <c r="BL423" s="228"/>
      <c r="BM423" s="220">
        <f t="shared" si="316"/>
        <v>0</v>
      </c>
      <c r="BN423" s="220"/>
      <c r="BO423" s="220">
        <f t="shared" si="279"/>
        <v>0</v>
      </c>
      <c r="BP423" s="220">
        <f t="shared" si="280"/>
        <v>0</v>
      </c>
      <c r="BQ423" s="220">
        <f t="shared" si="281"/>
        <v>0</v>
      </c>
      <c r="BR423" s="220">
        <f t="shared" si="282"/>
        <v>0</v>
      </c>
      <c r="BS423" s="364"/>
      <c r="BT423" s="365"/>
      <c r="BU423" s="295"/>
      <c r="BV423" s="230"/>
      <c r="BW423" s="231"/>
    </row>
    <row r="424" s="210" customFormat="1" spans="1:75">
      <c r="A424" s="360"/>
      <c r="B424" s="220" t="s">
        <v>1578</v>
      </c>
      <c r="C424" s="221" t="s">
        <v>443</v>
      </c>
      <c r="D424" s="221" t="s">
        <v>1642</v>
      </c>
      <c r="E424" s="221" t="s">
        <v>763</v>
      </c>
      <c r="F424" s="219" t="s">
        <v>81</v>
      </c>
      <c r="G424" s="222" t="s">
        <v>1462</v>
      </c>
      <c r="H424" s="219"/>
      <c r="I424" s="237" t="s">
        <v>1522</v>
      </c>
      <c r="J424" s="219" t="s">
        <v>1643</v>
      </c>
      <c r="K424" s="223" cm="1">
        <f t="array" ref="K424">_xlfn.XLOOKUP(D424&amp;E424&amp;H424&amp;I424&amp;J424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4" s="223"/>
      <c r="M424" s="361" t="s">
        <v>1589</v>
      </c>
      <c r="N424" s="253"/>
      <c r="O424" s="362"/>
      <c r="P424" s="285"/>
      <c r="Q424" s="228">
        <f t="shared" si="304"/>
        <v>0</v>
      </c>
      <c r="R424" s="227"/>
      <c r="S424" s="228">
        <f t="shared" si="268"/>
        <v>0</v>
      </c>
      <c r="T424" s="227"/>
      <c r="U424" s="228">
        <f t="shared" si="305"/>
        <v>0</v>
      </c>
      <c r="V424" s="227"/>
      <c r="W424" s="228">
        <f t="shared" si="283"/>
        <v>0</v>
      </c>
      <c r="X424" s="227"/>
      <c r="Y424" s="228">
        <f t="shared" si="306"/>
        <v>0</v>
      </c>
      <c r="Z424" s="227"/>
      <c r="AA424" s="228">
        <f t="shared" si="269"/>
        <v>0</v>
      </c>
      <c r="AB424" s="227"/>
      <c r="AC424" s="228">
        <f t="shared" si="307"/>
        <v>0</v>
      </c>
      <c r="AD424" s="227"/>
      <c r="AE424" s="228">
        <f t="shared" si="270"/>
        <v>0</v>
      </c>
      <c r="AF424" s="227"/>
      <c r="AG424" s="228">
        <f t="shared" si="308"/>
        <v>0</v>
      </c>
      <c r="AH424" s="227"/>
      <c r="AI424" s="228">
        <f t="shared" si="271"/>
        <v>0</v>
      </c>
      <c r="AJ424" s="227"/>
      <c r="AK424" s="228">
        <f t="shared" si="309"/>
        <v>0</v>
      </c>
      <c r="AL424" s="227"/>
      <c r="AM424" s="228">
        <f t="shared" si="272"/>
        <v>0</v>
      </c>
      <c r="AN424" s="227"/>
      <c r="AO424" s="228">
        <f t="shared" si="310"/>
        <v>0</v>
      </c>
      <c r="AP424" s="228"/>
      <c r="AQ424" s="228">
        <f t="shared" si="273"/>
        <v>0</v>
      </c>
      <c r="AR424" s="247"/>
      <c r="AS424" s="228">
        <f t="shared" si="311"/>
        <v>0</v>
      </c>
      <c r="AT424" s="227"/>
      <c r="AU424" s="228">
        <f t="shared" si="274"/>
        <v>0</v>
      </c>
      <c r="AV424" s="285"/>
      <c r="AW424" s="228">
        <f t="shared" si="312"/>
        <v>0</v>
      </c>
      <c r="AX424" s="227"/>
      <c r="AY424" s="228">
        <f t="shared" si="275"/>
        <v>0</v>
      </c>
      <c r="AZ424" s="227"/>
      <c r="BA424" s="228">
        <f t="shared" si="313"/>
        <v>0</v>
      </c>
      <c r="BB424" s="228"/>
      <c r="BC424" s="228">
        <f t="shared" si="276"/>
        <v>0</v>
      </c>
      <c r="BD424" s="228"/>
      <c r="BE424" s="228">
        <f t="shared" si="314"/>
        <v>0</v>
      </c>
      <c r="BF424" s="228"/>
      <c r="BG424" s="228">
        <f t="shared" si="277"/>
        <v>0</v>
      </c>
      <c r="BH424" s="228"/>
      <c r="BI424" s="228">
        <f t="shared" si="315"/>
        <v>0</v>
      </c>
      <c r="BJ424" s="228"/>
      <c r="BK424" s="228">
        <f t="shared" si="278"/>
        <v>0</v>
      </c>
      <c r="BL424" s="228"/>
      <c r="BM424" s="220">
        <f t="shared" si="316"/>
        <v>0</v>
      </c>
      <c r="BN424" s="220"/>
      <c r="BO424" s="220">
        <f t="shared" si="279"/>
        <v>0</v>
      </c>
      <c r="BP424" s="220">
        <f t="shared" si="280"/>
        <v>0</v>
      </c>
      <c r="BQ424" s="220">
        <f t="shared" si="281"/>
        <v>0</v>
      </c>
      <c r="BR424" s="220">
        <f t="shared" si="282"/>
        <v>0</v>
      </c>
      <c r="BS424" s="364"/>
      <c r="BT424" s="365"/>
      <c r="BU424" s="295"/>
      <c r="BV424" s="230"/>
      <c r="BW424" s="231"/>
    </row>
    <row r="425" s="210" customFormat="1" spans="1:75">
      <c r="A425" s="360"/>
      <c r="B425" s="220" t="s">
        <v>1578</v>
      </c>
      <c r="C425" s="221" t="s">
        <v>443</v>
      </c>
      <c r="D425" s="221" t="s">
        <v>1644</v>
      </c>
      <c r="E425" s="221" t="s">
        <v>763</v>
      </c>
      <c r="F425" s="219" t="s">
        <v>81</v>
      </c>
      <c r="G425" s="222" t="s">
        <v>1462</v>
      </c>
      <c r="H425" s="219"/>
      <c r="I425" s="237" t="s">
        <v>1645</v>
      </c>
      <c r="J425" s="219" t="s">
        <v>1646</v>
      </c>
      <c r="K425" s="223" cm="1">
        <f t="array" ref="K425">_xlfn.XLOOKUP(D425&amp;E425&amp;H425&amp;I425&amp;J425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5" s="223"/>
      <c r="M425" s="361" t="s">
        <v>1589</v>
      </c>
      <c r="N425" s="253"/>
      <c r="O425" s="362"/>
      <c r="P425" s="285"/>
      <c r="Q425" s="228">
        <f t="shared" si="304"/>
        <v>0</v>
      </c>
      <c r="R425" s="227"/>
      <c r="S425" s="228">
        <f t="shared" si="268"/>
        <v>0</v>
      </c>
      <c r="T425" s="227"/>
      <c r="U425" s="228">
        <f t="shared" si="305"/>
        <v>0</v>
      </c>
      <c r="V425" s="227"/>
      <c r="W425" s="228">
        <f t="shared" si="283"/>
        <v>0</v>
      </c>
      <c r="X425" s="227"/>
      <c r="Y425" s="228">
        <f t="shared" si="306"/>
        <v>0</v>
      </c>
      <c r="Z425" s="227"/>
      <c r="AA425" s="228">
        <f t="shared" si="269"/>
        <v>0</v>
      </c>
      <c r="AB425" s="227"/>
      <c r="AC425" s="228">
        <f t="shared" si="307"/>
        <v>0</v>
      </c>
      <c r="AD425" s="227"/>
      <c r="AE425" s="228">
        <f t="shared" si="270"/>
        <v>0</v>
      </c>
      <c r="AF425" s="227"/>
      <c r="AG425" s="228">
        <f t="shared" si="308"/>
        <v>0</v>
      </c>
      <c r="AH425" s="227"/>
      <c r="AI425" s="228">
        <f t="shared" si="271"/>
        <v>0</v>
      </c>
      <c r="AJ425" s="227"/>
      <c r="AK425" s="228">
        <f t="shared" si="309"/>
        <v>0</v>
      </c>
      <c r="AL425" s="227"/>
      <c r="AM425" s="228">
        <f t="shared" si="272"/>
        <v>0</v>
      </c>
      <c r="AN425" s="227"/>
      <c r="AO425" s="228">
        <f t="shared" si="310"/>
        <v>0</v>
      </c>
      <c r="AP425" s="228"/>
      <c r="AQ425" s="228">
        <f t="shared" si="273"/>
        <v>0</v>
      </c>
      <c r="AR425" s="247"/>
      <c r="AS425" s="228">
        <f t="shared" si="311"/>
        <v>0</v>
      </c>
      <c r="AT425" s="227"/>
      <c r="AU425" s="228">
        <f t="shared" si="274"/>
        <v>0</v>
      </c>
      <c r="AV425" s="285"/>
      <c r="AW425" s="228">
        <f t="shared" si="312"/>
        <v>0</v>
      </c>
      <c r="AX425" s="227"/>
      <c r="AY425" s="228">
        <f t="shared" si="275"/>
        <v>0</v>
      </c>
      <c r="AZ425" s="227"/>
      <c r="BA425" s="228">
        <f t="shared" si="313"/>
        <v>0</v>
      </c>
      <c r="BB425" s="228"/>
      <c r="BC425" s="228">
        <f t="shared" si="276"/>
        <v>0</v>
      </c>
      <c r="BD425" s="228"/>
      <c r="BE425" s="228">
        <f t="shared" si="314"/>
        <v>0</v>
      </c>
      <c r="BF425" s="228"/>
      <c r="BG425" s="228">
        <f t="shared" si="277"/>
        <v>0</v>
      </c>
      <c r="BH425" s="228"/>
      <c r="BI425" s="228">
        <f t="shared" si="315"/>
        <v>0</v>
      </c>
      <c r="BJ425" s="228"/>
      <c r="BK425" s="228">
        <f t="shared" si="278"/>
        <v>0</v>
      </c>
      <c r="BL425" s="228"/>
      <c r="BM425" s="220">
        <f t="shared" si="316"/>
        <v>0</v>
      </c>
      <c r="BN425" s="220"/>
      <c r="BO425" s="220">
        <f t="shared" si="279"/>
        <v>0</v>
      </c>
      <c r="BP425" s="220">
        <f t="shared" si="280"/>
        <v>0</v>
      </c>
      <c r="BQ425" s="220">
        <f t="shared" si="281"/>
        <v>0</v>
      </c>
      <c r="BR425" s="220">
        <f t="shared" si="282"/>
        <v>0</v>
      </c>
      <c r="BS425" s="364"/>
      <c r="BT425" s="365"/>
      <c r="BU425" s="295"/>
      <c r="BV425" s="230"/>
      <c r="BW425" s="231"/>
    </row>
    <row r="426" s="210" customFormat="1" spans="1:75">
      <c r="A426" s="360"/>
      <c r="B426" s="220" t="s">
        <v>1578</v>
      </c>
      <c r="C426" s="221" t="s">
        <v>443</v>
      </c>
      <c r="D426" s="221" t="s">
        <v>1647</v>
      </c>
      <c r="E426" s="221" t="s">
        <v>763</v>
      </c>
      <c r="F426" s="219" t="s">
        <v>81</v>
      </c>
      <c r="G426" s="222" t="s">
        <v>1462</v>
      </c>
      <c r="H426" s="219"/>
      <c r="I426" s="237" t="s">
        <v>186</v>
      </c>
      <c r="J426" s="219" t="s">
        <v>1648</v>
      </c>
      <c r="K426" s="223" cm="1">
        <f t="array" ref="K426">_xlfn.XLOOKUP(D426&amp;E426&amp;H426&amp;I426&amp;J426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6" s="223"/>
      <c r="M426" s="361" t="s">
        <v>1589</v>
      </c>
      <c r="N426" s="253"/>
      <c r="O426" s="362"/>
      <c r="P426" s="285"/>
      <c r="Q426" s="228">
        <f t="shared" si="304"/>
        <v>0</v>
      </c>
      <c r="R426" s="227"/>
      <c r="S426" s="228">
        <f t="shared" si="268"/>
        <v>0</v>
      </c>
      <c r="T426" s="227"/>
      <c r="U426" s="228">
        <f t="shared" si="305"/>
        <v>0</v>
      </c>
      <c r="V426" s="227"/>
      <c r="W426" s="228">
        <f t="shared" si="283"/>
        <v>0</v>
      </c>
      <c r="X426" s="227"/>
      <c r="Y426" s="228">
        <f t="shared" si="306"/>
        <v>0</v>
      </c>
      <c r="Z426" s="227"/>
      <c r="AA426" s="228">
        <f t="shared" si="269"/>
        <v>0</v>
      </c>
      <c r="AB426" s="227"/>
      <c r="AC426" s="228">
        <f t="shared" si="307"/>
        <v>0</v>
      </c>
      <c r="AD426" s="227"/>
      <c r="AE426" s="228">
        <f t="shared" si="270"/>
        <v>0</v>
      </c>
      <c r="AF426" s="227"/>
      <c r="AG426" s="228">
        <f t="shared" si="308"/>
        <v>0</v>
      </c>
      <c r="AH426" s="227"/>
      <c r="AI426" s="228">
        <f t="shared" si="271"/>
        <v>0</v>
      </c>
      <c r="AJ426" s="227"/>
      <c r="AK426" s="228">
        <f t="shared" si="309"/>
        <v>0</v>
      </c>
      <c r="AL426" s="227"/>
      <c r="AM426" s="228">
        <f t="shared" si="272"/>
        <v>0</v>
      </c>
      <c r="AN426" s="227"/>
      <c r="AO426" s="228">
        <f t="shared" si="310"/>
        <v>0</v>
      </c>
      <c r="AP426" s="228"/>
      <c r="AQ426" s="228">
        <f t="shared" si="273"/>
        <v>0</v>
      </c>
      <c r="AR426" s="247"/>
      <c r="AS426" s="228">
        <f t="shared" si="311"/>
        <v>0</v>
      </c>
      <c r="AT426" s="227"/>
      <c r="AU426" s="228">
        <f t="shared" si="274"/>
        <v>0</v>
      </c>
      <c r="AV426" s="285"/>
      <c r="AW426" s="228">
        <f t="shared" si="312"/>
        <v>0</v>
      </c>
      <c r="AX426" s="227"/>
      <c r="AY426" s="228">
        <f t="shared" si="275"/>
        <v>0</v>
      </c>
      <c r="AZ426" s="227"/>
      <c r="BA426" s="228">
        <f t="shared" si="313"/>
        <v>0</v>
      </c>
      <c r="BB426" s="228"/>
      <c r="BC426" s="228">
        <f t="shared" si="276"/>
        <v>0</v>
      </c>
      <c r="BD426" s="228"/>
      <c r="BE426" s="228">
        <f t="shared" si="314"/>
        <v>0</v>
      </c>
      <c r="BF426" s="228"/>
      <c r="BG426" s="228">
        <f t="shared" si="277"/>
        <v>0</v>
      </c>
      <c r="BH426" s="228"/>
      <c r="BI426" s="228">
        <f t="shared" si="315"/>
        <v>0</v>
      </c>
      <c r="BJ426" s="228"/>
      <c r="BK426" s="228">
        <f t="shared" si="278"/>
        <v>0</v>
      </c>
      <c r="BL426" s="228"/>
      <c r="BM426" s="220">
        <f t="shared" si="316"/>
        <v>0</v>
      </c>
      <c r="BN426" s="220"/>
      <c r="BO426" s="220">
        <f t="shared" si="279"/>
        <v>0</v>
      </c>
      <c r="BP426" s="220">
        <f t="shared" si="280"/>
        <v>0</v>
      </c>
      <c r="BQ426" s="220">
        <f t="shared" si="281"/>
        <v>0</v>
      </c>
      <c r="BR426" s="220">
        <f t="shared" si="282"/>
        <v>0</v>
      </c>
      <c r="BS426" s="364"/>
      <c r="BT426" s="365"/>
      <c r="BU426" s="295"/>
      <c r="BV426" s="230"/>
      <c r="BW426" s="231"/>
    </row>
    <row r="427" s="210" customFormat="1" ht="24" customHeight="1" spans="1:75">
      <c r="A427" s="360"/>
      <c r="B427" s="220" t="s">
        <v>1578</v>
      </c>
      <c r="C427" s="221" t="s">
        <v>443</v>
      </c>
      <c r="D427" s="221" t="s">
        <v>469</v>
      </c>
      <c r="E427" s="242" t="s">
        <v>470</v>
      </c>
      <c r="F427" s="219" t="s">
        <v>81</v>
      </c>
      <c r="G427" s="243" t="s">
        <v>1460</v>
      </c>
      <c r="H427" s="219" t="s">
        <v>1649</v>
      </c>
      <c r="I427" s="237" t="s">
        <v>1069</v>
      </c>
      <c r="J427" s="219" t="s">
        <v>608</v>
      </c>
      <c r="K427" s="223" cm="1">
        <f t="array" ref="K427">_xlfn.XLOOKUP(D427&amp;E427&amp;H427&amp;I427&amp;J427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7" s="223"/>
      <c r="M427" s="361" t="s">
        <v>1580</v>
      </c>
      <c r="N427" s="253"/>
      <c r="O427" s="362"/>
      <c r="P427" s="285"/>
      <c r="Q427" s="228">
        <f>K427*P427</f>
        <v>0</v>
      </c>
      <c r="R427" s="227"/>
      <c r="S427" s="228">
        <f t="shared" si="268"/>
        <v>0</v>
      </c>
      <c r="T427" s="227"/>
      <c r="U427" s="228">
        <f>K427*T427</f>
        <v>0</v>
      </c>
      <c r="V427" s="227"/>
      <c r="W427" s="228">
        <f t="shared" si="283"/>
        <v>0</v>
      </c>
      <c r="X427" s="227"/>
      <c r="Y427" s="228">
        <f>K427*X427</f>
        <v>0</v>
      </c>
      <c r="Z427" s="227"/>
      <c r="AA427" s="228">
        <f t="shared" si="269"/>
        <v>0</v>
      </c>
      <c r="AB427" s="227"/>
      <c r="AC427" s="228">
        <f>K427*AB427</f>
        <v>0</v>
      </c>
      <c r="AD427" s="227"/>
      <c r="AE427" s="228">
        <f t="shared" si="270"/>
        <v>0</v>
      </c>
      <c r="AF427" s="227"/>
      <c r="AG427" s="228">
        <f>K427*AF427</f>
        <v>0</v>
      </c>
      <c r="AH427" s="227"/>
      <c r="AI427" s="228">
        <f t="shared" si="271"/>
        <v>0</v>
      </c>
      <c r="AJ427" s="227"/>
      <c r="AK427" s="228">
        <f>K427*AJ427</f>
        <v>0</v>
      </c>
      <c r="AL427" s="227"/>
      <c r="AM427" s="228">
        <f t="shared" si="272"/>
        <v>0</v>
      </c>
      <c r="AN427" s="227"/>
      <c r="AO427" s="228">
        <f>K427*AN427</f>
        <v>0</v>
      </c>
      <c r="AP427" s="228"/>
      <c r="AQ427" s="228">
        <f t="shared" si="273"/>
        <v>0</v>
      </c>
      <c r="AR427" s="247"/>
      <c r="AS427" s="228">
        <f>K427*AR427</f>
        <v>0</v>
      </c>
      <c r="AT427" s="227"/>
      <c r="AU427" s="228">
        <f t="shared" si="274"/>
        <v>0</v>
      </c>
      <c r="AV427" s="285"/>
      <c r="AW427" s="228">
        <f>K427*AV427</f>
        <v>0</v>
      </c>
      <c r="AX427" s="227"/>
      <c r="AY427" s="228">
        <f t="shared" si="275"/>
        <v>0</v>
      </c>
      <c r="AZ427" s="227"/>
      <c r="BA427" s="228">
        <f>K427*AZ427</f>
        <v>0</v>
      </c>
      <c r="BB427" s="228"/>
      <c r="BC427" s="228">
        <f t="shared" si="276"/>
        <v>0</v>
      </c>
      <c r="BD427" s="228"/>
      <c r="BE427" s="228">
        <f t="shared" ref="BE427:BE434" si="317">K427*BD427</f>
        <v>0</v>
      </c>
      <c r="BF427" s="228"/>
      <c r="BG427" s="228">
        <f t="shared" si="277"/>
        <v>0</v>
      </c>
      <c r="BH427" s="228"/>
      <c r="BI427" s="228">
        <f t="shared" ref="BI427:BI434" si="318">K427*BH427</f>
        <v>0</v>
      </c>
      <c r="BJ427" s="228"/>
      <c r="BK427" s="228">
        <f t="shared" si="278"/>
        <v>0</v>
      </c>
      <c r="BL427" s="228"/>
      <c r="BM427" s="220">
        <f>K427*BL427</f>
        <v>0</v>
      </c>
      <c r="BN427" s="220"/>
      <c r="BO427" s="220">
        <f t="shared" si="279"/>
        <v>0</v>
      </c>
      <c r="BP427" s="220">
        <f t="shared" si="280"/>
        <v>0</v>
      </c>
      <c r="BQ427" s="220">
        <f t="shared" si="281"/>
        <v>0</v>
      </c>
      <c r="BR427" s="220">
        <f t="shared" si="282"/>
        <v>0</v>
      </c>
      <c r="BS427" s="364"/>
      <c r="BT427" s="365"/>
      <c r="BU427" s="295"/>
      <c r="BV427" s="230"/>
      <c r="BW427" s="231"/>
    </row>
    <row r="428" s="210" customFormat="1" ht="24" customHeight="1" spans="1:75">
      <c r="A428" s="360"/>
      <c r="B428" s="220" t="s">
        <v>1578</v>
      </c>
      <c r="C428" s="221" t="s">
        <v>443</v>
      </c>
      <c r="D428" s="221" t="s">
        <v>469</v>
      </c>
      <c r="E428" s="242" t="s">
        <v>470</v>
      </c>
      <c r="F428" s="219" t="s">
        <v>81</v>
      </c>
      <c r="G428" s="243" t="s">
        <v>1460</v>
      </c>
      <c r="H428" s="219" t="s">
        <v>1649</v>
      </c>
      <c r="I428" s="237" t="s">
        <v>1650</v>
      </c>
      <c r="J428" s="219" t="s">
        <v>1651</v>
      </c>
      <c r="K428" s="223" cm="1">
        <f t="array" ref="K428">_xlfn.XLOOKUP(D428&amp;E428&amp;H428&amp;I428&amp;J428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8" s="223"/>
      <c r="M428" s="361" t="s">
        <v>1580</v>
      </c>
      <c r="N428" s="253"/>
      <c r="O428" s="362"/>
      <c r="P428" s="285"/>
      <c r="Q428" s="228">
        <f>K428*P428</f>
        <v>0</v>
      </c>
      <c r="R428" s="227"/>
      <c r="S428" s="228">
        <f t="shared" si="268"/>
        <v>0</v>
      </c>
      <c r="T428" s="227"/>
      <c r="U428" s="228">
        <f>K428*T428</f>
        <v>0</v>
      </c>
      <c r="V428" s="227"/>
      <c r="W428" s="228">
        <f t="shared" si="283"/>
        <v>0</v>
      </c>
      <c r="X428" s="227"/>
      <c r="Y428" s="228">
        <f>K428*X428</f>
        <v>0</v>
      </c>
      <c r="Z428" s="227"/>
      <c r="AA428" s="228">
        <f t="shared" si="269"/>
        <v>0</v>
      </c>
      <c r="AB428" s="227"/>
      <c r="AC428" s="228">
        <f>K428*AB428</f>
        <v>0</v>
      </c>
      <c r="AD428" s="227"/>
      <c r="AE428" s="228">
        <f t="shared" si="270"/>
        <v>0</v>
      </c>
      <c r="AF428" s="227"/>
      <c r="AG428" s="228">
        <f>K428*AF428</f>
        <v>0</v>
      </c>
      <c r="AH428" s="227"/>
      <c r="AI428" s="228">
        <f t="shared" si="271"/>
        <v>0</v>
      </c>
      <c r="AJ428" s="227"/>
      <c r="AK428" s="228">
        <f>K428*AJ428</f>
        <v>0</v>
      </c>
      <c r="AL428" s="227"/>
      <c r="AM428" s="228">
        <f t="shared" si="272"/>
        <v>0</v>
      </c>
      <c r="AN428" s="227"/>
      <c r="AO428" s="228">
        <f>K428*AN428</f>
        <v>0</v>
      </c>
      <c r="AP428" s="228"/>
      <c r="AQ428" s="228">
        <f t="shared" si="273"/>
        <v>0</v>
      </c>
      <c r="AR428" s="247"/>
      <c r="AS428" s="228">
        <f>K428*AR428</f>
        <v>0</v>
      </c>
      <c r="AT428" s="227"/>
      <c r="AU428" s="228">
        <f t="shared" si="274"/>
        <v>0</v>
      </c>
      <c r="AV428" s="285"/>
      <c r="AW428" s="228">
        <f>K428*AV428</f>
        <v>0</v>
      </c>
      <c r="AX428" s="227"/>
      <c r="AY428" s="228">
        <f t="shared" si="275"/>
        <v>0</v>
      </c>
      <c r="AZ428" s="227"/>
      <c r="BA428" s="228">
        <f>K428*AZ428</f>
        <v>0</v>
      </c>
      <c r="BB428" s="228"/>
      <c r="BC428" s="228">
        <f t="shared" si="276"/>
        <v>0</v>
      </c>
      <c r="BD428" s="228"/>
      <c r="BE428" s="228">
        <f t="shared" si="317"/>
        <v>0</v>
      </c>
      <c r="BF428" s="228"/>
      <c r="BG428" s="228">
        <f t="shared" si="277"/>
        <v>0</v>
      </c>
      <c r="BH428" s="228"/>
      <c r="BI428" s="228">
        <f t="shared" si="318"/>
        <v>0</v>
      </c>
      <c r="BJ428" s="228"/>
      <c r="BK428" s="228">
        <f t="shared" si="278"/>
        <v>0</v>
      </c>
      <c r="BL428" s="228"/>
      <c r="BM428" s="220">
        <f>K428*BL428</f>
        <v>0</v>
      </c>
      <c r="BN428" s="220"/>
      <c r="BO428" s="220">
        <f t="shared" si="279"/>
        <v>0</v>
      </c>
      <c r="BP428" s="220">
        <f t="shared" si="280"/>
        <v>0</v>
      </c>
      <c r="BQ428" s="220">
        <f t="shared" si="281"/>
        <v>0</v>
      </c>
      <c r="BR428" s="220">
        <f t="shared" si="282"/>
        <v>0</v>
      </c>
      <c r="BS428" s="364"/>
      <c r="BT428" s="365"/>
      <c r="BU428" s="295"/>
      <c r="BV428" s="230"/>
      <c r="BW428" s="231"/>
    </row>
    <row r="429" s="210" customFormat="1" ht="48" customHeight="1" spans="1:75">
      <c r="A429" s="360"/>
      <c r="B429" s="220" t="s">
        <v>1578</v>
      </c>
      <c r="C429" s="221" t="s">
        <v>874</v>
      </c>
      <c r="D429" s="221" t="s">
        <v>1058</v>
      </c>
      <c r="E429" s="221" t="s">
        <v>1059</v>
      </c>
      <c r="F429" s="219" t="s">
        <v>81</v>
      </c>
      <c r="G429" s="222" t="s">
        <v>38</v>
      </c>
      <c r="H429" s="219"/>
      <c r="I429" s="237" t="s">
        <v>1652</v>
      </c>
      <c r="J429" s="219" t="s">
        <v>1061</v>
      </c>
      <c r="K429" s="223" cm="1">
        <f t="array" ref="K429">_xlfn.XLOOKUP(D429&amp;E429&amp;H429&amp;I429&amp;J429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9" s="223"/>
      <c r="M429" s="361" t="s">
        <v>1653</v>
      </c>
      <c r="N429" s="376"/>
      <c r="O429" s="362"/>
      <c r="P429" s="285"/>
      <c r="Q429" s="228">
        <f>K429*P429</f>
        <v>0</v>
      </c>
      <c r="R429" s="227"/>
      <c r="S429" s="228">
        <f t="shared" si="268"/>
        <v>0</v>
      </c>
      <c r="T429" s="227"/>
      <c r="U429" s="228">
        <f>K429*T429</f>
        <v>0</v>
      </c>
      <c r="V429" s="227"/>
      <c r="W429" s="228">
        <f t="shared" si="283"/>
        <v>0</v>
      </c>
      <c r="X429" s="227"/>
      <c r="Y429" s="228">
        <f>K429*X429</f>
        <v>0</v>
      </c>
      <c r="Z429" s="227"/>
      <c r="AA429" s="228">
        <f t="shared" si="269"/>
        <v>0</v>
      </c>
      <c r="AB429" s="227"/>
      <c r="AC429" s="228">
        <f>K429*AB429</f>
        <v>0</v>
      </c>
      <c r="AD429" s="227"/>
      <c r="AE429" s="228">
        <f t="shared" si="270"/>
        <v>0</v>
      </c>
      <c r="AF429" s="227"/>
      <c r="AG429" s="228">
        <f>K429*AF429</f>
        <v>0</v>
      </c>
      <c r="AH429" s="227"/>
      <c r="AI429" s="228">
        <f t="shared" si="271"/>
        <v>0</v>
      </c>
      <c r="AJ429" s="227"/>
      <c r="AK429" s="228">
        <f>K429*AJ429</f>
        <v>0</v>
      </c>
      <c r="AL429" s="227"/>
      <c r="AM429" s="228">
        <f t="shared" si="272"/>
        <v>0</v>
      </c>
      <c r="AN429" s="227"/>
      <c r="AO429" s="228">
        <f>K429*AN429</f>
        <v>0</v>
      </c>
      <c r="AP429" s="228"/>
      <c r="AQ429" s="228">
        <f t="shared" si="273"/>
        <v>0</v>
      </c>
      <c r="AR429" s="247"/>
      <c r="AS429" s="228">
        <f>K429*AR429</f>
        <v>0</v>
      </c>
      <c r="AT429" s="227"/>
      <c r="AU429" s="228">
        <f t="shared" si="274"/>
        <v>0</v>
      </c>
      <c r="AV429" s="285"/>
      <c r="AW429" s="228">
        <f>K429*AV429</f>
        <v>0</v>
      </c>
      <c r="AX429" s="227"/>
      <c r="AY429" s="228">
        <f t="shared" si="275"/>
        <v>0</v>
      </c>
      <c r="AZ429" s="227"/>
      <c r="BA429" s="228">
        <f>K429*AZ429</f>
        <v>0</v>
      </c>
      <c r="BB429" s="228"/>
      <c r="BC429" s="228">
        <f t="shared" si="276"/>
        <v>0</v>
      </c>
      <c r="BD429" s="228"/>
      <c r="BE429" s="228">
        <f t="shared" si="317"/>
        <v>0</v>
      </c>
      <c r="BF429" s="228"/>
      <c r="BG429" s="228">
        <f t="shared" si="277"/>
        <v>0</v>
      </c>
      <c r="BH429" s="228"/>
      <c r="BI429" s="228">
        <f t="shared" si="318"/>
        <v>0</v>
      </c>
      <c r="BJ429" s="228"/>
      <c r="BK429" s="228">
        <f t="shared" si="278"/>
        <v>0</v>
      </c>
      <c r="BL429" s="228"/>
      <c r="BM429" s="220">
        <f>K429*BL429</f>
        <v>0</v>
      </c>
      <c r="BN429" s="220"/>
      <c r="BO429" s="220">
        <f t="shared" si="279"/>
        <v>0</v>
      </c>
      <c r="BP429" s="220">
        <f t="shared" si="280"/>
        <v>0</v>
      </c>
      <c r="BQ429" s="220">
        <f t="shared" si="281"/>
        <v>0</v>
      </c>
      <c r="BR429" s="220">
        <f t="shared" si="282"/>
        <v>0</v>
      </c>
      <c r="BS429" s="364"/>
      <c r="BT429" s="365"/>
      <c r="BU429" s="295"/>
      <c r="BV429" s="230"/>
      <c r="BW429" s="231"/>
    </row>
    <row r="430" s="210" customFormat="1" ht="24" customHeight="1" spans="1:75">
      <c r="A430" s="360"/>
      <c r="B430" s="220" t="s">
        <v>1578</v>
      </c>
      <c r="C430" s="221" t="s">
        <v>874</v>
      </c>
      <c r="D430" s="221" t="s">
        <v>1058</v>
      </c>
      <c r="E430" s="221" t="s">
        <v>1059</v>
      </c>
      <c r="F430" s="219" t="s">
        <v>81</v>
      </c>
      <c r="G430" s="222" t="s">
        <v>38</v>
      </c>
      <c r="H430" s="219"/>
      <c r="I430" s="237" t="s">
        <v>846</v>
      </c>
      <c r="J430" s="219" t="s">
        <v>1654</v>
      </c>
      <c r="K430" s="223" cm="1">
        <f t="array" ref="K430">_xlfn.XLOOKUP(D430&amp;E430&amp;H430&amp;I430&amp;J430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0" s="223"/>
      <c r="M430" s="361" t="s">
        <v>1580</v>
      </c>
      <c r="N430" s="253"/>
      <c r="O430" s="362"/>
      <c r="P430" s="285"/>
      <c r="Q430" s="228">
        <f>K430*P430</f>
        <v>0</v>
      </c>
      <c r="R430" s="227"/>
      <c r="S430" s="228">
        <f t="shared" si="268"/>
        <v>0</v>
      </c>
      <c r="T430" s="227"/>
      <c r="U430" s="228">
        <f>K430*T430</f>
        <v>0</v>
      </c>
      <c r="V430" s="227"/>
      <c r="W430" s="228">
        <f t="shared" si="283"/>
        <v>0</v>
      </c>
      <c r="X430" s="227"/>
      <c r="Y430" s="228">
        <f>K430*X430</f>
        <v>0</v>
      </c>
      <c r="Z430" s="227"/>
      <c r="AA430" s="228">
        <f t="shared" si="269"/>
        <v>0</v>
      </c>
      <c r="AB430" s="227"/>
      <c r="AC430" s="228">
        <f>K430*AB430</f>
        <v>0</v>
      </c>
      <c r="AD430" s="227"/>
      <c r="AE430" s="228">
        <f t="shared" si="270"/>
        <v>0</v>
      </c>
      <c r="AF430" s="227"/>
      <c r="AG430" s="228">
        <f>K430*AF430</f>
        <v>0</v>
      </c>
      <c r="AH430" s="227"/>
      <c r="AI430" s="228">
        <f t="shared" si="271"/>
        <v>0</v>
      </c>
      <c r="AJ430" s="227"/>
      <c r="AK430" s="228">
        <f>K430*AJ430</f>
        <v>0</v>
      </c>
      <c r="AL430" s="227"/>
      <c r="AM430" s="228">
        <f t="shared" si="272"/>
        <v>0</v>
      </c>
      <c r="AN430" s="227"/>
      <c r="AO430" s="228">
        <f>K430*AN430</f>
        <v>0</v>
      </c>
      <c r="AP430" s="228"/>
      <c r="AQ430" s="228">
        <f t="shared" si="273"/>
        <v>0</v>
      </c>
      <c r="AR430" s="247"/>
      <c r="AS430" s="228">
        <f>K430*AR430</f>
        <v>0</v>
      </c>
      <c r="AT430" s="227"/>
      <c r="AU430" s="228">
        <f t="shared" si="274"/>
        <v>0</v>
      </c>
      <c r="AV430" s="285"/>
      <c r="AW430" s="228">
        <f>K430*AV430</f>
        <v>0</v>
      </c>
      <c r="AX430" s="227"/>
      <c r="AY430" s="228">
        <f t="shared" si="275"/>
        <v>0</v>
      </c>
      <c r="AZ430" s="227"/>
      <c r="BA430" s="228">
        <f>K430*AZ430</f>
        <v>0</v>
      </c>
      <c r="BB430" s="228"/>
      <c r="BC430" s="228">
        <f t="shared" si="276"/>
        <v>0</v>
      </c>
      <c r="BD430" s="228"/>
      <c r="BE430" s="228">
        <f t="shared" si="317"/>
        <v>0</v>
      </c>
      <c r="BF430" s="228"/>
      <c r="BG430" s="228">
        <f t="shared" si="277"/>
        <v>0</v>
      </c>
      <c r="BH430" s="228"/>
      <c r="BI430" s="228">
        <f t="shared" si="318"/>
        <v>0</v>
      </c>
      <c r="BJ430" s="228"/>
      <c r="BK430" s="228">
        <f t="shared" si="278"/>
        <v>0</v>
      </c>
      <c r="BL430" s="228"/>
      <c r="BM430" s="220">
        <f>K430*BL430</f>
        <v>0</v>
      </c>
      <c r="BN430" s="220"/>
      <c r="BO430" s="220">
        <f t="shared" si="279"/>
        <v>0</v>
      </c>
      <c r="BP430" s="220">
        <f t="shared" si="280"/>
        <v>0</v>
      </c>
      <c r="BQ430" s="220">
        <f t="shared" si="281"/>
        <v>0</v>
      </c>
      <c r="BR430" s="220">
        <f t="shared" si="282"/>
        <v>0</v>
      </c>
      <c r="BS430" s="364"/>
      <c r="BT430" s="365"/>
      <c r="BU430" s="295"/>
      <c r="BV430" s="230"/>
      <c r="BW430" s="231"/>
    </row>
    <row r="431" s="210" customFormat="1" ht="48" customHeight="1" spans="1:75">
      <c r="A431" s="360"/>
      <c r="B431" s="220" t="s">
        <v>1578</v>
      </c>
      <c r="C431" s="221" t="s">
        <v>874</v>
      </c>
      <c r="D431" s="221" t="s">
        <v>1058</v>
      </c>
      <c r="E431" s="221" t="s">
        <v>1059</v>
      </c>
      <c r="F431" s="219" t="s">
        <v>81</v>
      </c>
      <c r="G431" s="222" t="s">
        <v>38</v>
      </c>
      <c r="H431" s="219"/>
      <c r="I431" s="237" t="s">
        <v>596</v>
      </c>
      <c r="J431" s="219" t="s">
        <v>1065</v>
      </c>
      <c r="K431" s="223" cm="1">
        <f t="array" ref="K431">_xlfn.XLOOKUP(D431&amp;E431&amp;H431&amp;I431&amp;J431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1" s="223"/>
      <c r="M431" s="361" t="s">
        <v>1653</v>
      </c>
      <c r="N431" s="253"/>
      <c r="O431" s="362"/>
      <c r="P431" s="285"/>
      <c r="Q431" s="228">
        <f>K431*P431</f>
        <v>0</v>
      </c>
      <c r="R431" s="227"/>
      <c r="S431" s="228">
        <f t="shared" si="268"/>
        <v>0</v>
      </c>
      <c r="T431" s="227"/>
      <c r="U431" s="228">
        <f>K431*T431</f>
        <v>0</v>
      </c>
      <c r="V431" s="227"/>
      <c r="W431" s="228">
        <f t="shared" si="283"/>
        <v>0</v>
      </c>
      <c r="X431" s="227"/>
      <c r="Y431" s="228">
        <f>K431*X431</f>
        <v>0</v>
      </c>
      <c r="Z431" s="227"/>
      <c r="AA431" s="228">
        <f t="shared" si="269"/>
        <v>0</v>
      </c>
      <c r="AB431" s="227"/>
      <c r="AC431" s="228">
        <f>K431*AB431</f>
        <v>0</v>
      </c>
      <c r="AD431" s="227"/>
      <c r="AE431" s="228">
        <f t="shared" si="270"/>
        <v>0</v>
      </c>
      <c r="AF431" s="227"/>
      <c r="AG431" s="228">
        <f>K431*AF431</f>
        <v>0</v>
      </c>
      <c r="AH431" s="227"/>
      <c r="AI431" s="228">
        <f t="shared" si="271"/>
        <v>0</v>
      </c>
      <c r="AJ431" s="227"/>
      <c r="AK431" s="228">
        <f>K431*AJ431</f>
        <v>0</v>
      </c>
      <c r="AL431" s="227"/>
      <c r="AM431" s="228">
        <f t="shared" si="272"/>
        <v>0</v>
      </c>
      <c r="AN431" s="227"/>
      <c r="AO431" s="228">
        <f>K431*AN431</f>
        <v>0</v>
      </c>
      <c r="AP431" s="228"/>
      <c r="AQ431" s="228">
        <f t="shared" si="273"/>
        <v>0</v>
      </c>
      <c r="AR431" s="247"/>
      <c r="AS431" s="228">
        <f>K431*AR431</f>
        <v>0</v>
      </c>
      <c r="AT431" s="227"/>
      <c r="AU431" s="228">
        <f t="shared" si="274"/>
        <v>0</v>
      </c>
      <c r="AV431" s="285"/>
      <c r="AW431" s="228">
        <f>K431*AV431</f>
        <v>0</v>
      </c>
      <c r="AX431" s="227"/>
      <c r="AY431" s="228">
        <f t="shared" si="275"/>
        <v>0</v>
      </c>
      <c r="AZ431" s="227"/>
      <c r="BA431" s="228">
        <f>K431*AZ431</f>
        <v>0</v>
      </c>
      <c r="BB431" s="228"/>
      <c r="BC431" s="228">
        <f t="shared" si="276"/>
        <v>0</v>
      </c>
      <c r="BD431" s="228"/>
      <c r="BE431" s="228">
        <f t="shared" si="317"/>
        <v>0</v>
      </c>
      <c r="BF431" s="228"/>
      <c r="BG431" s="228">
        <f t="shared" si="277"/>
        <v>0</v>
      </c>
      <c r="BH431" s="228"/>
      <c r="BI431" s="228">
        <f t="shared" si="318"/>
        <v>0</v>
      </c>
      <c r="BJ431" s="228"/>
      <c r="BK431" s="228">
        <f t="shared" si="278"/>
        <v>0</v>
      </c>
      <c r="BL431" s="228"/>
      <c r="BM431" s="220">
        <f>K431*BL431</f>
        <v>0</v>
      </c>
      <c r="BN431" s="220"/>
      <c r="BO431" s="220">
        <f t="shared" si="279"/>
        <v>0</v>
      </c>
      <c r="BP431" s="220">
        <f t="shared" si="280"/>
        <v>0</v>
      </c>
      <c r="BQ431" s="220">
        <f t="shared" si="281"/>
        <v>0</v>
      </c>
      <c r="BR431" s="220">
        <f t="shared" si="282"/>
        <v>0</v>
      </c>
      <c r="BS431" s="364"/>
      <c r="BT431" s="365"/>
      <c r="BU431" s="295"/>
      <c r="BV431" s="230"/>
      <c r="BW431" s="231"/>
    </row>
    <row r="432" s="210" customFormat="1" ht="24" customHeight="1" spans="1:75">
      <c r="A432" s="360"/>
      <c r="B432" s="220" t="s">
        <v>1578</v>
      </c>
      <c r="C432" s="221" t="s">
        <v>874</v>
      </c>
      <c r="D432" s="221" t="s">
        <v>1025</v>
      </c>
      <c r="E432" s="221" t="s">
        <v>1026</v>
      </c>
      <c r="F432" s="219" t="s">
        <v>81</v>
      </c>
      <c r="G432" s="222" t="s">
        <v>38</v>
      </c>
      <c r="H432" s="219"/>
      <c r="I432" s="237" t="s">
        <v>1655</v>
      </c>
      <c r="J432" s="377"/>
      <c r="K432" s="223" cm="1">
        <f t="array" ref="K432">_xlfn.XLOOKUP(D432&amp;E432&amp;H432&amp;I432&amp;J432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2" s="223"/>
      <c r="M432" s="361" t="s">
        <v>1656</v>
      </c>
      <c r="N432" s="228"/>
      <c r="O432" s="362"/>
      <c r="P432" s="285"/>
      <c r="Q432" s="228">
        <f>R432</f>
        <v>0</v>
      </c>
      <c r="R432" s="259"/>
      <c r="S432" s="228">
        <f t="shared" si="268"/>
        <v>0</v>
      </c>
      <c r="T432" s="227"/>
      <c r="U432" s="228">
        <f>V432</f>
        <v>0</v>
      </c>
      <c r="V432" s="228"/>
      <c r="W432" s="228">
        <f t="shared" si="283"/>
        <v>0</v>
      </c>
      <c r="X432" s="227"/>
      <c r="Y432" s="228">
        <f>Z432</f>
        <v>0</v>
      </c>
      <c r="Z432" s="259"/>
      <c r="AA432" s="228">
        <f t="shared" si="269"/>
        <v>0</v>
      </c>
      <c r="AB432" s="227"/>
      <c r="AC432" s="228">
        <f>AD432</f>
        <v>0</v>
      </c>
      <c r="AD432" s="228"/>
      <c r="AE432" s="228">
        <f t="shared" si="270"/>
        <v>0</v>
      </c>
      <c r="AF432" s="227"/>
      <c r="AG432" s="228">
        <f>AH432</f>
        <v>0</v>
      </c>
      <c r="AH432" s="228"/>
      <c r="AI432" s="228">
        <f t="shared" si="271"/>
        <v>0</v>
      </c>
      <c r="AJ432" s="227"/>
      <c r="AK432" s="228">
        <f>AL432</f>
        <v>0</v>
      </c>
      <c r="AL432" s="228"/>
      <c r="AM432" s="228">
        <f t="shared" si="272"/>
        <v>0</v>
      </c>
      <c r="AN432" s="227"/>
      <c r="AO432" s="228">
        <f>AP432</f>
        <v>0</v>
      </c>
      <c r="AP432" s="228"/>
      <c r="AQ432" s="228">
        <f t="shared" si="273"/>
        <v>0</v>
      </c>
      <c r="AR432" s="247"/>
      <c r="AS432" s="228">
        <f>AT432</f>
        <v>0</v>
      </c>
      <c r="AT432" s="259"/>
      <c r="AU432" s="228">
        <f t="shared" si="274"/>
        <v>0</v>
      </c>
      <c r="AV432" s="285"/>
      <c r="AW432" s="228">
        <f>AX432</f>
        <v>0</v>
      </c>
      <c r="AX432" s="259"/>
      <c r="AY432" s="228">
        <f t="shared" si="275"/>
        <v>0</v>
      </c>
      <c r="AZ432" s="227"/>
      <c r="BA432" s="228">
        <f>BB432</f>
        <v>0</v>
      </c>
      <c r="BB432" s="228"/>
      <c r="BC432" s="228">
        <f t="shared" si="276"/>
        <v>0</v>
      </c>
      <c r="BD432" s="228"/>
      <c r="BE432" s="228">
        <f t="shared" si="317"/>
        <v>0</v>
      </c>
      <c r="BF432" s="228"/>
      <c r="BG432" s="228">
        <f t="shared" si="277"/>
        <v>0</v>
      </c>
      <c r="BH432" s="228"/>
      <c r="BI432" s="228">
        <f t="shared" si="318"/>
        <v>0</v>
      </c>
      <c r="BJ432" s="228"/>
      <c r="BK432" s="228">
        <f t="shared" si="278"/>
        <v>0</v>
      </c>
      <c r="BL432" s="228"/>
      <c r="BM432" s="220">
        <f>BN432</f>
        <v>0</v>
      </c>
      <c r="BN432" s="378"/>
      <c r="BO432" s="220">
        <f t="shared" si="279"/>
        <v>0</v>
      </c>
      <c r="BP432" s="220">
        <f t="shared" si="280"/>
        <v>0</v>
      </c>
      <c r="BQ432" s="220">
        <f t="shared" si="281"/>
        <v>0</v>
      </c>
      <c r="BR432" s="220">
        <f t="shared" si="282"/>
        <v>0</v>
      </c>
      <c r="BS432" s="364"/>
      <c r="BT432" s="365"/>
      <c r="BU432" s="295"/>
      <c r="BV432" s="230"/>
      <c r="BW432" s="231"/>
    </row>
    <row r="433" s="210" customFormat="1" ht="60" spans="1:75">
      <c r="A433" s="360"/>
      <c r="B433" s="220" t="s">
        <v>1578</v>
      </c>
      <c r="C433" s="221" t="s">
        <v>175</v>
      </c>
      <c r="D433" s="221" t="s">
        <v>290</v>
      </c>
      <c r="E433" s="242" t="s">
        <v>291</v>
      </c>
      <c r="F433" s="219" t="s">
        <v>81</v>
      </c>
      <c r="G433" s="243" t="s">
        <v>1460</v>
      </c>
      <c r="H433" s="377" t="s">
        <v>329</v>
      </c>
      <c r="I433" s="379" t="s">
        <v>1657</v>
      </c>
      <c r="J433" s="379" t="s">
        <v>1658</v>
      </c>
      <c r="K433" s="223" cm="1">
        <f t="array" ref="K433">_xlfn.XLOOKUP(D433&amp;E433&amp;H433&amp;I433&amp;J433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3" s="223"/>
      <c r="M433" s="380"/>
      <c r="N433" s="380"/>
      <c r="O433" s="381"/>
      <c r="P433" s="382">
        <v>0.11</v>
      </c>
      <c r="Q433" s="228">
        <f>K433*P433</f>
        <v>0</v>
      </c>
      <c r="R433" s="383"/>
      <c r="S433" s="228">
        <f t="shared" si="268"/>
        <v>0</v>
      </c>
      <c r="T433" s="247">
        <v>0.01</v>
      </c>
      <c r="U433" s="228">
        <f>K433*T433</f>
        <v>0</v>
      </c>
      <c r="V433" s="366"/>
      <c r="W433" s="228">
        <f t="shared" si="283"/>
        <v>0</v>
      </c>
      <c r="X433" s="360"/>
      <c r="Y433" s="360"/>
      <c r="Z433" s="360"/>
      <c r="AA433" s="360"/>
      <c r="AB433" s="247">
        <v>0.01</v>
      </c>
      <c r="AC433" s="228">
        <f>K433*AB433</f>
        <v>0</v>
      </c>
      <c r="AD433" s="366"/>
      <c r="AE433" s="228">
        <f t="shared" si="270"/>
        <v>0</v>
      </c>
      <c r="AF433" s="247">
        <v>0.01</v>
      </c>
      <c r="AG433" s="228">
        <f>K433*AF433</f>
        <v>0</v>
      </c>
      <c r="AH433" s="366"/>
      <c r="AI433" s="228">
        <f t="shared" si="271"/>
        <v>0</v>
      </c>
      <c r="AJ433" s="247">
        <v>0.01</v>
      </c>
      <c r="AK433" s="228">
        <f>K433*AJ433</f>
        <v>0</v>
      </c>
      <c r="AL433" s="366"/>
      <c r="AM433" s="228">
        <f t="shared" si="272"/>
        <v>0</v>
      </c>
      <c r="AN433" s="247">
        <v>0.01</v>
      </c>
      <c r="AO433" s="228">
        <f>K433*AN433</f>
        <v>0</v>
      </c>
      <c r="AP433" s="384"/>
      <c r="AQ433" s="228"/>
      <c r="AR433" s="247" t="s">
        <v>1457</v>
      </c>
      <c r="AS433" s="382">
        <v>0</v>
      </c>
      <c r="AT433" s="382">
        <v>0</v>
      </c>
      <c r="AU433" s="228">
        <f t="shared" si="274"/>
        <v>0</v>
      </c>
      <c r="AV433" s="240" t="s">
        <v>1457</v>
      </c>
      <c r="AW433" s="384"/>
      <c r="AX433" s="384"/>
      <c r="AY433" s="228">
        <f t="shared" si="275"/>
        <v>0</v>
      </c>
      <c r="AZ433" s="235" t="s">
        <v>1457</v>
      </c>
      <c r="BA433" s="228"/>
      <c r="BB433" s="228"/>
      <c r="BC433" s="228">
        <f t="shared" si="276"/>
        <v>0</v>
      </c>
      <c r="BD433" s="235">
        <v>0</v>
      </c>
      <c r="BE433" s="228">
        <f t="shared" si="317"/>
        <v>0</v>
      </c>
      <c r="BF433" s="228"/>
      <c r="BG433" s="228">
        <f t="shared" si="277"/>
        <v>0</v>
      </c>
      <c r="BH433" s="235">
        <v>0</v>
      </c>
      <c r="BI433" s="228">
        <f t="shared" si="318"/>
        <v>0</v>
      </c>
      <c r="BJ433" s="228"/>
      <c r="BK433" s="228">
        <f t="shared" si="278"/>
        <v>0</v>
      </c>
      <c r="BL433" s="235" t="s">
        <v>1457</v>
      </c>
      <c r="BM433" s="385"/>
      <c r="BN433" s="385"/>
      <c r="BO433" s="220">
        <f t="shared" si="279"/>
        <v>0</v>
      </c>
      <c r="BP433" s="220">
        <f t="shared" si="280"/>
        <v>0</v>
      </c>
      <c r="BQ433" s="220">
        <f t="shared" si="281"/>
        <v>0</v>
      </c>
      <c r="BR433" s="220">
        <f t="shared" si="282"/>
        <v>0</v>
      </c>
      <c r="BS433" s="247" t="s">
        <v>39</v>
      </c>
      <c r="BT433" s="235" t="s">
        <v>39</v>
      </c>
      <c r="BU433" s="250" t="s">
        <v>294</v>
      </c>
      <c r="BV433" s="230" t="s">
        <v>299</v>
      </c>
      <c r="BW433" s="231"/>
    </row>
    <row r="434" s="210" customFormat="1" ht="60.75" spans="1:75">
      <c r="A434" s="360"/>
      <c r="B434" s="220" t="s">
        <v>1578</v>
      </c>
      <c r="C434" s="221" t="s">
        <v>175</v>
      </c>
      <c r="D434" s="221" t="s">
        <v>290</v>
      </c>
      <c r="E434" s="242" t="s">
        <v>291</v>
      </c>
      <c r="F434" s="219" t="s">
        <v>81</v>
      </c>
      <c r="G434" s="243" t="s">
        <v>1460</v>
      </c>
      <c r="H434" s="377" t="s">
        <v>333</v>
      </c>
      <c r="I434" s="386" t="s">
        <v>1659</v>
      </c>
      <c r="J434" s="379" t="s">
        <v>1660</v>
      </c>
      <c r="K434" s="223" cm="1">
        <f t="array" ref="K434">_xlfn.XLOOKUP(D434&amp;E434&amp;H434&amp;I434&amp;J434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4" s="223"/>
      <c r="M434" s="380"/>
      <c r="N434" s="380"/>
      <c r="O434" s="381"/>
      <c r="P434" s="382">
        <v>0.12</v>
      </c>
      <c r="Q434" s="228">
        <f>K434*P434</f>
        <v>0</v>
      </c>
      <c r="R434" s="383"/>
      <c r="S434" s="228">
        <f t="shared" si="268"/>
        <v>0</v>
      </c>
      <c r="T434" s="247">
        <v>0.01</v>
      </c>
      <c r="U434" s="228">
        <f>K434*T434</f>
        <v>0</v>
      </c>
      <c r="V434" s="366"/>
      <c r="W434" s="228">
        <f t="shared" si="283"/>
        <v>0</v>
      </c>
      <c r="X434" s="360"/>
      <c r="Y434" s="360"/>
      <c r="Z434" s="360"/>
      <c r="AA434" s="360"/>
      <c r="AB434" s="247">
        <v>0.01</v>
      </c>
      <c r="AC434" s="228">
        <f>K434*AB434</f>
        <v>0</v>
      </c>
      <c r="AD434" s="366"/>
      <c r="AE434" s="228">
        <f t="shared" si="270"/>
        <v>0</v>
      </c>
      <c r="AF434" s="247">
        <v>0.01</v>
      </c>
      <c r="AG434" s="228">
        <f>K434*AF434</f>
        <v>0</v>
      </c>
      <c r="AH434" s="366"/>
      <c r="AI434" s="228">
        <f t="shared" si="271"/>
        <v>0</v>
      </c>
      <c r="AJ434" s="247">
        <v>0.01</v>
      </c>
      <c r="AK434" s="228">
        <f>K434*AJ434</f>
        <v>0</v>
      </c>
      <c r="AL434" s="366"/>
      <c r="AM434" s="228">
        <f t="shared" si="272"/>
        <v>0</v>
      </c>
      <c r="AN434" s="247">
        <v>0.02</v>
      </c>
      <c r="AO434" s="228">
        <f>K434*AN434</f>
        <v>0</v>
      </c>
      <c r="AP434" s="384"/>
      <c r="AQ434" s="228">
        <f t="shared" si="273"/>
        <v>0</v>
      </c>
      <c r="AR434" s="247" t="s">
        <v>1457</v>
      </c>
      <c r="AS434" s="387"/>
      <c r="AT434" s="387"/>
      <c r="AU434" s="228">
        <f t="shared" si="274"/>
        <v>0</v>
      </c>
      <c r="AV434" s="240" t="s">
        <v>1457</v>
      </c>
      <c r="AW434" s="384"/>
      <c r="AX434" s="384"/>
      <c r="AY434" s="228">
        <f t="shared" si="275"/>
        <v>0</v>
      </c>
      <c r="AZ434" s="235" t="s">
        <v>1457</v>
      </c>
      <c r="BA434" s="228"/>
      <c r="BB434" s="228"/>
      <c r="BC434" s="228">
        <f t="shared" si="276"/>
        <v>0</v>
      </c>
      <c r="BD434" s="235">
        <v>0</v>
      </c>
      <c r="BE434" s="228">
        <f t="shared" si="317"/>
        <v>0</v>
      </c>
      <c r="BF434" s="228"/>
      <c r="BG434" s="228">
        <f t="shared" si="277"/>
        <v>0</v>
      </c>
      <c r="BH434" s="235">
        <v>0</v>
      </c>
      <c r="BI434" s="228">
        <f t="shared" si="318"/>
        <v>0</v>
      </c>
      <c r="BJ434" s="228"/>
      <c r="BK434" s="228">
        <f t="shared" si="278"/>
        <v>0</v>
      </c>
      <c r="BL434" s="235" t="s">
        <v>1457</v>
      </c>
      <c r="BM434" s="385"/>
      <c r="BN434" s="385"/>
      <c r="BO434" s="220">
        <f t="shared" si="279"/>
        <v>0</v>
      </c>
      <c r="BP434" s="220">
        <v>0</v>
      </c>
      <c r="BQ434" s="220">
        <v>0</v>
      </c>
      <c r="BR434" s="220">
        <f t="shared" si="282"/>
        <v>0</v>
      </c>
      <c r="BS434" s="247" t="s">
        <v>39</v>
      </c>
      <c r="BT434" s="235" t="s">
        <v>39</v>
      </c>
      <c r="BU434" s="250" t="s">
        <v>294</v>
      </c>
      <c r="BV434" s="230" t="s">
        <v>299</v>
      </c>
      <c r="BW434" s="231"/>
    </row>
    <row r="435" s="210" customFormat="1" spans="1:75">
      <c r="A435" s="360"/>
      <c r="B435" s="220" t="s">
        <v>1578</v>
      </c>
      <c r="C435" s="221" t="s">
        <v>1142</v>
      </c>
      <c r="D435" s="221" t="s">
        <v>1143</v>
      </c>
      <c r="E435" s="221" t="s">
        <v>1144</v>
      </c>
      <c r="F435" s="219" t="s">
        <v>81</v>
      </c>
      <c r="G435" s="222" t="s">
        <v>1462</v>
      </c>
      <c r="H435" s="388" t="s">
        <v>39</v>
      </c>
      <c r="I435" s="389" t="s">
        <v>709</v>
      </c>
      <c r="J435" s="389" t="s">
        <v>1661</v>
      </c>
      <c r="K435" s="223" cm="1">
        <f t="array" ref="K435">_xlfn.XLOOKUP(D435&amp;E435&amp;H435&amp;I435&amp;J435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5" s="390"/>
      <c r="M435" s="391"/>
      <c r="N435" s="391"/>
      <c r="O435" s="392"/>
      <c r="P435" s="393"/>
      <c r="Q435" s="228">
        <f>R435</f>
        <v>0</v>
      </c>
      <c r="R435" s="227"/>
      <c r="S435" s="394"/>
      <c r="T435" s="394"/>
      <c r="U435" s="394"/>
      <c r="V435" s="394"/>
      <c r="W435" s="394"/>
      <c r="X435" s="394"/>
      <c r="Y435" s="394"/>
      <c r="Z435" s="394"/>
      <c r="AA435" s="394"/>
      <c r="AB435" s="394"/>
      <c r="AC435" s="394"/>
      <c r="AD435" s="394"/>
      <c r="AE435" s="394"/>
      <c r="AF435" s="394"/>
      <c r="AG435" s="394"/>
      <c r="AH435" s="394"/>
      <c r="AI435" s="394"/>
      <c r="AJ435" s="394"/>
      <c r="AK435" s="394"/>
      <c r="AL435" s="394"/>
      <c r="AM435" s="394"/>
      <c r="AN435" s="394"/>
      <c r="AO435" s="395"/>
      <c r="AP435" s="395"/>
      <c r="AQ435" s="395"/>
      <c r="AR435" s="395"/>
      <c r="AS435" s="228">
        <f>AT435</f>
        <v>0</v>
      </c>
      <c r="AT435" s="227"/>
      <c r="AU435" s="393"/>
      <c r="AV435" s="393"/>
      <c r="AW435" s="228">
        <f>AX435</f>
        <v>0</v>
      </c>
      <c r="AX435" s="227"/>
      <c r="AY435" s="394"/>
      <c r="AZ435" s="394"/>
      <c r="BA435" s="391"/>
      <c r="BB435" s="391"/>
      <c r="BC435" s="391"/>
      <c r="BD435" s="391"/>
      <c r="BE435" s="391"/>
      <c r="BF435" s="391"/>
      <c r="BG435" s="391"/>
      <c r="BH435" s="391"/>
      <c r="BI435" s="391"/>
      <c r="BJ435" s="391"/>
      <c r="BK435" s="391"/>
      <c r="BL435" s="391"/>
      <c r="BM435" s="396"/>
      <c r="BN435" s="396"/>
      <c r="BO435" s="396"/>
      <c r="BP435" s="396"/>
      <c r="BQ435" s="396"/>
      <c r="BR435" s="396"/>
      <c r="BS435" s="396"/>
      <c r="BT435" s="397"/>
      <c r="BU435" s="398"/>
      <c r="BV435" s="399"/>
      <c r="BW435" s="231"/>
    </row>
    <row r="436" s="210" customFormat="1" spans="1:75">
      <c r="A436" s="360"/>
      <c r="B436" s="220" t="s">
        <v>1578</v>
      </c>
      <c r="C436" s="221" t="s">
        <v>1142</v>
      </c>
      <c r="D436" s="221" t="s">
        <v>1299</v>
      </c>
      <c r="E436" s="221" t="s">
        <v>1300</v>
      </c>
      <c r="F436" s="219" t="s">
        <v>81</v>
      </c>
      <c r="G436" s="222" t="s">
        <v>38</v>
      </c>
      <c r="H436" s="219" t="s">
        <v>39</v>
      </c>
      <c r="I436" s="379" t="s">
        <v>344</v>
      </c>
      <c r="J436" s="377" t="s">
        <v>1662</v>
      </c>
      <c r="K436" s="223" cm="1">
        <f t="array" ref="K436">_xlfn.XLOOKUP(D436&amp;E436&amp;H436&amp;I436&amp;J436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6" s="400"/>
      <c r="M436" s="401"/>
      <c r="N436" s="401"/>
      <c r="O436" s="402"/>
      <c r="P436" s="403"/>
      <c r="Q436" s="404"/>
      <c r="R436" s="404"/>
      <c r="S436" s="404"/>
      <c r="T436" s="404"/>
      <c r="U436" s="404"/>
      <c r="V436" s="404"/>
      <c r="W436" s="404"/>
      <c r="X436" s="404"/>
      <c r="Y436" s="404"/>
      <c r="Z436" s="404"/>
      <c r="AA436" s="404"/>
      <c r="AB436" s="404"/>
      <c r="AC436" s="404"/>
      <c r="AD436" s="404"/>
      <c r="AE436" s="404"/>
      <c r="AF436" s="404"/>
      <c r="AG436" s="404"/>
      <c r="AH436" s="404"/>
      <c r="AI436" s="404"/>
      <c r="AJ436" s="404"/>
      <c r="AK436" s="404"/>
      <c r="AL436" s="404"/>
      <c r="AM436" s="404"/>
      <c r="AN436" s="404"/>
      <c r="AO436" s="405"/>
      <c r="AP436" s="405"/>
      <c r="AQ436" s="405"/>
      <c r="AR436" s="405"/>
      <c r="AS436" s="403"/>
      <c r="AT436" s="403"/>
      <c r="AU436" s="403"/>
      <c r="AV436" s="403"/>
      <c r="AW436" s="404"/>
      <c r="AX436" s="404"/>
      <c r="AY436" s="404"/>
      <c r="AZ436" s="404"/>
      <c r="BA436" s="401"/>
      <c r="BB436" s="401"/>
      <c r="BC436" s="401"/>
      <c r="BD436" s="401"/>
      <c r="BE436" s="401"/>
      <c r="BF436" s="401"/>
      <c r="BG436" s="401"/>
      <c r="BH436" s="401"/>
      <c r="BI436" s="401"/>
      <c r="BJ436" s="401"/>
      <c r="BK436" s="401"/>
      <c r="BL436" s="401"/>
      <c r="BM436" s="406"/>
      <c r="BN436" s="406"/>
      <c r="BO436" s="406"/>
      <c r="BP436" s="406"/>
      <c r="BQ436" s="406"/>
      <c r="BR436" s="406"/>
      <c r="BS436" s="406"/>
      <c r="BT436" s="407"/>
      <c r="BU436" s="408"/>
      <c r="BV436" s="409"/>
      <c r="BW436" s="410"/>
    </row>
    <row r="437" s="210" customFormat="1" spans="1:75">
      <c r="A437" s="360"/>
      <c r="B437" s="227" t="s">
        <v>1578</v>
      </c>
      <c r="C437" s="227" t="s">
        <v>1142</v>
      </c>
      <c r="D437" s="227" t="s">
        <v>1299</v>
      </c>
      <c r="E437" s="227" t="s">
        <v>1300</v>
      </c>
      <c r="F437" s="228" t="s">
        <v>81</v>
      </c>
      <c r="G437" s="411" t="s">
        <v>38</v>
      </c>
      <c r="H437" s="227" t="s">
        <v>329</v>
      </c>
      <c r="I437" s="228" t="s">
        <v>344</v>
      </c>
      <c r="J437" s="227" t="s">
        <v>1662</v>
      </c>
      <c r="K437" s="223" cm="1">
        <f t="array" ref="K437">_xlfn.XLOOKUP(D437&amp;E437&amp;H437&amp;I437&amp;J437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7" s="412"/>
      <c r="M437" s="401"/>
      <c r="N437" s="413"/>
      <c r="O437" s="414"/>
      <c r="P437" s="415"/>
      <c r="Q437" s="416">
        <f t="shared" ref="Q437:Q443" si="319">R437</f>
        <v>16438.04</v>
      </c>
      <c r="R437" s="267">
        <v>16438.04</v>
      </c>
      <c r="S437" s="416"/>
      <c r="T437" s="416"/>
      <c r="U437" s="416"/>
      <c r="V437" s="416"/>
      <c r="W437" s="416"/>
      <c r="X437" s="416"/>
      <c r="Y437" s="416"/>
      <c r="Z437" s="416"/>
      <c r="AA437" s="416"/>
      <c r="AB437" s="416"/>
      <c r="AC437" s="416"/>
      <c r="AD437" s="416"/>
      <c r="AE437" s="416"/>
      <c r="AF437" s="416"/>
      <c r="AG437" s="416"/>
      <c r="AH437" s="416"/>
      <c r="AI437" s="416"/>
      <c r="AJ437" s="416"/>
      <c r="AK437" s="416"/>
      <c r="AL437" s="416"/>
      <c r="AM437" s="416"/>
      <c r="AN437" s="416"/>
      <c r="AO437" s="417"/>
      <c r="AP437" s="417"/>
      <c r="AQ437" s="417"/>
      <c r="AR437" s="417"/>
      <c r="AS437" s="415"/>
      <c r="AT437" s="415"/>
      <c r="AU437" s="415"/>
      <c r="AV437" s="415"/>
      <c r="AW437" s="416"/>
      <c r="AX437" s="416"/>
      <c r="AY437" s="416"/>
      <c r="AZ437" s="416"/>
      <c r="BA437" s="413"/>
      <c r="BB437" s="413"/>
      <c r="BC437" s="413"/>
      <c r="BD437" s="413"/>
      <c r="BE437" s="413"/>
      <c r="BF437" s="413"/>
      <c r="BG437" s="413"/>
      <c r="BH437" s="413"/>
      <c r="BI437" s="413"/>
      <c r="BJ437" s="413"/>
      <c r="BK437" s="413"/>
      <c r="BL437" s="413"/>
      <c r="BM437" s="418"/>
      <c r="BN437" s="418"/>
      <c r="BO437" s="418"/>
      <c r="BP437" s="418"/>
      <c r="BQ437" s="418"/>
      <c r="BR437" s="418"/>
      <c r="BS437" s="418"/>
      <c r="BT437" s="410"/>
      <c r="BU437" s="419"/>
      <c r="BV437" s="420"/>
      <c r="BW437" s="407" t="s">
        <v>1663</v>
      </c>
    </row>
    <row r="438" s="210" customFormat="1" spans="1:75">
      <c r="A438" s="360"/>
      <c r="B438" s="227" t="s">
        <v>1578</v>
      </c>
      <c r="C438" s="227" t="s">
        <v>874</v>
      </c>
      <c r="D438" s="227" t="s">
        <v>1058</v>
      </c>
      <c r="E438" s="221" t="s">
        <v>1059</v>
      </c>
      <c r="F438" s="228" t="s">
        <v>37</v>
      </c>
      <c r="G438" s="411" t="s">
        <v>38</v>
      </c>
      <c r="H438" s="228"/>
      <c r="I438" s="228" t="s">
        <v>1664</v>
      </c>
      <c r="J438" s="227" t="s">
        <v>39</v>
      </c>
      <c r="K438" s="223" cm="1">
        <f t="array" ref="K438">_xlfn.XLOOKUP(D438&amp;E438&amp;H438&amp;I438&amp;J438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8" s="412"/>
      <c r="M438" s="401"/>
      <c r="N438" s="413"/>
      <c r="O438" s="414"/>
      <c r="P438" s="415"/>
      <c r="Q438" s="416"/>
      <c r="R438" s="416"/>
      <c r="S438" s="416"/>
      <c r="T438" s="416"/>
      <c r="U438" s="416"/>
      <c r="V438" s="416"/>
      <c r="W438" s="416"/>
      <c r="X438" s="416"/>
      <c r="Y438" s="416"/>
      <c r="Z438" s="416"/>
      <c r="AA438" s="416"/>
      <c r="AB438" s="416"/>
      <c r="AC438" s="416"/>
      <c r="AD438" s="416"/>
      <c r="AE438" s="416"/>
      <c r="AF438" s="416"/>
      <c r="AG438" s="416"/>
      <c r="AH438" s="416"/>
      <c r="AI438" s="416"/>
      <c r="AJ438" s="416"/>
      <c r="AK438" s="416"/>
      <c r="AL438" s="416"/>
      <c r="AM438" s="416"/>
      <c r="AN438" s="416"/>
      <c r="AO438" s="417"/>
      <c r="AP438" s="417"/>
      <c r="AQ438" s="417"/>
      <c r="AR438" s="417"/>
      <c r="AS438" s="415"/>
      <c r="AT438" s="415"/>
      <c r="AU438" s="415"/>
      <c r="AV438" s="415"/>
      <c r="AW438" s="416"/>
      <c r="AX438" s="416"/>
      <c r="AY438" s="416"/>
      <c r="AZ438" s="416"/>
      <c r="BA438" s="413"/>
      <c r="BB438" s="413"/>
      <c r="BC438" s="413"/>
      <c r="BD438" s="413"/>
      <c r="BE438" s="413"/>
      <c r="BF438" s="413"/>
      <c r="BG438" s="413"/>
      <c r="BH438" s="413"/>
      <c r="BI438" s="413"/>
      <c r="BJ438" s="413"/>
      <c r="BK438" s="413"/>
      <c r="BL438" s="413"/>
      <c r="BM438" s="418"/>
      <c r="BN438" s="418"/>
      <c r="BO438" s="418"/>
      <c r="BP438" s="418"/>
      <c r="BQ438" s="418"/>
      <c r="BR438" s="418"/>
      <c r="BS438" s="418"/>
      <c r="BT438" s="410"/>
      <c r="BU438" s="419"/>
      <c r="BV438" s="420"/>
      <c r="BW438" s="407" t="s">
        <v>1663</v>
      </c>
    </row>
    <row r="439" s="210" customFormat="1" ht="14.25" spans="1:75">
      <c r="A439" s="360"/>
      <c r="B439" s="227" t="s">
        <v>1578</v>
      </c>
      <c r="C439" s="222" t="s">
        <v>874</v>
      </c>
      <c r="D439" s="227"/>
      <c r="E439" s="227" t="s">
        <v>1026</v>
      </c>
      <c r="F439" s="228" t="s">
        <v>81</v>
      </c>
      <c r="G439" s="411" t="s">
        <v>38</v>
      </c>
      <c r="H439" s="228" t="s">
        <v>39</v>
      </c>
      <c r="I439" s="228" t="s">
        <v>1655</v>
      </c>
      <c r="J439" s="227" t="s">
        <v>1665</v>
      </c>
      <c r="K439" s="223" cm="1">
        <f t="array" ref="K439">_xlfn.XLOOKUP(D439&amp;E439&amp;H439&amp;I439&amp;J439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9" s="412"/>
      <c r="M439" s="401"/>
      <c r="N439" s="413"/>
      <c r="O439" s="414"/>
      <c r="P439" s="415"/>
      <c r="Q439" s="416">
        <f t="shared" si="319"/>
        <v>0</v>
      </c>
      <c r="R439" s="416"/>
      <c r="S439" s="416"/>
      <c r="T439" s="416"/>
      <c r="U439" s="416"/>
      <c r="V439" s="416"/>
      <c r="W439" s="416"/>
      <c r="X439" s="416"/>
      <c r="Y439" s="416">
        <f>Z439</f>
        <v>0</v>
      </c>
      <c r="Z439" s="421"/>
      <c r="AA439" s="416"/>
      <c r="AB439" s="416"/>
      <c r="AC439" s="416"/>
      <c r="AD439" s="416"/>
      <c r="AE439" s="416"/>
      <c r="AF439" s="416"/>
      <c r="AG439" s="416"/>
      <c r="AH439" s="416"/>
      <c r="AI439" s="416"/>
      <c r="AJ439" s="416"/>
      <c r="AK439" s="416"/>
      <c r="AL439" s="416"/>
      <c r="AM439" s="416"/>
      <c r="AN439" s="416"/>
      <c r="AO439" s="417"/>
      <c r="AP439" s="417"/>
      <c r="AQ439" s="417"/>
      <c r="AR439" s="417"/>
      <c r="AS439" s="416">
        <f>AT439</f>
        <v>0</v>
      </c>
      <c r="AT439" s="422"/>
      <c r="AU439" s="415"/>
      <c r="AV439" s="415"/>
      <c r="AW439" s="416">
        <f>AX439</f>
        <v>0</v>
      </c>
      <c r="AX439" s="416"/>
      <c r="AY439" s="416"/>
      <c r="AZ439" s="416"/>
      <c r="BA439" s="413"/>
      <c r="BB439" s="413"/>
      <c r="BC439" s="413"/>
      <c r="BD439" s="413"/>
      <c r="BE439" s="413"/>
      <c r="BF439" s="413"/>
      <c r="BG439" s="413"/>
      <c r="BH439" s="413"/>
      <c r="BI439" s="413"/>
      <c r="BJ439" s="413"/>
      <c r="BK439" s="413"/>
      <c r="BL439" s="413"/>
      <c r="BM439" s="410">
        <f>BN439</f>
        <v>0</v>
      </c>
      <c r="BN439" s="410"/>
      <c r="BO439" s="418"/>
      <c r="BP439" s="418"/>
      <c r="BQ439" s="418"/>
      <c r="BR439" s="418"/>
      <c r="BS439" s="418"/>
      <c r="BT439" s="410"/>
      <c r="BU439" s="419"/>
      <c r="BV439" s="420"/>
      <c r="BW439" s="407" t="s">
        <v>1663</v>
      </c>
    </row>
    <row r="440" s="210" customFormat="1" ht="21" customHeight="1" spans="1:75">
      <c r="A440" s="360"/>
      <c r="B440" s="227" t="s">
        <v>1578</v>
      </c>
      <c r="C440" s="221" t="s">
        <v>443</v>
      </c>
      <c r="D440" s="221" t="s">
        <v>506</v>
      </c>
      <c r="E440" s="221" t="s">
        <v>507</v>
      </c>
      <c r="F440" s="219" t="s">
        <v>81</v>
      </c>
      <c r="G440" s="222" t="s">
        <v>374</v>
      </c>
      <c r="H440" s="233" t="s">
        <v>39</v>
      </c>
      <c r="I440" s="237" t="s">
        <v>1666</v>
      </c>
      <c r="J440" s="219" t="s">
        <v>1667</v>
      </c>
      <c r="K440" s="290">
        <v>2632.4</v>
      </c>
      <c r="L440" s="412"/>
      <c r="M440" s="401"/>
      <c r="N440" s="413"/>
      <c r="O440" s="414"/>
      <c r="P440" s="277">
        <v>0.18</v>
      </c>
      <c r="Q440" s="276">
        <f>K440*P440</f>
        <v>473.832</v>
      </c>
      <c r="R440" s="416"/>
      <c r="S440" s="276">
        <f>Q440-R440</f>
        <v>473.832</v>
      </c>
      <c r="T440" s="416">
        <v>0</v>
      </c>
      <c r="U440" s="416">
        <f>K440*T440</f>
        <v>0</v>
      </c>
      <c r="V440" s="416"/>
      <c r="W440" s="228">
        <f>U440-V440</f>
        <v>0</v>
      </c>
      <c r="X440" s="416"/>
      <c r="Y440" s="228">
        <f>K440*X440</f>
        <v>0</v>
      </c>
      <c r="Z440" s="416"/>
      <c r="AA440" s="228">
        <f>Y440-Z440</f>
        <v>0</v>
      </c>
      <c r="AB440" s="416"/>
      <c r="AC440" s="228">
        <f>K440*AB440</f>
        <v>0</v>
      </c>
      <c r="AD440" s="416"/>
      <c r="AE440" s="228">
        <f>AC440-AD440</f>
        <v>0</v>
      </c>
      <c r="AF440" s="416"/>
      <c r="AG440" s="228">
        <f>K440*AF440</f>
        <v>0</v>
      </c>
      <c r="AH440" s="416"/>
      <c r="AI440" s="228">
        <f>AG440-AH440</f>
        <v>0</v>
      </c>
      <c r="AJ440" s="416"/>
      <c r="AK440" s="228">
        <f>K440*AJ440</f>
        <v>0</v>
      </c>
      <c r="AL440" s="416"/>
      <c r="AM440" s="228">
        <f>AK440-AL440</f>
        <v>0</v>
      </c>
      <c r="AN440" s="416"/>
      <c r="AO440" s="228">
        <f>K440*AN440</f>
        <v>0</v>
      </c>
      <c r="AP440" s="417"/>
      <c r="AQ440" s="228">
        <f>AO440-AP440</f>
        <v>0</v>
      </c>
      <c r="AR440" s="417"/>
      <c r="AS440" s="415"/>
      <c r="AT440" s="415"/>
      <c r="AU440" s="228">
        <f>AS440-AT440</f>
        <v>0</v>
      </c>
      <c r="AV440" s="415"/>
      <c r="AW440" s="228">
        <f>K440*AV440</f>
        <v>0</v>
      </c>
      <c r="AX440" s="416"/>
      <c r="AY440" s="228">
        <f>AW440-AX440</f>
        <v>0</v>
      </c>
      <c r="AZ440" s="416"/>
      <c r="BA440" s="228">
        <f>K440*AZ440</f>
        <v>0</v>
      </c>
      <c r="BB440" s="413"/>
      <c r="BC440" s="228">
        <f>BA440-BB440</f>
        <v>0</v>
      </c>
      <c r="BD440" s="413"/>
      <c r="BE440" s="228">
        <f>K440*BD440</f>
        <v>0</v>
      </c>
      <c r="BF440" s="413"/>
      <c r="BG440" s="228">
        <f>BE440-BF440</f>
        <v>0</v>
      </c>
      <c r="BH440" s="413"/>
      <c r="BI440" s="228">
        <f>K440*BH440</f>
        <v>0</v>
      </c>
      <c r="BJ440" s="413"/>
      <c r="BK440" s="228">
        <f>BI440-BJ440</f>
        <v>0</v>
      </c>
      <c r="BL440" s="413"/>
      <c r="BM440" s="220">
        <f>K440*BL440</f>
        <v>0</v>
      </c>
      <c r="BN440" s="418"/>
      <c r="BO440" s="220">
        <f>BM440-BN440</f>
        <v>0</v>
      </c>
      <c r="BP440" s="294">
        <f>N440+Q440+U440+Y440+AC440+AG440+AK440+AO440+AS440+AW440+BA440+BE440+BI440+BM440</f>
        <v>473.832</v>
      </c>
      <c r="BQ440" s="220">
        <f>N440+R440+V440+Z440+AD440+AH440+AL440+AP440+AT440+AX440+BB440+BF440+BJ440+BN440</f>
        <v>0</v>
      </c>
      <c r="BR440" s="294">
        <f>BP440-BQ440</f>
        <v>473.832</v>
      </c>
      <c r="BS440" s="418"/>
      <c r="BT440" s="410"/>
      <c r="BU440" s="419"/>
      <c r="BV440" s="420"/>
      <c r="BW440" s="407" t="s">
        <v>1663</v>
      </c>
    </row>
    <row r="441" s="210" customFormat="1" spans="1:75">
      <c r="A441" s="360"/>
      <c r="B441" s="227" t="s">
        <v>1578</v>
      </c>
      <c r="C441" s="222" t="s">
        <v>443</v>
      </c>
      <c r="D441" s="222" t="s">
        <v>639</v>
      </c>
      <c r="E441" s="222" t="s">
        <v>640</v>
      </c>
      <c r="F441" s="219" t="s">
        <v>81</v>
      </c>
      <c r="G441" s="411" t="s">
        <v>1462</v>
      </c>
      <c r="H441" s="233" t="s">
        <v>39</v>
      </c>
      <c r="I441" s="423" t="s">
        <v>1668</v>
      </c>
      <c r="J441" s="222" t="s">
        <v>1669</v>
      </c>
      <c r="K441" s="223" cm="1">
        <f t="array" ref="K441">_xlfn.XLOOKUP(D441&amp;E441&amp;H441&amp;I441&amp;J441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3994.4</v>
      </c>
      <c r="L441" s="412"/>
      <c r="M441" s="401"/>
      <c r="N441" s="413"/>
      <c r="O441" s="414"/>
      <c r="P441" s="247">
        <v>0.1</v>
      </c>
      <c r="Q441" s="228">
        <f>K441*P441</f>
        <v>399.44</v>
      </c>
      <c r="R441" s="228"/>
      <c r="S441" s="228">
        <f>Q441-R441</f>
        <v>399.44</v>
      </c>
      <c r="T441" s="235">
        <v>0.01</v>
      </c>
      <c r="U441" s="228">
        <f>K441*T441</f>
        <v>39.944</v>
      </c>
      <c r="V441" s="228"/>
      <c r="W441" s="228">
        <f>U441-V441</f>
        <v>39.944</v>
      </c>
      <c r="X441" s="228">
        <v>0</v>
      </c>
      <c r="Y441" s="228">
        <f>K441*X441</f>
        <v>0</v>
      </c>
      <c r="Z441" s="228"/>
      <c r="AA441" s="228">
        <f>Y441-Z441</f>
        <v>0</v>
      </c>
      <c r="AB441" s="235">
        <v>0.04</v>
      </c>
      <c r="AC441" s="228">
        <f>K441*AB441</f>
        <v>159.776</v>
      </c>
      <c r="AD441" s="228"/>
      <c r="AE441" s="228">
        <f>AC441-AD441</f>
        <v>159.776</v>
      </c>
      <c r="AF441" s="235">
        <v>0.03</v>
      </c>
      <c r="AG441" s="228">
        <f>K441*AF441</f>
        <v>119.832</v>
      </c>
      <c r="AH441" s="228"/>
      <c r="AI441" s="228">
        <f>AG441-AH441</f>
        <v>119.832</v>
      </c>
      <c r="AJ441" s="235">
        <v>0.01</v>
      </c>
      <c r="AK441" s="228">
        <f>K441*AJ441</f>
        <v>39.944</v>
      </c>
      <c r="AL441" s="228"/>
      <c r="AM441" s="228">
        <f>AK441-AL441</f>
        <v>39.944</v>
      </c>
      <c r="AN441" s="235">
        <v>0.01</v>
      </c>
      <c r="AO441" s="228">
        <f>K441*AN441</f>
        <v>39.944</v>
      </c>
      <c r="AP441" s="228"/>
      <c r="AQ441" s="228">
        <f>AO441-AP441</f>
        <v>39.944</v>
      </c>
      <c r="AR441" s="228" t="s">
        <v>1457</v>
      </c>
      <c r="AS441" s="228">
        <f t="shared" ref="AS441:AS443" si="320">AT441</f>
        <v>0</v>
      </c>
      <c r="AT441" s="228"/>
      <c r="AU441" s="228">
        <f>AS441-AT441</f>
        <v>0</v>
      </c>
      <c r="AV441" s="228" t="s">
        <v>1457</v>
      </c>
      <c r="AW441" s="228">
        <f t="shared" ref="AW441:AW443" si="321">AX441</f>
        <v>0</v>
      </c>
      <c r="AX441" s="228"/>
      <c r="AY441" s="228">
        <f>AW441-AX441</f>
        <v>0</v>
      </c>
      <c r="AZ441" s="228" t="s">
        <v>1457</v>
      </c>
      <c r="BA441" s="228">
        <f>BB441</f>
        <v>0</v>
      </c>
      <c r="BB441" s="228"/>
      <c r="BC441" s="228">
        <f>BA441-BB441</f>
        <v>0</v>
      </c>
      <c r="BD441" s="228">
        <v>0</v>
      </c>
      <c r="BE441" s="228">
        <f>K441*BD441</f>
        <v>0</v>
      </c>
      <c r="BF441" s="228"/>
      <c r="BG441" s="228">
        <f>BE441-BF441</f>
        <v>0</v>
      </c>
      <c r="BH441" s="228">
        <v>0</v>
      </c>
      <c r="BI441" s="228">
        <f>K441*BH441</f>
        <v>0</v>
      </c>
      <c r="BJ441" s="228"/>
      <c r="BK441" s="228">
        <f>BI441-BJ441</f>
        <v>0</v>
      </c>
      <c r="BL441" s="228" t="s">
        <v>1457</v>
      </c>
      <c r="BM441" s="220">
        <f>BN441</f>
        <v>0</v>
      </c>
      <c r="BN441" s="220"/>
      <c r="BO441" s="220">
        <f>BM441-BN441</f>
        <v>0</v>
      </c>
      <c r="BP441" s="220">
        <f>N441+Q441+U441+Y441+AC441+AG441+AK441+AO441+AS441+AW441+BA441+BE441+BI441+BM441</f>
        <v>798.88</v>
      </c>
      <c r="BQ441" s="220">
        <f>N441+R441+V441+Z441+AD441+AH441+AL441+AP441+AT441+AX441+BB441+BF441+BJ441+BN441</f>
        <v>0</v>
      </c>
      <c r="BR441" s="220">
        <f>BP441-BQ441</f>
        <v>798.88</v>
      </c>
      <c r="BS441" s="229" t="s">
        <v>39</v>
      </c>
      <c r="BT441" s="229" t="s">
        <v>39</v>
      </c>
      <c r="BU441" s="419"/>
      <c r="BV441" s="420"/>
      <c r="BW441" s="407" t="s">
        <v>1663</v>
      </c>
    </row>
    <row r="442" s="210" customFormat="1" spans="1:75">
      <c r="A442" s="360"/>
      <c r="B442" s="227" t="s">
        <v>1578</v>
      </c>
      <c r="C442" s="222" t="s">
        <v>1142</v>
      </c>
      <c r="D442" s="222" t="s">
        <v>1143</v>
      </c>
      <c r="E442" s="222" t="s">
        <v>1144</v>
      </c>
      <c r="F442" s="219" t="s">
        <v>81</v>
      </c>
      <c r="G442" s="411" t="s">
        <v>1462</v>
      </c>
      <c r="H442" s="219" t="s">
        <v>66</v>
      </c>
      <c r="I442" s="219" t="s">
        <v>709</v>
      </c>
      <c r="J442" s="219" t="s">
        <v>1661</v>
      </c>
      <c r="K442" s="223" cm="1">
        <f t="array" ref="K442">_xlfn.XLOOKUP(D442&amp;E442&amp;H442&amp;I442&amp;J442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42" s="412"/>
      <c r="M442" s="401"/>
      <c r="N442" s="413"/>
      <c r="O442" s="414"/>
      <c r="P442" s="415"/>
      <c r="Q442" s="228">
        <f t="shared" si="319"/>
        <v>3755.35</v>
      </c>
      <c r="R442" s="227">
        <v>3755.35</v>
      </c>
      <c r="S442" s="416"/>
      <c r="T442" s="416"/>
      <c r="U442" s="416"/>
      <c r="V442" s="416"/>
      <c r="W442" s="416"/>
      <c r="X442" s="416"/>
      <c r="Y442" s="416"/>
      <c r="Z442" s="416"/>
      <c r="AA442" s="416"/>
      <c r="AB442" s="416"/>
      <c r="AC442" s="416"/>
      <c r="AD442" s="416"/>
      <c r="AE442" s="416"/>
      <c r="AF442" s="416"/>
      <c r="AG442" s="416"/>
      <c r="AH442" s="416"/>
      <c r="AI442" s="416"/>
      <c r="AJ442" s="416"/>
      <c r="AK442" s="416"/>
      <c r="AL442" s="416"/>
      <c r="AM442" s="416"/>
      <c r="AN442" s="416"/>
      <c r="AO442" s="417"/>
      <c r="AP442" s="417"/>
      <c r="AQ442" s="417"/>
      <c r="AR442" s="417"/>
      <c r="AS442" s="228">
        <f t="shared" si="320"/>
        <v>691.78</v>
      </c>
      <c r="AT442" s="227">
        <v>691.78</v>
      </c>
      <c r="AU442" s="415"/>
      <c r="AV442" s="415"/>
      <c r="AW442" s="228">
        <f t="shared" si="321"/>
        <v>1087.08</v>
      </c>
      <c r="AX442" s="227">
        <v>1087.08</v>
      </c>
      <c r="AY442" s="416"/>
      <c r="AZ442" s="416"/>
      <c r="BA442" s="413"/>
      <c r="BB442" s="413"/>
      <c r="BC442" s="413"/>
      <c r="BD442" s="413"/>
      <c r="BE442" s="413"/>
      <c r="BF442" s="413"/>
      <c r="BG442" s="413"/>
      <c r="BH442" s="413"/>
      <c r="BI442" s="413"/>
      <c r="BJ442" s="413"/>
      <c r="BK442" s="413"/>
      <c r="BL442" s="413"/>
      <c r="BM442" s="418"/>
      <c r="BN442" s="418"/>
      <c r="BO442" s="418"/>
      <c r="BP442" s="418"/>
      <c r="BQ442" s="418"/>
      <c r="BR442" s="418"/>
      <c r="BS442" s="418"/>
      <c r="BT442" s="410"/>
      <c r="BU442" s="419"/>
      <c r="BV442" s="420"/>
      <c r="BW442" s="407" t="s">
        <v>1663</v>
      </c>
    </row>
    <row r="443" s="210" customFormat="1" spans="1:75">
      <c r="A443" s="360"/>
      <c r="B443" s="227" t="s">
        <v>1578</v>
      </c>
      <c r="C443" s="222" t="s">
        <v>1142</v>
      </c>
      <c r="D443" s="222" t="s">
        <v>1143</v>
      </c>
      <c r="E443" s="222" t="s">
        <v>1144</v>
      </c>
      <c r="F443" s="219" t="s">
        <v>81</v>
      </c>
      <c r="G443" s="411" t="s">
        <v>1462</v>
      </c>
      <c r="H443" s="219" t="s">
        <v>74</v>
      </c>
      <c r="I443" s="219" t="s">
        <v>955</v>
      </c>
      <c r="J443" s="219" t="s">
        <v>1670</v>
      </c>
      <c r="K443" s="223" cm="1">
        <f t="array" ref="K443">_xlfn.XLOOKUP(D443&amp;E443&amp;H443&amp;I443&amp;J443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43" s="412"/>
      <c r="M443" s="401"/>
      <c r="N443" s="413"/>
      <c r="O443" s="414"/>
      <c r="P443" s="415"/>
      <c r="Q443" s="228">
        <f t="shared" si="319"/>
        <v>5245.88</v>
      </c>
      <c r="R443" s="227">
        <v>5245.88</v>
      </c>
      <c r="S443" s="416"/>
      <c r="T443" s="416"/>
      <c r="U443" s="416"/>
      <c r="V443" s="416"/>
      <c r="W443" s="416"/>
      <c r="X443" s="416"/>
      <c r="Y443" s="416"/>
      <c r="Z443" s="416"/>
      <c r="AA443" s="416"/>
      <c r="AB443" s="416"/>
      <c r="AC443" s="416"/>
      <c r="AD443" s="416"/>
      <c r="AE443" s="416"/>
      <c r="AF443" s="416"/>
      <c r="AG443" s="416"/>
      <c r="AH443" s="416"/>
      <c r="AI443" s="416"/>
      <c r="AJ443" s="416"/>
      <c r="AK443" s="416"/>
      <c r="AL443" s="416"/>
      <c r="AM443" s="416"/>
      <c r="AN443" s="416"/>
      <c r="AO443" s="417"/>
      <c r="AP443" s="417"/>
      <c r="AQ443" s="417"/>
      <c r="AR443" s="417"/>
      <c r="AS443" s="228">
        <f t="shared" si="320"/>
        <v>966.35</v>
      </c>
      <c r="AT443" s="227">
        <v>966.35</v>
      </c>
      <c r="AU443" s="415"/>
      <c r="AV443" s="415"/>
      <c r="AW443" s="228">
        <f t="shared" si="321"/>
        <v>1518.54</v>
      </c>
      <c r="AX443" s="227">
        <v>1518.54</v>
      </c>
      <c r="AY443" s="416"/>
      <c r="AZ443" s="416"/>
      <c r="BA443" s="413"/>
      <c r="BB443" s="413"/>
      <c r="BC443" s="413"/>
      <c r="BD443" s="413"/>
      <c r="BE443" s="413"/>
      <c r="BF443" s="413"/>
      <c r="BG443" s="413"/>
      <c r="BH443" s="413"/>
      <c r="BI443" s="413"/>
      <c r="BJ443" s="413"/>
      <c r="BK443" s="413"/>
      <c r="BL443" s="413"/>
      <c r="BM443" s="418"/>
      <c r="BN443" s="418"/>
      <c r="BO443" s="418"/>
      <c r="BP443" s="418"/>
      <c r="BQ443" s="418"/>
      <c r="BR443" s="418"/>
      <c r="BS443" s="418"/>
      <c r="BT443" s="410"/>
      <c r="BU443" s="419"/>
      <c r="BV443" s="420"/>
      <c r="BW443" s="407" t="s">
        <v>1663</v>
      </c>
    </row>
    <row r="444" s="210" customFormat="1" spans="1:75">
      <c r="A444" s="219">
        <v>3</v>
      </c>
      <c r="B444" s="220" t="s">
        <v>44</v>
      </c>
      <c r="C444" s="222" t="s">
        <v>34</v>
      </c>
      <c r="D444" s="222" t="s">
        <v>45</v>
      </c>
      <c r="E444" s="222" t="s">
        <v>46</v>
      </c>
      <c r="F444" s="219" t="s">
        <v>47</v>
      </c>
      <c r="G444" s="222"/>
      <c r="H444" s="222" t="s">
        <v>39</v>
      </c>
      <c r="I444" s="233" t="s">
        <v>39</v>
      </c>
      <c r="J444" s="222" t="s">
        <v>49</v>
      </c>
      <c r="K444" s="223">
        <v>177321</v>
      </c>
      <c r="L444" s="412"/>
      <c r="M444" s="401" t="s">
        <v>1671</v>
      </c>
      <c r="N444" s="413"/>
      <c r="O444" s="414"/>
      <c r="P444" s="415"/>
      <c r="Q444" s="416"/>
      <c r="R444" s="416"/>
      <c r="S444" s="416"/>
      <c r="T444" s="416"/>
      <c r="U444" s="416"/>
      <c r="V444" s="416"/>
      <c r="W444" s="416"/>
      <c r="X444" s="416"/>
      <c r="Y444" s="416"/>
      <c r="Z444" s="416"/>
      <c r="AA444" s="416"/>
      <c r="AB444" s="416"/>
      <c r="AC444" s="416"/>
      <c r="AD444" s="416"/>
      <c r="AE444" s="416"/>
      <c r="AF444" s="416"/>
      <c r="AG444" s="416"/>
      <c r="AH444" s="416"/>
      <c r="AI444" s="416"/>
      <c r="AJ444" s="416"/>
      <c r="AK444" s="416"/>
      <c r="AL444" s="416"/>
      <c r="AM444" s="416"/>
      <c r="AN444" s="416"/>
      <c r="AO444" s="417"/>
      <c r="AP444" s="417"/>
      <c r="AQ444" s="417"/>
      <c r="AR444" s="417"/>
      <c r="AS444" s="415"/>
      <c r="AT444" s="415"/>
      <c r="AU444" s="415"/>
      <c r="AV444" s="415"/>
      <c r="AW444" s="416"/>
      <c r="AX444" s="416"/>
      <c r="AY444" s="416"/>
      <c r="AZ444" s="416"/>
      <c r="BA444" s="413"/>
      <c r="BB444" s="413"/>
      <c r="BC444" s="413"/>
      <c r="BD444" s="413"/>
      <c r="BE444" s="413"/>
      <c r="BF444" s="413"/>
      <c r="BG444" s="413"/>
      <c r="BH444" s="413"/>
      <c r="BI444" s="413"/>
      <c r="BJ444" s="413"/>
      <c r="BK444" s="413"/>
      <c r="BL444" s="413"/>
      <c r="BM444" s="418">
        <f>BN444</f>
        <v>1374.2894</v>
      </c>
      <c r="BN444" s="418">
        <v>1374.2894</v>
      </c>
      <c r="BO444" s="220">
        <f>BM444-BN444</f>
        <v>0</v>
      </c>
      <c r="BP444" s="418"/>
      <c r="BQ444" s="418"/>
      <c r="BR444" s="418"/>
      <c r="BS444" s="418"/>
      <c r="BT444" s="410"/>
      <c r="BU444" s="419"/>
      <c r="BV444" s="420"/>
      <c r="BW444" s="407" t="s">
        <v>1672</v>
      </c>
    </row>
    <row r="445" s="210" customFormat="1" spans="1:75">
      <c r="A445" s="219">
        <v>5</v>
      </c>
      <c r="B445" s="220" t="s">
        <v>54</v>
      </c>
      <c r="C445" s="222" t="s">
        <v>34</v>
      </c>
      <c r="D445" s="222" t="s">
        <v>55</v>
      </c>
      <c r="E445" s="222" t="s">
        <v>56</v>
      </c>
      <c r="F445" s="219" t="s">
        <v>47</v>
      </c>
      <c r="G445" s="222" t="s">
        <v>38</v>
      </c>
      <c r="H445" s="222" t="s">
        <v>39</v>
      </c>
      <c r="I445" s="233" t="s">
        <v>39</v>
      </c>
      <c r="J445" s="233" t="s">
        <v>57</v>
      </c>
      <c r="K445" s="223" cm="1">
        <f t="array" ref="K445">_xlfn.XLOOKUP(D445&amp;E445&amp;H445&amp;I445&amp;J445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29505.2</v>
      </c>
      <c r="L445" s="412"/>
      <c r="M445" s="401" t="s">
        <v>1671</v>
      </c>
      <c r="N445" s="413"/>
      <c r="O445" s="414"/>
      <c r="P445" s="415"/>
      <c r="Q445" s="416"/>
      <c r="R445" s="416"/>
      <c r="S445" s="416"/>
      <c r="T445" s="416"/>
      <c r="U445" s="416"/>
      <c r="V445" s="416"/>
      <c r="W445" s="416"/>
      <c r="X445" s="416"/>
      <c r="Y445" s="416"/>
      <c r="Z445" s="416"/>
      <c r="AA445" s="416"/>
      <c r="AB445" s="416"/>
      <c r="AC445" s="416"/>
      <c r="AD445" s="416"/>
      <c r="AE445" s="416"/>
      <c r="AF445" s="416"/>
      <c r="AG445" s="416"/>
      <c r="AH445" s="416"/>
      <c r="AI445" s="416"/>
      <c r="AJ445" s="416"/>
      <c r="AK445" s="416"/>
      <c r="AL445" s="416"/>
      <c r="AM445" s="416"/>
      <c r="AN445" s="416"/>
      <c r="AO445" s="417"/>
      <c r="AP445" s="417"/>
      <c r="AQ445" s="417"/>
      <c r="AR445" s="417"/>
      <c r="AS445" s="415"/>
      <c r="AT445" s="415"/>
      <c r="AU445" s="415"/>
      <c r="AV445" s="415"/>
      <c r="AW445" s="416"/>
      <c r="AX445" s="416"/>
      <c r="AY445" s="416"/>
      <c r="AZ445" s="416"/>
      <c r="BA445" s="413"/>
      <c r="BB445" s="413"/>
      <c r="BC445" s="413"/>
      <c r="BD445" s="413"/>
      <c r="BE445" s="413"/>
      <c r="BF445" s="413"/>
      <c r="BG445" s="413"/>
      <c r="BH445" s="413"/>
      <c r="BI445" s="413"/>
      <c r="BJ445" s="413"/>
      <c r="BK445" s="413"/>
      <c r="BL445" s="413"/>
      <c r="BM445" s="418"/>
      <c r="BN445" s="418"/>
      <c r="BO445" s="418"/>
      <c r="BP445" s="418"/>
      <c r="BQ445" s="418"/>
      <c r="BR445" s="418"/>
      <c r="BS445" s="418"/>
      <c r="BT445" s="410"/>
      <c r="BU445" s="419"/>
      <c r="BV445" s="420"/>
      <c r="BW445" s="407" t="s">
        <v>1672</v>
      </c>
    </row>
    <row r="446" s="210" customFormat="1" spans="1:75">
      <c r="A446" s="219">
        <v>116</v>
      </c>
      <c r="B446" s="220" t="s">
        <v>430</v>
      </c>
      <c r="C446" s="222" t="s">
        <v>175</v>
      </c>
      <c r="D446" s="222" t="s">
        <v>399</v>
      </c>
      <c r="E446" s="222" t="s">
        <v>400</v>
      </c>
      <c r="F446" s="219" t="s">
        <v>47</v>
      </c>
      <c r="G446" s="222" t="s">
        <v>374</v>
      </c>
      <c r="H446" s="222" t="s">
        <v>39</v>
      </c>
      <c r="I446" s="233" t="s">
        <v>39</v>
      </c>
      <c r="J446" s="233" t="s">
        <v>401</v>
      </c>
      <c r="K446" s="223" cm="1">
        <f t="array" ref="K446">_xlfn.XLOOKUP(D446&amp;E446&amp;H446&amp;I446&amp;J446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10284.9</v>
      </c>
      <c r="L446" s="412"/>
      <c r="M446" s="401" t="s">
        <v>1671</v>
      </c>
      <c r="N446" s="413"/>
      <c r="O446" s="414"/>
      <c r="P446" s="415"/>
      <c r="Q446" s="416"/>
      <c r="R446" s="416"/>
      <c r="S446" s="416"/>
      <c r="T446" s="416"/>
      <c r="U446" s="416"/>
      <c r="V446" s="416"/>
      <c r="W446" s="416"/>
      <c r="X446" s="416"/>
      <c r="Y446" s="416"/>
      <c r="Z446" s="416"/>
      <c r="AA446" s="416"/>
      <c r="AB446" s="416"/>
      <c r="AC446" s="416"/>
      <c r="AD446" s="416"/>
      <c r="AE446" s="416"/>
      <c r="AF446" s="416"/>
      <c r="AG446" s="416"/>
      <c r="AH446" s="416"/>
      <c r="AI446" s="416"/>
      <c r="AJ446" s="416"/>
      <c r="AK446" s="416"/>
      <c r="AL446" s="416"/>
      <c r="AM446" s="416"/>
      <c r="AN446" s="416"/>
      <c r="AO446" s="417"/>
      <c r="AP446" s="417"/>
      <c r="AQ446" s="417"/>
      <c r="AR446" s="417"/>
      <c r="AS446" s="415"/>
      <c r="AT446" s="415"/>
      <c r="AU446" s="415"/>
      <c r="AV446" s="415"/>
      <c r="AW446" s="416"/>
      <c r="AX446" s="416"/>
      <c r="AY446" s="416"/>
      <c r="AZ446" s="416"/>
      <c r="BA446" s="413"/>
      <c r="BB446" s="413"/>
      <c r="BC446" s="413"/>
      <c r="BD446" s="413"/>
      <c r="BE446" s="413"/>
      <c r="BF446" s="413"/>
      <c r="BG446" s="413"/>
      <c r="BH446" s="413"/>
      <c r="BI446" s="413"/>
      <c r="BJ446" s="413"/>
      <c r="BK446" s="413"/>
      <c r="BL446" s="413"/>
      <c r="BM446" s="418"/>
      <c r="BN446" s="418"/>
      <c r="BO446" s="220">
        <f>BM446-BN446</f>
        <v>0</v>
      </c>
      <c r="BP446" s="418"/>
      <c r="BQ446" s="418"/>
      <c r="BR446" s="418"/>
      <c r="BS446" s="418"/>
      <c r="BT446" s="410"/>
      <c r="BU446" s="419"/>
      <c r="BV446" s="420"/>
      <c r="BW446" s="407" t="s">
        <v>1672</v>
      </c>
    </row>
    <row r="447" s="210" customFormat="1" spans="1:75">
      <c r="A447" s="219">
        <v>287</v>
      </c>
      <c r="B447" s="220" t="s">
        <v>983</v>
      </c>
      <c r="C447" s="222" t="s">
        <v>874</v>
      </c>
      <c r="D447" s="222" t="s">
        <v>921</v>
      </c>
      <c r="E447" s="222" t="s">
        <v>922</v>
      </c>
      <c r="F447" s="219" t="s">
        <v>47</v>
      </c>
      <c r="G447" s="222"/>
      <c r="H447" s="222" t="s">
        <v>39</v>
      </c>
      <c r="I447" s="233" t="s">
        <v>923</v>
      </c>
      <c r="J447" s="233" t="s">
        <v>924</v>
      </c>
      <c r="K447" s="223" cm="1">
        <f t="array" ref="K447">_xlfn.XLOOKUP(D447&amp;E447&amp;H447&amp;I447&amp;J447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47" s="412"/>
      <c r="M447" s="401" t="s">
        <v>1671</v>
      </c>
      <c r="N447" s="413"/>
      <c r="O447" s="414"/>
      <c r="P447" s="415"/>
      <c r="Q447" s="416"/>
      <c r="R447" s="416"/>
      <c r="S447" s="416"/>
      <c r="T447" s="416"/>
      <c r="U447" s="416"/>
      <c r="V447" s="416"/>
      <c r="W447" s="416"/>
      <c r="X447" s="416"/>
      <c r="Y447" s="416"/>
      <c r="Z447" s="416"/>
      <c r="AA447" s="416"/>
      <c r="AB447" s="416"/>
      <c r="AC447" s="416"/>
      <c r="AD447" s="416"/>
      <c r="AE447" s="416"/>
      <c r="AF447" s="416"/>
      <c r="AG447" s="416"/>
      <c r="AH447" s="416"/>
      <c r="AI447" s="416"/>
      <c r="AJ447" s="416"/>
      <c r="AK447" s="416"/>
      <c r="AL447" s="416"/>
      <c r="AM447" s="416"/>
      <c r="AN447" s="416"/>
      <c r="AO447" s="417"/>
      <c r="AP447" s="417"/>
      <c r="AQ447" s="417"/>
      <c r="AR447" s="417"/>
      <c r="AS447" s="415"/>
      <c r="AT447" s="415"/>
      <c r="AU447" s="415"/>
      <c r="AV447" s="415"/>
      <c r="AW447" s="416"/>
      <c r="AX447" s="416"/>
      <c r="AY447" s="416"/>
      <c r="AZ447" s="416"/>
      <c r="BA447" s="413"/>
      <c r="BB447" s="413"/>
      <c r="BC447" s="413"/>
      <c r="BD447" s="413"/>
      <c r="BE447" s="413"/>
      <c r="BF447" s="413"/>
      <c r="BG447" s="413"/>
      <c r="BH447" s="413"/>
      <c r="BI447" s="413"/>
      <c r="BJ447" s="413"/>
      <c r="BK447" s="413"/>
      <c r="BL447" s="413"/>
      <c r="BM447" s="418"/>
      <c r="BN447" s="418"/>
      <c r="BO447" s="220">
        <f>BM447-BN447</f>
        <v>0</v>
      </c>
      <c r="BP447" s="418"/>
      <c r="BQ447" s="418"/>
      <c r="BR447" s="418"/>
      <c r="BS447" s="418"/>
      <c r="BT447" s="410"/>
      <c r="BU447" s="419"/>
      <c r="BV447" s="420"/>
      <c r="BW447" s="407" t="s">
        <v>1672</v>
      </c>
    </row>
    <row r="448" s="210" customFormat="1" spans="1:75">
      <c r="A448" s="219">
        <v>288</v>
      </c>
      <c r="B448" s="220" t="s">
        <v>986</v>
      </c>
      <c r="C448" s="222" t="s">
        <v>874</v>
      </c>
      <c r="D448" s="222" t="s">
        <v>921</v>
      </c>
      <c r="E448" s="222" t="s">
        <v>922</v>
      </c>
      <c r="F448" s="219" t="s">
        <v>47</v>
      </c>
      <c r="G448" s="222"/>
      <c r="H448" s="222" t="s">
        <v>39</v>
      </c>
      <c r="I448" s="233" t="s">
        <v>926</v>
      </c>
      <c r="J448" s="233" t="s">
        <v>924</v>
      </c>
      <c r="K448" s="223" cm="1">
        <f t="array" ref="K448">_xlfn.XLOOKUP(D448&amp;E448&amp;H448&amp;I448&amp;J448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48" s="412"/>
      <c r="M448" s="401" t="s">
        <v>1671</v>
      </c>
      <c r="N448" s="413"/>
      <c r="O448" s="414"/>
      <c r="P448" s="415"/>
      <c r="Q448" s="416"/>
      <c r="R448" s="416"/>
      <c r="S448" s="416"/>
      <c r="T448" s="416"/>
      <c r="U448" s="416"/>
      <c r="V448" s="416"/>
      <c r="W448" s="416"/>
      <c r="X448" s="416"/>
      <c r="Y448" s="416"/>
      <c r="Z448" s="416"/>
      <c r="AA448" s="416"/>
      <c r="AB448" s="416"/>
      <c r="AC448" s="416"/>
      <c r="AD448" s="416"/>
      <c r="AE448" s="416"/>
      <c r="AF448" s="416"/>
      <c r="AG448" s="416"/>
      <c r="AH448" s="416"/>
      <c r="AI448" s="416"/>
      <c r="AJ448" s="416"/>
      <c r="AK448" s="416"/>
      <c r="AL448" s="416"/>
      <c r="AM448" s="416"/>
      <c r="AN448" s="416"/>
      <c r="AO448" s="417"/>
      <c r="AP448" s="417"/>
      <c r="AQ448" s="417"/>
      <c r="AR448" s="417"/>
      <c r="AS448" s="415"/>
      <c r="AT448" s="415"/>
      <c r="AU448" s="415"/>
      <c r="AV448" s="415"/>
      <c r="AW448" s="416"/>
      <c r="AX448" s="416"/>
      <c r="AY448" s="416"/>
      <c r="AZ448" s="416"/>
      <c r="BA448" s="413"/>
      <c r="BB448" s="413"/>
      <c r="BC448" s="413"/>
      <c r="BD448" s="413"/>
      <c r="BE448" s="413"/>
      <c r="BF448" s="413"/>
      <c r="BG448" s="413"/>
      <c r="BH448" s="413"/>
      <c r="BI448" s="413"/>
      <c r="BJ448" s="413"/>
      <c r="BK448" s="413"/>
      <c r="BL448" s="413"/>
      <c r="BM448" s="418"/>
      <c r="BN448" s="418"/>
      <c r="BO448" s="220">
        <f>BM448-BN448</f>
        <v>0</v>
      </c>
      <c r="BP448" s="418"/>
      <c r="BQ448" s="418"/>
      <c r="BR448" s="418"/>
      <c r="BS448" s="418"/>
      <c r="BT448" s="410"/>
      <c r="BU448" s="419"/>
      <c r="BV448" s="420"/>
      <c r="BW448" s="407" t="s">
        <v>1672</v>
      </c>
    </row>
    <row r="449" s="210" customFormat="1" spans="1:75">
      <c r="A449" s="219">
        <v>289</v>
      </c>
      <c r="B449" s="220" t="s">
        <v>990</v>
      </c>
      <c r="C449" s="222" t="s">
        <v>874</v>
      </c>
      <c r="D449" s="222" t="s">
        <v>921</v>
      </c>
      <c r="E449" s="222" t="s">
        <v>922</v>
      </c>
      <c r="F449" s="219" t="s">
        <v>47</v>
      </c>
      <c r="G449" s="222"/>
      <c r="H449" s="222" t="s">
        <v>39</v>
      </c>
      <c r="I449" s="233" t="s">
        <v>928</v>
      </c>
      <c r="J449" s="233" t="s">
        <v>924</v>
      </c>
      <c r="K449" s="223" cm="1">
        <f t="array" ref="K449">_xlfn.XLOOKUP(D449&amp;E449&amp;H449&amp;I449&amp;J449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49" s="412"/>
      <c r="M449" s="401" t="s">
        <v>1671</v>
      </c>
      <c r="N449" s="413"/>
      <c r="O449" s="414"/>
      <c r="P449" s="415"/>
      <c r="Q449" s="416"/>
      <c r="R449" s="416"/>
      <c r="S449" s="416"/>
      <c r="T449" s="416"/>
      <c r="U449" s="416"/>
      <c r="V449" s="416"/>
      <c r="W449" s="416"/>
      <c r="X449" s="416"/>
      <c r="Y449" s="416"/>
      <c r="Z449" s="416"/>
      <c r="AA449" s="416"/>
      <c r="AB449" s="416"/>
      <c r="AC449" s="416"/>
      <c r="AD449" s="416"/>
      <c r="AE449" s="416"/>
      <c r="AF449" s="416"/>
      <c r="AG449" s="416"/>
      <c r="AH449" s="416"/>
      <c r="AI449" s="416"/>
      <c r="AJ449" s="416"/>
      <c r="AK449" s="416"/>
      <c r="AL449" s="416"/>
      <c r="AM449" s="416"/>
      <c r="AN449" s="416"/>
      <c r="AO449" s="417"/>
      <c r="AP449" s="417"/>
      <c r="AQ449" s="417"/>
      <c r="AR449" s="417"/>
      <c r="AS449" s="415"/>
      <c r="AT449" s="415"/>
      <c r="AU449" s="415"/>
      <c r="AV449" s="415"/>
      <c r="AW449" s="416"/>
      <c r="AX449" s="416"/>
      <c r="AY449" s="416"/>
      <c r="AZ449" s="416"/>
      <c r="BA449" s="413"/>
      <c r="BB449" s="413"/>
      <c r="BC449" s="413"/>
      <c r="BD449" s="413"/>
      <c r="BE449" s="413"/>
      <c r="BF449" s="413"/>
      <c r="BG449" s="413"/>
      <c r="BH449" s="413"/>
      <c r="BI449" s="413"/>
      <c r="BJ449" s="413"/>
      <c r="BK449" s="413"/>
      <c r="BL449" s="413"/>
      <c r="BM449" s="418"/>
      <c r="BN449" s="418"/>
      <c r="BO449" s="220">
        <f>BM449-BN449</f>
        <v>0</v>
      </c>
      <c r="BP449" s="418"/>
      <c r="BQ449" s="418"/>
      <c r="BR449" s="418"/>
      <c r="BS449" s="418"/>
      <c r="BT449" s="410"/>
      <c r="BU449" s="419"/>
      <c r="BV449" s="420"/>
      <c r="BW449" s="407" t="s">
        <v>1672</v>
      </c>
    </row>
    <row r="450" s="210" customFormat="1" spans="1:75">
      <c r="A450" s="219">
        <v>290</v>
      </c>
      <c r="B450" s="220" t="s">
        <v>993</v>
      </c>
      <c r="C450" s="222" t="s">
        <v>874</v>
      </c>
      <c r="D450" s="222" t="s">
        <v>921</v>
      </c>
      <c r="E450" s="222" t="s">
        <v>922</v>
      </c>
      <c r="F450" s="219" t="s">
        <v>47</v>
      </c>
      <c r="G450" s="222"/>
      <c r="H450" s="222" t="s">
        <v>39</v>
      </c>
      <c r="I450" s="233" t="s">
        <v>930</v>
      </c>
      <c r="J450" s="233" t="s">
        <v>924</v>
      </c>
      <c r="K450" s="223" cm="1">
        <f t="array" ref="K450">_xlfn.XLOOKUP(D450&amp;E450&amp;H450&amp;I450&amp;J450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50" s="412"/>
      <c r="M450" s="401" t="s">
        <v>1671</v>
      </c>
      <c r="N450" s="413"/>
      <c r="O450" s="414"/>
      <c r="P450" s="415"/>
      <c r="Q450" s="416"/>
      <c r="R450" s="416"/>
      <c r="S450" s="416"/>
      <c r="T450" s="416"/>
      <c r="U450" s="416"/>
      <c r="V450" s="416"/>
      <c r="W450" s="416"/>
      <c r="X450" s="416"/>
      <c r="Y450" s="416"/>
      <c r="Z450" s="416"/>
      <c r="AA450" s="416"/>
      <c r="AB450" s="416"/>
      <c r="AC450" s="416"/>
      <c r="AD450" s="416"/>
      <c r="AE450" s="416"/>
      <c r="AF450" s="416"/>
      <c r="AG450" s="416"/>
      <c r="AH450" s="416"/>
      <c r="AI450" s="416"/>
      <c r="AJ450" s="416"/>
      <c r="AK450" s="416"/>
      <c r="AL450" s="416"/>
      <c r="AM450" s="416"/>
      <c r="AN450" s="416"/>
      <c r="AO450" s="417"/>
      <c r="AP450" s="417"/>
      <c r="AQ450" s="417"/>
      <c r="AR450" s="417"/>
      <c r="AS450" s="415"/>
      <c r="AT450" s="415"/>
      <c r="AU450" s="415"/>
      <c r="AV450" s="415"/>
      <c r="AW450" s="416"/>
      <c r="AX450" s="416"/>
      <c r="AY450" s="416"/>
      <c r="AZ450" s="416"/>
      <c r="BA450" s="413"/>
      <c r="BB450" s="413"/>
      <c r="BC450" s="413"/>
      <c r="BD450" s="413"/>
      <c r="BE450" s="413"/>
      <c r="BF450" s="413"/>
      <c r="BG450" s="413"/>
      <c r="BH450" s="413"/>
      <c r="BI450" s="413"/>
      <c r="BJ450" s="413"/>
      <c r="BK450" s="413"/>
      <c r="BL450" s="413"/>
      <c r="BM450" s="418"/>
      <c r="BN450" s="418"/>
      <c r="BO450" s="220">
        <f>BM450-BN450</f>
        <v>0</v>
      </c>
      <c r="BP450" s="418"/>
      <c r="BQ450" s="418"/>
      <c r="BR450" s="418"/>
      <c r="BS450" s="418"/>
      <c r="BT450" s="410"/>
      <c r="BU450" s="419"/>
      <c r="BV450" s="420"/>
      <c r="BW450" s="407" t="s">
        <v>1672</v>
      </c>
    </row>
    <row r="451" s="210" customFormat="1" spans="1:75">
      <c r="A451" s="219">
        <v>343</v>
      </c>
      <c r="B451" s="220" t="s">
        <v>1151</v>
      </c>
      <c r="C451" s="222" t="s">
        <v>874</v>
      </c>
      <c r="D451" s="222" t="s">
        <v>1079</v>
      </c>
      <c r="E451" s="222" t="s">
        <v>1080</v>
      </c>
      <c r="F451" s="219" t="s">
        <v>47</v>
      </c>
      <c r="G451" s="222"/>
      <c r="H451" s="222" t="s">
        <v>39</v>
      </c>
      <c r="I451" s="233" t="s">
        <v>39</v>
      </c>
      <c r="J451" s="222" t="s">
        <v>1081</v>
      </c>
      <c r="K451" s="223" cm="1">
        <f t="array" ref="K451">_xlfn.XLOOKUP(D451&amp;E451&amp;H451&amp;I451&amp;J451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433227.33</v>
      </c>
      <c r="L451" s="412"/>
      <c r="M451" s="401" t="s">
        <v>1671</v>
      </c>
      <c r="N451" s="413"/>
      <c r="O451" s="414"/>
      <c r="P451" s="415"/>
      <c r="Q451" s="416"/>
      <c r="R451" s="416"/>
      <c r="S451" s="416"/>
      <c r="T451" s="416"/>
      <c r="U451" s="416"/>
      <c r="V451" s="416"/>
      <c r="W451" s="416"/>
      <c r="X451" s="416"/>
      <c r="Y451" s="416"/>
      <c r="Z451" s="416"/>
      <c r="AA451" s="416"/>
      <c r="AB451" s="416"/>
      <c r="AC451" s="416"/>
      <c r="AD451" s="416"/>
      <c r="AE451" s="416"/>
      <c r="AF451" s="416"/>
      <c r="AG451" s="416"/>
      <c r="AH451" s="416"/>
      <c r="AI451" s="416"/>
      <c r="AJ451" s="416"/>
      <c r="AK451" s="416"/>
      <c r="AL451" s="416"/>
      <c r="AM451" s="416"/>
      <c r="AN451" s="416"/>
      <c r="AO451" s="417"/>
      <c r="AP451" s="417"/>
      <c r="AQ451" s="417"/>
      <c r="AR451" s="417"/>
      <c r="AS451" s="415"/>
      <c r="AT451" s="415"/>
      <c r="AU451" s="415"/>
      <c r="AV451" s="415"/>
      <c r="AW451" s="416"/>
      <c r="AX451" s="416"/>
      <c r="AY451" s="416"/>
      <c r="AZ451" s="416"/>
      <c r="BA451" s="413"/>
      <c r="BB451" s="413"/>
      <c r="BC451" s="413"/>
      <c r="BD451" s="413"/>
      <c r="BE451" s="413"/>
      <c r="BF451" s="413"/>
      <c r="BG451" s="413"/>
      <c r="BH451" s="413"/>
      <c r="BI451" s="413"/>
      <c r="BJ451" s="413"/>
      <c r="BK451" s="413"/>
      <c r="BL451" s="413"/>
      <c r="BM451" s="418"/>
      <c r="BN451" s="418"/>
      <c r="BO451" s="418"/>
      <c r="BP451" s="418"/>
      <c r="BQ451" s="418"/>
      <c r="BR451" s="418"/>
      <c r="BS451" s="418"/>
      <c r="BT451" s="410"/>
      <c r="BU451" s="419"/>
      <c r="BV451" s="420"/>
      <c r="BW451" s="407" t="s">
        <v>1672</v>
      </c>
    </row>
    <row r="452" s="210" customFormat="1" spans="1:75">
      <c r="A452" s="219">
        <v>345</v>
      </c>
      <c r="B452" s="220" t="s">
        <v>1155</v>
      </c>
      <c r="C452" s="222" t="s">
        <v>874</v>
      </c>
      <c r="D452" s="222" t="s">
        <v>1086</v>
      </c>
      <c r="E452" s="222" t="s">
        <v>1087</v>
      </c>
      <c r="F452" s="219" t="s">
        <v>47</v>
      </c>
      <c r="G452" s="222" t="s">
        <v>1462</v>
      </c>
      <c r="H452" s="222" t="s">
        <v>39</v>
      </c>
      <c r="I452" s="233" t="s">
        <v>39</v>
      </c>
      <c r="J452" s="222" t="s">
        <v>1088</v>
      </c>
      <c r="K452" s="223" cm="1">
        <f t="array" ref="K452">_xlfn.XLOOKUP(D452&amp;E452&amp;H452&amp;I452&amp;J452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52" s="412"/>
      <c r="M452" s="401" t="s">
        <v>1671</v>
      </c>
      <c r="N452" s="413"/>
      <c r="O452" s="414"/>
      <c r="P452" s="415"/>
      <c r="Q452" s="416"/>
      <c r="R452" s="416"/>
      <c r="S452" s="416"/>
      <c r="T452" s="416"/>
      <c r="U452" s="416"/>
      <c r="V452" s="416"/>
      <c r="W452" s="416"/>
      <c r="X452" s="416"/>
      <c r="Y452" s="416"/>
      <c r="Z452" s="416"/>
      <c r="AA452" s="416"/>
      <c r="AB452" s="416"/>
      <c r="AC452" s="416"/>
      <c r="AD452" s="416"/>
      <c r="AE452" s="416"/>
      <c r="AF452" s="416"/>
      <c r="AG452" s="416"/>
      <c r="AH452" s="416"/>
      <c r="AI452" s="416"/>
      <c r="AJ452" s="416"/>
      <c r="AK452" s="416"/>
      <c r="AL452" s="416"/>
      <c r="AM452" s="416"/>
      <c r="AN452" s="416"/>
      <c r="AO452" s="417"/>
      <c r="AP452" s="417"/>
      <c r="AQ452" s="417"/>
      <c r="AR452" s="417"/>
      <c r="AS452" s="415"/>
      <c r="AT452" s="415"/>
      <c r="AU452" s="415"/>
      <c r="AV452" s="415"/>
      <c r="AW452" s="416"/>
      <c r="AX452" s="416"/>
      <c r="AY452" s="416"/>
      <c r="AZ452" s="416"/>
      <c r="BA452" s="413"/>
      <c r="BB452" s="413"/>
      <c r="BC452" s="413"/>
      <c r="BD452" s="413"/>
      <c r="BE452" s="413"/>
      <c r="BF452" s="413"/>
      <c r="BG452" s="413"/>
      <c r="BH452" s="413"/>
      <c r="BI452" s="413"/>
      <c r="BJ452" s="413"/>
      <c r="BK452" s="413"/>
      <c r="BL452" s="413"/>
      <c r="BM452" s="418"/>
      <c r="BN452" s="418"/>
      <c r="BO452" s="418"/>
      <c r="BP452" s="418"/>
      <c r="BQ452" s="418"/>
      <c r="BR452" s="418"/>
      <c r="BS452" s="418"/>
      <c r="BT452" s="410"/>
      <c r="BU452" s="419"/>
      <c r="BV452" s="420"/>
      <c r="BW452" s="407" t="s">
        <v>1672</v>
      </c>
    </row>
    <row r="453" s="210" customFormat="1" spans="1:75">
      <c r="A453" s="219">
        <v>348</v>
      </c>
      <c r="B453" s="220" t="s">
        <v>1163</v>
      </c>
      <c r="C453" s="222" t="s">
        <v>874</v>
      </c>
      <c r="D453" s="222" t="s">
        <v>1095</v>
      </c>
      <c r="E453" s="222" t="s">
        <v>1096</v>
      </c>
      <c r="F453" s="219" t="s">
        <v>47</v>
      </c>
      <c r="G453" s="222" t="s">
        <v>1462</v>
      </c>
      <c r="H453" s="222" t="s">
        <v>39</v>
      </c>
      <c r="I453" s="233" t="s">
        <v>39</v>
      </c>
      <c r="J453" s="222" t="s">
        <v>1088</v>
      </c>
      <c r="K453" s="223" cm="1">
        <f t="array" ref="K453">_xlfn.XLOOKUP(D453&amp;E453&amp;H453&amp;I453&amp;J453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53" s="412"/>
      <c r="M453" s="401" t="s">
        <v>1671</v>
      </c>
      <c r="N453" s="413"/>
      <c r="O453" s="414"/>
      <c r="P453" s="415"/>
      <c r="Q453" s="416"/>
      <c r="R453" s="416"/>
      <c r="S453" s="416"/>
      <c r="T453" s="416"/>
      <c r="U453" s="416"/>
      <c r="V453" s="416"/>
      <c r="W453" s="416"/>
      <c r="X453" s="416"/>
      <c r="Y453" s="416"/>
      <c r="Z453" s="416"/>
      <c r="AA453" s="416"/>
      <c r="AB453" s="416"/>
      <c r="AC453" s="416"/>
      <c r="AD453" s="416"/>
      <c r="AE453" s="416"/>
      <c r="AF453" s="416"/>
      <c r="AG453" s="416"/>
      <c r="AH453" s="416"/>
      <c r="AI453" s="416"/>
      <c r="AJ453" s="416"/>
      <c r="AK453" s="416"/>
      <c r="AL453" s="416"/>
      <c r="AM453" s="416"/>
      <c r="AN453" s="416"/>
      <c r="AO453" s="417"/>
      <c r="AP453" s="417"/>
      <c r="AQ453" s="417"/>
      <c r="AR453" s="417"/>
      <c r="AS453" s="415"/>
      <c r="AT453" s="415"/>
      <c r="AU453" s="415"/>
      <c r="AV453" s="415"/>
      <c r="AW453" s="416"/>
      <c r="AX453" s="416"/>
      <c r="AY453" s="416"/>
      <c r="AZ453" s="416"/>
      <c r="BA453" s="413"/>
      <c r="BB453" s="413"/>
      <c r="BC453" s="413"/>
      <c r="BD453" s="413"/>
      <c r="BE453" s="413"/>
      <c r="BF453" s="413"/>
      <c r="BG453" s="413"/>
      <c r="BH453" s="413"/>
      <c r="BI453" s="413"/>
      <c r="BJ453" s="413"/>
      <c r="BK453" s="413"/>
      <c r="BL453" s="413"/>
      <c r="BM453" s="418"/>
      <c r="BN453" s="418"/>
      <c r="BO453" s="418"/>
      <c r="BP453" s="418"/>
      <c r="BQ453" s="418"/>
      <c r="BR453" s="418"/>
      <c r="BS453" s="418"/>
      <c r="BT453" s="410"/>
      <c r="BU453" s="419"/>
      <c r="BV453" s="420"/>
      <c r="BW453" s="407" t="s">
        <v>1672</v>
      </c>
    </row>
    <row r="454" s="210" customFormat="1" spans="1:75">
      <c r="A454" s="424">
        <v>350</v>
      </c>
      <c r="B454" s="425" t="s">
        <v>1169</v>
      </c>
      <c r="C454" s="426" t="s">
        <v>874</v>
      </c>
      <c r="D454" s="426" t="s">
        <v>1095</v>
      </c>
      <c r="E454" s="426" t="s">
        <v>1102</v>
      </c>
      <c r="F454" s="424" t="s">
        <v>47</v>
      </c>
      <c r="G454" s="222" t="s">
        <v>1462</v>
      </c>
      <c r="H454" s="426" t="s">
        <v>39</v>
      </c>
      <c r="I454" s="427" t="s">
        <v>39</v>
      </c>
      <c r="J454" s="426" t="s">
        <v>1103</v>
      </c>
      <c r="K454" s="223" cm="1">
        <f t="array" ref="K454">_xlfn.XLOOKUP(D454&amp;E454&amp;H454&amp;I454&amp;J454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54" s="428"/>
      <c r="M454" s="429" t="s">
        <v>1671</v>
      </c>
      <c r="N454" s="430"/>
      <c r="O454" s="431"/>
      <c r="P454" s="432"/>
      <c r="Q454" s="433"/>
      <c r="R454" s="433"/>
      <c r="S454" s="433"/>
      <c r="T454" s="433"/>
      <c r="U454" s="433"/>
      <c r="V454" s="433"/>
      <c r="W454" s="433"/>
      <c r="X454" s="433"/>
      <c r="Y454" s="433"/>
      <c r="Z454" s="433"/>
      <c r="AA454" s="433"/>
      <c r="AB454" s="433"/>
      <c r="AC454" s="433"/>
      <c r="AD454" s="433"/>
      <c r="AE454" s="433"/>
      <c r="AF454" s="433"/>
      <c r="AG454" s="433"/>
      <c r="AH454" s="433"/>
      <c r="AI454" s="433"/>
      <c r="AJ454" s="433"/>
      <c r="AK454" s="433"/>
      <c r="AL454" s="433"/>
      <c r="AM454" s="433"/>
      <c r="AN454" s="433"/>
      <c r="AO454" s="434"/>
      <c r="AP454" s="434"/>
      <c r="AQ454" s="434"/>
      <c r="AR454" s="434"/>
      <c r="AS454" s="432"/>
      <c r="AT454" s="432"/>
      <c r="AU454" s="432"/>
      <c r="AV454" s="432"/>
      <c r="AW454" s="433"/>
      <c r="AX454" s="433"/>
      <c r="AY454" s="433"/>
      <c r="AZ454" s="433"/>
      <c r="BA454" s="430"/>
      <c r="BB454" s="430"/>
      <c r="BC454" s="430"/>
      <c r="BD454" s="430"/>
      <c r="BE454" s="430"/>
      <c r="BF454" s="430"/>
      <c r="BG454" s="430"/>
      <c r="BH454" s="430"/>
      <c r="BI454" s="430"/>
      <c r="BJ454" s="430"/>
      <c r="BK454" s="430"/>
      <c r="BL454" s="430"/>
      <c r="BM454" s="435"/>
      <c r="BN454" s="435"/>
      <c r="BO454" s="435"/>
      <c r="BP454" s="435"/>
      <c r="BQ454" s="435"/>
      <c r="BR454" s="435"/>
      <c r="BS454" s="435"/>
      <c r="BT454" s="436"/>
      <c r="BU454" s="437"/>
      <c r="BV454" s="438"/>
      <c r="BW454" s="439" t="s">
        <v>1672</v>
      </c>
    </row>
    <row r="455" spans="1:75">
      <c r="A455" s="440"/>
      <c r="B455" s="441" t="s">
        <v>1578</v>
      </c>
      <c r="C455" s="442" t="s">
        <v>874</v>
      </c>
      <c r="D455" s="441" t="s">
        <v>1673</v>
      </c>
      <c r="E455" s="443" t="s">
        <v>1674</v>
      </c>
      <c r="F455" s="444" t="s">
        <v>81</v>
      </c>
      <c r="G455" s="222" t="s">
        <v>374</v>
      </c>
      <c r="H455" s="445" t="s">
        <v>1675</v>
      </c>
      <c r="I455" s="445"/>
      <c r="J455" s="443"/>
      <c r="K455" s="223" cm="1">
        <f t="array" ref="K455">_xlfn.XLOOKUP(D455&amp;E455&amp;H455&amp;I455&amp;J455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213247.9</v>
      </c>
      <c r="L455" s="446"/>
      <c r="M455" s="446"/>
      <c r="N455" s="446"/>
      <c r="O455" s="447"/>
      <c r="P455" s="277">
        <v>0.15</v>
      </c>
      <c r="Q455" s="228">
        <f>R455</f>
        <v>53341.63</v>
      </c>
      <c r="R455" s="228">
        <v>53341.63</v>
      </c>
      <c r="S455" s="228">
        <f>Q455-R455</f>
        <v>0</v>
      </c>
      <c r="T455" s="448"/>
      <c r="U455" s="448"/>
      <c r="V455" s="448"/>
      <c r="W455" s="228">
        <f>U455-Z455</f>
        <v>0</v>
      </c>
      <c r="X455" s="448"/>
      <c r="Y455" s="448"/>
      <c r="Z455" s="448"/>
      <c r="AA455" s="228">
        <f>Y455-Z455</f>
        <v>0</v>
      </c>
      <c r="AB455" s="448"/>
      <c r="AC455" s="448"/>
      <c r="AD455" s="448"/>
      <c r="AE455" s="228">
        <f>AC455-AD455</f>
        <v>0</v>
      </c>
      <c r="AF455" s="448"/>
      <c r="AG455" s="448"/>
      <c r="AH455" s="448"/>
      <c r="AI455" s="228">
        <f>AG455-AH455</f>
        <v>0</v>
      </c>
      <c r="AJ455" s="448"/>
      <c r="AK455" s="448"/>
      <c r="AL455" s="448"/>
      <c r="AM455" s="228">
        <f>AK455-AL455</f>
        <v>0</v>
      </c>
      <c r="AN455" s="448"/>
      <c r="AO455" s="449"/>
      <c r="AP455" s="449"/>
      <c r="AQ455" s="228">
        <f>AO455-AP455</f>
        <v>0</v>
      </c>
      <c r="AR455" s="449"/>
      <c r="AS455" s="228">
        <f>K455*AR455</f>
        <v>0</v>
      </c>
      <c r="AT455" s="450"/>
      <c r="AU455" s="228">
        <f>AS455-AT455</f>
        <v>0</v>
      </c>
      <c r="AV455" s="450"/>
      <c r="AW455" s="228">
        <f>K455*AV455</f>
        <v>0</v>
      </c>
      <c r="AX455" s="448"/>
      <c r="AY455" s="228">
        <f>AW455-AX455</f>
        <v>0</v>
      </c>
      <c r="AZ455" s="448"/>
      <c r="BA455" s="228">
        <f>K455*AZ455</f>
        <v>0</v>
      </c>
      <c r="BB455" s="446"/>
      <c r="BC455" s="228">
        <f>BA455-BB455</f>
        <v>0</v>
      </c>
      <c r="BD455" s="446"/>
      <c r="BE455" s="446">
        <f>BF455</f>
        <v>6447</v>
      </c>
      <c r="BF455" s="446">
        <v>6447</v>
      </c>
      <c r="BG455" s="228">
        <f>BE455-BF455</f>
        <v>0</v>
      </c>
      <c r="BH455" s="446"/>
      <c r="BI455" s="228">
        <f>K455*BH455</f>
        <v>0</v>
      </c>
      <c r="BJ455" s="446"/>
      <c r="BK455" s="228">
        <f>BI455-BJ455</f>
        <v>0</v>
      </c>
      <c r="BL455" s="446"/>
      <c r="BM455" s="451"/>
      <c r="BN455" s="451"/>
      <c r="BO455" s="451"/>
      <c r="BP455" s="220">
        <f>N455+Q455+U455+Y455+AC455+AG455+AK455+AO455+AS455+AW455+BA455+BE455+BI455+BM455</f>
        <v>59788.63</v>
      </c>
      <c r="BQ455" s="220">
        <f>N455+R455+V455+Z455+AD455+AH455+AL455+AP455+AT455+AX455+BB455+BF455+BJ455+BN455</f>
        <v>59788.63</v>
      </c>
      <c r="BR455" s="220">
        <f>BP455-BQ455</f>
        <v>0</v>
      </c>
      <c r="BS455" s="254" t="s">
        <v>39</v>
      </c>
      <c r="BT455" s="229" t="s">
        <v>39</v>
      </c>
      <c r="BU455" s="205"/>
      <c r="BV455" s="452"/>
      <c r="BW455" s="453"/>
    </row>
    <row r="456" ht="21.75" customHeight="1" spans="1:75">
      <c r="A456" s="454"/>
      <c r="B456" s="441" t="s">
        <v>1578</v>
      </c>
      <c r="C456" s="221" t="s">
        <v>443</v>
      </c>
      <c r="D456" s="221" t="s">
        <v>506</v>
      </c>
      <c r="E456" s="221" t="s">
        <v>507</v>
      </c>
      <c r="F456" s="455" t="s">
        <v>81</v>
      </c>
      <c r="G456" s="222" t="s">
        <v>374</v>
      </c>
      <c r="H456" s="454" t="s">
        <v>39</v>
      </c>
      <c r="I456" s="237" t="s">
        <v>240</v>
      </c>
      <c r="J456" s="219" t="s">
        <v>1676</v>
      </c>
      <c r="K456" s="290">
        <v>6859.1</v>
      </c>
      <c r="L456" s="446"/>
      <c r="M456" s="446"/>
      <c r="N456" s="446"/>
      <c r="O456" s="447"/>
      <c r="P456" s="277">
        <v>0.16</v>
      </c>
      <c r="Q456" s="276">
        <f>K456*P456</f>
        <v>1097.456</v>
      </c>
      <c r="R456" s="448"/>
      <c r="S456" s="276">
        <f>Q456-R456</f>
        <v>1097.456</v>
      </c>
      <c r="T456" s="448">
        <v>0</v>
      </c>
      <c r="U456" s="448">
        <f>K456*T456</f>
        <v>0</v>
      </c>
      <c r="V456" s="448"/>
      <c r="W456" s="228">
        <f>U456-V456</f>
        <v>0</v>
      </c>
      <c r="X456" s="448"/>
      <c r="Y456" s="228">
        <f>K456*X456</f>
        <v>0</v>
      </c>
      <c r="Z456" s="448"/>
      <c r="AA456" s="228">
        <f>Y456-Z456</f>
        <v>0</v>
      </c>
      <c r="AB456" s="448"/>
      <c r="AC456" s="228">
        <f>K456*AB456</f>
        <v>0</v>
      </c>
      <c r="AD456" s="448"/>
      <c r="AE456" s="228">
        <f>AC456-AD456</f>
        <v>0</v>
      </c>
      <c r="AF456" s="448"/>
      <c r="AG456" s="228">
        <f>K456*AF456</f>
        <v>0</v>
      </c>
      <c r="AH456" s="448"/>
      <c r="AI456" s="228">
        <f>AG456-AH456</f>
        <v>0</v>
      </c>
      <c r="AJ456" s="448"/>
      <c r="AK456" s="228">
        <f>K456*AJ456</f>
        <v>0</v>
      </c>
      <c r="AL456" s="448"/>
      <c r="AM456" s="228">
        <f>AK456-AL456</f>
        <v>0</v>
      </c>
      <c r="AN456" s="448"/>
      <c r="AO456" s="228">
        <f>K456*AN456</f>
        <v>0</v>
      </c>
      <c r="AP456" s="449"/>
      <c r="AQ456" s="228">
        <f>AO456-AP456</f>
        <v>0</v>
      </c>
      <c r="AR456" s="449"/>
      <c r="AS456" s="450"/>
      <c r="AT456" s="450"/>
      <c r="AU456" s="228">
        <f>AS456-AT456</f>
        <v>0</v>
      </c>
      <c r="AV456" s="450"/>
      <c r="AW456" s="228">
        <f>K456*AV456</f>
        <v>0</v>
      </c>
      <c r="AX456" s="448"/>
      <c r="AY456" s="228">
        <f>AW456-AX456</f>
        <v>0</v>
      </c>
      <c r="AZ456" s="448"/>
      <c r="BA456" s="228">
        <f>K456*AZ456</f>
        <v>0</v>
      </c>
      <c r="BB456" s="446"/>
      <c r="BC456" s="228">
        <f>BA456-BB456</f>
        <v>0</v>
      </c>
      <c r="BD456" s="446"/>
      <c r="BE456" s="228">
        <f>K456*BD456</f>
        <v>0</v>
      </c>
      <c r="BF456" s="446"/>
      <c r="BG456" s="228">
        <f>BE456-BF456</f>
        <v>0</v>
      </c>
      <c r="BH456" s="446"/>
      <c r="BI456" s="228">
        <f>K456*BH456</f>
        <v>0</v>
      </c>
      <c r="BJ456" s="446"/>
      <c r="BK456" s="228">
        <f>BI456-BJ456</f>
        <v>0</v>
      </c>
      <c r="BL456" s="446"/>
      <c r="BM456" s="220">
        <f>K456*BL456</f>
        <v>0</v>
      </c>
      <c r="BN456" s="451"/>
      <c r="BO456" s="220">
        <f>BM456-BN456</f>
        <v>0</v>
      </c>
      <c r="BP456" s="294">
        <f>N456+Q456+U456+Y456+AC456+AG456+AK456+AO456+AS456+AW456+BA456+BE456+BI456+BM456</f>
        <v>1097.456</v>
      </c>
      <c r="BQ456" s="220">
        <f>N456+R456+V456+Z456+AD456+AH456+AL456+AP456+AT456+AX456+BB456+BF456+BJ456+BN456</f>
        <v>0</v>
      </c>
      <c r="BR456" s="294">
        <f>BP456-BQ456</f>
        <v>1097.456</v>
      </c>
      <c r="BS456" s="451"/>
      <c r="BT456" s="453"/>
      <c r="BU456" s="205"/>
      <c r="BV456" s="452"/>
      <c r="BW456" s="453"/>
    </row>
    <row r="457" spans="1:75">
      <c r="A457" s="456"/>
      <c r="B457" s="457" t="s">
        <v>1578</v>
      </c>
      <c r="C457" s="457" t="s">
        <v>175</v>
      </c>
      <c r="D457" s="458" t="s">
        <v>1677</v>
      </c>
      <c r="E457" s="457" t="s">
        <v>1678</v>
      </c>
      <c r="F457" s="459" t="s">
        <v>53</v>
      </c>
      <c r="G457" s="453"/>
      <c r="H457" s="441" t="s">
        <v>39</v>
      </c>
      <c r="I457" s="460" t="s">
        <v>39</v>
      </c>
      <c r="J457" s="441" t="s">
        <v>39</v>
      </c>
      <c r="K457" s="223" cm="1">
        <f t="array" ref="K457">_xlfn.XLOOKUP(D457&amp;E457&amp;H457&amp;I457&amp;J457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223277.28</v>
      </c>
      <c r="L457" s="446"/>
      <c r="M457" s="446"/>
      <c r="N457" s="446"/>
      <c r="O457" s="447"/>
      <c r="P457" s="450"/>
      <c r="Q457" s="448"/>
      <c r="R457" s="448"/>
      <c r="S457" s="448"/>
      <c r="T457" s="448"/>
      <c r="U457" s="448"/>
      <c r="V457" s="448"/>
      <c r="W457" s="448"/>
      <c r="X457" s="448"/>
      <c r="Y457" s="448"/>
      <c r="Z457" s="448"/>
      <c r="AA457" s="448"/>
      <c r="AB457" s="448"/>
      <c r="AC457" s="448"/>
      <c r="AD457" s="448"/>
      <c r="AE457" s="448"/>
      <c r="AF457" s="448"/>
      <c r="AG457" s="448"/>
      <c r="AH457" s="448"/>
      <c r="AI457" s="448"/>
      <c r="AJ457" s="448"/>
      <c r="AK457" s="448"/>
      <c r="AL457" s="448"/>
      <c r="AM457" s="448"/>
      <c r="AN457" s="448"/>
      <c r="AO457" s="449"/>
      <c r="AP457" s="449"/>
      <c r="AQ457" s="449"/>
      <c r="AR457" s="449"/>
      <c r="AS457" s="450"/>
      <c r="AT457" s="450"/>
      <c r="AU457" s="450"/>
      <c r="AV457" s="450"/>
      <c r="AW457" s="448"/>
      <c r="AX457" s="448"/>
      <c r="AY457" s="448"/>
      <c r="AZ457" s="448"/>
      <c r="BA457" s="446"/>
      <c r="BB457" s="446"/>
      <c r="BC457" s="446"/>
      <c r="BD457" s="446"/>
      <c r="BE457" s="446"/>
      <c r="BF457" s="446"/>
      <c r="BG457" s="446"/>
      <c r="BH457" s="446"/>
      <c r="BI457" s="446"/>
      <c r="BJ457" s="446"/>
      <c r="BK457" s="446"/>
      <c r="BL457" s="446"/>
      <c r="BM457" s="451"/>
      <c r="BN457" s="451"/>
      <c r="BO457" s="451"/>
      <c r="BP457" s="451"/>
      <c r="BQ457" s="451"/>
      <c r="BR457" s="451"/>
      <c r="BS457" s="451"/>
      <c r="BT457" s="453"/>
      <c r="BU457" s="205"/>
      <c r="BV457" s="452"/>
      <c r="BW457" s="453"/>
    </row>
    <row r="458" spans="1:75">
      <c r="B458" s="441" t="s">
        <v>1578</v>
      </c>
      <c r="C458" s="222" t="s">
        <v>175</v>
      </c>
      <c r="D458" s="227" t="s">
        <v>1679</v>
      </c>
      <c r="E458" s="227" t="s">
        <v>1680</v>
      </c>
      <c r="F458" s="440" t="s">
        <v>81</v>
      </c>
      <c r="G458" s="440"/>
      <c r="H458" s="228"/>
      <c r="I458" s="461" t="s">
        <v>1681</v>
      </c>
      <c r="J458" s="227"/>
      <c r="K458" s="223" cm="1">
        <f t="array" ref="K458">_xlfn.XLOOKUP(D458&amp;E458&amp;H458&amp;I458&amp;J458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5519</v>
      </c>
    </row>
    <row r="459" spans="1:75">
      <c r="B459" s="441" t="s">
        <v>1578</v>
      </c>
      <c r="C459" s="222" t="s">
        <v>175</v>
      </c>
      <c r="D459" s="462" t="s">
        <v>399</v>
      </c>
      <c r="E459" s="463" t="s">
        <v>400</v>
      </c>
      <c r="F459" s="464" t="s">
        <v>47</v>
      </c>
      <c r="G459" s="465"/>
      <c r="H459" s="466"/>
      <c r="I459" s="466" t="s">
        <v>882</v>
      </c>
      <c r="J459" s="467" t="s">
        <v>1682</v>
      </c>
      <c r="K459" s="223" cm="1">
        <f t="array" ref="K459">_xlfn.XLOOKUP(D459&amp;E459&amp;H459&amp;I459&amp;J459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16536</v>
      </c>
    </row>
    <row r="460" spans="1:75">
      <c r="B460" s="441" t="s">
        <v>1578</v>
      </c>
      <c r="C460" s="222" t="s">
        <v>443</v>
      </c>
      <c r="D460" s="468" t="s">
        <v>639</v>
      </c>
      <c r="E460" s="469" t="s">
        <v>640</v>
      </c>
      <c r="F460" s="470" t="s">
        <v>81</v>
      </c>
      <c r="G460" s="470"/>
      <c r="H460" s="470" t="s">
        <v>39</v>
      </c>
      <c r="I460" s="471" t="s">
        <v>1683</v>
      </c>
      <c r="J460" s="472" t="s">
        <v>1684</v>
      </c>
      <c r="K460" s="223" cm="1">
        <f t="array" ref="K460">_xlfn.XLOOKUP(D460&amp;E460&amp;H460&amp;I460&amp;J460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1544.63</v>
      </c>
    </row>
    <row r="461" spans="1:75">
      <c r="B461" s="441" t="s">
        <v>1578</v>
      </c>
      <c r="C461" s="222" t="s">
        <v>443</v>
      </c>
      <c r="D461" s="468" t="s">
        <v>639</v>
      </c>
      <c r="E461" s="469" t="s">
        <v>640</v>
      </c>
      <c r="F461" s="470" t="s">
        <v>81</v>
      </c>
      <c r="G461" s="470"/>
      <c r="H461" s="470" t="s">
        <v>39</v>
      </c>
      <c r="I461" s="471" t="s">
        <v>1685</v>
      </c>
      <c r="J461" s="472" t="s">
        <v>1686</v>
      </c>
      <c r="K461" s="223" cm="1">
        <f t="array" ref="K461">_xlfn.XLOOKUP(D461&amp;E461&amp;H461&amp;I461&amp;J461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8720.8</v>
      </c>
    </row>
    <row r="462" spans="1:75">
      <c r="B462" s="441" t="s">
        <v>1578</v>
      </c>
      <c r="C462" s="222" t="s">
        <v>443</v>
      </c>
      <c r="D462" s="468" t="s">
        <v>639</v>
      </c>
      <c r="E462" s="469" t="s">
        <v>640</v>
      </c>
      <c r="F462" s="470" t="s">
        <v>81</v>
      </c>
      <c r="G462" s="470"/>
      <c r="H462" s="470" t="s">
        <v>39</v>
      </c>
      <c r="I462" s="471" t="s">
        <v>1170</v>
      </c>
      <c r="J462" s="472" t="s">
        <v>1687</v>
      </c>
      <c r="K462" s="223" cm="1">
        <f t="array" ref="K462">_xlfn.XLOOKUP(D462&amp;E462&amp;H462&amp;I462&amp;J462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5054.4</v>
      </c>
    </row>
    <row r="463" ht="11.25" customHeight="1" spans="1:75">
      <c r="B463" s="473" t="s">
        <v>1578</v>
      </c>
      <c r="C463" s="426" t="s">
        <v>874</v>
      </c>
      <c r="D463" s="463" t="s">
        <v>984</v>
      </c>
      <c r="E463" s="463" t="s">
        <v>985</v>
      </c>
      <c r="F463" s="464" t="s">
        <v>81</v>
      </c>
      <c r="G463" s="464"/>
      <c r="H463" s="464" t="s">
        <v>39</v>
      </c>
      <c r="I463" s="461" t="s">
        <v>930</v>
      </c>
      <c r="J463" s="474" t="s">
        <v>992</v>
      </c>
      <c r="K463" s="223" cm="1">
        <f t="array" ref="K463">_xlfn.XLOOKUP(D463&amp;E463&amp;H463&amp;I463&amp;J463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12228.47</v>
      </c>
    </row>
    <row r="464" spans="1:75">
      <c r="B464" s="475" t="s">
        <v>1578</v>
      </c>
      <c r="C464" s="476" t="s">
        <v>443</v>
      </c>
      <c r="D464" s="477" t="s">
        <v>762</v>
      </c>
      <c r="E464" s="462" t="s">
        <v>763</v>
      </c>
      <c r="F464" s="478" t="s">
        <v>81</v>
      </c>
      <c r="G464" s="479"/>
      <c r="H464" s="479" t="s">
        <v>39</v>
      </c>
      <c r="I464" s="471" t="s">
        <v>319</v>
      </c>
      <c r="J464" s="480" t="s">
        <v>1688</v>
      </c>
      <c r="K464" s="223" cm="1">
        <f t="array" ref="K464">_xlfn.XLOOKUP(D464&amp;E464&amp;H464&amp;I464&amp;J464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15577.93</v>
      </c>
    </row>
    <row r="465" spans="2:75">
      <c r="B465" s="475" t="s">
        <v>1578</v>
      </c>
      <c r="C465" s="476" t="s">
        <v>443</v>
      </c>
      <c r="D465" s="477" t="s">
        <v>762</v>
      </c>
      <c r="E465" s="462" t="s">
        <v>763</v>
      </c>
      <c r="F465" s="478" t="s">
        <v>81</v>
      </c>
      <c r="G465" s="479"/>
      <c r="H465" s="479" t="s">
        <v>39</v>
      </c>
      <c r="I465" s="471" t="s">
        <v>1689</v>
      </c>
      <c r="J465" s="480" t="s">
        <v>1690</v>
      </c>
      <c r="K465" s="223" cm="1">
        <f t="array" ref="K465">_xlfn.XLOOKUP(D465&amp;E465&amp;H465&amp;I465&amp;J465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9909.36</v>
      </c>
    </row>
    <row r="466" spans="2:75">
      <c r="B466" s="475" t="s">
        <v>1578</v>
      </c>
      <c r="C466" s="481" t="s">
        <v>443</v>
      </c>
      <c r="D466" s="477" t="s">
        <v>762</v>
      </c>
      <c r="E466" s="462" t="s">
        <v>763</v>
      </c>
      <c r="F466" s="478" t="s">
        <v>81</v>
      </c>
      <c r="G466" s="479"/>
      <c r="H466" s="479" t="s">
        <v>39</v>
      </c>
      <c r="I466" s="471" t="s">
        <v>870</v>
      </c>
      <c r="J466" s="480" t="s">
        <v>871</v>
      </c>
      <c r="K466" s="223" cm="1">
        <f t="array" ref="K466">_xlfn.XLOOKUP(D466&amp;E466&amp;H466&amp;I466&amp;J466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39.8</v>
      </c>
    </row>
    <row r="467" spans="2:75">
      <c r="B467" s="482" t="s">
        <v>1578</v>
      </c>
      <c r="C467" s="481" t="s">
        <v>443</v>
      </c>
      <c r="D467" s="477" t="s">
        <v>762</v>
      </c>
      <c r="E467" s="462" t="s">
        <v>763</v>
      </c>
      <c r="F467" s="478" t="s">
        <v>81</v>
      </c>
      <c r="G467" s="479"/>
      <c r="H467" s="479" t="s">
        <v>39</v>
      </c>
      <c r="I467" s="471" t="s">
        <v>1691</v>
      </c>
      <c r="J467" s="480" t="s">
        <v>1692</v>
      </c>
      <c r="K467" s="223" cm="1">
        <f t="array" ref="K467">_xlfn.XLOOKUP(D467&amp;E467&amp;H467&amp;I467&amp;J467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682.67</v>
      </c>
    </row>
    <row r="468" spans="2:75">
      <c r="B468" s="475" t="s">
        <v>1578</v>
      </c>
      <c r="C468" s="481" t="s">
        <v>443</v>
      </c>
      <c r="D468" s="477" t="s">
        <v>762</v>
      </c>
      <c r="E468" s="463" t="s">
        <v>763</v>
      </c>
      <c r="F468" s="464" t="s">
        <v>81</v>
      </c>
      <c r="G468" s="483"/>
      <c r="H468" s="483" t="s">
        <v>39</v>
      </c>
      <c r="I468" s="484" t="s">
        <v>1693</v>
      </c>
      <c r="J468" s="485" t="s">
        <v>1694</v>
      </c>
      <c r="K468" s="223" cm="1">
        <f t="array" ref="K468">_xlfn.XLOOKUP(D468&amp;E468&amp;H468&amp;I468&amp;J468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2040.16</v>
      </c>
    </row>
    <row r="469" spans="2:75">
      <c r="B469" s="475" t="s">
        <v>1578</v>
      </c>
      <c r="C469" s="481" t="s">
        <v>443</v>
      </c>
      <c r="D469" s="477" t="s">
        <v>762</v>
      </c>
      <c r="E469" s="463" t="s">
        <v>763</v>
      </c>
      <c r="F469" s="464" t="s">
        <v>81</v>
      </c>
      <c r="G469" s="483"/>
      <c r="H469" s="483" t="s">
        <v>39</v>
      </c>
      <c r="I469" s="484" t="s">
        <v>186</v>
      </c>
      <c r="J469" s="485" t="s">
        <v>1695</v>
      </c>
      <c r="K469" s="223" cm="1">
        <f t="array" ref="K469">_xlfn.XLOOKUP(D469&amp;E469&amp;H469&amp;I469&amp;J469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4618.93</v>
      </c>
    </row>
    <row r="470" spans="2:75">
      <c r="B470" s="475" t="s">
        <v>1578</v>
      </c>
      <c r="C470" s="481" t="s">
        <v>443</v>
      </c>
      <c r="D470" s="477" t="s">
        <v>762</v>
      </c>
      <c r="E470" s="463" t="s">
        <v>763</v>
      </c>
      <c r="F470" s="464" t="s">
        <v>81</v>
      </c>
      <c r="G470" s="483"/>
      <c r="H470" s="483" t="s">
        <v>39</v>
      </c>
      <c r="I470" s="484" t="s">
        <v>791</v>
      </c>
      <c r="J470" s="485" t="s">
        <v>1696</v>
      </c>
      <c r="K470" s="223" cm="1">
        <f t="array" ref="K470">_xlfn.XLOOKUP(D470&amp;E470&amp;H470&amp;I470&amp;J470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2089.63</v>
      </c>
    </row>
    <row r="471" spans="2:75">
      <c r="B471" s="475" t="s">
        <v>1578</v>
      </c>
      <c r="C471" s="481" t="s">
        <v>443</v>
      </c>
      <c r="D471" s="477" t="s">
        <v>762</v>
      </c>
      <c r="E471" s="463" t="s">
        <v>763</v>
      </c>
      <c r="F471" s="464" t="s">
        <v>81</v>
      </c>
      <c r="G471" s="483"/>
      <c r="H471" s="483" t="s">
        <v>39</v>
      </c>
      <c r="I471" s="484" t="s">
        <v>1697</v>
      </c>
      <c r="J471" s="485" t="s">
        <v>1698</v>
      </c>
      <c r="K471" s="223" cm="1">
        <f t="array" ref="K471">_xlfn.XLOOKUP(D471&amp;E471&amp;H471&amp;I471&amp;J471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448.4</v>
      </c>
    </row>
    <row r="472" spans="2:75">
      <c r="B472" s="475" t="s">
        <v>1578</v>
      </c>
      <c r="C472" s="481" t="s">
        <v>443</v>
      </c>
      <c r="D472" s="477" t="s">
        <v>762</v>
      </c>
      <c r="E472" s="463" t="s">
        <v>763</v>
      </c>
      <c r="F472" s="464" t="s">
        <v>81</v>
      </c>
      <c r="G472" s="483"/>
      <c r="H472" s="483" t="s">
        <v>39</v>
      </c>
      <c r="I472" s="484" t="s">
        <v>1699</v>
      </c>
      <c r="J472" s="480" t="s">
        <v>1688</v>
      </c>
      <c r="K472" s="223" cm="1">
        <f t="array" ref="K472">_xlfn.XLOOKUP(D472&amp;E472&amp;H472&amp;I472&amp;J472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855.6</v>
      </c>
    </row>
    <row r="473" spans="2:75">
      <c r="B473" s="475" t="s">
        <v>1578</v>
      </c>
      <c r="C473" s="481" t="s">
        <v>443</v>
      </c>
      <c r="D473" s="468" t="s">
        <v>810</v>
      </c>
      <c r="E473" s="486" t="s">
        <v>811</v>
      </c>
      <c r="F473" s="470" t="s">
        <v>81</v>
      </c>
      <c r="G473" s="470"/>
      <c r="H473" s="471" t="s">
        <v>39</v>
      </c>
      <c r="I473" s="471" t="s">
        <v>1309</v>
      </c>
      <c r="J473" s="469" t="s">
        <v>1700</v>
      </c>
      <c r="K473" s="223" cm="1">
        <f t="array" ref="K473">_xlfn.XLOOKUP(D473&amp;E473&amp;H473&amp;I473&amp;J473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5324.01</v>
      </c>
    </row>
    <row r="474" spans="2:75">
      <c r="B474" s="475" t="s">
        <v>1578</v>
      </c>
      <c r="C474" s="481" t="s">
        <v>443</v>
      </c>
      <c r="D474" s="468" t="s">
        <v>810</v>
      </c>
      <c r="E474" s="486" t="s">
        <v>811</v>
      </c>
      <c r="F474" s="470" t="s">
        <v>81</v>
      </c>
      <c r="G474" s="470"/>
      <c r="H474" s="471" t="s">
        <v>39</v>
      </c>
      <c r="I474" s="471" t="s">
        <v>1701</v>
      </c>
      <c r="J474" s="469" t="s">
        <v>856</v>
      </c>
      <c r="K474" s="223" cm="1">
        <f t="array" ref="K474">_xlfn.XLOOKUP(D474&amp;E474&amp;H474&amp;I474&amp;J474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26809.82</v>
      </c>
    </row>
    <row r="475" spans="2:75">
      <c r="B475" s="475" t="s">
        <v>1578</v>
      </c>
      <c r="C475" s="481" t="s">
        <v>443</v>
      </c>
      <c r="D475" s="468" t="s">
        <v>810</v>
      </c>
      <c r="E475" s="486" t="s">
        <v>811</v>
      </c>
      <c r="F475" s="470" t="s">
        <v>81</v>
      </c>
      <c r="G475" s="470"/>
      <c r="H475" s="471" t="s">
        <v>39</v>
      </c>
      <c r="I475" s="471" t="s">
        <v>419</v>
      </c>
      <c r="J475" s="469" t="s">
        <v>1702</v>
      </c>
      <c r="K475" s="223" cm="1">
        <f t="array" ref="K475">_xlfn.XLOOKUP(D475&amp;E475&amp;H475&amp;I475&amp;J475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23234.41</v>
      </c>
    </row>
    <row r="476" spans="2:75">
      <c r="B476" s="475" t="s">
        <v>1578</v>
      </c>
      <c r="C476" s="481" t="s">
        <v>443</v>
      </c>
      <c r="D476" s="468" t="s">
        <v>810</v>
      </c>
      <c r="E476" s="486" t="s">
        <v>811</v>
      </c>
      <c r="F476" s="470" t="s">
        <v>81</v>
      </c>
      <c r="G476" s="470"/>
      <c r="H476" s="471" t="s">
        <v>39</v>
      </c>
      <c r="I476" s="471" t="s">
        <v>1703</v>
      </c>
      <c r="J476" s="469" t="s">
        <v>1704</v>
      </c>
      <c r="K476" s="223" cm="1">
        <f t="array" ref="K476">_xlfn.XLOOKUP(D476&amp;E476&amp;H476&amp;I476&amp;J476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10850.02</v>
      </c>
    </row>
    <row r="477" spans="2:75">
      <c r="B477" s="475" t="s">
        <v>1578</v>
      </c>
      <c r="C477" s="481" t="s">
        <v>443</v>
      </c>
      <c r="D477" s="468" t="s">
        <v>810</v>
      </c>
      <c r="E477" s="486" t="s">
        <v>811</v>
      </c>
      <c r="F477" s="470" t="s">
        <v>81</v>
      </c>
      <c r="G477" s="470"/>
      <c r="H477" s="471" t="s">
        <v>39</v>
      </c>
      <c r="I477" s="471" t="s">
        <v>1689</v>
      </c>
      <c r="J477" s="469" t="s">
        <v>1705</v>
      </c>
      <c r="K477" s="223" cm="1">
        <f t="array" ref="K477">_xlfn.XLOOKUP(D477&amp;E477&amp;H477&amp;I477&amp;J477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11042.71</v>
      </c>
    </row>
    <row r="478" spans="2:75">
      <c r="B478" s="475" t="s">
        <v>1578</v>
      </c>
      <c r="C478" s="457" t="s">
        <v>443</v>
      </c>
      <c r="D478" s="468" t="s">
        <v>810</v>
      </c>
      <c r="E478" s="486" t="s">
        <v>811</v>
      </c>
      <c r="F478" s="470" t="s">
        <v>81</v>
      </c>
      <c r="G478" s="470"/>
      <c r="H478" s="471" t="s">
        <v>39</v>
      </c>
      <c r="I478" s="487" t="s">
        <v>794</v>
      </c>
      <c r="J478" s="488" t="s">
        <v>1706</v>
      </c>
      <c r="K478" s="223" cm="1">
        <f t="array" ref="K478">_xlfn.XLOOKUP(D478&amp;E478&amp;H478&amp;I478&amp;J478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405.51</v>
      </c>
    </row>
    <row r="479" spans="2:75">
      <c r="B479" s="489" t="s">
        <v>1578</v>
      </c>
      <c r="C479" s="489" t="s">
        <v>443</v>
      </c>
      <c r="D479" s="490" t="s">
        <v>810</v>
      </c>
      <c r="E479" s="491" t="s">
        <v>811</v>
      </c>
      <c r="F479" s="492" t="s">
        <v>81</v>
      </c>
      <c r="G479" s="492"/>
      <c r="H479" s="484" t="s">
        <v>39</v>
      </c>
      <c r="I479" s="493" t="s">
        <v>1707</v>
      </c>
      <c r="J479" s="494" t="s">
        <v>1708</v>
      </c>
      <c r="K479" s="390" cm="1">
        <f t="array" ref="K479">_xlfn.XLOOKUP(D479&amp;E479&amp;H479&amp;I479&amp;J479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3102.05</v>
      </c>
    </row>
    <row r="480" spans="2:75">
      <c r="B480" s="495" t="s">
        <v>1578</v>
      </c>
      <c r="C480" s="496" t="s">
        <v>1142</v>
      </c>
      <c r="D480" s="496" t="s">
        <v>1247</v>
      </c>
      <c r="E480" s="496" t="s">
        <v>1248</v>
      </c>
      <c r="F480" s="497" t="s">
        <v>81</v>
      </c>
      <c r="G480" s="497"/>
      <c r="H480" s="495" t="s">
        <v>333</v>
      </c>
      <c r="I480" s="498" t="s">
        <v>1709</v>
      </c>
      <c r="J480" s="496"/>
      <c r="K480" s="499" cm="1">
        <f t="array" ref="K480">_xlfn.XLOOKUP(D480&amp;E480&amp;H480&amp;I480&amp;J480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108653.79</v>
      </c>
      <c r="L480" s="500"/>
      <c r="M480" s="500"/>
      <c r="N480" s="500"/>
      <c r="O480" s="501"/>
      <c r="P480" s="502"/>
      <c r="Q480" s="503"/>
      <c r="R480" s="503"/>
      <c r="S480" s="503"/>
      <c r="T480" s="503"/>
      <c r="U480" s="503"/>
      <c r="V480" s="503"/>
      <c r="W480" s="503"/>
      <c r="X480" s="503"/>
      <c r="Y480" s="503"/>
      <c r="Z480" s="503"/>
      <c r="AA480" s="503"/>
      <c r="AB480" s="503"/>
      <c r="AC480" s="503"/>
      <c r="AD480" s="503"/>
      <c r="AE480" s="503"/>
      <c r="AF480" s="503"/>
      <c r="AG480" s="503"/>
      <c r="AH480" s="503"/>
      <c r="AI480" s="503"/>
      <c r="AJ480" s="503"/>
      <c r="AK480" s="503"/>
      <c r="AL480" s="503"/>
      <c r="AM480" s="503"/>
      <c r="AN480" s="503"/>
      <c r="AO480" s="504"/>
      <c r="AP480" s="504"/>
      <c r="AQ480" s="504"/>
      <c r="AR480" s="504"/>
      <c r="AS480" s="502"/>
      <c r="AT480" s="502"/>
      <c r="AU480" s="502"/>
      <c r="AV480" s="502"/>
      <c r="AW480" s="503"/>
      <c r="AX480" s="503"/>
      <c r="AY480" s="503"/>
      <c r="AZ480" s="503"/>
      <c r="BA480" s="500"/>
      <c r="BB480" s="500"/>
      <c r="BC480" s="500"/>
      <c r="BD480" s="500"/>
      <c r="BE480" s="500"/>
      <c r="BF480" s="500"/>
      <c r="BG480" s="500"/>
      <c r="BH480" s="500"/>
      <c r="BI480" s="500"/>
      <c r="BJ480" s="500"/>
      <c r="BK480" s="500"/>
      <c r="BL480" s="500"/>
      <c r="BM480" s="505"/>
      <c r="BN480" s="505"/>
      <c r="BO480" s="505"/>
      <c r="BP480" s="505"/>
      <c r="BQ480" s="505"/>
      <c r="BR480" s="505"/>
      <c r="BS480" s="505"/>
      <c r="BT480" s="506"/>
      <c r="BU480" s="507"/>
      <c r="BV480" s="508"/>
      <c r="BW480" s="506" t="s">
        <v>1710</v>
      </c>
    </row>
    <row r="481" spans="2:75">
      <c r="B481" s="509" t="s">
        <v>1578</v>
      </c>
      <c r="C481" s="509" t="s">
        <v>443</v>
      </c>
      <c r="D481" s="509" t="s">
        <v>506</v>
      </c>
      <c r="E481" s="509" t="s">
        <v>507</v>
      </c>
      <c r="F481" s="510" t="s">
        <v>81</v>
      </c>
      <c r="G481" s="506"/>
      <c r="H481" s="511" t="s">
        <v>39</v>
      </c>
      <c r="I481" s="512" t="s">
        <v>1711</v>
      </c>
      <c r="J481" s="513" t="s">
        <v>1712</v>
      </c>
      <c r="K481" s="499" cm="1">
        <f t="array" ref="K481">_xlfn.XLOOKUP(D481&amp;E481&amp;H481&amp;I481&amp;J481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676.57</v>
      </c>
      <c r="L481" s="500"/>
      <c r="M481" s="500"/>
      <c r="N481" s="500"/>
      <c r="O481" s="501"/>
      <c r="P481" s="502"/>
      <c r="Q481" s="503"/>
      <c r="R481" s="503"/>
      <c r="S481" s="503"/>
      <c r="T481" s="503"/>
      <c r="U481" s="503"/>
      <c r="V481" s="503"/>
      <c r="W481" s="503"/>
      <c r="X481" s="503"/>
      <c r="Y481" s="503"/>
      <c r="Z481" s="503"/>
      <c r="AA481" s="503"/>
      <c r="AB481" s="503"/>
      <c r="AC481" s="503"/>
      <c r="AD481" s="503"/>
      <c r="AE481" s="503"/>
      <c r="AF481" s="503"/>
      <c r="AG481" s="503"/>
      <c r="AH481" s="503"/>
      <c r="AI481" s="503"/>
      <c r="AJ481" s="503"/>
      <c r="AK481" s="503"/>
      <c r="AL481" s="503"/>
      <c r="AM481" s="503"/>
      <c r="AN481" s="503"/>
      <c r="AO481" s="504"/>
      <c r="AP481" s="504"/>
      <c r="AQ481" s="504"/>
      <c r="AR481" s="504"/>
      <c r="AS481" s="502"/>
      <c r="AT481" s="502"/>
      <c r="AU481" s="502"/>
      <c r="AV481" s="502"/>
      <c r="AW481" s="503"/>
      <c r="AX481" s="503"/>
      <c r="AY481" s="503"/>
      <c r="AZ481" s="503"/>
      <c r="BA481" s="500"/>
      <c r="BB481" s="500"/>
      <c r="BC481" s="500"/>
      <c r="BD481" s="500"/>
      <c r="BE481" s="500"/>
      <c r="BF481" s="500"/>
      <c r="BG481" s="500"/>
      <c r="BH481" s="500"/>
      <c r="BI481" s="500"/>
      <c r="BJ481" s="500"/>
      <c r="BK481" s="500"/>
      <c r="BL481" s="500"/>
      <c r="BM481" s="505"/>
      <c r="BN481" s="505"/>
      <c r="BO481" s="505"/>
      <c r="BP481" s="505"/>
      <c r="BQ481" s="505"/>
      <c r="BR481" s="505"/>
      <c r="BS481" s="505"/>
      <c r="BT481" s="506"/>
      <c r="BU481" s="507"/>
      <c r="BV481" s="508"/>
      <c r="BW481" s="506" t="s">
        <v>1710</v>
      </c>
    </row>
    <row r="482" spans="2:75">
      <c r="B482" s="509" t="s">
        <v>1578</v>
      </c>
      <c r="C482" s="509" t="s">
        <v>443</v>
      </c>
      <c r="D482" s="509" t="s">
        <v>506</v>
      </c>
      <c r="E482" s="509" t="s">
        <v>507</v>
      </c>
      <c r="F482" s="510" t="s">
        <v>81</v>
      </c>
      <c r="G482" s="506"/>
      <c r="H482" s="511" t="s">
        <v>39</v>
      </c>
      <c r="I482" s="512" t="s">
        <v>559</v>
      </c>
      <c r="J482" s="513" t="s">
        <v>1713</v>
      </c>
      <c r="K482" s="499">
        <v>2954.9</v>
      </c>
      <c r="L482" s="500"/>
      <c r="M482" s="500"/>
      <c r="N482" s="500"/>
      <c r="O482" s="501"/>
      <c r="P482" s="502"/>
      <c r="Q482" s="503"/>
      <c r="R482" s="503"/>
      <c r="S482" s="503"/>
      <c r="T482" s="503"/>
      <c r="U482" s="503"/>
      <c r="V482" s="503"/>
      <c r="W482" s="503"/>
      <c r="X482" s="503"/>
      <c r="Y482" s="503"/>
      <c r="Z482" s="503"/>
      <c r="AA482" s="503"/>
      <c r="AB482" s="503"/>
      <c r="AC482" s="503"/>
      <c r="AD482" s="503"/>
      <c r="AE482" s="503"/>
      <c r="AF482" s="503"/>
      <c r="AG482" s="503"/>
      <c r="AH482" s="503"/>
      <c r="AI482" s="503"/>
      <c r="AJ482" s="503"/>
      <c r="AK482" s="503"/>
      <c r="AL482" s="503"/>
      <c r="AM482" s="503"/>
      <c r="AN482" s="503"/>
      <c r="AO482" s="504"/>
      <c r="AP482" s="504"/>
      <c r="AQ482" s="504"/>
      <c r="AR482" s="504"/>
      <c r="AS482" s="502"/>
      <c r="AT482" s="502"/>
      <c r="AU482" s="502"/>
      <c r="AV482" s="502"/>
      <c r="AW482" s="503"/>
      <c r="AX482" s="503"/>
      <c r="AY482" s="503"/>
      <c r="AZ482" s="503"/>
      <c r="BA482" s="500"/>
      <c r="BB482" s="500"/>
      <c r="BC482" s="500"/>
      <c r="BD482" s="500"/>
      <c r="BE482" s="500"/>
      <c r="BF482" s="500"/>
      <c r="BG482" s="500"/>
      <c r="BH482" s="500"/>
      <c r="BI482" s="500"/>
      <c r="BJ482" s="500"/>
      <c r="BK482" s="500"/>
      <c r="BL482" s="500"/>
      <c r="BM482" s="505"/>
      <c r="BN482" s="505"/>
      <c r="BO482" s="505"/>
      <c r="BP482" s="505"/>
      <c r="BQ482" s="505"/>
      <c r="BR482" s="505"/>
      <c r="BS482" s="505"/>
      <c r="BT482" s="506"/>
      <c r="BU482" s="507"/>
      <c r="BV482" s="508"/>
      <c r="BW482" s="506" t="s">
        <v>1710</v>
      </c>
    </row>
    <row r="483" spans="2:75">
      <c r="B483" s="509" t="s">
        <v>1578</v>
      </c>
      <c r="C483" s="509" t="s">
        <v>443</v>
      </c>
      <c r="D483" s="509" t="s">
        <v>810</v>
      </c>
      <c r="E483" s="509" t="s">
        <v>811</v>
      </c>
      <c r="F483" s="510" t="s">
        <v>81</v>
      </c>
      <c r="G483" s="506"/>
      <c r="H483" s="511" t="s">
        <v>628</v>
      </c>
      <c r="I483" s="512" t="s">
        <v>855</v>
      </c>
      <c r="J483" s="513" t="s">
        <v>1714</v>
      </c>
      <c r="K483" s="499" cm="1">
        <f t="array" ref="K483">_xlfn.XLOOKUP(D483&amp;E483&amp;H483&amp;I483&amp;J483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10745.22</v>
      </c>
      <c r="L483" s="500"/>
      <c r="M483" s="500"/>
      <c r="N483" s="500"/>
      <c r="O483" s="501"/>
      <c r="P483" s="502"/>
      <c r="Q483" s="503"/>
      <c r="R483" s="503"/>
      <c r="S483" s="503"/>
      <c r="T483" s="503"/>
      <c r="U483" s="503"/>
      <c r="V483" s="503"/>
      <c r="W483" s="503"/>
      <c r="X483" s="503"/>
      <c r="Y483" s="503"/>
      <c r="Z483" s="503"/>
      <c r="AA483" s="503"/>
      <c r="AB483" s="503"/>
      <c r="AC483" s="503"/>
      <c r="AD483" s="503"/>
      <c r="AE483" s="503"/>
      <c r="AF483" s="503"/>
      <c r="AG483" s="503"/>
      <c r="AH483" s="503"/>
      <c r="AI483" s="503"/>
      <c r="AJ483" s="503"/>
      <c r="AK483" s="503"/>
      <c r="AL483" s="503"/>
      <c r="AM483" s="503"/>
      <c r="AN483" s="503"/>
      <c r="AO483" s="504"/>
      <c r="AP483" s="504"/>
      <c r="AQ483" s="504"/>
      <c r="AR483" s="504"/>
      <c r="AS483" s="502"/>
      <c r="AT483" s="502"/>
      <c r="AU483" s="502"/>
      <c r="AV483" s="502"/>
      <c r="AW483" s="503"/>
      <c r="AX483" s="503"/>
      <c r="AY483" s="503"/>
      <c r="AZ483" s="503"/>
      <c r="BA483" s="500"/>
      <c r="BB483" s="500"/>
      <c r="BC483" s="500"/>
      <c r="BD483" s="500"/>
      <c r="BE483" s="500"/>
      <c r="BF483" s="500"/>
      <c r="BG483" s="500"/>
      <c r="BH483" s="500"/>
      <c r="BI483" s="500"/>
      <c r="BJ483" s="500"/>
      <c r="BK483" s="500"/>
      <c r="BL483" s="500"/>
      <c r="BM483" s="505"/>
      <c r="BN483" s="505"/>
      <c r="BO483" s="505"/>
      <c r="BP483" s="505"/>
      <c r="BQ483" s="505"/>
      <c r="BR483" s="505"/>
      <c r="BS483" s="505"/>
      <c r="BT483" s="506"/>
      <c r="BU483" s="507"/>
      <c r="BV483" s="508"/>
      <c r="BW483" s="506" t="s">
        <v>1710</v>
      </c>
    </row>
    <row r="484" ht="27" spans="2:75">
      <c r="B484" s="509" t="s">
        <v>1578</v>
      </c>
      <c r="C484" s="509" t="s">
        <v>874</v>
      </c>
      <c r="D484" s="509" t="s">
        <v>984</v>
      </c>
      <c r="E484" s="509" t="s">
        <v>985</v>
      </c>
      <c r="F484" s="510" t="s">
        <v>81</v>
      </c>
      <c r="G484" s="506"/>
      <c r="H484" s="511" t="s">
        <v>39</v>
      </c>
      <c r="I484" s="512" t="s">
        <v>987</v>
      </c>
      <c r="J484" s="513" t="s">
        <v>1715</v>
      </c>
      <c r="K484" s="499" cm="1">
        <f t="array" ref="K484">_xlfn.XLOOKUP(D484&amp;E484&amp;H484&amp;I484&amp;J484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11981.43</v>
      </c>
      <c r="L484" s="500"/>
      <c r="M484" s="500"/>
      <c r="N484" s="500"/>
      <c r="O484" s="501"/>
      <c r="P484" s="502"/>
      <c r="Q484" s="503"/>
      <c r="R484" s="503"/>
      <c r="S484" s="503"/>
      <c r="T484" s="503"/>
      <c r="U484" s="503"/>
      <c r="V484" s="503"/>
      <c r="W484" s="503"/>
      <c r="X484" s="503"/>
      <c r="Y484" s="503"/>
      <c r="Z484" s="503"/>
      <c r="AA484" s="503"/>
      <c r="AB484" s="503"/>
      <c r="AC484" s="503"/>
      <c r="AD484" s="503"/>
      <c r="AE484" s="503"/>
      <c r="AF484" s="503"/>
      <c r="AG484" s="503"/>
      <c r="AH484" s="503"/>
      <c r="AI484" s="503"/>
      <c r="AJ484" s="503"/>
      <c r="AK484" s="503"/>
      <c r="AL484" s="503"/>
      <c r="AM484" s="503"/>
      <c r="AN484" s="503"/>
      <c r="AO484" s="504"/>
      <c r="AP484" s="504"/>
      <c r="AQ484" s="504"/>
      <c r="AR484" s="504"/>
      <c r="AS484" s="502"/>
      <c r="AT484" s="502"/>
      <c r="AU484" s="502"/>
      <c r="AV484" s="502"/>
      <c r="AW484" s="503"/>
      <c r="AX484" s="503"/>
      <c r="AY484" s="503"/>
      <c r="AZ484" s="503"/>
      <c r="BA484" s="500"/>
      <c r="BB484" s="500"/>
      <c r="BC484" s="500"/>
      <c r="BD484" s="500"/>
      <c r="BE484" s="500"/>
      <c r="BF484" s="500"/>
      <c r="BG484" s="500"/>
      <c r="BH484" s="500"/>
      <c r="BI484" s="500"/>
      <c r="BJ484" s="500"/>
      <c r="BK484" s="500"/>
      <c r="BL484" s="500"/>
      <c r="BM484" s="505"/>
      <c r="BN484" s="505"/>
      <c r="BO484" s="505"/>
      <c r="BP484" s="505"/>
      <c r="BQ484" s="505"/>
      <c r="BR484" s="505"/>
      <c r="BS484" s="505"/>
      <c r="BT484" s="506"/>
      <c r="BU484" s="507"/>
      <c r="BV484" s="508"/>
      <c r="BW484" s="506" t="s">
        <v>1710</v>
      </c>
    </row>
    <row r="485" ht="27" spans="2:75">
      <c r="B485" s="509" t="s">
        <v>1578</v>
      </c>
      <c r="C485" s="509" t="s">
        <v>874</v>
      </c>
      <c r="D485" s="509" t="s">
        <v>984</v>
      </c>
      <c r="E485" s="509" t="s">
        <v>985</v>
      </c>
      <c r="F485" s="510" t="s">
        <v>81</v>
      </c>
      <c r="G485" s="506"/>
      <c r="H485" s="511" t="s">
        <v>39</v>
      </c>
      <c r="I485" s="512" t="s">
        <v>991</v>
      </c>
      <c r="J485" s="513" t="s">
        <v>1716</v>
      </c>
      <c r="K485" s="499" cm="1">
        <f t="array" ref="K485">_xlfn.XLOOKUP(D485&amp;E485&amp;H485&amp;I485&amp;J485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86745.25</v>
      </c>
      <c r="L485" s="500"/>
      <c r="M485" s="500"/>
      <c r="N485" s="500"/>
      <c r="O485" s="501"/>
      <c r="P485" s="502"/>
      <c r="Q485" s="503"/>
      <c r="R485" s="503"/>
      <c r="S485" s="503"/>
      <c r="T485" s="503"/>
      <c r="U485" s="503"/>
      <c r="V485" s="503"/>
      <c r="W485" s="503"/>
      <c r="X485" s="503"/>
      <c r="Y485" s="503"/>
      <c r="Z485" s="503"/>
      <c r="AA485" s="503"/>
      <c r="AB485" s="503"/>
      <c r="AC485" s="503"/>
      <c r="AD485" s="503"/>
      <c r="AE485" s="503"/>
      <c r="AF485" s="503"/>
      <c r="AG485" s="503"/>
      <c r="AH485" s="503"/>
      <c r="AI485" s="503"/>
      <c r="AJ485" s="503"/>
      <c r="AK485" s="503"/>
      <c r="AL485" s="503"/>
      <c r="AM485" s="503"/>
      <c r="AN485" s="503"/>
      <c r="AO485" s="504"/>
      <c r="AP485" s="504"/>
      <c r="AQ485" s="504"/>
      <c r="AR485" s="504"/>
      <c r="AS485" s="502"/>
      <c r="AT485" s="502"/>
      <c r="AU485" s="502"/>
      <c r="AV485" s="502"/>
      <c r="AW485" s="503"/>
      <c r="AX485" s="503"/>
      <c r="AY485" s="503"/>
      <c r="AZ485" s="503"/>
      <c r="BA485" s="500"/>
      <c r="BB485" s="500"/>
      <c r="BC485" s="500"/>
      <c r="BD485" s="500"/>
      <c r="BE485" s="500"/>
      <c r="BF485" s="500"/>
      <c r="BG485" s="500"/>
      <c r="BH485" s="500"/>
      <c r="BI485" s="500"/>
      <c r="BJ485" s="500"/>
      <c r="BK485" s="500"/>
      <c r="BL485" s="500"/>
      <c r="BM485" s="505"/>
      <c r="BN485" s="505"/>
      <c r="BO485" s="505"/>
      <c r="BP485" s="505"/>
      <c r="BQ485" s="505"/>
      <c r="BR485" s="505"/>
      <c r="BS485" s="505"/>
      <c r="BT485" s="506"/>
      <c r="BU485" s="507"/>
      <c r="BV485" s="508"/>
      <c r="BW485" s="506" t="s">
        <v>1710</v>
      </c>
    </row>
    <row r="486" spans="2:75">
      <c r="B486" s="509" t="s">
        <v>1578</v>
      </c>
      <c r="C486" s="509" t="s">
        <v>874</v>
      </c>
      <c r="D486" s="509" t="s">
        <v>984</v>
      </c>
      <c r="E486" s="509" t="s">
        <v>985</v>
      </c>
      <c r="F486" s="510" t="s">
        <v>81</v>
      </c>
      <c r="G486" s="506"/>
      <c r="H486" s="511" t="s">
        <v>39</v>
      </c>
      <c r="I486" s="512" t="s">
        <v>998</v>
      </c>
      <c r="J486" s="513" t="s">
        <v>1717</v>
      </c>
      <c r="K486" s="499" cm="1">
        <f t="array" ref="K486">_xlfn.XLOOKUP(D486&amp;E486&amp;H486&amp;I486&amp;J486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19166.47</v>
      </c>
      <c r="L486" s="500"/>
      <c r="M486" s="500"/>
      <c r="N486" s="500"/>
      <c r="O486" s="501"/>
      <c r="P486" s="502"/>
      <c r="Q486" s="503"/>
      <c r="R486" s="503"/>
      <c r="S486" s="503"/>
      <c r="T486" s="503"/>
      <c r="U486" s="503"/>
      <c r="V486" s="503"/>
      <c r="W486" s="503"/>
      <c r="X486" s="503"/>
      <c r="Y486" s="503"/>
      <c r="Z486" s="503"/>
      <c r="AA486" s="503"/>
      <c r="AB486" s="503"/>
      <c r="AC486" s="503"/>
      <c r="AD486" s="503"/>
      <c r="AE486" s="503"/>
      <c r="AF486" s="503"/>
      <c r="AG486" s="503"/>
      <c r="AH486" s="503"/>
      <c r="AI486" s="503"/>
      <c r="AJ486" s="503"/>
      <c r="AK486" s="503"/>
      <c r="AL486" s="503"/>
      <c r="AM486" s="503"/>
      <c r="AN486" s="503"/>
      <c r="AO486" s="504"/>
      <c r="AP486" s="504"/>
      <c r="AQ486" s="504"/>
      <c r="AR486" s="504"/>
      <c r="AS486" s="502"/>
      <c r="AT486" s="502"/>
      <c r="AU486" s="502"/>
      <c r="AV486" s="502"/>
      <c r="AW486" s="503"/>
      <c r="AX486" s="503"/>
      <c r="AY486" s="503"/>
      <c r="AZ486" s="503"/>
      <c r="BA486" s="500"/>
      <c r="BB486" s="500"/>
      <c r="BC486" s="500"/>
      <c r="BD486" s="500"/>
      <c r="BE486" s="500"/>
      <c r="BF486" s="500"/>
      <c r="BG486" s="500"/>
      <c r="BH486" s="500"/>
      <c r="BI486" s="500"/>
      <c r="BJ486" s="500"/>
      <c r="BK486" s="500"/>
      <c r="BL486" s="500"/>
      <c r="BM486" s="505"/>
      <c r="BN486" s="505"/>
      <c r="BO486" s="505"/>
      <c r="BP486" s="505"/>
      <c r="BQ486" s="505"/>
      <c r="BR486" s="505"/>
      <c r="BS486" s="505"/>
      <c r="BT486" s="506"/>
      <c r="BU486" s="507"/>
      <c r="BV486" s="508"/>
      <c r="BW486" s="506" t="s">
        <v>1710</v>
      </c>
    </row>
    <row r="487" spans="2:75">
      <c r="B487" s="509" t="s">
        <v>1578</v>
      </c>
      <c r="C487" s="509" t="s">
        <v>874</v>
      </c>
      <c r="D487" s="509" t="s">
        <v>984</v>
      </c>
      <c r="E487" s="509" t="s">
        <v>985</v>
      </c>
      <c r="F487" s="510" t="s">
        <v>81</v>
      </c>
      <c r="G487" s="506"/>
      <c r="H487" s="511" t="s">
        <v>39</v>
      </c>
      <c r="I487" s="512" t="s">
        <v>1004</v>
      </c>
      <c r="J487" s="513" t="s">
        <v>1718</v>
      </c>
      <c r="K487" s="499" cm="1">
        <f t="array" ref="K487">_xlfn.XLOOKUP(D487&amp;E487&amp;H487&amp;I487&amp;J487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22845.19</v>
      </c>
      <c r="L487" s="500"/>
      <c r="M487" s="500"/>
      <c r="N487" s="500"/>
      <c r="O487" s="501"/>
      <c r="P487" s="502"/>
      <c r="Q487" s="503"/>
      <c r="R487" s="503"/>
      <c r="S487" s="503"/>
      <c r="T487" s="503"/>
      <c r="U487" s="503"/>
      <c r="V487" s="503"/>
      <c r="W487" s="503"/>
      <c r="X487" s="503"/>
      <c r="Y487" s="503"/>
      <c r="Z487" s="503"/>
      <c r="AA487" s="503"/>
      <c r="AB487" s="503"/>
      <c r="AC487" s="503"/>
      <c r="AD487" s="503"/>
      <c r="AE487" s="503"/>
      <c r="AF487" s="503"/>
      <c r="AG487" s="503"/>
      <c r="AH487" s="503"/>
      <c r="AI487" s="503"/>
      <c r="AJ487" s="503"/>
      <c r="AK487" s="503"/>
      <c r="AL487" s="503"/>
      <c r="AM487" s="503"/>
      <c r="AN487" s="503"/>
      <c r="AO487" s="504"/>
      <c r="AP487" s="504"/>
      <c r="AQ487" s="504"/>
      <c r="AR487" s="504"/>
      <c r="AS487" s="502"/>
      <c r="AT487" s="502"/>
      <c r="AU487" s="502"/>
      <c r="AV487" s="502"/>
      <c r="AW487" s="503"/>
      <c r="AX487" s="503"/>
      <c r="AY487" s="503"/>
      <c r="AZ487" s="503"/>
      <c r="BA487" s="500"/>
      <c r="BB487" s="500"/>
      <c r="BC487" s="500"/>
      <c r="BD487" s="500"/>
      <c r="BE487" s="500"/>
      <c r="BF487" s="500"/>
      <c r="BG487" s="500"/>
      <c r="BH487" s="500"/>
      <c r="BI487" s="500"/>
      <c r="BJ487" s="500"/>
      <c r="BK487" s="500"/>
      <c r="BL487" s="500"/>
      <c r="BM487" s="505"/>
      <c r="BN487" s="505"/>
      <c r="BO487" s="505"/>
      <c r="BP487" s="505"/>
      <c r="BQ487" s="505"/>
      <c r="BR487" s="505"/>
      <c r="BS487" s="505"/>
      <c r="BT487" s="506"/>
      <c r="BU487" s="507"/>
      <c r="BV487" s="508"/>
      <c r="BW487" s="506" t="s">
        <v>1710</v>
      </c>
    </row>
    <row r="488" spans="2:75">
      <c r="B488" s="509" t="s">
        <v>1578</v>
      </c>
      <c r="C488" s="509" t="s">
        <v>874</v>
      </c>
      <c r="D488" s="509" t="s">
        <v>984</v>
      </c>
      <c r="E488" s="509" t="s">
        <v>985</v>
      </c>
      <c r="F488" s="510" t="s">
        <v>81</v>
      </c>
      <c r="G488" s="506"/>
      <c r="H488" s="511" t="s">
        <v>39</v>
      </c>
      <c r="I488" s="512" t="s">
        <v>1009</v>
      </c>
      <c r="J488" s="513" t="s">
        <v>1005</v>
      </c>
      <c r="K488" s="499" cm="1">
        <f t="array" ref="K488">_xlfn.XLOOKUP(D488&amp;E488&amp;H488&amp;I488&amp;J488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3748.92</v>
      </c>
      <c r="L488" s="500"/>
      <c r="M488" s="500"/>
      <c r="N488" s="500"/>
      <c r="O488" s="501"/>
      <c r="P488" s="502"/>
      <c r="Q488" s="503"/>
      <c r="R488" s="503"/>
      <c r="S488" s="503"/>
      <c r="T488" s="503"/>
      <c r="U488" s="503"/>
      <c r="V488" s="503"/>
      <c r="W488" s="503"/>
      <c r="X488" s="503"/>
      <c r="Y488" s="503"/>
      <c r="Z488" s="503"/>
      <c r="AA488" s="503"/>
      <c r="AB488" s="503"/>
      <c r="AC488" s="503"/>
      <c r="AD488" s="503"/>
      <c r="AE488" s="503"/>
      <c r="AF488" s="503"/>
      <c r="AG488" s="503"/>
      <c r="AH488" s="503"/>
      <c r="AI488" s="503"/>
      <c r="AJ488" s="503"/>
      <c r="AK488" s="503"/>
      <c r="AL488" s="503"/>
      <c r="AM488" s="503"/>
      <c r="AN488" s="503"/>
      <c r="AO488" s="504"/>
      <c r="AP488" s="504"/>
      <c r="AQ488" s="504"/>
      <c r="AR488" s="504"/>
      <c r="AS488" s="502"/>
      <c r="AT488" s="502"/>
      <c r="AU488" s="502"/>
      <c r="AV488" s="502"/>
      <c r="AW488" s="503"/>
      <c r="AX488" s="503"/>
      <c r="AY488" s="503"/>
      <c r="AZ488" s="503"/>
      <c r="BA488" s="500"/>
      <c r="BB488" s="500"/>
      <c r="BC488" s="500"/>
      <c r="BD488" s="500"/>
      <c r="BE488" s="500"/>
      <c r="BF488" s="500"/>
      <c r="BG488" s="500"/>
      <c r="BH488" s="500"/>
      <c r="BI488" s="500"/>
      <c r="BJ488" s="500"/>
      <c r="BK488" s="500"/>
      <c r="BL488" s="500"/>
      <c r="BM488" s="505"/>
      <c r="BN488" s="505"/>
      <c r="BO488" s="505"/>
      <c r="BP488" s="505"/>
      <c r="BQ488" s="505"/>
      <c r="BR488" s="505"/>
      <c r="BS488" s="505"/>
      <c r="BT488" s="506"/>
      <c r="BU488" s="507"/>
      <c r="BV488" s="508"/>
      <c r="BW488" s="506" t="s">
        <v>1710</v>
      </c>
    </row>
    <row r="489" spans="2:75">
      <c r="B489" s="509" t="s">
        <v>1578</v>
      </c>
      <c r="C489" s="221" t="s">
        <v>443</v>
      </c>
      <c r="D489" s="221" t="s">
        <v>506</v>
      </c>
      <c r="E489" s="221" t="s">
        <v>507</v>
      </c>
      <c r="F489" s="219" t="s">
        <v>81</v>
      </c>
      <c r="G489" s="222" t="s">
        <v>374</v>
      </c>
      <c r="H489" s="233" t="s">
        <v>39</v>
      </c>
      <c r="I489" s="514" t="s">
        <v>1719</v>
      </c>
      <c r="J489" s="233" t="s">
        <v>573</v>
      </c>
      <c r="K489" s="296">
        <v>997.5</v>
      </c>
    </row>
    <row r="494" spans="2:75">
      <c r="K494" s="31">
        <v>5229348.9</v>
      </c>
    </row>
  </sheetData>
  <sheetProtection formatCells="0" formatColumns="0" formatRows="0" insertRows="0" insertColumns="0" insertHyperlinks="0" deleteColumns="0" deleteRows="0" sort="0" autoFilter="0" pivotTables="0"/>
  <autoFilter xmlns:etc="http://www.wps.cn/officeDocument/2017/etCustomData" ref="A2:BX489" etc:filterBottomFollowUsedRange="0">
    <extLst/>
  </autoFilter>
  <mergeCells count="1">
    <mergeCell ref="A1:T1"/>
  </mergeCells>
  <dataValidations count="1">
    <dataValidation type="list" allowBlank="1" showInputMessage="1" showErrorMessage="1" sqref="F108:F114">
      <formula1>"自营/分组作业,分组作业,强责,自营,人员服务外包,人员服务外包/自营"</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E436"/>
  <sheetViews>
    <sheetView workbookViewId="0">
      <selection activeCell="A1" sqref="A1:P1"/>
    </sheetView>
  </sheetViews>
  <sheetFormatPr defaultColWidth="9" defaultRowHeight="13.5"/>
  <cols>
    <col min="1" max="1" width="9" style="27" customWidth="1"/>
    <col min="2" max="2" width="16.25" style="27" hidden="1" customWidth="1"/>
    <col min="3" max="4" width="12.5" style="28" hidden="1" customWidth="1"/>
    <col min="5" max="5" width="21.125" style="28" customWidth="1"/>
    <col min="6" max="6" width="12.5" style="29" customWidth="1"/>
    <col min="7" max="7" width="12.5" style="28" customWidth="1"/>
    <col min="8" max="8" width="16.25" style="28" customWidth="1"/>
    <col min="9" max="9" width="14.375" style="30" customWidth="1"/>
    <col min="10" max="10" width="16.25" style="31" customWidth="1"/>
    <col min="11" max="11" width="16.25" style="31" hidden="1" customWidth="1"/>
    <col min="12" max="12" width="12.5" style="31" customWidth="1"/>
    <col min="13" max="13" width="12.5" style="31" hidden="1" customWidth="1"/>
    <col min="14" max="14" width="25.875" style="32" hidden="1" customWidth="1"/>
    <col min="15" max="15" width="10.75" style="33" customWidth="1"/>
    <col min="16" max="17" width="12.5" style="27" customWidth="1"/>
    <col min="18" max="20" width="14.25" style="27" customWidth="1"/>
    <col min="21" max="21" width="12.5" style="27" customWidth="1"/>
    <col min="22" max="22" width="12.5" style="34" customWidth="1"/>
    <col min="23" max="23" width="12.5" style="33" customWidth="1"/>
    <col min="24" max="24" width="12.5" style="27" customWidth="1"/>
    <col min="25" max="27" width="12.5" style="31" customWidth="1"/>
    <col min="28" max="28" width="27.875" style="35" customWidth="1"/>
    <col min="29" max="29" width="10.75" style="28" customWidth="1"/>
    <col min="30" max="30" width="41.5" style="29" customWidth="1"/>
    <col min="31" max="31" width="41.75" style="30" customWidth="1"/>
  </cols>
  <sheetData>
    <row r="1" ht="18.75" customHeight="1" spans="1:31">
      <c r="A1" s="36" t="s">
        <v>0</v>
      </c>
      <c r="B1" s="37"/>
      <c r="C1" s="37"/>
      <c r="D1" s="37"/>
      <c r="E1" s="37"/>
      <c r="F1" s="37"/>
      <c r="G1" s="37"/>
      <c r="H1" s="37"/>
      <c r="I1" s="37"/>
      <c r="J1" s="37"/>
      <c r="K1" s="37"/>
      <c r="L1" s="37"/>
      <c r="M1" s="37"/>
      <c r="N1" s="37"/>
      <c r="O1" s="37"/>
      <c r="P1" s="37"/>
      <c r="Q1" s="38"/>
      <c r="R1" s="38"/>
      <c r="S1" s="38"/>
      <c r="T1" s="38"/>
      <c r="U1" s="38"/>
      <c r="V1" s="38"/>
      <c r="W1" s="38"/>
      <c r="X1" s="38"/>
      <c r="Y1" s="38"/>
      <c r="Z1" s="38"/>
      <c r="AA1" s="38"/>
      <c r="AB1" s="41"/>
      <c r="AC1" s="38"/>
      <c r="AD1" s="42"/>
      <c r="AE1" s="42"/>
    </row>
    <row r="2" s="1" customFormat="1" ht="40.5" customHeight="1" spans="1:31">
      <c r="A2" s="178" t="s">
        <v>1</v>
      </c>
      <c r="B2" s="178" t="s">
        <v>2</v>
      </c>
      <c r="C2" s="178" t="s">
        <v>3</v>
      </c>
      <c r="D2" s="178" t="s">
        <v>4</v>
      </c>
      <c r="E2" s="178" t="s">
        <v>5</v>
      </c>
      <c r="F2" s="179" t="s">
        <v>6</v>
      </c>
      <c r="G2" s="179" t="s">
        <v>7</v>
      </c>
      <c r="H2" s="179" t="s">
        <v>8</v>
      </c>
      <c r="I2" s="179" t="s">
        <v>9</v>
      </c>
      <c r="J2" s="179" t="s">
        <v>10</v>
      </c>
      <c r="K2" s="179"/>
      <c r="L2" s="180" t="s">
        <v>1720</v>
      </c>
      <c r="M2" s="181" t="s">
        <v>11</v>
      </c>
      <c r="N2" s="182" t="s">
        <v>12</v>
      </c>
      <c r="O2" s="183" t="s">
        <v>13</v>
      </c>
      <c r="P2" s="184" t="s">
        <v>1406</v>
      </c>
      <c r="Q2" s="184" t="s">
        <v>1410</v>
      </c>
      <c r="R2" s="184" t="s">
        <v>1414</v>
      </c>
      <c r="S2" s="184" t="s">
        <v>1418</v>
      </c>
      <c r="T2" s="184" t="s">
        <v>1422</v>
      </c>
      <c r="U2" s="184" t="s">
        <v>1426</v>
      </c>
      <c r="V2" s="184" t="s">
        <v>1430</v>
      </c>
      <c r="W2" s="184" t="s">
        <v>1434</v>
      </c>
      <c r="X2" s="184" t="s">
        <v>1438</v>
      </c>
      <c r="Y2" s="184" t="s">
        <v>1442</v>
      </c>
      <c r="Z2" s="184" t="s">
        <v>1446</v>
      </c>
      <c r="AA2" s="184" t="s">
        <v>1450</v>
      </c>
      <c r="AB2" s="185" t="s">
        <v>28</v>
      </c>
      <c r="AC2" s="186" t="s">
        <v>29</v>
      </c>
      <c r="AD2" s="179" t="s">
        <v>30</v>
      </c>
      <c r="AE2" s="181" t="s">
        <v>31</v>
      </c>
    </row>
    <row r="3" s="2" customFormat="1" ht="12" hidden="1" customHeight="1" spans="1:31">
      <c r="A3" s="13">
        <v>1</v>
      </c>
      <c r="B3" s="187" t="s">
        <v>33</v>
      </c>
      <c r="C3" s="15" t="s">
        <v>34</v>
      </c>
      <c r="D3" s="15" t="s">
        <v>35</v>
      </c>
      <c r="E3" s="15" t="s">
        <v>36</v>
      </c>
      <c r="F3" s="13" t="s">
        <v>37</v>
      </c>
      <c r="G3" s="16" t="s">
        <v>38</v>
      </c>
      <c r="H3" s="16" t="s">
        <v>39</v>
      </c>
      <c r="I3" s="43" t="s">
        <v>39</v>
      </c>
      <c r="J3" s="16" t="s">
        <v>39</v>
      </c>
      <c r="K3" s="16"/>
      <c r="L3" s="20"/>
      <c r="M3" s="20" t="s">
        <v>39</v>
      </c>
      <c r="N3" s="21">
        <v>1900000</v>
      </c>
      <c r="O3" s="188" t="s">
        <v>39</v>
      </c>
      <c r="P3" s="188" t="s">
        <v>39</v>
      </c>
      <c r="Q3" s="188" t="s">
        <v>39</v>
      </c>
      <c r="R3" s="188" t="s">
        <v>39</v>
      </c>
      <c r="S3" s="188" t="s">
        <v>39</v>
      </c>
      <c r="T3" s="188" t="s">
        <v>39</v>
      </c>
      <c r="U3" s="188" t="s">
        <v>39</v>
      </c>
      <c r="V3" s="188" t="s">
        <v>39</v>
      </c>
      <c r="W3" s="188" t="s">
        <v>39</v>
      </c>
      <c r="X3" s="188" t="s">
        <v>39</v>
      </c>
      <c r="Y3" s="45"/>
      <c r="Z3" s="45"/>
      <c r="AA3" s="45"/>
      <c r="AB3" s="46">
        <v>0.06</v>
      </c>
      <c r="AC3" s="46" t="s">
        <v>39</v>
      </c>
      <c r="AD3" s="17"/>
      <c r="AE3" s="17"/>
    </row>
    <row r="4" s="2" customFormat="1" ht="48" hidden="1" customHeight="1" spans="1:31">
      <c r="A4" s="13">
        <v>2</v>
      </c>
      <c r="B4" s="187" t="s">
        <v>40</v>
      </c>
      <c r="C4" s="15" t="s">
        <v>34</v>
      </c>
      <c r="D4" s="15" t="s">
        <v>41</v>
      </c>
      <c r="E4" s="15" t="s">
        <v>42</v>
      </c>
      <c r="F4" s="13" t="s">
        <v>37</v>
      </c>
      <c r="G4" s="16" t="s">
        <v>38</v>
      </c>
      <c r="H4" s="16" t="s">
        <v>39</v>
      </c>
      <c r="I4" s="43" t="s">
        <v>39</v>
      </c>
      <c r="J4" s="16" t="s">
        <v>39</v>
      </c>
      <c r="K4" s="16"/>
      <c r="L4" s="20"/>
      <c r="M4" s="20" t="s">
        <v>39</v>
      </c>
      <c r="N4" s="21">
        <v>2600000</v>
      </c>
      <c r="O4" s="188" t="s">
        <v>39</v>
      </c>
      <c r="P4" s="188" t="s">
        <v>39</v>
      </c>
      <c r="Q4" s="188" t="s">
        <v>39</v>
      </c>
      <c r="R4" s="188" t="s">
        <v>39</v>
      </c>
      <c r="S4" s="188" t="s">
        <v>39</v>
      </c>
      <c r="T4" s="188" t="s">
        <v>39</v>
      </c>
      <c r="U4" s="188" t="s">
        <v>39</v>
      </c>
      <c r="V4" s="188" t="s">
        <v>39</v>
      </c>
      <c r="W4" s="188" t="s">
        <v>39</v>
      </c>
      <c r="X4" s="188" t="s">
        <v>39</v>
      </c>
      <c r="Y4" s="188"/>
      <c r="Z4" s="188"/>
      <c r="AA4" s="188"/>
      <c r="AB4" s="46">
        <v>0.0585</v>
      </c>
      <c r="AC4" s="46">
        <v>0.005</v>
      </c>
      <c r="AD4" s="189" t="s">
        <v>43</v>
      </c>
      <c r="AE4" s="17"/>
    </row>
    <row r="5" s="2" customFormat="1" ht="12" hidden="1" customHeight="1" spans="1:31">
      <c r="A5" s="13">
        <v>3</v>
      </c>
      <c r="B5" s="187" t="s">
        <v>44</v>
      </c>
      <c r="C5" s="15" t="s">
        <v>34</v>
      </c>
      <c r="D5" s="15" t="s">
        <v>45</v>
      </c>
      <c r="E5" s="15" t="s">
        <v>46</v>
      </c>
      <c r="F5" s="13" t="s">
        <v>47</v>
      </c>
      <c r="G5" s="16" t="s">
        <v>48</v>
      </c>
      <c r="H5" s="16" t="s">
        <v>39</v>
      </c>
      <c r="I5" s="17" t="s">
        <v>39</v>
      </c>
      <c r="J5" s="16" t="s">
        <v>49</v>
      </c>
      <c r="K5" s="16"/>
      <c r="L5" s="20"/>
      <c r="M5" s="20" t="s">
        <v>39</v>
      </c>
      <c r="N5" s="21">
        <v>2200000</v>
      </c>
      <c r="O5" s="190" t="s">
        <v>39</v>
      </c>
      <c r="P5" s="190" t="s">
        <v>39</v>
      </c>
      <c r="Q5" s="191">
        <v>0.01</v>
      </c>
      <c r="R5" s="190" t="s">
        <v>39</v>
      </c>
      <c r="S5" s="190" t="s">
        <v>39</v>
      </c>
      <c r="T5" s="190" t="s">
        <v>39</v>
      </c>
      <c r="U5" s="190" t="s">
        <v>39</v>
      </c>
      <c r="V5" s="45" t="s">
        <v>39</v>
      </c>
      <c r="W5" s="190" t="s">
        <v>39</v>
      </c>
      <c r="X5" s="190" t="s">
        <v>39</v>
      </c>
      <c r="Y5" s="45"/>
      <c r="Z5" s="45"/>
      <c r="AA5" s="45"/>
      <c r="AB5" s="51">
        <v>0.04</v>
      </c>
      <c r="AC5" s="46" t="s">
        <v>39</v>
      </c>
      <c r="AD5" s="17"/>
      <c r="AE5" s="17"/>
    </row>
    <row r="6" s="2" customFormat="1" ht="12" hidden="1" customHeight="1" spans="1:31">
      <c r="A6" s="13">
        <v>4</v>
      </c>
      <c r="B6" s="187" t="s">
        <v>50</v>
      </c>
      <c r="C6" s="15" t="s">
        <v>34</v>
      </c>
      <c r="D6" s="15" t="s">
        <v>51</v>
      </c>
      <c r="E6" s="15" t="s">
        <v>52</v>
      </c>
      <c r="F6" s="13" t="s">
        <v>53</v>
      </c>
      <c r="G6" s="16" t="s">
        <v>48</v>
      </c>
      <c r="H6" s="16" t="s">
        <v>39</v>
      </c>
      <c r="I6" s="43" t="s">
        <v>39</v>
      </c>
      <c r="J6" s="16" t="s">
        <v>39</v>
      </c>
      <c r="K6" s="16"/>
      <c r="L6" s="20"/>
      <c r="M6" s="20" t="s">
        <v>39</v>
      </c>
      <c r="N6" s="21">
        <v>8931000</v>
      </c>
      <c r="O6" s="190" t="s">
        <v>39</v>
      </c>
      <c r="P6" s="190" t="s">
        <v>39</v>
      </c>
      <c r="Q6" s="190" t="s">
        <v>39</v>
      </c>
      <c r="R6" s="190" t="s">
        <v>39</v>
      </c>
      <c r="S6" s="190" t="s">
        <v>39</v>
      </c>
      <c r="T6" s="190" t="s">
        <v>39</v>
      </c>
      <c r="U6" s="190" t="s">
        <v>39</v>
      </c>
      <c r="V6" s="45" t="s">
        <v>39</v>
      </c>
      <c r="W6" s="190" t="s">
        <v>39</v>
      </c>
      <c r="X6" s="190" t="s">
        <v>39</v>
      </c>
      <c r="Y6" s="45"/>
      <c r="Z6" s="45"/>
      <c r="AA6" s="45" t="s">
        <v>39</v>
      </c>
      <c r="AB6" s="46">
        <v>0.045</v>
      </c>
      <c r="AC6" s="46" t="s">
        <v>39</v>
      </c>
      <c r="AD6" s="17"/>
      <c r="AE6" s="17"/>
    </row>
    <row r="7" s="2" customFormat="1" ht="24" hidden="1" customHeight="1" spans="1:31">
      <c r="A7" s="13">
        <v>5</v>
      </c>
      <c r="B7" s="187" t="s">
        <v>54</v>
      </c>
      <c r="C7" s="15" t="s">
        <v>34</v>
      </c>
      <c r="D7" s="15" t="s">
        <v>55</v>
      </c>
      <c r="E7" s="15" t="s">
        <v>56</v>
      </c>
      <c r="F7" s="13" t="s">
        <v>47</v>
      </c>
      <c r="G7" s="16" t="s">
        <v>38</v>
      </c>
      <c r="H7" s="16" t="s">
        <v>39</v>
      </c>
      <c r="I7" s="17" t="s">
        <v>39</v>
      </c>
      <c r="J7" s="18" t="s">
        <v>57</v>
      </c>
      <c r="K7" s="18"/>
      <c r="L7" s="20"/>
      <c r="M7" s="20" t="s">
        <v>39</v>
      </c>
      <c r="N7" s="21" t="s">
        <v>39</v>
      </c>
      <c r="O7" s="190" t="s">
        <v>39</v>
      </c>
      <c r="P7" s="190" t="s">
        <v>39</v>
      </c>
      <c r="Q7" s="190" t="s">
        <v>39</v>
      </c>
      <c r="R7" s="190" t="s">
        <v>39</v>
      </c>
      <c r="S7" s="190" t="s">
        <v>39</v>
      </c>
      <c r="T7" s="190" t="s">
        <v>39</v>
      </c>
      <c r="U7" s="190" t="s">
        <v>39</v>
      </c>
      <c r="V7" s="45" t="s">
        <v>39</v>
      </c>
      <c r="W7" s="190" t="s">
        <v>39</v>
      </c>
      <c r="X7" s="190" t="s">
        <v>39</v>
      </c>
      <c r="Y7" s="188"/>
      <c r="Z7" s="188"/>
      <c r="AA7" s="188">
        <v>0.55</v>
      </c>
      <c r="AB7" s="46">
        <v>0.015</v>
      </c>
      <c r="AC7" s="52" t="s">
        <v>39</v>
      </c>
      <c r="AD7" s="189" t="s">
        <v>58</v>
      </c>
      <c r="AE7" s="17"/>
    </row>
    <row r="8" s="2" customFormat="1" ht="82.5" hidden="1" customHeight="1" spans="1:31">
      <c r="A8" s="13">
        <v>6</v>
      </c>
      <c r="B8" s="187" t="s">
        <v>59</v>
      </c>
      <c r="C8" s="15" t="s">
        <v>34</v>
      </c>
      <c r="D8" s="15" t="s">
        <v>55</v>
      </c>
      <c r="E8" s="15" t="s">
        <v>56</v>
      </c>
      <c r="F8" s="13" t="s">
        <v>47</v>
      </c>
      <c r="G8" s="16" t="s">
        <v>38</v>
      </c>
      <c r="H8" s="16" t="s">
        <v>60</v>
      </c>
      <c r="I8" s="17" t="s">
        <v>61</v>
      </c>
      <c r="J8" s="18" t="s">
        <v>62</v>
      </c>
      <c r="K8" s="18"/>
      <c r="L8" s="20"/>
      <c r="M8" s="20" t="s">
        <v>39</v>
      </c>
      <c r="N8" s="21">
        <v>700000</v>
      </c>
      <c r="O8" s="188">
        <v>0.07</v>
      </c>
      <c r="P8" s="188">
        <v>0.01</v>
      </c>
      <c r="Q8" s="188">
        <v>0</v>
      </c>
      <c r="R8" s="188">
        <v>0.03</v>
      </c>
      <c r="S8" s="188">
        <v>0.03</v>
      </c>
      <c r="T8" s="188">
        <v>0.01</v>
      </c>
      <c r="U8" s="188">
        <v>0.02</v>
      </c>
      <c r="V8" s="188">
        <v>0.04</v>
      </c>
      <c r="W8" s="188">
        <v>0.05</v>
      </c>
      <c r="X8" s="188" t="s">
        <v>1457</v>
      </c>
      <c r="Y8" s="188" t="s">
        <v>39</v>
      </c>
      <c r="Z8" s="188" t="s">
        <v>39</v>
      </c>
      <c r="AA8" s="188" t="s">
        <v>1457</v>
      </c>
      <c r="AB8" s="52" t="s">
        <v>39</v>
      </c>
      <c r="AC8" s="52" t="s">
        <v>39</v>
      </c>
      <c r="AD8" s="189" t="s">
        <v>63</v>
      </c>
      <c r="AE8" s="189"/>
    </row>
    <row r="9" s="2" customFormat="1" ht="92.25" hidden="1" customHeight="1" spans="1:31">
      <c r="A9" s="13">
        <v>7</v>
      </c>
      <c r="B9" s="187" t="s">
        <v>65</v>
      </c>
      <c r="C9" s="15" t="s">
        <v>34</v>
      </c>
      <c r="D9" s="15" t="s">
        <v>55</v>
      </c>
      <c r="E9" s="15" t="s">
        <v>56</v>
      </c>
      <c r="F9" s="13" t="s">
        <v>47</v>
      </c>
      <c r="G9" s="16" t="s">
        <v>38</v>
      </c>
      <c r="H9" s="16" t="s">
        <v>66</v>
      </c>
      <c r="I9" s="17" t="s">
        <v>67</v>
      </c>
      <c r="J9" s="18" t="s">
        <v>68</v>
      </c>
      <c r="K9" s="18"/>
      <c r="L9" s="20"/>
      <c r="M9" s="20" t="s">
        <v>39</v>
      </c>
      <c r="N9" s="21">
        <v>500000</v>
      </c>
      <c r="O9" s="188">
        <v>0.07</v>
      </c>
      <c r="P9" s="188">
        <v>0.01</v>
      </c>
      <c r="Q9" s="188">
        <v>0</v>
      </c>
      <c r="R9" s="188">
        <v>0.03</v>
      </c>
      <c r="S9" s="188">
        <v>0.03</v>
      </c>
      <c r="T9" s="188">
        <v>0.01</v>
      </c>
      <c r="U9" s="188">
        <v>0.02</v>
      </c>
      <c r="V9" s="188">
        <v>0.04</v>
      </c>
      <c r="W9" s="188">
        <v>0.05</v>
      </c>
      <c r="X9" s="188" t="s">
        <v>1457</v>
      </c>
      <c r="Y9" s="188" t="s">
        <v>39</v>
      </c>
      <c r="Z9" s="188" t="s">
        <v>39</v>
      </c>
      <c r="AA9" s="188" t="s">
        <v>1457</v>
      </c>
      <c r="AB9" s="52" t="s">
        <v>39</v>
      </c>
      <c r="AC9" s="52" t="s">
        <v>39</v>
      </c>
      <c r="AD9" s="189" t="s">
        <v>63</v>
      </c>
      <c r="AE9" s="17"/>
    </row>
    <row r="10" s="2" customFormat="1" ht="72" hidden="1" customHeight="1" spans="1:31">
      <c r="A10" s="13">
        <v>8</v>
      </c>
      <c r="B10" s="187" t="s">
        <v>69</v>
      </c>
      <c r="C10" s="15" t="s">
        <v>34</v>
      </c>
      <c r="D10" s="15" t="s">
        <v>55</v>
      </c>
      <c r="E10" s="15" t="s">
        <v>56</v>
      </c>
      <c r="F10" s="13" t="s">
        <v>47</v>
      </c>
      <c r="G10" s="16" t="s">
        <v>38</v>
      </c>
      <c r="H10" s="16" t="s">
        <v>70</v>
      </c>
      <c r="I10" s="17" t="s">
        <v>71</v>
      </c>
      <c r="J10" s="18" t="s">
        <v>72</v>
      </c>
      <c r="K10" s="18"/>
      <c r="L10" s="20"/>
      <c r="M10" s="20" t="s">
        <v>39</v>
      </c>
      <c r="N10" s="21">
        <v>700000</v>
      </c>
      <c r="O10" s="188">
        <v>0.07</v>
      </c>
      <c r="P10" s="188">
        <v>0.01</v>
      </c>
      <c r="Q10" s="188">
        <v>0</v>
      </c>
      <c r="R10" s="188">
        <v>0.03</v>
      </c>
      <c r="S10" s="188">
        <v>0.03</v>
      </c>
      <c r="T10" s="188">
        <v>0.01</v>
      </c>
      <c r="U10" s="188">
        <v>0.02</v>
      </c>
      <c r="V10" s="188">
        <v>0.04</v>
      </c>
      <c r="W10" s="188">
        <v>0.05</v>
      </c>
      <c r="X10" s="188" t="s">
        <v>1457</v>
      </c>
      <c r="Y10" s="188" t="s">
        <v>39</v>
      </c>
      <c r="Z10" s="188" t="s">
        <v>39</v>
      </c>
      <c r="AA10" s="188" t="s">
        <v>1457</v>
      </c>
      <c r="AB10" s="52" t="s">
        <v>39</v>
      </c>
      <c r="AC10" s="52" t="s">
        <v>39</v>
      </c>
      <c r="AD10" s="189" t="s">
        <v>63</v>
      </c>
      <c r="AE10" s="17"/>
    </row>
    <row r="11" s="2" customFormat="1" ht="72" hidden="1" customHeight="1" spans="1:31">
      <c r="A11" s="13">
        <v>9</v>
      </c>
      <c r="B11" s="187" t="s">
        <v>73</v>
      </c>
      <c r="C11" s="15" t="s">
        <v>34</v>
      </c>
      <c r="D11" s="15" t="s">
        <v>55</v>
      </c>
      <c r="E11" s="15" t="s">
        <v>56</v>
      </c>
      <c r="F11" s="13" t="s">
        <v>47</v>
      </c>
      <c r="G11" s="16" t="s">
        <v>38</v>
      </c>
      <c r="H11" s="16" t="s">
        <v>74</v>
      </c>
      <c r="I11" s="17" t="s">
        <v>75</v>
      </c>
      <c r="J11" s="18" t="s">
        <v>76</v>
      </c>
      <c r="K11" s="18"/>
      <c r="L11" s="20"/>
      <c r="M11" s="20" t="s">
        <v>39</v>
      </c>
      <c r="N11" s="21">
        <v>700000</v>
      </c>
      <c r="O11" s="188">
        <v>0.07</v>
      </c>
      <c r="P11" s="188">
        <v>0.01</v>
      </c>
      <c r="Q11" s="188">
        <v>0</v>
      </c>
      <c r="R11" s="188">
        <v>0.03</v>
      </c>
      <c r="S11" s="188">
        <v>0.03</v>
      </c>
      <c r="T11" s="188">
        <v>0.01</v>
      </c>
      <c r="U11" s="188">
        <v>0.02</v>
      </c>
      <c r="V11" s="188">
        <v>0.04</v>
      </c>
      <c r="W11" s="188">
        <v>0.05</v>
      </c>
      <c r="X11" s="188" t="s">
        <v>1457</v>
      </c>
      <c r="Y11" s="188" t="s">
        <v>39</v>
      </c>
      <c r="Z11" s="188" t="s">
        <v>39</v>
      </c>
      <c r="AA11" s="188" t="s">
        <v>1457</v>
      </c>
      <c r="AB11" s="52" t="s">
        <v>39</v>
      </c>
      <c r="AC11" s="52" t="s">
        <v>39</v>
      </c>
      <c r="AD11" s="189" t="s">
        <v>63</v>
      </c>
      <c r="AE11" s="17"/>
    </row>
    <row r="12" s="2" customFormat="1" ht="12" hidden="1" customHeight="1" spans="1:31">
      <c r="A12" s="13">
        <v>10</v>
      </c>
      <c r="B12" s="187" t="s">
        <v>77</v>
      </c>
      <c r="C12" s="15" t="s">
        <v>34</v>
      </c>
      <c r="D12" s="15" t="s">
        <v>78</v>
      </c>
      <c r="E12" s="15" t="s">
        <v>79</v>
      </c>
      <c r="F12" s="13" t="s">
        <v>37</v>
      </c>
      <c r="G12" s="16" t="s">
        <v>38</v>
      </c>
      <c r="H12" s="16" t="s">
        <v>39</v>
      </c>
      <c r="I12" s="43" t="s">
        <v>39</v>
      </c>
      <c r="J12" s="16" t="s">
        <v>39</v>
      </c>
      <c r="K12" s="16"/>
      <c r="L12" s="20"/>
      <c r="M12" s="20" t="s">
        <v>39</v>
      </c>
      <c r="N12" s="21" t="s">
        <v>39</v>
      </c>
      <c r="O12" s="188" t="s">
        <v>39</v>
      </c>
      <c r="P12" s="188" t="s">
        <v>39</v>
      </c>
      <c r="Q12" s="188" t="s">
        <v>39</v>
      </c>
      <c r="R12" s="188" t="s">
        <v>39</v>
      </c>
      <c r="S12" s="188" t="s">
        <v>39</v>
      </c>
      <c r="T12" s="188" t="s">
        <v>39</v>
      </c>
      <c r="U12" s="188" t="s">
        <v>39</v>
      </c>
      <c r="V12" s="188" t="s">
        <v>39</v>
      </c>
      <c r="W12" s="188" t="s">
        <v>39</v>
      </c>
      <c r="X12" s="188" t="s">
        <v>39</v>
      </c>
      <c r="Y12" s="45"/>
      <c r="Z12" s="45"/>
      <c r="AA12" s="45"/>
      <c r="AB12" s="54">
        <v>0.03</v>
      </c>
      <c r="AC12" s="52" t="s">
        <v>39</v>
      </c>
      <c r="AD12" s="17"/>
      <c r="AE12" s="17"/>
    </row>
    <row r="13" s="2" customFormat="1" ht="12" hidden="1" customHeight="1" spans="1:31">
      <c r="A13" s="13">
        <v>11</v>
      </c>
      <c r="B13" s="187" t="s">
        <v>80</v>
      </c>
      <c r="C13" s="15" t="s">
        <v>34</v>
      </c>
      <c r="D13" s="15" t="s">
        <v>78</v>
      </c>
      <c r="E13" s="15" t="s">
        <v>79</v>
      </c>
      <c r="F13" s="13" t="s">
        <v>81</v>
      </c>
      <c r="G13" s="16" t="s">
        <v>38</v>
      </c>
      <c r="H13" s="16" t="s">
        <v>66</v>
      </c>
      <c r="I13" s="43" t="s">
        <v>82</v>
      </c>
      <c r="J13" s="16" t="s">
        <v>83</v>
      </c>
      <c r="K13" s="16"/>
      <c r="L13" s="20"/>
      <c r="M13" s="20" t="s">
        <v>39</v>
      </c>
      <c r="N13" s="21">
        <v>570000</v>
      </c>
      <c r="O13" s="188">
        <v>0.1</v>
      </c>
      <c r="P13" s="188">
        <v>0.03</v>
      </c>
      <c r="Q13" s="188">
        <v>0</v>
      </c>
      <c r="R13" s="188">
        <v>0.05</v>
      </c>
      <c r="S13" s="188">
        <v>0.02</v>
      </c>
      <c r="T13" s="188">
        <v>0</v>
      </c>
      <c r="U13" s="188">
        <v>0.03</v>
      </c>
      <c r="V13" s="188">
        <v>0</v>
      </c>
      <c r="W13" s="188">
        <v>0.04</v>
      </c>
      <c r="X13" s="188" t="s">
        <v>1457</v>
      </c>
      <c r="Y13" s="45" t="s">
        <v>39</v>
      </c>
      <c r="Z13" s="45" t="s">
        <v>39</v>
      </c>
      <c r="AA13" s="45" t="s">
        <v>1457</v>
      </c>
      <c r="AB13" s="52" t="s">
        <v>39</v>
      </c>
      <c r="AC13" s="52" t="s">
        <v>39</v>
      </c>
      <c r="AD13" s="189" t="s">
        <v>84</v>
      </c>
      <c r="AE13" s="17"/>
    </row>
    <row r="14" s="2" customFormat="1" ht="60" hidden="1" customHeight="1" spans="1:31">
      <c r="A14" s="13">
        <v>12</v>
      </c>
      <c r="B14" s="187" t="s">
        <v>85</v>
      </c>
      <c r="C14" s="15" t="s">
        <v>34</v>
      </c>
      <c r="D14" s="15" t="s">
        <v>78</v>
      </c>
      <c r="E14" s="15" t="s">
        <v>79</v>
      </c>
      <c r="F14" s="13" t="s">
        <v>81</v>
      </c>
      <c r="G14" s="16" t="s">
        <v>38</v>
      </c>
      <c r="H14" s="16" t="s">
        <v>86</v>
      </c>
      <c r="I14" s="43" t="s">
        <v>87</v>
      </c>
      <c r="J14" s="16" t="s">
        <v>88</v>
      </c>
      <c r="K14" s="16"/>
      <c r="L14" s="20"/>
      <c r="M14" s="20" t="s">
        <v>39</v>
      </c>
      <c r="N14" s="21">
        <v>899800</v>
      </c>
      <c r="O14" s="188">
        <v>0</v>
      </c>
      <c r="P14" s="188">
        <v>0</v>
      </c>
      <c r="Q14" s="188">
        <v>0</v>
      </c>
      <c r="R14" s="188">
        <v>0</v>
      </c>
      <c r="S14" s="188">
        <v>0</v>
      </c>
      <c r="T14" s="188">
        <v>0</v>
      </c>
      <c r="U14" s="188">
        <v>0</v>
      </c>
      <c r="V14" s="188">
        <v>0</v>
      </c>
      <c r="W14" s="188">
        <v>0</v>
      </c>
      <c r="X14" s="192" t="s">
        <v>1457</v>
      </c>
      <c r="Y14" s="45" t="s">
        <v>1458</v>
      </c>
      <c r="Z14" s="45" t="s">
        <v>39</v>
      </c>
      <c r="AA14" s="45" t="s">
        <v>1457</v>
      </c>
      <c r="AB14" s="52" t="s">
        <v>39</v>
      </c>
      <c r="AC14" s="52" t="s">
        <v>39</v>
      </c>
      <c r="AD14" s="17" t="s">
        <v>89</v>
      </c>
      <c r="AE14" s="17"/>
    </row>
    <row r="15" s="2" customFormat="1" ht="12" hidden="1" customHeight="1" spans="1:31">
      <c r="A15" s="13">
        <v>13</v>
      </c>
      <c r="B15" s="187" t="s">
        <v>90</v>
      </c>
      <c r="C15" s="15" t="s">
        <v>34</v>
      </c>
      <c r="D15" s="15" t="s">
        <v>78</v>
      </c>
      <c r="E15" s="15" t="s">
        <v>79</v>
      </c>
      <c r="F15" s="13" t="s">
        <v>81</v>
      </c>
      <c r="G15" s="16" t="s">
        <v>38</v>
      </c>
      <c r="H15" s="16" t="s">
        <v>70</v>
      </c>
      <c r="I15" s="43" t="s">
        <v>91</v>
      </c>
      <c r="J15" s="16" t="s">
        <v>92</v>
      </c>
      <c r="K15" s="16"/>
      <c r="L15" s="20"/>
      <c r="M15" s="20" t="s">
        <v>39</v>
      </c>
      <c r="N15" s="21">
        <v>449900</v>
      </c>
      <c r="O15" s="188">
        <v>0.1</v>
      </c>
      <c r="P15" s="188">
        <v>0.03</v>
      </c>
      <c r="Q15" s="188">
        <v>0</v>
      </c>
      <c r="R15" s="188">
        <v>0.05</v>
      </c>
      <c r="S15" s="188">
        <v>0.02</v>
      </c>
      <c r="T15" s="188">
        <v>0</v>
      </c>
      <c r="U15" s="188">
        <v>0.03</v>
      </c>
      <c r="V15" s="188">
        <v>0</v>
      </c>
      <c r="W15" s="188">
        <v>0.04</v>
      </c>
      <c r="X15" s="188" t="s">
        <v>1457</v>
      </c>
      <c r="Y15" s="45" t="s">
        <v>39</v>
      </c>
      <c r="Z15" s="45" t="s">
        <v>39</v>
      </c>
      <c r="AA15" s="45" t="s">
        <v>1457</v>
      </c>
      <c r="AB15" s="52" t="s">
        <v>39</v>
      </c>
      <c r="AC15" s="52" t="s">
        <v>39</v>
      </c>
      <c r="AD15" s="189" t="s">
        <v>84</v>
      </c>
      <c r="AE15" s="17"/>
    </row>
    <row r="16" s="2" customFormat="1" ht="12" hidden="1" customHeight="1" spans="1:31">
      <c r="A16" s="13">
        <v>14</v>
      </c>
      <c r="B16" s="187" t="s">
        <v>93</v>
      </c>
      <c r="C16" s="15" t="s">
        <v>34</v>
      </c>
      <c r="D16" s="15" t="s">
        <v>78</v>
      </c>
      <c r="E16" s="15" t="s">
        <v>79</v>
      </c>
      <c r="F16" s="13" t="s">
        <v>81</v>
      </c>
      <c r="G16" s="16" t="s">
        <v>38</v>
      </c>
      <c r="H16" s="16" t="s">
        <v>74</v>
      </c>
      <c r="I16" s="43" t="s">
        <v>94</v>
      </c>
      <c r="J16" s="16" t="s">
        <v>95</v>
      </c>
      <c r="K16" s="16"/>
      <c r="L16" s="20"/>
      <c r="M16" s="20" t="s">
        <v>39</v>
      </c>
      <c r="N16" s="21">
        <v>486500</v>
      </c>
      <c r="O16" s="188">
        <v>0.1</v>
      </c>
      <c r="P16" s="188">
        <v>0.03</v>
      </c>
      <c r="Q16" s="188">
        <v>0</v>
      </c>
      <c r="R16" s="188">
        <v>0.05</v>
      </c>
      <c r="S16" s="188">
        <v>0.02</v>
      </c>
      <c r="T16" s="188">
        <v>0</v>
      </c>
      <c r="U16" s="188">
        <v>0.03</v>
      </c>
      <c r="V16" s="188">
        <v>0</v>
      </c>
      <c r="W16" s="188">
        <v>0.04</v>
      </c>
      <c r="X16" s="188" t="s">
        <v>1457</v>
      </c>
      <c r="Y16" s="45" t="s">
        <v>39</v>
      </c>
      <c r="Z16" s="45" t="s">
        <v>39</v>
      </c>
      <c r="AA16" s="45" t="s">
        <v>1457</v>
      </c>
      <c r="AB16" s="52" t="s">
        <v>39</v>
      </c>
      <c r="AC16" s="52" t="s">
        <v>39</v>
      </c>
      <c r="AD16" s="189" t="s">
        <v>84</v>
      </c>
      <c r="AE16" s="17"/>
    </row>
    <row r="17" s="2" customFormat="1" ht="12" hidden="1" customHeight="1" spans="1:31">
      <c r="A17" s="13">
        <v>15</v>
      </c>
      <c r="B17" s="187" t="s">
        <v>97</v>
      </c>
      <c r="C17" s="15" t="s">
        <v>34</v>
      </c>
      <c r="D17" s="15" t="s">
        <v>78</v>
      </c>
      <c r="E17" s="15" t="s">
        <v>79</v>
      </c>
      <c r="F17" s="13" t="s">
        <v>81</v>
      </c>
      <c r="G17" s="16" t="s">
        <v>38</v>
      </c>
      <c r="H17" s="16" t="s">
        <v>60</v>
      </c>
      <c r="I17" s="43" t="s">
        <v>98</v>
      </c>
      <c r="J17" s="16" t="s">
        <v>99</v>
      </c>
      <c r="K17" s="16"/>
      <c r="L17" s="20"/>
      <c r="M17" s="20" t="s">
        <v>39</v>
      </c>
      <c r="N17" s="21">
        <v>628600</v>
      </c>
      <c r="O17" s="188">
        <v>0.1</v>
      </c>
      <c r="P17" s="188">
        <v>0.03</v>
      </c>
      <c r="Q17" s="188">
        <v>0</v>
      </c>
      <c r="R17" s="188">
        <v>0.05</v>
      </c>
      <c r="S17" s="188">
        <v>0.02</v>
      </c>
      <c r="T17" s="188">
        <v>0</v>
      </c>
      <c r="U17" s="188">
        <v>0.03</v>
      </c>
      <c r="V17" s="188">
        <v>0</v>
      </c>
      <c r="W17" s="188">
        <v>0</v>
      </c>
      <c r="X17" s="188" t="s">
        <v>1457</v>
      </c>
      <c r="Y17" s="45" t="s">
        <v>39</v>
      </c>
      <c r="Z17" s="45" t="s">
        <v>39</v>
      </c>
      <c r="AA17" s="45" t="s">
        <v>1457</v>
      </c>
      <c r="AB17" s="52" t="s">
        <v>39</v>
      </c>
      <c r="AC17" s="52" t="s">
        <v>39</v>
      </c>
      <c r="AD17" s="189" t="s">
        <v>100</v>
      </c>
      <c r="AE17" s="17"/>
    </row>
    <row r="18" s="2" customFormat="1" ht="12" customHeight="1" spans="1:31">
      <c r="A18" s="13">
        <v>16</v>
      </c>
      <c r="B18" s="187" t="s">
        <v>105</v>
      </c>
      <c r="C18" s="15" t="s">
        <v>34</v>
      </c>
      <c r="D18" s="15" t="s">
        <v>101</v>
      </c>
      <c r="E18" s="15" t="s">
        <v>102</v>
      </c>
      <c r="F18" s="13" t="s">
        <v>47</v>
      </c>
      <c r="G18" s="16" t="s">
        <v>103</v>
      </c>
      <c r="H18" s="18" t="s">
        <v>39</v>
      </c>
      <c r="I18" s="18" t="s">
        <v>39</v>
      </c>
      <c r="J18" s="18" t="s">
        <v>39</v>
      </c>
      <c r="K18" s="18"/>
      <c r="L18" s="188"/>
      <c r="M18" s="188" t="s">
        <v>39</v>
      </c>
      <c r="N18" s="21" t="s">
        <v>39</v>
      </c>
      <c r="O18" s="188" t="s">
        <v>39</v>
      </c>
      <c r="P18" s="188"/>
      <c r="Q18" s="188"/>
      <c r="R18" s="188"/>
      <c r="S18" s="188" t="s">
        <v>39</v>
      </c>
      <c r="T18" s="188" t="s">
        <v>39</v>
      </c>
      <c r="U18" s="188" t="s">
        <v>39</v>
      </c>
      <c r="V18" s="188"/>
      <c r="W18" s="188"/>
      <c r="X18" s="188"/>
      <c r="Y18" s="188"/>
      <c r="Z18" s="188"/>
      <c r="AA18" s="188"/>
      <c r="AB18" s="54">
        <v>0.02</v>
      </c>
      <c r="AC18" s="193" t="s">
        <v>39</v>
      </c>
      <c r="AD18" s="189" t="s">
        <v>104</v>
      </c>
      <c r="AE18" s="17"/>
    </row>
    <row r="19" s="2" customFormat="1" ht="48" customHeight="1" spans="1:31">
      <c r="A19" s="13">
        <v>17</v>
      </c>
      <c r="B19" s="187" t="s">
        <v>110</v>
      </c>
      <c r="C19" s="15" t="s">
        <v>34</v>
      </c>
      <c r="D19" s="15" t="s">
        <v>101</v>
      </c>
      <c r="E19" s="15" t="s">
        <v>102</v>
      </c>
      <c r="F19" s="13" t="s">
        <v>47</v>
      </c>
      <c r="G19" s="16" t="s">
        <v>103</v>
      </c>
      <c r="H19" s="18" t="s">
        <v>39</v>
      </c>
      <c r="I19" s="43" t="s">
        <v>106</v>
      </c>
      <c r="J19" s="18" t="s">
        <v>107</v>
      </c>
      <c r="K19" s="18"/>
      <c r="L19" s="20"/>
      <c r="M19" s="20" t="s">
        <v>39</v>
      </c>
      <c r="N19" s="21">
        <v>460000</v>
      </c>
      <c r="O19" s="194">
        <v>0.08</v>
      </c>
      <c r="P19" s="188">
        <v>0</v>
      </c>
      <c r="Q19" s="188">
        <v>0</v>
      </c>
      <c r="R19" s="194">
        <v>0.065</v>
      </c>
      <c r="S19" s="194">
        <v>0.02</v>
      </c>
      <c r="T19" s="194">
        <v>0.035</v>
      </c>
      <c r="U19" s="188">
        <v>0</v>
      </c>
      <c r="V19" s="188">
        <v>0.03</v>
      </c>
      <c r="W19" s="188">
        <v>0.06</v>
      </c>
      <c r="X19" s="190" t="s">
        <v>1457</v>
      </c>
      <c r="Y19" s="188" t="s">
        <v>1457</v>
      </c>
      <c r="Z19" s="188" t="s">
        <v>1457</v>
      </c>
      <c r="AA19" s="188" t="s">
        <v>1457</v>
      </c>
      <c r="AB19" s="22" t="s">
        <v>39</v>
      </c>
      <c r="AC19" s="20" t="s">
        <v>39</v>
      </c>
      <c r="AD19" s="195" t="s">
        <v>108</v>
      </c>
      <c r="AE19" s="17" t="s">
        <v>109</v>
      </c>
    </row>
    <row r="20" s="2" customFormat="1" ht="48" customHeight="1" spans="1:31">
      <c r="A20" s="13">
        <v>18</v>
      </c>
      <c r="B20" s="187" t="s">
        <v>113</v>
      </c>
      <c r="C20" s="15" t="s">
        <v>34</v>
      </c>
      <c r="D20" s="15" t="s">
        <v>101</v>
      </c>
      <c r="E20" s="15" t="s">
        <v>102</v>
      </c>
      <c r="F20" s="13" t="s">
        <v>47</v>
      </c>
      <c r="G20" s="16" t="s">
        <v>103</v>
      </c>
      <c r="H20" s="18" t="s">
        <v>39</v>
      </c>
      <c r="I20" s="43" t="s">
        <v>111</v>
      </c>
      <c r="J20" s="18" t="s">
        <v>112</v>
      </c>
      <c r="K20" s="18"/>
      <c r="L20" s="20"/>
      <c r="M20" s="20" t="s">
        <v>39</v>
      </c>
      <c r="N20" s="21">
        <v>384000</v>
      </c>
      <c r="O20" s="194">
        <v>0.08</v>
      </c>
      <c r="P20" s="188">
        <v>0</v>
      </c>
      <c r="Q20" s="188">
        <v>0</v>
      </c>
      <c r="R20" s="194">
        <v>0.065</v>
      </c>
      <c r="S20" s="194">
        <v>0.02</v>
      </c>
      <c r="T20" s="194">
        <v>0.035</v>
      </c>
      <c r="U20" s="188">
        <v>0</v>
      </c>
      <c r="V20" s="188">
        <v>0.03</v>
      </c>
      <c r="W20" s="188">
        <v>0.06</v>
      </c>
      <c r="X20" s="190" t="s">
        <v>1457</v>
      </c>
      <c r="Y20" s="188" t="s">
        <v>1457</v>
      </c>
      <c r="Z20" s="188" t="s">
        <v>1457</v>
      </c>
      <c r="AA20" s="188" t="s">
        <v>1457</v>
      </c>
      <c r="AB20" s="22" t="s">
        <v>39</v>
      </c>
      <c r="AC20" s="20" t="s">
        <v>39</v>
      </c>
      <c r="AD20" s="195" t="s">
        <v>108</v>
      </c>
      <c r="AE20" s="17" t="s">
        <v>109</v>
      </c>
    </row>
    <row r="21" s="2" customFormat="1" ht="48" customHeight="1" spans="1:31">
      <c r="A21" s="13">
        <v>19</v>
      </c>
      <c r="B21" s="187" t="s">
        <v>116</v>
      </c>
      <c r="C21" s="15" t="s">
        <v>34</v>
      </c>
      <c r="D21" s="15" t="s">
        <v>101</v>
      </c>
      <c r="E21" s="15" t="s">
        <v>102</v>
      </c>
      <c r="F21" s="13" t="s">
        <v>47</v>
      </c>
      <c r="G21" s="16" t="s">
        <v>103</v>
      </c>
      <c r="H21" s="18" t="s">
        <v>39</v>
      </c>
      <c r="I21" s="43" t="s">
        <v>114</v>
      </c>
      <c r="J21" s="18" t="s">
        <v>115</v>
      </c>
      <c r="K21" s="18"/>
      <c r="L21" s="20"/>
      <c r="M21" s="20" t="s">
        <v>39</v>
      </c>
      <c r="N21" s="21">
        <v>930000</v>
      </c>
      <c r="O21" s="194">
        <v>0.08</v>
      </c>
      <c r="P21" s="188">
        <v>0</v>
      </c>
      <c r="Q21" s="188">
        <v>0</v>
      </c>
      <c r="R21" s="194">
        <v>0.065</v>
      </c>
      <c r="S21" s="194">
        <v>0.02</v>
      </c>
      <c r="T21" s="194">
        <v>0.035</v>
      </c>
      <c r="U21" s="188">
        <v>0</v>
      </c>
      <c r="V21" s="188">
        <v>0.03</v>
      </c>
      <c r="W21" s="188">
        <v>0.06</v>
      </c>
      <c r="X21" s="190" t="s">
        <v>1457</v>
      </c>
      <c r="Y21" s="188" t="s">
        <v>1457</v>
      </c>
      <c r="Z21" s="188" t="s">
        <v>1457</v>
      </c>
      <c r="AA21" s="188" t="s">
        <v>1457</v>
      </c>
      <c r="AB21" s="22" t="s">
        <v>39</v>
      </c>
      <c r="AC21" s="20" t="s">
        <v>39</v>
      </c>
      <c r="AD21" s="195" t="s">
        <v>108</v>
      </c>
      <c r="AE21" s="17" t="s">
        <v>109</v>
      </c>
    </row>
    <row r="22" s="2" customFormat="1" ht="48" customHeight="1" spans="1:31">
      <c r="A22" s="13">
        <v>20</v>
      </c>
      <c r="B22" s="187" t="s">
        <v>119</v>
      </c>
      <c r="C22" s="15" t="s">
        <v>34</v>
      </c>
      <c r="D22" s="15" t="s">
        <v>101</v>
      </c>
      <c r="E22" s="15" t="s">
        <v>102</v>
      </c>
      <c r="F22" s="13" t="s">
        <v>47</v>
      </c>
      <c r="G22" s="16" t="s">
        <v>103</v>
      </c>
      <c r="H22" s="18" t="s">
        <v>39</v>
      </c>
      <c r="I22" s="43" t="s">
        <v>117</v>
      </c>
      <c r="J22" s="18" t="s">
        <v>118</v>
      </c>
      <c r="K22" s="18"/>
      <c r="L22" s="20"/>
      <c r="M22" s="20" t="s">
        <v>39</v>
      </c>
      <c r="N22" s="21">
        <v>1280000</v>
      </c>
      <c r="O22" s="194">
        <v>0.06</v>
      </c>
      <c r="P22" s="188">
        <v>0</v>
      </c>
      <c r="Q22" s="188">
        <v>0</v>
      </c>
      <c r="R22" s="194">
        <v>0.055</v>
      </c>
      <c r="S22" s="194">
        <v>0.02</v>
      </c>
      <c r="T22" s="194">
        <v>0.025</v>
      </c>
      <c r="U22" s="188">
        <v>0</v>
      </c>
      <c r="V22" s="188">
        <v>0.03</v>
      </c>
      <c r="W22" s="188">
        <v>0.06</v>
      </c>
      <c r="X22" s="190" t="s">
        <v>1457</v>
      </c>
      <c r="Y22" s="188" t="s">
        <v>1457</v>
      </c>
      <c r="Z22" s="188" t="s">
        <v>1457</v>
      </c>
      <c r="AA22" s="188" t="s">
        <v>1457</v>
      </c>
      <c r="AB22" s="22" t="s">
        <v>39</v>
      </c>
      <c r="AC22" s="20" t="s">
        <v>39</v>
      </c>
      <c r="AD22" s="195" t="s">
        <v>108</v>
      </c>
      <c r="AE22" s="17" t="s">
        <v>109</v>
      </c>
    </row>
    <row r="23" s="2" customFormat="1" ht="48" customHeight="1" spans="1:31">
      <c r="A23" s="13">
        <v>21</v>
      </c>
      <c r="B23" s="187" t="s">
        <v>122</v>
      </c>
      <c r="C23" s="15" t="s">
        <v>34</v>
      </c>
      <c r="D23" s="15" t="s">
        <v>101</v>
      </c>
      <c r="E23" s="15" t="s">
        <v>102</v>
      </c>
      <c r="F23" s="13" t="s">
        <v>47</v>
      </c>
      <c r="G23" s="16" t="s">
        <v>103</v>
      </c>
      <c r="H23" s="18" t="s">
        <v>39</v>
      </c>
      <c r="I23" s="43" t="s">
        <v>120</v>
      </c>
      <c r="J23" s="18" t="s">
        <v>121</v>
      </c>
      <c r="K23" s="18"/>
      <c r="L23" s="20"/>
      <c r="M23" s="20" t="s">
        <v>39</v>
      </c>
      <c r="N23" s="21">
        <v>264000</v>
      </c>
      <c r="O23" s="194">
        <v>0.08</v>
      </c>
      <c r="P23" s="188">
        <v>0</v>
      </c>
      <c r="Q23" s="188">
        <v>0</v>
      </c>
      <c r="R23" s="194">
        <v>0.065</v>
      </c>
      <c r="S23" s="194">
        <v>0.02</v>
      </c>
      <c r="T23" s="194">
        <v>0.035</v>
      </c>
      <c r="U23" s="188">
        <v>0</v>
      </c>
      <c r="V23" s="188">
        <v>0.03</v>
      </c>
      <c r="W23" s="188">
        <v>0.06</v>
      </c>
      <c r="X23" s="190" t="s">
        <v>1457</v>
      </c>
      <c r="Y23" s="188" t="s">
        <v>1457</v>
      </c>
      <c r="Z23" s="188" t="s">
        <v>1457</v>
      </c>
      <c r="AA23" s="188" t="s">
        <v>1457</v>
      </c>
      <c r="AB23" s="22" t="s">
        <v>39</v>
      </c>
      <c r="AC23" s="20" t="s">
        <v>39</v>
      </c>
      <c r="AD23" s="195" t="s">
        <v>108</v>
      </c>
      <c r="AE23" s="17" t="s">
        <v>109</v>
      </c>
    </row>
    <row r="24" s="2" customFormat="1" ht="48" customHeight="1" spans="1:31">
      <c r="A24" s="13">
        <v>22</v>
      </c>
      <c r="B24" s="187" t="s">
        <v>124</v>
      </c>
      <c r="C24" s="15" t="s">
        <v>34</v>
      </c>
      <c r="D24" s="15" t="s">
        <v>101</v>
      </c>
      <c r="E24" s="15" t="s">
        <v>102</v>
      </c>
      <c r="F24" s="13" t="s">
        <v>47</v>
      </c>
      <c r="G24" s="16" t="s">
        <v>103</v>
      </c>
      <c r="H24" s="18" t="s">
        <v>39</v>
      </c>
      <c r="I24" s="43" t="s">
        <v>123</v>
      </c>
      <c r="J24" s="18" t="s">
        <v>121</v>
      </c>
      <c r="K24" s="18"/>
      <c r="L24" s="20"/>
      <c r="M24" s="20" t="s">
        <v>39</v>
      </c>
      <c r="N24" s="21">
        <v>290000</v>
      </c>
      <c r="O24" s="194">
        <v>0.08</v>
      </c>
      <c r="P24" s="188">
        <v>0</v>
      </c>
      <c r="Q24" s="188">
        <v>0</v>
      </c>
      <c r="R24" s="194">
        <v>0.065</v>
      </c>
      <c r="S24" s="194">
        <v>0.02</v>
      </c>
      <c r="T24" s="194">
        <v>0.035</v>
      </c>
      <c r="U24" s="188">
        <v>0</v>
      </c>
      <c r="V24" s="188">
        <v>0.03</v>
      </c>
      <c r="W24" s="188">
        <v>0.06</v>
      </c>
      <c r="X24" s="190" t="s">
        <v>1457</v>
      </c>
      <c r="Y24" s="188" t="s">
        <v>1457</v>
      </c>
      <c r="Z24" s="188" t="s">
        <v>1457</v>
      </c>
      <c r="AA24" s="188" t="s">
        <v>1457</v>
      </c>
      <c r="AB24" s="22" t="s">
        <v>39</v>
      </c>
      <c r="AC24" s="20" t="s">
        <v>39</v>
      </c>
      <c r="AD24" s="195" t="s">
        <v>108</v>
      </c>
      <c r="AE24" s="17" t="s">
        <v>109</v>
      </c>
    </row>
    <row r="25" s="177" customFormat="1" ht="48" customHeight="1" spans="1:31">
      <c r="A25" s="13">
        <v>23</v>
      </c>
      <c r="B25" s="187" t="s">
        <v>126</v>
      </c>
      <c r="C25" s="15" t="s">
        <v>34</v>
      </c>
      <c r="D25" s="15" t="s">
        <v>101</v>
      </c>
      <c r="E25" s="15" t="s">
        <v>102</v>
      </c>
      <c r="F25" s="13" t="s">
        <v>47</v>
      </c>
      <c r="G25" s="16" t="s">
        <v>103</v>
      </c>
      <c r="H25" s="18" t="s">
        <v>39</v>
      </c>
      <c r="I25" s="43" t="s">
        <v>125</v>
      </c>
      <c r="J25" s="18" t="s">
        <v>107</v>
      </c>
      <c r="K25" s="18"/>
      <c r="L25" s="20"/>
      <c r="M25" s="20" t="s">
        <v>39</v>
      </c>
      <c r="N25" s="21">
        <v>222000</v>
      </c>
      <c r="O25" s="188">
        <v>0</v>
      </c>
      <c r="P25" s="188">
        <v>0</v>
      </c>
      <c r="Q25" s="188">
        <v>0</v>
      </c>
      <c r="R25" s="188">
        <v>0</v>
      </c>
      <c r="S25" s="188">
        <v>0</v>
      </c>
      <c r="T25" s="188">
        <v>0</v>
      </c>
      <c r="U25" s="188">
        <v>0</v>
      </c>
      <c r="V25" s="188">
        <v>0</v>
      </c>
      <c r="W25" s="192" t="s">
        <v>1457</v>
      </c>
      <c r="X25" s="190" t="s">
        <v>1457</v>
      </c>
      <c r="Y25" s="188" t="s">
        <v>1457</v>
      </c>
      <c r="Z25" s="188" t="s">
        <v>1457</v>
      </c>
      <c r="AA25" s="188" t="s">
        <v>1457</v>
      </c>
      <c r="AB25" s="22" t="s">
        <v>39</v>
      </c>
      <c r="AC25" s="20" t="s">
        <v>39</v>
      </c>
      <c r="AD25" s="195" t="s">
        <v>108</v>
      </c>
      <c r="AE25" s="17" t="s">
        <v>109</v>
      </c>
    </row>
    <row r="26" s="2" customFormat="1" ht="48" customHeight="1" spans="1:31">
      <c r="A26" s="13">
        <v>24</v>
      </c>
      <c r="B26" s="187" t="s">
        <v>129</v>
      </c>
      <c r="C26" s="15" t="s">
        <v>34</v>
      </c>
      <c r="D26" s="15" t="s">
        <v>101</v>
      </c>
      <c r="E26" s="15" t="s">
        <v>102</v>
      </c>
      <c r="F26" s="13" t="s">
        <v>47</v>
      </c>
      <c r="G26" s="16" t="s">
        <v>103</v>
      </c>
      <c r="H26" s="18" t="s">
        <v>39</v>
      </c>
      <c r="I26" s="43" t="s">
        <v>127</v>
      </c>
      <c r="J26" s="18" t="s">
        <v>128</v>
      </c>
      <c r="K26" s="18"/>
      <c r="L26" s="20"/>
      <c r="M26" s="20" t="s">
        <v>39</v>
      </c>
      <c r="N26" s="21">
        <v>234000</v>
      </c>
      <c r="O26" s="188" t="s">
        <v>1461</v>
      </c>
      <c r="P26" s="188">
        <v>0</v>
      </c>
      <c r="Q26" s="188">
        <v>0</v>
      </c>
      <c r="R26" s="188">
        <v>0</v>
      </c>
      <c r="S26" s="188">
        <v>0</v>
      </c>
      <c r="T26" s="188">
        <v>0</v>
      </c>
      <c r="U26" s="188">
        <v>0</v>
      </c>
      <c r="V26" s="196">
        <v>0.025</v>
      </c>
      <c r="W26" s="196">
        <v>0.055</v>
      </c>
      <c r="X26" s="190" t="s">
        <v>1457</v>
      </c>
      <c r="Y26" s="188" t="s">
        <v>1457</v>
      </c>
      <c r="Z26" s="188" t="s">
        <v>1457</v>
      </c>
      <c r="AA26" s="188" t="s">
        <v>1457</v>
      </c>
      <c r="AB26" s="22" t="s">
        <v>39</v>
      </c>
      <c r="AC26" s="20" t="s">
        <v>39</v>
      </c>
      <c r="AD26" s="195" t="s">
        <v>108</v>
      </c>
      <c r="AE26" s="17" t="s">
        <v>109</v>
      </c>
    </row>
    <row r="27" s="2" customFormat="1" ht="48" customHeight="1" spans="1:31">
      <c r="A27" s="13">
        <v>25</v>
      </c>
      <c r="B27" s="187" t="s">
        <v>131</v>
      </c>
      <c r="C27" s="15" t="s">
        <v>34</v>
      </c>
      <c r="D27" s="15" t="s">
        <v>101</v>
      </c>
      <c r="E27" s="15" t="s">
        <v>102</v>
      </c>
      <c r="F27" s="13" t="s">
        <v>47</v>
      </c>
      <c r="G27" s="16" t="s">
        <v>103</v>
      </c>
      <c r="H27" s="18" t="s">
        <v>39</v>
      </c>
      <c r="I27" s="43" t="s">
        <v>130</v>
      </c>
      <c r="J27" s="18" t="s">
        <v>107</v>
      </c>
      <c r="K27" s="18"/>
      <c r="L27" s="20"/>
      <c r="M27" s="20" t="s">
        <v>39</v>
      </c>
      <c r="N27" s="21">
        <v>514000</v>
      </c>
      <c r="O27" s="194">
        <v>0.08</v>
      </c>
      <c r="P27" s="188">
        <v>0</v>
      </c>
      <c r="Q27" s="188">
        <v>0</v>
      </c>
      <c r="R27" s="194">
        <v>0.065</v>
      </c>
      <c r="S27" s="194">
        <v>0.02</v>
      </c>
      <c r="T27" s="194">
        <v>0.035</v>
      </c>
      <c r="U27" s="188">
        <v>0</v>
      </c>
      <c r="V27" s="194">
        <v>0.03</v>
      </c>
      <c r="W27" s="194">
        <v>0.06</v>
      </c>
      <c r="X27" s="190" t="s">
        <v>1457</v>
      </c>
      <c r="Y27" s="188" t="s">
        <v>1457</v>
      </c>
      <c r="Z27" s="188" t="s">
        <v>1457</v>
      </c>
      <c r="AA27" s="188" t="s">
        <v>1457</v>
      </c>
      <c r="AB27" s="22" t="s">
        <v>39</v>
      </c>
      <c r="AC27" s="20" t="s">
        <v>39</v>
      </c>
      <c r="AD27" s="195" t="s">
        <v>108</v>
      </c>
      <c r="AE27" s="17" t="s">
        <v>109</v>
      </c>
    </row>
    <row r="28" s="2" customFormat="1" ht="48" customHeight="1" spans="1:31">
      <c r="A28" s="13">
        <v>26</v>
      </c>
      <c r="B28" s="187" t="s">
        <v>134</v>
      </c>
      <c r="C28" s="15" t="s">
        <v>34</v>
      </c>
      <c r="D28" s="15" t="s">
        <v>101</v>
      </c>
      <c r="E28" s="15" t="s">
        <v>102</v>
      </c>
      <c r="F28" s="13" t="s">
        <v>47</v>
      </c>
      <c r="G28" s="16" t="s">
        <v>103</v>
      </c>
      <c r="H28" s="18" t="s">
        <v>39</v>
      </c>
      <c r="I28" s="43" t="s">
        <v>132</v>
      </c>
      <c r="J28" s="18" t="s">
        <v>133</v>
      </c>
      <c r="K28" s="18"/>
      <c r="L28" s="20"/>
      <c r="M28" s="20" t="s">
        <v>39</v>
      </c>
      <c r="N28" s="21">
        <v>316000</v>
      </c>
      <c r="O28" s="194">
        <v>0.08</v>
      </c>
      <c r="P28" s="188">
        <v>0</v>
      </c>
      <c r="Q28" s="188">
        <v>0</v>
      </c>
      <c r="R28" s="194">
        <v>0.065</v>
      </c>
      <c r="S28" s="194">
        <v>0.02</v>
      </c>
      <c r="T28" s="194">
        <v>0.035</v>
      </c>
      <c r="U28" s="188">
        <v>0</v>
      </c>
      <c r="V28" s="194">
        <v>0.03</v>
      </c>
      <c r="W28" s="194">
        <v>0.06</v>
      </c>
      <c r="X28" s="190" t="s">
        <v>1457</v>
      </c>
      <c r="Y28" s="188" t="s">
        <v>1457</v>
      </c>
      <c r="Z28" s="188" t="s">
        <v>1457</v>
      </c>
      <c r="AA28" s="188" t="s">
        <v>1457</v>
      </c>
      <c r="AB28" s="22" t="s">
        <v>39</v>
      </c>
      <c r="AC28" s="20" t="s">
        <v>39</v>
      </c>
      <c r="AD28" s="195" t="s">
        <v>108</v>
      </c>
      <c r="AE28" s="17" t="s">
        <v>109</v>
      </c>
    </row>
    <row r="29" s="2" customFormat="1" ht="48" customHeight="1" spans="1:31">
      <c r="A29" s="13">
        <v>27</v>
      </c>
      <c r="B29" s="187" t="s">
        <v>137</v>
      </c>
      <c r="C29" s="15" t="s">
        <v>34</v>
      </c>
      <c r="D29" s="15" t="s">
        <v>101</v>
      </c>
      <c r="E29" s="15" t="s">
        <v>102</v>
      </c>
      <c r="F29" s="13" t="s">
        <v>47</v>
      </c>
      <c r="G29" s="16" t="s">
        <v>103</v>
      </c>
      <c r="H29" s="18" t="s">
        <v>39</v>
      </c>
      <c r="I29" s="43" t="s">
        <v>135</v>
      </c>
      <c r="J29" s="18" t="s">
        <v>136</v>
      </c>
      <c r="K29" s="18"/>
      <c r="L29" s="20"/>
      <c r="M29" s="20" t="s">
        <v>39</v>
      </c>
      <c r="N29" s="21">
        <v>310000</v>
      </c>
      <c r="O29" s="194">
        <v>0.08</v>
      </c>
      <c r="P29" s="188">
        <v>0</v>
      </c>
      <c r="Q29" s="188">
        <v>0</v>
      </c>
      <c r="R29" s="194">
        <v>0.065</v>
      </c>
      <c r="S29" s="194">
        <v>0.02</v>
      </c>
      <c r="T29" s="194">
        <v>0.035</v>
      </c>
      <c r="U29" s="188">
        <v>0</v>
      </c>
      <c r="V29" s="194">
        <v>0.03</v>
      </c>
      <c r="W29" s="194">
        <v>0.06</v>
      </c>
      <c r="X29" s="190" t="s">
        <v>1457</v>
      </c>
      <c r="Y29" s="188" t="s">
        <v>1457</v>
      </c>
      <c r="Z29" s="188" t="s">
        <v>1457</v>
      </c>
      <c r="AA29" s="188" t="s">
        <v>1457</v>
      </c>
      <c r="AB29" s="22" t="s">
        <v>39</v>
      </c>
      <c r="AC29" s="20" t="s">
        <v>39</v>
      </c>
      <c r="AD29" s="195" t="s">
        <v>108</v>
      </c>
      <c r="AE29" s="17" t="s">
        <v>109</v>
      </c>
    </row>
    <row r="30" s="2" customFormat="1" ht="48" customHeight="1" spans="1:31">
      <c r="A30" s="13">
        <v>28</v>
      </c>
      <c r="B30" s="187" t="s">
        <v>140</v>
      </c>
      <c r="C30" s="15" t="s">
        <v>34</v>
      </c>
      <c r="D30" s="15" t="s">
        <v>101</v>
      </c>
      <c r="E30" s="15" t="s">
        <v>102</v>
      </c>
      <c r="F30" s="13" t="s">
        <v>47</v>
      </c>
      <c r="G30" s="16" t="s">
        <v>103</v>
      </c>
      <c r="H30" s="18" t="s">
        <v>39</v>
      </c>
      <c r="I30" s="43" t="s">
        <v>138</v>
      </c>
      <c r="J30" s="18" t="s">
        <v>139</v>
      </c>
      <c r="K30" s="18"/>
      <c r="L30" s="20"/>
      <c r="M30" s="20" t="s">
        <v>39</v>
      </c>
      <c r="N30" s="21">
        <v>530000</v>
      </c>
      <c r="O30" s="194">
        <v>0.08</v>
      </c>
      <c r="P30" s="188">
        <v>0</v>
      </c>
      <c r="Q30" s="188">
        <v>0</v>
      </c>
      <c r="R30" s="194">
        <v>0.065</v>
      </c>
      <c r="S30" s="194">
        <v>0.02</v>
      </c>
      <c r="T30" s="194">
        <v>0.035</v>
      </c>
      <c r="U30" s="188">
        <v>0</v>
      </c>
      <c r="V30" s="194">
        <v>0.03</v>
      </c>
      <c r="W30" s="194">
        <v>0.06</v>
      </c>
      <c r="X30" s="190" t="s">
        <v>1457</v>
      </c>
      <c r="Y30" s="188" t="s">
        <v>1457</v>
      </c>
      <c r="Z30" s="188" t="s">
        <v>1457</v>
      </c>
      <c r="AA30" s="188" t="s">
        <v>1457</v>
      </c>
      <c r="AB30" s="22" t="s">
        <v>39</v>
      </c>
      <c r="AC30" s="20" t="s">
        <v>39</v>
      </c>
      <c r="AD30" s="195" t="s">
        <v>108</v>
      </c>
      <c r="AE30" s="17" t="s">
        <v>109</v>
      </c>
    </row>
    <row r="31" s="2" customFormat="1" ht="48" customHeight="1" spans="1:31">
      <c r="A31" s="13">
        <v>29</v>
      </c>
      <c r="B31" s="187" t="s">
        <v>143</v>
      </c>
      <c r="C31" s="15" t="s">
        <v>34</v>
      </c>
      <c r="D31" s="15" t="s">
        <v>101</v>
      </c>
      <c r="E31" s="15" t="s">
        <v>102</v>
      </c>
      <c r="F31" s="13" t="s">
        <v>47</v>
      </c>
      <c r="G31" s="16" t="s">
        <v>103</v>
      </c>
      <c r="H31" s="18" t="s">
        <v>39</v>
      </c>
      <c r="I31" s="43" t="s">
        <v>141</v>
      </c>
      <c r="J31" s="18" t="s">
        <v>142</v>
      </c>
      <c r="K31" s="18"/>
      <c r="L31" s="20"/>
      <c r="M31" s="20" t="s">
        <v>39</v>
      </c>
      <c r="N31" s="21">
        <v>526000</v>
      </c>
      <c r="O31" s="194">
        <v>0.08</v>
      </c>
      <c r="P31" s="188">
        <v>0</v>
      </c>
      <c r="Q31" s="188">
        <v>0</v>
      </c>
      <c r="R31" s="194">
        <v>0.065</v>
      </c>
      <c r="S31" s="194">
        <v>0.02</v>
      </c>
      <c r="T31" s="194">
        <v>0.035</v>
      </c>
      <c r="U31" s="188">
        <v>0</v>
      </c>
      <c r="V31" s="194">
        <v>0.03</v>
      </c>
      <c r="W31" s="194">
        <v>0.06</v>
      </c>
      <c r="X31" s="190" t="s">
        <v>1457</v>
      </c>
      <c r="Y31" s="188" t="s">
        <v>1457</v>
      </c>
      <c r="Z31" s="188" t="s">
        <v>1457</v>
      </c>
      <c r="AA31" s="188" t="s">
        <v>1457</v>
      </c>
      <c r="AB31" s="22" t="s">
        <v>39</v>
      </c>
      <c r="AC31" s="20" t="s">
        <v>39</v>
      </c>
      <c r="AD31" s="195" t="s">
        <v>108</v>
      </c>
      <c r="AE31" s="17" t="s">
        <v>109</v>
      </c>
    </row>
    <row r="32" s="2" customFormat="1" ht="48" customHeight="1" spans="1:31">
      <c r="A32" s="13">
        <v>30</v>
      </c>
      <c r="B32" s="187" t="s">
        <v>146</v>
      </c>
      <c r="C32" s="15" t="s">
        <v>34</v>
      </c>
      <c r="D32" s="15" t="s">
        <v>101</v>
      </c>
      <c r="E32" s="15" t="s">
        <v>102</v>
      </c>
      <c r="F32" s="13" t="s">
        <v>47</v>
      </c>
      <c r="G32" s="16" t="s">
        <v>103</v>
      </c>
      <c r="H32" s="18" t="s">
        <v>39</v>
      </c>
      <c r="I32" s="43" t="s">
        <v>144</v>
      </c>
      <c r="J32" s="18" t="s">
        <v>145</v>
      </c>
      <c r="K32" s="18"/>
      <c r="L32" s="20"/>
      <c r="M32" s="20" t="s">
        <v>39</v>
      </c>
      <c r="N32" s="21">
        <v>530000</v>
      </c>
      <c r="O32" s="194">
        <v>0.08</v>
      </c>
      <c r="P32" s="188">
        <v>0</v>
      </c>
      <c r="Q32" s="188">
        <v>0</v>
      </c>
      <c r="R32" s="194">
        <v>0.065</v>
      </c>
      <c r="S32" s="194">
        <v>0.02</v>
      </c>
      <c r="T32" s="194">
        <v>0.035</v>
      </c>
      <c r="U32" s="188">
        <v>0</v>
      </c>
      <c r="V32" s="194">
        <v>0.03</v>
      </c>
      <c r="W32" s="194">
        <v>0.06</v>
      </c>
      <c r="X32" s="190" t="s">
        <v>1457</v>
      </c>
      <c r="Y32" s="188" t="s">
        <v>1457</v>
      </c>
      <c r="Z32" s="188" t="s">
        <v>1457</v>
      </c>
      <c r="AA32" s="188" t="s">
        <v>1457</v>
      </c>
      <c r="AB32" s="22" t="s">
        <v>39</v>
      </c>
      <c r="AC32" s="20" t="s">
        <v>39</v>
      </c>
      <c r="AD32" s="195" t="s">
        <v>108</v>
      </c>
      <c r="AE32" s="17" t="s">
        <v>109</v>
      </c>
    </row>
    <row r="33" s="2" customFormat="1" ht="48" customHeight="1" spans="1:31">
      <c r="A33" s="13">
        <v>31</v>
      </c>
      <c r="B33" s="187" t="s">
        <v>149</v>
      </c>
      <c r="C33" s="15" t="s">
        <v>34</v>
      </c>
      <c r="D33" s="15" t="s">
        <v>101</v>
      </c>
      <c r="E33" s="15" t="s">
        <v>102</v>
      </c>
      <c r="F33" s="13" t="s">
        <v>47</v>
      </c>
      <c r="G33" s="16" t="s">
        <v>103</v>
      </c>
      <c r="H33" s="18" t="s">
        <v>39</v>
      </c>
      <c r="I33" s="43" t="s">
        <v>147</v>
      </c>
      <c r="J33" s="18" t="s">
        <v>148</v>
      </c>
      <c r="K33" s="18"/>
      <c r="L33" s="20"/>
      <c r="M33" s="20" t="s">
        <v>39</v>
      </c>
      <c r="N33" s="21">
        <v>360000</v>
      </c>
      <c r="O33" s="194">
        <v>0.08</v>
      </c>
      <c r="P33" s="188">
        <v>0</v>
      </c>
      <c r="Q33" s="188">
        <v>0</v>
      </c>
      <c r="R33" s="194">
        <v>0.065</v>
      </c>
      <c r="S33" s="194">
        <v>0.02</v>
      </c>
      <c r="T33" s="194">
        <v>0.035</v>
      </c>
      <c r="U33" s="188">
        <v>0</v>
      </c>
      <c r="V33" s="194">
        <v>0.03</v>
      </c>
      <c r="W33" s="194">
        <v>0.06</v>
      </c>
      <c r="X33" s="190" t="s">
        <v>1457</v>
      </c>
      <c r="Y33" s="188" t="s">
        <v>1457</v>
      </c>
      <c r="Z33" s="188" t="s">
        <v>1457</v>
      </c>
      <c r="AA33" s="188" t="s">
        <v>1457</v>
      </c>
      <c r="AB33" s="22" t="s">
        <v>39</v>
      </c>
      <c r="AC33" s="20" t="s">
        <v>39</v>
      </c>
      <c r="AD33" s="195" t="s">
        <v>108</v>
      </c>
      <c r="AE33" s="17" t="s">
        <v>109</v>
      </c>
    </row>
    <row r="34" s="2" customFormat="1" ht="48" customHeight="1" spans="1:31">
      <c r="A34" s="13">
        <v>32</v>
      </c>
      <c r="B34" s="187" t="s">
        <v>152</v>
      </c>
      <c r="C34" s="15" t="s">
        <v>34</v>
      </c>
      <c r="D34" s="15" t="s">
        <v>101</v>
      </c>
      <c r="E34" s="15" t="s">
        <v>102</v>
      </c>
      <c r="F34" s="13" t="s">
        <v>47</v>
      </c>
      <c r="G34" s="16" t="s">
        <v>103</v>
      </c>
      <c r="H34" s="18" t="s">
        <v>39</v>
      </c>
      <c r="I34" s="43" t="s">
        <v>150</v>
      </c>
      <c r="J34" s="18" t="s">
        <v>151</v>
      </c>
      <c r="K34" s="18"/>
      <c r="L34" s="20"/>
      <c r="M34" s="20" t="s">
        <v>39</v>
      </c>
      <c r="N34" s="21">
        <v>366000</v>
      </c>
      <c r="O34" s="194">
        <v>0.08</v>
      </c>
      <c r="P34" s="188">
        <v>0</v>
      </c>
      <c r="Q34" s="188">
        <v>0</v>
      </c>
      <c r="R34" s="194">
        <v>0.065</v>
      </c>
      <c r="S34" s="194">
        <v>0.02</v>
      </c>
      <c r="T34" s="194">
        <v>0.035</v>
      </c>
      <c r="U34" s="188">
        <v>0</v>
      </c>
      <c r="V34" s="194">
        <v>0.03</v>
      </c>
      <c r="W34" s="194">
        <v>0.06</v>
      </c>
      <c r="X34" s="190" t="s">
        <v>1457</v>
      </c>
      <c r="Y34" s="188" t="s">
        <v>1457</v>
      </c>
      <c r="Z34" s="188" t="s">
        <v>1457</v>
      </c>
      <c r="AA34" s="188" t="s">
        <v>1457</v>
      </c>
      <c r="AB34" s="22" t="s">
        <v>39</v>
      </c>
      <c r="AC34" s="20" t="s">
        <v>39</v>
      </c>
      <c r="AD34" s="195" t="s">
        <v>108</v>
      </c>
      <c r="AE34" s="17" t="s">
        <v>109</v>
      </c>
    </row>
    <row r="35" s="2" customFormat="1" ht="48" customHeight="1" spans="1:31">
      <c r="A35" s="13">
        <v>33</v>
      </c>
      <c r="B35" s="187" t="s">
        <v>156</v>
      </c>
      <c r="C35" s="15" t="s">
        <v>34</v>
      </c>
      <c r="D35" s="15" t="s">
        <v>101</v>
      </c>
      <c r="E35" s="15" t="s">
        <v>102</v>
      </c>
      <c r="F35" s="13" t="s">
        <v>47</v>
      </c>
      <c r="G35" s="16" t="s">
        <v>103</v>
      </c>
      <c r="H35" s="18" t="s">
        <v>39</v>
      </c>
      <c r="I35" s="43" t="s">
        <v>153</v>
      </c>
      <c r="J35" s="18" t="s">
        <v>154</v>
      </c>
      <c r="K35" s="18"/>
      <c r="L35" s="20"/>
      <c r="M35" s="20" t="s">
        <v>39</v>
      </c>
      <c r="N35" s="21">
        <v>284000</v>
      </c>
      <c r="O35" s="194">
        <v>0.06</v>
      </c>
      <c r="P35" s="194">
        <v>0</v>
      </c>
      <c r="Q35" s="194">
        <v>0</v>
      </c>
      <c r="R35" s="194">
        <v>0.065</v>
      </c>
      <c r="S35" s="194">
        <v>0.02</v>
      </c>
      <c r="T35" s="194">
        <v>0.025</v>
      </c>
      <c r="U35" s="194">
        <v>0</v>
      </c>
      <c r="V35" s="194">
        <v>0.03</v>
      </c>
      <c r="W35" s="194">
        <v>0.06</v>
      </c>
      <c r="X35" s="190" t="s">
        <v>1457</v>
      </c>
      <c r="Y35" s="188" t="s">
        <v>1457</v>
      </c>
      <c r="Z35" s="188" t="s">
        <v>1457</v>
      </c>
      <c r="AA35" s="188" t="s">
        <v>1457</v>
      </c>
      <c r="AB35" s="22" t="s">
        <v>39</v>
      </c>
      <c r="AC35" s="20" t="s">
        <v>39</v>
      </c>
      <c r="AD35" s="195" t="s">
        <v>108</v>
      </c>
      <c r="AE35" s="189" t="s">
        <v>155</v>
      </c>
    </row>
    <row r="36" s="2" customFormat="1" ht="12" customHeight="1" spans="1:31">
      <c r="A36" s="13">
        <v>34</v>
      </c>
      <c r="B36" s="187" t="s">
        <v>159</v>
      </c>
      <c r="C36" s="15" t="s">
        <v>34</v>
      </c>
      <c r="D36" s="15" t="s">
        <v>157</v>
      </c>
      <c r="E36" s="15" t="s">
        <v>158</v>
      </c>
      <c r="F36" s="13" t="s">
        <v>37</v>
      </c>
      <c r="G36" s="16" t="s">
        <v>103</v>
      </c>
      <c r="H36" s="16" t="s">
        <v>39</v>
      </c>
      <c r="I36" s="43" t="s">
        <v>39</v>
      </c>
      <c r="J36" s="18" t="s">
        <v>39</v>
      </c>
      <c r="K36" s="18"/>
      <c r="L36" s="20"/>
      <c r="M36" s="20" t="s">
        <v>39</v>
      </c>
      <c r="N36" s="21">
        <v>20350000</v>
      </c>
      <c r="O36" s="196" t="s">
        <v>39</v>
      </c>
      <c r="P36" s="188" t="s">
        <v>39</v>
      </c>
      <c r="Q36" s="188">
        <v>0.02</v>
      </c>
      <c r="R36" s="188" t="s">
        <v>39</v>
      </c>
      <c r="S36" s="188" t="s">
        <v>39</v>
      </c>
      <c r="T36" s="188" t="s">
        <v>39</v>
      </c>
      <c r="U36" s="188" t="s">
        <v>39</v>
      </c>
      <c r="V36" s="188" t="s">
        <v>39</v>
      </c>
      <c r="W36" s="188" t="s">
        <v>39</v>
      </c>
      <c r="X36" s="188" t="s">
        <v>39</v>
      </c>
      <c r="Y36" s="188"/>
      <c r="Z36" s="188"/>
      <c r="AA36" s="188"/>
      <c r="AB36" s="46">
        <v>0.05</v>
      </c>
      <c r="AC36" s="46" t="s">
        <v>39</v>
      </c>
      <c r="AD36" s="60"/>
      <c r="AE36" s="17"/>
    </row>
    <row r="37" s="2" customFormat="1" ht="12" customHeight="1" spans="1:31">
      <c r="A37" s="13">
        <v>35</v>
      </c>
      <c r="B37" s="187" t="s">
        <v>162</v>
      </c>
      <c r="C37" s="15" t="s">
        <v>34</v>
      </c>
      <c r="D37" s="15" t="s">
        <v>160</v>
      </c>
      <c r="E37" s="15" t="s">
        <v>161</v>
      </c>
      <c r="F37" s="13" t="s">
        <v>37</v>
      </c>
      <c r="G37" s="16" t="s">
        <v>103</v>
      </c>
      <c r="H37" s="16" t="s">
        <v>39</v>
      </c>
      <c r="I37" s="43" t="s">
        <v>39</v>
      </c>
      <c r="J37" s="18" t="s">
        <v>39</v>
      </c>
      <c r="K37" s="18"/>
      <c r="L37" s="20"/>
      <c r="M37" s="20" t="s">
        <v>39</v>
      </c>
      <c r="N37" s="21">
        <v>25000000</v>
      </c>
      <c r="O37" s="196" t="s">
        <v>39</v>
      </c>
      <c r="P37" s="188" t="s">
        <v>39</v>
      </c>
      <c r="Q37" s="188">
        <v>0.02</v>
      </c>
      <c r="R37" s="188" t="s">
        <v>39</v>
      </c>
      <c r="S37" s="188" t="s">
        <v>39</v>
      </c>
      <c r="T37" s="188" t="s">
        <v>39</v>
      </c>
      <c r="U37" s="188" t="s">
        <v>39</v>
      </c>
      <c r="V37" s="188" t="s">
        <v>39</v>
      </c>
      <c r="W37" s="188" t="s">
        <v>39</v>
      </c>
      <c r="X37" s="188" t="s">
        <v>39</v>
      </c>
      <c r="Y37" s="188"/>
      <c r="Z37" s="188"/>
      <c r="AA37" s="188"/>
      <c r="AB37" s="46">
        <v>0.05</v>
      </c>
      <c r="AC37" s="46" t="s">
        <v>39</v>
      </c>
      <c r="AD37" s="60"/>
      <c r="AE37" s="17"/>
    </row>
    <row r="38" s="2" customFormat="1" ht="12" customHeight="1" spans="1:31">
      <c r="A38" s="13">
        <v>36</v>
      </c>
      <c r="B38" s="187" t="s">
        <v>165</v>
      </c>
      <c r="C38" s="15" t="s">
        <v>34</v>
      </c>
      <c r="D38" s="15" t="s">
        <v>163</v>
      </c>
      <c r="E38" s="15" t="s">
        <v>164</v>
      </c>
      <c r="F38" s="13" t="s">
        <v>37</v>
      </c>
      <c r="G38" s="16" t="s">
        <v>103</v>
      </c>
      <c r="H38" s="16" t="s">
        <v>39</v>
      </c>
      <c r="I38" s="43" t="s">
        <v>39</v>
      </c>
      <c r="J38" s="18" t="s">
        <v>39</v>
      </c>
      <c r="K38" s="18"/>
      <c r="L38" s="20"/>
      <c r="M38" s="20" t="s">
        <v>39</v>
      </c>
      <c r="N38" s="21">
        <v>9507000</v>
      </c>
      <c r="O38" s="196" t="s">
        <v>39</v>
      </c>
      <c r="P38" s="188" t="s">
        <v>39</v>
      </c>
      <c r="Q38" s="188">
        <v>0.02</v>
      </c>
      <c r="R38" s="188" t="s">
        <v>39</v>
      </c>
      <c r="S38" s="188" t="s">
        <v>39</v>
      </c>
      <c r="T38" s="188" t="s">
        <v>39</v>
      </c>
      <c r="U38" s="188" t="s">
        <v>39</v>
      </c>
      <c r="V38" s="188" t="s">
        <v>39</v>
      </c>
      <c r="W38" s="188" t="s">
        <v>39</v>
      </c>
      <c r="X38" s="188" t="s">
        <v>39</v>
      </c>
      <c r="Y38" s="188"/>
      <c r="Z38" s="188"/>
      <c r="AA38" s="188"/>
      <c r="AB38" s="46">
        <v>0.05</v>
      </c>
      <c r="AC38" s="46" t="s">
        <v>39</v>
      </c>
      <c r="AD38" s="60"/>
      <c r="AE38" s="17"/>
    </row>
    <row r="39" s="2" customFormat="1" ht="12" customHeight="1" spans="1:31">
      <c r="A39" s="13">
        <v>37</v>
      </c>
      <c r="B39" s="187" t="s">
        <v>168</v>
      </c>
      <c r="C39" s="15" t="s">
        <v>34</v>
      </c>
      <c r="D39" s="15" t="s">
        <v>166</v>
      </c>
      <c r="E39" s="15" t="s">
        <v>167</v>
      </c>
      <c r="F39" s="13" t="s">
        <v>37</v>
      </c>
      <c r="G39" s="16" t="s">
        <v>103</v>
      </c>
      <c r="H39" s="16" t="s">
        <v>39</v>
      </c>
      <c r="I39" s="43" t="s">
        <v>39</v>
      </c>
      <c r="J39" s="18" t="s">
        <v>39</v>
      </c>
      <c r="K39" s="18"/>
      <c r="L39" s="20"/>
      <c r="M39" s="20" t="s">
        <v>39</v>
      </c>
      <c r="N39" s="21" t="s">
        <v>39</v>
      </c>
      <c r="O39" s="196" t="s">
        <v>39</v>
      </c>
      <c r="P39" s="188" t="s">
        <v>39</v>
      </c>
      <c r="Q39" s="188">
        <v>0.02</v>
      </c>
      <c r="R39" s="188" t="s">
        <v>39</v>
      </c>
      <c r="S39" s="188" t="s">
        <v>39</v>
      </c>
      <c r="T39" s="188" t="s">
        <v>39</v>
      </c>
      <c r="U39" s="188" t="s">
        <v>39</v>
      </c>
      <c r="V39" s="188" t="s">
        <v>39</v>
      </c>
      <c r="W39" s="188" t="s">
        <v>39</v>
      </c>
      <c r="X39" s="188" t="s">
        <v>39</v>
      </c>
      <c r="Y39" s="188"/>
      <c r="Z39" s="188"/>
      <c r="AA39" s="188"/>
      <c r="AB39" s="54" t="s">
        <v>39</v>
      </c>
      <c r="AC39" s="46" t="s">
        <v>39</v>
      </c>
      <c r="AD39" s="60"/>
      <c r="AE39" s="17"/>
    </row>
    <row r="40" s="2" customFormat="1" ht="12" customHeight="1" spans="1:31">
      <c r="A40" s="13">
        <v>38</v>
      </c>
      <c r="B40" s="187" t="s">
        <v>171</v>
      </c>
      <c r="C40" s="15" t="s">
        <v>34</v>
      </c>
      <c r="D40" s="15" t="s">
        <v>169</v>
      </c>
      <c r="E40" s="15" t="s">
        <v>170</v>
      </c>
      <c r="F40" s="13" t="s">
        <v>37</v>
      </c>
      <c r="G40" s="16" t="s">
        <v>103</v>
      </c>
      <c r="H40" s="16" t="s">
        <v>39</v>
      </c>
      <c r="I40" s="43" t="s">
        <v>39</v>
      </c>
      <c r="J40" s="18" t="s">
        <v>39</v>
      </c>
      <c r="K40" s="18"/>
      <c r="L40" s="20"/>
      <c r="M40" s="20" t="s">
        <v>39</v>
      </c>
      <c r="N40" s="21">
        <v>3960000</v>
      </c>
      <c r="O40" s="196" t="s">
        <v>39</v>
      </c>
      <c r="P40" s="188" t="s">
        <v>39</v>
      </c>
      <c r="Q40" s="188">
        <v>0.02</v>
      </c>
      <c r="R40" s="188" t="s">
        <v>39</v>
      </c>
      <c r="S40" s="188" t="s">
        <v>39</v>
      </c>
      <c r="T40" s="188" t="s">
        <v>39</v>
      </c>
      <c r="U40" s="188" t="s">
        <v>39</v>
      </c>
      <c r="V40" s="188" t="s">
        <v>39</v>
      </c>
      <c r="W40" s="188" t="s">
        <v>39</v>
      </c>
      <c r="X40" s="188" t="s">
        <v>39</v>
      </c>
      <c r="Y40" s="188"/>
      <c r="Z40" s="188"/>
      <c r="AA40" s="188"/>
      <c r="AB40" s="46">
        <v>0.05</v>
      </c>
      <c r="AC40" s="46" t="s">
        <v>39</v>
      </c>
      <c r="AD40" s="60"/>
      <c r="AE40" s="17"/>
    </row>
    <row r="41" s="2" customFormat="1" ht="12" customHeight="1" spans="1:31">
      <c r="A41" s="13">
        <v>39</v>
      </c>
      <c r="B41" s="187" t="s">
        <v>174</v>
      </c>
      <c r="C41" s="15" t="s">
        <v>34</v>
      </c>
      <c r="D41" s="15" t="s">
        <v>172</v>
      </c>
      <c r="E41" s="15" t="s">
        <v>173</v>
      </c>
      <c r="F41" s="13" t="s">
        <v>37</v>
      </c>
      <c r="G41" s="16" t="s">
        <v>103</v>
      </c>
      <c r="H41" s="16" t="s">
        <v>39</v>
      </c>
      <c r="I41" s="43" t="s">
        <v>39</v>
      </c>
      <c r="J41" s="18" t="s">
        <v>39</v>
      </c>
      <c r="K41" s="18"/>
      <c r="L41" s="20"/>
      <c r="M41" s="20" t="s">
        <v>39</v>
      </c>
      <c r="N41" s="21">
        <v>2350000</v>
      </c>
      <c r="O41" s="196" t="s">
        <v>39</v>
      </c>
      <c r="P41" s="188" t="s">
        <v>39</v>
      </c>
      <c r="Q41" s="188">
        <v>0.02</v>
      </c>
      <c r="R41" s="188" t="s">
        <v>39</v>
      </c>
      <c r="S41" s="188" t="s">
        <v>39</v>
      </c>
      <c r="T41" s="188" t="s">
        <v>39</v>
      </c>
      <c r="U41" s="188" t="s">
        <v>39</v>
      </c>
      <c r="V41" s="188" t="s">
        <v>39</v>
      </c>
      <c r="W41" s="188" t="s">
        <v>39</v>
      </c>
      <c r="X41" s="188" t="s">
        <v>39</v>
      </c>
      <c r="Y41" s="188"/>
      <c r="Z41" s="188"/>
      <c r="AA41" s="188"/>
      <c r="AB41" s="46">
        <v>0.06</v>
      </c>
      <c r="AC41" s="46" t="s">
        <v>39</v>
      </c>
      <c r="AD41" s="60"/>
      <c r="AE41" s="17"/>
    </row>
    <row r="42" s="2" customFormat="1" ht="12" hidden="1" customHeight="1" spans="1:31">
      <c r="A42" s="13">
        <v>40</v>
      </c>
      <c r="B42" s="187" t="s">
        <v>179</v>
      </c>
      <c r="C42" s="15" t="s">
        <v>175</v>
      </c>
      <c r="D42" s="15" t="s">
        <v>176</v>
      </c>
      <c r="E42" s="15" t="s">
        <v>177</v>
      </c>
      <c r="F42" s="13" t="s">
        <v>37</v>
      </c>
      <c r="G42" s="16" t="s">
        <v>178</v>
      </c>
      <c r="H42" s="16" t="s">
        <v>39</v>
      </c>
      <c r="I42" s="43" t="s">
        <v>39</v>
      </c>
      <c r="J42" s="16" t="s">
        <v>39</v>
      </c>
      <c r="K42" s="16"/>
      <c r="L42" s="20"/>
      <c r="M42" s="20" t="s">
        <v>39</v>
      </c>
      <c r="N42" s="21">
        <v>1570000</v>
      </c>
      <c r="O42" s="188" t="s">
        <v>39</v>
      </c>
      <c r="P42" s="188" t="s">
        <v>39</v>
      </c>
      <c r="Q42" s="188" t="s">
        <v>39</v>
      </c>
      <c r="R42" s="188" t="s">
        <v>39</v>
      </c>
      <c r="S42" s="188" t="s">
        <v>39</v>
      </c>
      <c r="T42" s="188" t="s">
        <v>39</v>
      </c>
      <c r="U42" s="188" t="s">
        <v>39</v>
      </c>
      <c r="V42" s="188" t="s">
        <v>39</v>
      </c>
      <c r="W42" s="188" t="s">
        <v>39</v>
      </c>
      <c r="X42" s="188" t="s">
        <v>39</v>
      </c>
      <c r="Y42" s="45"/>
      <c r="Z42" s="45"/>
      <c r="AA42" s="45" t="s">
        <v>39</v>
      </c>
      <c r="AB42" s="51">
        <v>0.03</v>
      </c>
      <c r="AC42" s="46" t="s">
        <v>39</v>
      </c>
      <c r="AD42" s="17"/>
      <c r="AE42" s="17"/>
    </row>
    <row r="43" s="2" customFormat="1" ht="12" hidden="1" customHeight="1" spans="1:31">
      <c r="A43" s="13">
        <v>41</v>
      </c>
      <c r="B43" s="187" t="s">
        <v>182</v>
      </c>
      <c r="C43" s="15" t="s">
        <v>175</v>
      </c>
      <c r="D43" s="15" t="s">
        <v>180</v>
      </c>
      <c r="E43" s="15" t="s">
        <v>181</v>
      </c>
      <c r="F43" s="13" t="s">
        <v>37</v>
      </c>
      <c r="G43" s="16" t="s">
        <v>178</v>
      </c>
      <c r="H43" s="16" t="s">
        <v>39</v>
      </c>
      <c r="I43" s="43" t="s">
        <v>39</v>
      </c>
      <c r="J43" s="16" t="s">
        <v>39</v>
      </c>
      <c r="K43" s="16"/>
      <c r="L43" s="20"/>
      <c r="M43" s="20" t="s">
        <v>39</v>
      </c>
      <c r="N43" s="21">
        <v>2850000</v>
      </c>
      <c r="O43" s="188" t="s">
        <v>39</v>
      </c>
      <c r="P43" s="188" t="s">
        <v>39</v>
      </c>
      <c r="Q43" s="188" t="s">
        <v>39</v>
      </c>
      <c r="R43" s="188" t="s">
        <v>39</v>
      </c>
      <c r="S43" s="188" t="s">
        <v>39</v>
      </c>
      <c r="T43" s="188" t="s">
        <v>39</v>
      </c>
      <c r="U43" s="188" t="s">
        <v>39</v>
      </c>
      <c r="V43" s="188" t="s">
        <v>39</v>
      </c>
      <c r="W43" s="188" t="s">
        <v>39</v>
      </c>
      <c r="X43" s="188" t="s">
        <v>39</v>
      </c>
      <c r="Y43" s="45"/>
      <c r="Z43" s="45"/>
      <c r="AA43" s="45" t="s">
        <v>39</v>
      </c>
      <c r="AB43" s="51">
        <v>0.16</v>
      </c>
      <c r="AC43" s="46" t="s">
        <v>39</v>
      </c>
      <c r="AD43" s="17"/>
      <c r="AE43" s="17"/>
    </row>
    <row r="44" s="2" customFormat="1" ht="12" hidden="1" customHeight="1" spans="1:31">
      <c r="A44" s="13">
        <v>42</v>
      </c>
      <c r="B44" s="187" t="s">
        <v>185</v>
      </c>
      <c r="C44" s="15" t="s">
        <v>175</v>
      </c>
      <c r="D44" s="15" t="s">
        <v>183</v>
      </c>
      <c r="E44" s="15" t="s">
        <v>184</v>
      </c>
      <c r="F44" s="13" t="s">
        <v>37</v>
      </c>
      <c r="G44" s="16" t="s">
        <v>178</v>
      </c>
      <c r="H44" s="16" t="s">
        <v>39</v>
      </c>
      <c r="I44" s="43" t="s">
        <v>39</v>
      </c>
      <c r="J44" s="16" t="s">
        <v>39</v>
      </c>
      <c r="K44" s="16"/>
      <c r="L44" s="20"/>
      <c r="M44" s="20" t="s">
        <v>39</v>
      </c>
      <c r="N44" s="21" t="s">
        <v>39</v>
      </c>
      <c r="O44" s="188" t="s">
        <v>39</v>
      </c>
      <c r="P44" s="188"/>
      <c r="Q44" s="188">
        <v>0.02</v>
      </c>
      <c r="R44" s="188"/>
      <c r="S44" s="188" t="s">
        <v>39</v>
      </c>
      <c r="T44" s="188" t="s">
        <v>39</v>
      </c>
      <c r="U44" s="188" t="s">
        <v>39</v>
      </c>
      <c r="V44" s="188"/>
      <c r="W44" s="188"/>
      <c r="X44" s="188" t="s">
        <v>39</v>
      </c>
      <c r="Y44" s="45"/>
      <c r="Z44" s="45"/>
      <c r="AA44" s="45"/>
      <c r="AB44" s="51">
        <v>0.08</v>
      </c>
      <c r="AC44" s="46" t="s">
        <v>39</v>
      </c>
      <c r="AD44" s="17"/>
      <c r="AE44" s="17"/>
    </row>
    <row r="45" s="2" customFormat="1" ht="24" hidden="1" customHeight="1" spans="1:31">
      <c r="A45" s="13">
        <v>43</v>
      </c>
      <c r="B45" s="187" t="s">
        <v>191</v>
      </c>
      <c r="C45" s="15" t="s">
        <v>175</v>
      </c>
      <c r="D45" s="15" t="s">
        <v>183</v>
      </c>
      <c r="E45" s="15" t="s">
        <v>184</v>
      </c>
      <c r="F45" s="13" t="s">
        <v>81</v>
      </c>
      <c r="G45" s="16" t="s">
        <v>178</v>
      </c>
      <c r="H45" s="18" t="s">
        <v>39</v>
      </c>
      <c r="I45" s="43" t="s">
        <v>186</v>
      </c>
      <c r="J45" s="16" t="s">
        <v>187</v>
      </c>
      <c r="K45" s="16"/>
      <c r="L45" s="20"/>
      <c r="M45" s="20" t="s">
        <v>39</v>
      </c>
      <c r="N45" s="21">
        <v>850000</v>
      </c>
      <c r="O45" s="194">
        <v>0.12</v>
      </c>
      <c r="P45" s="45" t="s">
        <v>1463</v>
      </c>
      <c r="Q45" s="188">
        <v>0.02</v>
      </c>
      <c r="R45" s="45" t="s">
        <v>39</v>
      </c>
      <c r="S45" s="45" t="s">
        <v>39</v>
      </c>
      <c r="T45" s="45" t="s">
        <v>39</v>
      </c>
      <c r="U45" s="45" t="s">
        <v>39</v>
      </c>
      <c r="V45" s="45" t="s">
        <v>1463</v>
      </c>
      <c r="W45" s="45" t="s">
        <v>1463</v>
      </c>
      <c r="X45" s="45" t="s">
        <v>1457</v>
      </c>
      <c r="Y45" s="45" t="s">
        <v>1721</v>
      </c>
      <c r="Z45" s="45" t="s">
        <v>39</v>
      </c>
      <c r="AA45" s="45" t="s">
        <v>1457</v>
      </c>
      <c r="AB45" s="51" t="s">
        <v>39</v>
      </c>
      <c r="AC45" s="46" t="s">
        <v>39</v>
      </c>
      <c r="AD45" s="17" t="s">
        <v>188</v>
      </c>
      <c r="AE45" s="17" t="s">
        <v>189</v>
      </c>
    </row>
    <row r="46" s="2" customFormat="1" ht="24" hidden="1" customHeight="1" spans="1:31">
      <c r="A46" s="13">
        <v>44</v>
      </c>
      <c r="B46" s="187" t="s">
        <v>194</v>
      </c>
      <c r="C46" s="15" t="s">
        <v>175</v>
      </c>
      <c r="D46" s="15" t="s">
        <v>183</v>
      </c>
      <c r="E46" s="15" t="s">
        <v>184</v>
      </c>
      <c r="F46" s="13" t="s">
        <v>81</v>
      </c>
      <c r="G46" s="16" t="s">
        <v>178</v>
      </c>
      <c r="H46" s="18" t="s">
        <v>39</v>
      </c>
      <c r="I46" s="43" t="s">
        <v>192</v>
      </c>
      <c r="J46" s="16" t="s">
        <v>193</v>
      </c>
      <c r="K46" s="16"/>
      <c r="L46" s="20"/>
      <c r="M46" s="20" t="s">
        <v>39</v>
      </c>
      <c r="N46" s="21">
        <v>1500000</v>
      </c>
      <c r="O46" s="194">
        <v>0.12</v>
      </c>
      <c r="P46" s="45" t="s">
        <v>1463</v>
      </c>
      <c r="Q46" s="188">
        <v>0.02</v>
      </c>
      <c r="R46" s="45" t="s">
        <v>39</v>
      </c>
      <c r="S46" s="45" t="s">
        <v>39</v>
      </c>
      <c r="T46" s="45" t="s">
        <v>39</v>
      </c>
      <c r="U46" s="45" t="s">
        <v>39</v>
      </c>
      <c r="V46" s="45" t="s">
        <v>1463</v>
      </c>
      <c r="W46" s="45" t="s">
        <v>1463</v>
      </c>
      <c r="X46" s="45" t="s">
        <v>1457</v>
      </c>
      <c r="Y46" s="45" t="s">
        <v>1721</v>
      </c>
      <c r="Z46" s="45" t="s">
        <v>39</v>
      </c>
      <c r="AA46" s="45" t="s">
        <v>1457</v>
      </c>
      <c r="AB46" s="51" t="s">
        <v>39</v>
      </c>
      <c r="AC46" s="46" t="s">
        <v>39</v>
      </c>
      <c r="AD46" s="17" t="s">
        <v>188</v>
      </c>
      <c r="AE46" s="17" t="s">
        <v>189</v>
      </c>
    </row>
    <row r="47" s="2" customFormat="1" ht="24" hidden="1" customHeight="1" spans="1:31">
      <c r="A47" s="13">
        <v>45</v>
      </c>
      <c r="B47" s="187" t="s">
        <v>197</v>
      </c>
      <c r="C47" s="15" t="s">
        <v>175</v>
      </c>
      <c r="D47" s="15" t="s">
        <v>183</v>
      </c>
      <c r="E47" s="15" t="s">
        <v>184</v>
      </c>
      <c r="F47" s="13" t="s">
        <v>81</v>
      </c>
      <c r="G47" s="16" t="s">
        <v>178</v>
      </c>
      <c r="H47" s="18" t="s">
        <v>39</v>
      </c>
      <c r="I47" s="43" t="s">
        <v>195</v>
      </c>
      <c r="J47" s="16" t="s">
        <v>196</v>
      </c>
      <c r="K47" s="16"/>
      <c r="L47" s="20"/>
      <c r="M47" s="20" t="s">
        <v>39</v>
      </c>
      <c r="N47" s="21">
        <v>340000</v>
      </c>
      <c r="O47" s="194">
        <v>0.12</v>
      </c>
      <c r="P47" s="45" t="s">
        <v>1463</v>
      </c>
      <c r="Q47" s="188">
        <v>0.02</v>
      </c>
      <c r="R47" s="45" t="s">
        <v>39</v>
      </c>
      <c r="S47" s="45" t="s">
        <v>39</v>
      </c>
      <c r="T47" s="45" t="s">
        <v>39</v>
      </c>
      <c r="U47" s="45" t="s">
        <v>39</v>
      </c>
      <c r="V47" s="45" t="s">
        <v>1463</v>
      </c>
      <c r="W47" s="45" t="s">
        <v>1463</v>
      </c>
      <c r="X47" s="45" t="s">
        <v>1457</v>
      </c>
      <c r="Y47" s="45" t="s">
        <v>1721</v>
      </c>
      <c r="Z47" s="45" t="s">
        <v>39</v>
      </c>
      <c r="AA47" s="45" t="s">
        <v>1457</v>
      </c>
      <c r="AB47" s="51" t="s">
        <v>39</v>
      </c>
      <c r="AC47" s="46" t="s">
        <v>39</v>
      </c>
      <c r="AD47" s="17" t="s">
        <v>188</v>
      </c>
      <c r="AE47" s="17" t="s">
        <v>189</v>
      </c>
    </row>
    <row r="48" s="2" customFormat="1" ht="24" hidden="1" customHeight="1" spans="1:31">
      <c r="A48" s="13">
        <v>46</v>
      </c>
      <c r="B48" s="187" t="s">
        <v>200</v>
      </c>
      <c r="C48" s="15" t="s">
        <v>175</v>
      </c>
      <c r="D48" s="15" t="s">
        <v>183</v>
      </c>
      <c r="E48" s="15" t="s">
        <v>184</v>
      </c>
      <c r="F48" s="13" t="s">
        <v>81</v>
      </c>
      <c r="G48" s="16" t="s">
        <v>178</v>
      </c>
      <c r="H48" s="18" t="s">
        <v>39</v>
      </c>
      <c r="I48" s="43" t="s">
        <v>198</v>
      </c>
      <c r="J48" s="16" t="s">
        <v>199</v>
      </c>
      <c r="K48" s="16"/>
      <c r="L48" s="20"/>
      <c r="M48" s="20" t="s">
        <v>39</v>
      </c>
      <c r="N48" s="21">
        <v>365000</v>
      </c>
      <c r="O48" s="194">
        <v>0.12</v>
      </c>
      <c r="P48" s="45" t="s">
        <v>1463</v>
      </c>
      <c r="Q48" s="188">
        <v>0.02</v>
      </c>
      <c r="R48" s="45" t="s">
        <v>39</v>
      </c>
      <c r="S48" s="45" t="s">
        <v>39</v>
      </c>
      <c r="T48" s="45" t="s">
        <v>39</v>
      </c>
      <c r="U48" s="45" t="s">
        <v>39</v>
      </c>
      <c r="V48" s="45" t="s">
        <v>1463</v>
      </c>
      <c r="W48" s="45" t="s">
        <v>1463</v>
      </c>
      <c r="X48" s="45" t="s">
        <v>1457</v>
      </c>
      <c r="Y48" s="45" t="s">
        <v>1721</v>
      </c>
      <c r="Z48" s="45" t="s">
        <v>39</v>
      </c>
      <c r="AA48" s="45" t="s">
        <v>1457</v>
      </c>
      <c r="AB48" s="51" t="s">
        <v>39</v>
      </c>
      <c r="AC48" s="46" t="s">
        <v>39</v>
      </c>
      <c r="AD48" s="17" t="s">
        <v>188</v>
      </c>
      <c r="AE48" s="17" t="s">
        <v>189</v>
      </c>
    </row>
    <row r="49" s="2" customFormat="1" ht="24" hidden="1" customHeight="1" spans="1:31">
      <c r="A49" s="13">
        <v>47</v>
      </c>
      <c r="B49" s="187" t="s">
        <v>202</v>
      </c>
      <c r="C49" s="15" t="s">
        <v>175</v>
      </c>
      <c r="D49" s="15" t="s">
        <v>183</v>
      </c>
      <c r="E49" s="15" t="s">
        <v>184</v>
      </c>
      <c r="F49" s="13" t="s">
        <v>81</v>
      </c>
      <c r="G49" s="16" t="s">
        <v>178</v>
      </c>
      <c r="H49" s="18" t="s">
        <v>39</v>
      </c>
      <c r="I49" s="43" t="s">
        <v>201</v>
      </c>
      <c r="J49" s="16" t="s">
        <v>196</v>
      </c>
      <c r="K49" s="16"/>
      <c r="L49" s="20"/>
      <c r="M49" s="20" t="s">
        <v>39</v>
      </c>
      <c r="N49" s="21">
        <v>370000</v>
      </c>
      <c r="O49" s="194">
        <v>0.12</v>
      </c>
      <c r="P49" s="45" t="s">
        <v>1463</v>
      </c>
      <c r="Q49" s="188">
        <v>0.02</v>
      </c>
      <c r="R49" s="45" t="s">
        <v>39</v>
      </c>
      <c r="S49" s="45" t="s">
        <v>39</v>
      </c>
      <c r="T49" s="45" t="s">
        <v>39</v>
      </c>
      <c r="U49" s="45" t="s">
        <v>39</v>
      </c>
      <c r="V49" s="45" t="s">
        <v>1463</v>
      </c>
      <c r="W49" s="45" t="s">
        <v>1463</v>
      </c>
      <c r="X49" s="45" t="s">
        <v>1457</v>
      </c>
      <c r="Y49" s="45" t="s">
        <v>1721</v>
      </c>
      <c r="Z49" s="45" t="s">
        <v>39</v>
      </c>
      <c r="AA49" s="45" t="s">
        <v>1457</v>
      </c>
      <c r="AB49" s="51" t="s">
        <v>39</v>
      </c>
      <c r="AC49" s="46" t="s">
        <v>39</v>
      </c>
      <c r="AD49" s="17" t="s">
        <v>188</v>
      </c>
      <c r="AE49" s="17" t="s">
        <v>189</v>
      </c>
    </row>
    <row r="50" s="2" customFormat="1" ht="24" hidden="1" customHeight="1" spans="1:31">
      <c r="A50" s="13">
        <v>48</v>
      </c>
      <c r="B50" s="187" t="s">
        <v>205</v>
      </c>
      <c r="C50" s="15" t="s">
        <v>175</v>
      </c>
      <c r="D50" s="15" t="s">
        <v>183</v>
      </c>
      <c r="E50" s="15" t="s">
        <v>184</v>
      </c>
      <c r="F50" s="13" t="s">
        <v>81</v>
      </c>
      <c r="G50" s="16" t="s">
        <v>178</v>
      </c>
      <c r="H50" s="18" t="s">
        <v>39</v>
      </c>
      <c r="I50" s="43" t="s">
        <v>203</v>
      </c>
      <c r="J50" s="16" t="s">
        <v>204</v>
      </c>
      <c r="K50" s="16"/>
      <c r="L50" s="20"/>
      <c r="M50" s="20" t="s">
        <v>39</v>
      </c>
      <c r="N50" s="21">
        <v>440000</v>
      </c>
      <c r="O50" s="194">
        <v>0.12</v>
      </c>
      <c r="P50" s="45" t="s">
        <v>1463</v>
      </c>
      <c r="Q50" s="188">
        <v>0.02</v>
      </c>
      <c r="R50" s="45" t="s">
        <v>39</v>
      </c>
      <c r="S50" s="45" t="s">
        <v>39</v>
      </c>
      <c r="T50" s="45" t="s">
        <v>39</v>
      </c>
      <c r="U50" s="45" t="s">
        <v>39</v>
      </c>
      <c r="V50" s="45" t="s">
        <v>1463</v>
      </c>
      <c r="W50" s="45" t="s">
        <v>1463</v>
      </c>
      <c r="X50" s="45" t="s">
        <v>1457</v>
      </c>
      <c r="Y50" s="45" t="s">
        <v>1721</v>
      </c>
      <c r="Z50" s="45" t="s">
        <v>39</v>
      </c>
      <c r="AA50" s="45" t="s">
        <v>1457</v>
      </c>
      <c r="AB50" s="51" t="s">
        <v>39</v>
      </c>
      <c r="AC50" s="46" t="s">
        <v>39</v>
      </c>
      <c r="AD50" s="17" t="s">
        <v>188</v>
      </c>
      <c r="AE50" s="17" t="s">
        <v>189</v>
      </c>
    </row>
    <row r="51" s="2" customFormat="1" ht="12" hidden="1" customHeight="1" spans="1:31">
      <c r="A51" s="13">
        <v>49</v>
      </c>
      <c r="B51" s="187" t="s">
        <v>208</v>
      </c>
      <c r="C51" s="15" t="s">
        <v>175</v>
      </c>
      <c r="D51" s="15" t="s">
        <v>206</v>
      </c>
      <c r="E51" s="15" t="s">
        <v>207</v>
      </c>
      <c r="F51" s="13" t="s">
        <v>37</v>
      </c>
      <c r="G51" s="16" t="s">
        <v>178</v>
      </c>
      <c r="H51" s="16" t="s">
        <v>39</v>
      </c>
      <c r="I51" s="43" t="s">
        <v>39</v>
      </c>
      <c r="J51" s="16" t="s">
        <v>39</v>
      </c>
      <c r="K51" s="16"/>
      <c r="L51" s="20"/>
      <c r="M51" s="20" t="s">
        <v>39</v>
      </c>
      <c r="N51" s="21" t="s">
        <v>39</v>
      </c>
      <c r="O51" s="188" t="s">
        <v>39</v>
      </c>
      <c r="P51" s="188"/>
      <c r="Q51" s="188">
        <v>0.02</v>
      </c>
      <c r="R51" s="188"/>
      <c r="S51" s="188" t="s">
        <v>39</v>
      </c>
      <c r="T51" s="188" t="s">
        <v>39</v>
      </c>
      <c r="U51" s="188" t="s">
        <v>39</v>
      </c>
      <c r="V51" s="188"/>
      <c r="W51" s="188"/>
      <c r="X51" s="188" t="s">
        <v>39</v>
      </c>
      <c r="Y51" s="45"/>
      <c r="Z51" s="45"/>
      <c r="AA51" s="45"/>
      <c r="AB51" s="51">
        <v>0.06</v>
      </c>
      <c r="AC51" s="46" t="s">
        <v>39</v>
      </c>
      <c r="AD51" s="17"/>
      <c r="AE51" s="17"/>
    </row>
    <row r="52" s="2" customFormat="1" ht="24" hidden="1" customHeight="1" spans="1:31">
      <c r="A52" s="13">
        <v>50</v>
      </c>
      <c r="B52" s="187" t="s">
        <v>213</v>
      </c>
      <c r="C52" s="15" t="s">
        <v>175</v>
      </c>
      <c r="D52" s="15" t="s">
        <v>206</v>
      </c>
      <c r="E52" s="15" t="s">
        <v>207</v>
      </c>
      <c r="F52" s="13" t="s">
        <v>81</v>
      </c>
      <c r="G52" s="16" t="s">
        <v>178</v>
      </c>
      <c r="H52" s="18" t="s">
        <v>39</v>
      </c>
      <c r="I52" s="43" t="s">
        <v>209</v>
      </c>
      <c r="J52" s="18" t="s">
        <v>210</v>
      </c>
      <c r="K52" s="18"/>
      <c r="L52" s="20"/>
      <c r="M52" s="20" t="s">
        <v>39</v>
      </c>
      <c r="N52" s="21">
        <v>345000</v>
      </c>
      <c r="O52" s="194">
        <v>0.14</v>
      </c>
      <c r="P52" s="45" t="s">
        <v>39</v>
      </c>
      <c r="Q52" s="188">
        <v>0.02</v>
      </c>
      <c r="R52" s="45" t="s">
        <v>39</v>
      </c>
      <c r="S52" s="45" t="s">
        <v>39</v>
      </c>
      <c r="T52" s="45" t="s">
        <v>39</v>
      </c>
      <c r="U52" s="45" t="s">
        <v>39</v>
      </c>
      <c r="V52" s="188">
        <v>0.05</v>
      </c>
      <c r="W52" s="188">
        <v>0.06</v>
      </c>
      <c r="X52" s="188">
        <v>0.01</v>
      </c>
      <c r="Y52" s="45" t="s">
        <v>39</v>
      </c>
      <c r="Z52" s="45" t="s">
        <v>39</v>
      </c>
      <c r="AA52" s="45" t="s">
        <v>1457</v>
      </c>
      <c r="AB52" s="51" t="s">
        <v>39</v>
      </c>
      <c r="AC52" s="46" t="s">
        <v>39</v>
      </c>
      <c r="AD52" s="17" t="s">
        <v>211</v>
      </c>
      <c r="AE52" s="17" t="s">
        <v>212</v>
      </c>
    </row>
    <row r="53" s="2" customFormat="1" ht="24" hidden="1" customHeight="1" spans="1:31">
      <c r="A53" s="13">
        <v>51</v>
      </c>
      <c r="B53" s="187" t="s">
        <v>216</v>
      </c>
      <c r="C53" s="15" t="s">
        <v>175</v>
      </c>
      <c r="D53" s="15" t="s">
        <v>206</v>
      </c>
      <c r="E53" s="15" t="s">
        <v>207</v>
      </c>
      <c r="F53" s="13" t="s">
        <v>81</v>
      </c>
      <c r="G53" s="16" t="s">
        <v>178</v>
      </c>
      <c r="H53" s="18" t="s">
        <v>39</v>
      </c>
      <c r="I53" s="43" t="s">
        <v>214</v>
      </c>
      <c r="J53" s="18" t="s">
        <v>215</v>
      </c>
      <c r="K53" s="18"/>
      <c r="L53" s="20"/>
      <c r="M53" s="20" t="s">
        <v>39</v>
      </c>
      <c r="N53" s="21">
        <v>475000</v>
      </c>
      <c r="O53" s="194">
        <v>0.14</v>
      </c>
      <c r="P53" s="45" t="s">
        <v>39</v>
      </c>
      <c r="Q53" s="188">
        <v>0.02</v>
      </c>
      <c r="R53" s="45" t="s">
        <v>39</v>
      </c>
      <c r="S53" s="45" t="s">
        <v>39</v>
      </c>
      <c r="T53" s="45" t="s">
        <v>39</v>
      </c>
      <c r="U53" s="45" t="s">
        <v>39</v>
      </c>
      <c r="V53" s="188">
        <v>0.05</v>
      </c>
      <c r="W53" s="188">
        <v>0.06</v>
      </c>
      <c r="X53" s="188">
        <v>0.01</v>
      </c>
      <c r="Y53" s="45" t="s">
        <v>39</v>
      </c>
      <c r="Z53" s="45" t="s">
        <v>39</v>
      </c>
      <c r="AA53" s="45" t="s">
        <v>1457</v>
      </c>
      <c r="AB53" s="51" t="s">
        <v>39</v>
      </c>
      <c r="AC53" s="46" t="s">
        <v>39</v>
      </c>
      <c r="AD53" s="17" t="s">
        <v>211</v>
      </c>
      <c r="AE53" s="17" t="s">
        <v>212</v>
      </c>
    </row>
    <row r="54" s="2" customFormat="1" ht="24" hidden="1" customHeight="1" spans="1:31">
      <c r="A54" s="13">
        <v>52</v>
      </c>
      <c r="B54" s="187" t="s">
        <v>219</v>
      </c>
      <c r="C54" s="15" t="s">
        <v>175</v>
      </c>
      <c r="D54" s="15" t="s">
        <v>206</v>
      </c>
      <c r="E54" s="15" t="s">
        <v>207</v>
      </c>
      <c r="F54" s="13" t="s">
        <v>81</v>
      </c>
      <c r="G54" s="16" t="s">
        <v>178</v>
      </c>
      <c r="H54" s="18" t="s">
        <v>39</v>
      </c>
      <c r="I54" s="43" t="s">
        <v>217</v>
      </c>
      <c r="J54" s="18" t="s">
        <v>218</v>
      </c>
      <c r="K54" s="18"/>
      <c r="L54" s="20"/>
      <c r="M54" s="20" t="s">
        <v>39</v>
      </c>
      <c r="N54" s="21">
        <v>875000</v>
      </c>
      <c r="O54" s="194">
        <v>0.14</v>
      </c>
      <c r="P54" s="45" t="s">
        <v>39</v>
      </c>
      <c r="Q54" s="188">
        <v>0.02</v>
      </c>
      <c r="R54" s="45" t="s">
        <v>39</v>
      </c>
      <c r="S54" s="45" t="s">
        <v>39</v>
      </c>
      <c r="T54" s="45" t="s">
        <v>39</v>
      </c>
      <c r="U54" s="45" t="s">
        <v>39</v>
      </c>
      <c r="V54" s="188">
        <v>0.05</v>
      </c>
      <c r="W54" s="188">
        <v>0.06</v>
      </c>
      <c r="X54" s="188">
        <v>0.01</v>
      </c>
      <c r="Y54" s="45" t="s">
        <v>39</v>
      </c>
      <c r="Z54" s="45" t="s">
        <v>39</v>
      </c>
      <c r="AA54" s="45" t="s">
        <v>1457</v>
      </c>
      <c r="AB54" s="51" t="s">
        <v>39</v>
      </c>
      <c r="AC54" s="46" t="s">
        <v>39</v>
      </c>
      <c r="AD54" s="17" t="s">
        <v>211</v>
      </c>
      <c r="AE54" s="17" t="s">
        <v>212</v>
      </c>
    </row>
    <row r="55" s="2" customFormat="1" ht="24" hidden="1" customHeight="1" spans="1:31">
      <c r="A55" s="13">
        <v>53</v>
      </c>
      <c r="B55" s="187" t="s">
        <v>222</v>
      </c>
      <c r="C55" s="15" t="s">
        <v>175</v>
      </c>
      <c r="D55" s="15" t="s">
        <v>206</v>
      </c>
      <c r="E55" s="15" t="s">
        <v>207</v>
      </c>
      <c r="F55" s="13" t="s">
        <v>81</v>
      </c>
      <c r="G55" s="16" t="s">
        <v>178</v>
      </c>
      <c r="H55" s="18" t="s">
        <v>39</v>
      </c>
      <c r="I55" s="43" t="s">
        <v>220</v>
      </c>
      <c r="J55" s="18" t="s">
        <v>221</v>
      </c>
      <c r="K55" s="18"/>
      <c r="L55" s="20"/>
      <c r="M55" s="20" t="s">
        <v>39</v>
      </c>
      <c r="N55" s="21">
        <v>485000</v>
      </c>
      <c r="O55" s="194">
        <v>0.14</v>
      </c>
      <c r="P55" s="45" t="s">
        <v>39</v>
      </c>
      <c r="Q55" s="188">
        <v>0.02</v>
      </c>
      <c r="R55" s="45" t="s">
        <v>39</v>
      </c>
      <c r="S55" s="45" t="s">
        <v>39</v>
      </c>
      <c r="T55" s="45" t="s">
        <v>39</v>
      </c>
      <c r="U55" s="45" t="s">
        <v>39</v>
      </c>
      <c r="V55" s="188">
        <v>0.05</v>
      </c>
      <c r="W55" s="188">
        <v>0.06</v>
      </c>
      <c r="X55" s="188">
        <v>0.01</v>
      </c>
      <c r="Y55" s="45" t="s">
        <v>39</v>
      </c>
      <c r="Z55" s="45" t="s">
        <v>39</v>
      </c>
      <c r="AA55" s="45" t="s">
        <v>1457</v>
      </c>
      <c r="AB55" s="51" t="s">
        <v>39</v>
      </c>
      <c r="AC55" s="46" t="s">
        <v>39</v>
      </c>
      <c r="AD55" s="17" t="s">
        <v>211</v>
      </c>
      <c r="AE55" s="17" t="s">
        <v>212</v>
      </c>
    </row>
    <row r="56" s="2" customFormat="1" ht="24" hidden="1" customHeight="1" spans="1:31">
      <c r="A56" s="13">
        <v>54</v>
      </c>
      <c r="B56" s="187" t="s">
        <v>225</v>
      </c>
      <c r="C56" s="15" t="s">
        <v>175</v>
      </c>
      <c r="D56" s="15" t="s">
        <v>206</v>
      </c>
      <c r="E56" s="15" t="s">
        <v>207</v>
      </c>
      <c r="F56" s="13" t="s">
        <v>81</v>
      </c>
      <c r="G56" s="16" t="s">
        <v>178</v>
      </c>
      <c r="H56" s="18" t="s">
        <v>39</v>
      </c>
      <c r="I56" s="43" t="s">
        <v>223</v>
      </c>
      <c r="J56" s="18" t="s">
        <v>224</v>
      </c>
      <c r="K56" s="18"/>
      <c r="L56" s="20"/>
      <c r="M56" s="20" t="s">
        <v>39</v>
      </c>
      <c r="N56" s="21">
        <v>600000</v>
      </c>
      <c r="O56" s="194">
        <v>0.14</v>
      </c>
      <c r="P56" s="45" t="s">
        <v>39</v>
      </c>
      <c r="Q56" s="188">
        <v>0.02</v>
      </c>
      <c r="R56" s="45" t="s">
        <v>39</v>
      </c>
      <c r="S56" s="45" t="s">
        <v>39</v>
      </c>
      <c r="T56" s="45" t="s">
        <v>39</v>
      </c>
      <c r="U56" s="45" t="s">
        <v>39</v>
      </c>
      <c r="V56" s="188">
        <v>0.05</v>
      </c>
      <c r="W56" s="188">
        <v>0.06</v>
      </c>
      <c r="X56" s="188">
        <v>0.01</v>
      </c>
      <c r="Y56" s="45" t="s">
        <v>39</v>
      </c>
      <c r="Z56" s="45" t="s">
        <v>39</v>
      </c>
      <c r="AA56" s="45" t="s">
        <v>1457</v>
      </c>
      <c r="AB56" s="51" t="s">
        <v>39</v>
      </c>
      <c r="AC56" s="46" t="s">
        <v>39</v>
      </c>
      <c r="AD56" s="17" t="s">
        <v>211</v>
      </c>
      <c r="AE56" s="17" t="s">
        <v>212</v>
      </c>
    </row>
    <row r="57" s="2" customFormat="1" ht="48" hidden="1" customHeight="1" spans="1:31">
      <c r="A57" s="13">
        <v>55</v>
      </c>
      <c r="B57" s="187" t="s">
        <v>229</v>
      </c>
      <c r="C57" s="15" t="s">
        <v>175</v>
      </c>
      <c r="D57" s="15" t="s">
        <v>206</v>
      </c>
      <c r="E57" s="15" t="s">
        <v>207</v>
      </c>
      <c r="F57" s="13" t="s">
        <v>81</v>
      </c>
      <c r="G57" s="16" t="s">
        <v>178</v>
      </c>
      <c r="H57" s="18" t="s">
        <v>39</v>
      </c>
      <c r="I57" s="43" t="s">
        <v>226</v>
      </c>
      <c r="J57" s="18" t="s">
        <v>227</v>
      </c>
      <c r="K57" s="18"/>
      <c r="L57" s="20"/>
      <c r="M57" s="20" t="s">
        <v>39</v>
      </c>
      <c r="N57" s="21">
        <v>615000</v>
      </c>
      <c r="O57" s="45" t="s">
        <v>39</v>
      </c>
      <c r="P57" s="45" t="s">
        <v>39</v>
      </c>
      <c r="Q57" s="45" t="s">
        <v>39</v>
      </c>
      <c r="R57" s="45" t="s">
        <v>39</v>
      </c>
      <c r="S57" s="45" t="s">
        <v>39</v>
      </c>
      <c r="T57" s="45" t="s">
        <v>39</v>
      </c>
      <c r="U57" s="45" t="s">
        <v>39</v>
      </c>
      <c r="V57" s="188">
        <v>0.03</v>
      </c>
      <c r="W57" s="188">
        <v>0.05</v>
      </c>
      <c r="X57" s="194">
        <v>0.005</v>
      </c>
      <c r="Y57" s="45" t="s">
        <v>1722</v>
      </c>
      <c r="Z57" s="45" t="s">
        <v>39</v>
      </c>
      <c r="AA57" s="45" t="s">
        <v>1457</v>
      </c>
      <c r="AB57" s="51" t="s">
        <v>39</v>
      </c>
      <c r="AC57" s="46" t="s">
        <v>39</v>
      </c>
      <c r="AD57" s="17" t="s">
        <v>228</v>
      </c>
      <c r="AE57" s="17" t="s">
        <v>212</v>
      </c>
    </row>
    <row r="58" s="2" customFormat="1" ht="12" hidden="1" customHeight="1" spans="1:31">
      <c r="A58" s="13">
        <v>56</v>
      </c>
      <c r="B58" s="187" t="s">
        <v>232</v>
      </c>
      <c r="C58" s="15" t="s">
        <v>175</v>
      </c>
      <c r="D58" s="15" t="s">
        <v>230</v>
      </c>
      <c r="E58" s="15" t="s">
        <v>231</v>
      </c>
      <c r="F58" s="13" t="s">
        <v>37</v>
      </c>
      <c r="G58" s="16" t="s">
        <v>178</v>
      </c>
      <c r="H58" s="16" t="s">
        <v>39</v>
      </c>
      <c r="I58" s="43" t="s">
        <v>39</v>
      </c>
      <c r="J58" s="16" t="s">
        <v>39</v>
      </c>
      <c r="K58" s="16"/>
      <c r="L58" s="20"/>
      <c r="M58" s="20" t="s">
        <v>39</v>
      </c>
      <c r="N58" s="21" t="s">
        <v>39</v>
      </c>
      <c r="O58" s="188" t="s">
        <v>39</v>
      </c>
      <c r="P58" s="188"/>
      <c r="Q58" s="188">
        <v>0.02</v>
      </c>
      <c r="R58" s="188" t="s">
        <v>39</v>
      </c>
      <c r="S58" s="188" t="s">
        <v>39</v>
      </c>
      <c r="T58" s="188" t="s">
        <v>39</v>
      </c>
      <c r="U58" s="188" t="s">
        <v>39</v>
      </c>
      <c r="V58" s="188"/>
      <c r="W58" s="188" t="s">
        <v>39</v>
      </c>
      <c r="X58" s="188" t="s">
        <v>39</v>
      </c>
      <c r="Y58" s="45"/>
      <c r="Z58" s="45"/>
      <c r="AA58" s="45"/>
      <c r="AB58" s="51">
        <v>0.04</v>
      </c>
      <c r="AC58" s="46" t="s">
        <v>39</v>
      </c>
      <c r="AD58" s="17"/>
      <c r="AE58" s="17"/>
    </row>
    <row r="59" s="2" customFormat="1" ht="24" hidden="1" customHeight="1" spans="1:31">
      <c r="A59" s="13">
        <v>57</v>
      </c>
      <c r="B59" s="187" t="s">
        <v>235</v>
      </c>
      <c r="C59" s="15" t="s">
        <v>175</v>
      </c>
      <c r="D59" s="15" t="s">
        <v>230</v>
      </c>
      <c r="E59" s="15" t="s">
        <v>231</v>
      </c>
      <c r="F59" s="13" t="s">
        <v>81</v>
      </c>
      <c r="G59" s="16" t="s">
        <v>178</v>
      </c>
      <c r="H59" s="16" t="s">
        <v>60</v>
      </c>
      <c r="I59" s="17" t="s">
        <v>233</v>
      </c>
      <c r="J59" s="24" t="s">
        <v>210</v>
      </c>
      <c r="K59" s="24"/>
      <c r="L59" s="20"/>
      <c r="M59" s="20" t="s">
        <v>39</v>
      </c>
      <c r="N59" s="21">
        <v>450000</v>
      </c>
      <c r="O59" s="194">
        <v>0.03</v>
      </c>
      <c r="P59" s="45" t="s">
        <v>39</v>
      </c>
      <c r="Q59" s="188">
        <v>0.02</v>
      </c>
      <c r="R59" s="45" t="s">
        <v>39</v>
      </c>
      <c r="S59" s="45" t="s">
        <v>39</v>
      </c>
      <c r="T59" s="45" t="s">
        <v>39</v>
      </c>
      <c r="U59" s="45" t="s">
        <v>39</v>
      </c>
      <c r="V59" s="188">
        <v>0.02</v>
      </c>
      <c r="W59" s="45" t="s">
        <v>39</v>
      </c>
      <c r="X59" s="45" t="s">
        <v>1457</v>
      </c>
      <c r="Y59" s="45" t="s">
        <v>1723</v>
      </c>
      <c r="Z59" s="45" t="s">
        <v>39</v>
      </c>
      <c r="AA59" s="45" t="s">
        <v>1457</v>
      </c>
      <c r="AB59" s="51" t="s">
        <v>39</v>
      </c>
      <c r="AC59" s="46" t="s">
        <v>39</v>
      </c>
      <c r="AD59" s="17" t="s">
        <v>234</v>
      </c>
      <c r="AE59" s="17" t="s">
        <v>189</v>
      </c>
    </row>
    <row r="60" s="2" customFormat="1" ht="24" hidden="1" customHeight="1" spans="1:31">
      <c r="A60" s="13">
        <v>58</v>
      </c>
      <c r="B60" s="187" t="s">
        <v>239</v>
      </c>
      <c r="C60" s="15" t="s">
        <v>175</v>
      </c>
      <c r="D60" s="15" t="s">
        <v>230</v>
      </c>
      <c r="E60" s="15" t="s">
        <v>231</v>
      </c>
      <c r="F60" s="13" t="s">
        <v>81</v>
      </c>
      <c r="G60" s="16" t="s">
        <v>178</v>
      </c>
      <c r="H60" s="16" t="s">
        <v>66</v>
      </c>
      <c r="I60" s="17" t="s">
        <v>236</v>
      </c>
      <c r="J60" s="24" t="s">
        <v>196</v>
      </c>
      <c r="K60" s="24"/>
      <c r="L60" s="20"/>
      <c r="M60" s="20" t="s">
        <v>39</v>
      </c>
      <c r="N60" s="21">
        <v>145000</v>
      </c>
      <c r="O60" s="194">
        <v>0.03</v>
      </c>
      <c r="P60" s="45" t="s">
        <v>39</v>
      </c>
      <c r="Q60" s="188">
        <v>0.02</v>
      </c>
      <c r="R60" s="45" t="s">
        <v>39</v>
      </c>
      <c r="S60" s="45" t="s">
        <v>39</v>
      </c>
      <c r="T60" s="45" t="s">
        <v>39</v>
      </c>
      <c r="U60" s="45" t="s">
        <v>39</v>
      </c>
      <c r="V60" s="188">
        <v>0.02</v>
      </c>
      <c r="W60" s="45" t="s">
        <v>39</v>
      </c>
      <c r="X60" s="45" t="s">
        <v>1457</v>
      </c>
      <c r="Y60" s="45" t="s">
        <v>1723</v>
      </c>
      <c r="Z60" s="45" t="s">
        <v>39</v>
      </c>
      <c r="AA60" s="45" t="s">
        <v>1457</v>
      </c>
      <c r="AB60" s="51" t="s">
        <v>39</v>
      </c>
      <c r="AC60" s="46" t="s">
        <v>39</v>
      </c>
      <c r="AD60" s="17" t="s">
        <v>234</v>
      </c>
      <c r="AE60" s="17" t="s">
        <v>189</v>
      </c>
    </row>
    <row r="61" s="2" customFormat="1" ht="12" hidden="1" customHeight="1" spans="1:31">
      <c r="A61" s="13">
        <v>59</v>
      </c>
      <c r="B61" s="187" t="s">
        <v>245</v>
      </c>
      <c r="C61" s="197" t="s">
        <v>175</v>
      </c>
      <c r="D61" s="197" t="s">
        <v>237</v>
      </c>
      <c r="E61" s="197" t="s">
        <v>238</v>
      </c>
      <c r="F61" s="198" t="s">
        <v>37</v>
      </c>
      <c r="G61" s="187" t="s">
        <v>178</v>
      </c>
      <c r="H61" s="187" t="s">
        <v>39</v>
      </c>
      <c r="I61" s="45" t="s">
        <v>39</v>
      </c>
      <c r="J61" s="190" t="s">
        <v>39</v>
      </c>
      <c r="K61" s="190"/>
      <c r="L61" s="188"/>
      <c r="M61" s="188" t="s">
        <v>39</v>
      </c>
      <c r="N61" s="21" t="s">
        <v>39</v>
      </c>
      <c r="O61" s="199" t="s">
        <v>39</v>
      </c>
      <c r="P61" s="190" t="s">
        <v>39</v>
      </c>
      <c r="Q61" s="199" t="s">
        <v>39</v>
      </c>
      <c r="R61" s="190" t="s">
        <v>39</v>
      </c>
      <c r="S61" s="191" t="s">
        <v>39</v>
      </c>
      <c r="T61" s="190" t="s">
        <v>39</v>
      </c>
      <c r="U61" s="190" t="s">
        <v>39</v>
      </c>
      <c r="V61" s="194" t="s">
        <v>39</v>
      </c>
      <c r="W61" s="199" t="s">
        <v>39</v>
      </c>
      <c r="X61" s="199" t="s">
        <v>39</v>
      </c>
      <c r="Y61" s="45"/>
      <c r="Z61" s="45"/>
      <c r="AA61" s="45" t="s">
        <v>39</v>
      </c>
      <c r="AB61" s="46">
        <v>0.035</v>
      </c>
      <c r="AC61" s="46">
        <v>0.005</v>
      </c>
      <c r="AD61" s="189" t="s">
        <v>104</v>
      </c>
      <c r="AE61" s="17"/>
    </row>
    <row r="62" s="2" customFormat="1" ht="36" hidden="1" customHeight="1" spans="1:31">
      <c r="A62" s="13">
        <v>60</v>
      </c>
      <c r="B62" s="187" t="s">
        <v>248</v>
      </c>
      <c r="C62" s="15" t="s">
        <v>175</v>
      </c>
      <c r="D62" s="15" t="s">
        <v>237</v>
      </c>
      <c r="E62" s="15" t="s">
        <v>238</v>
      </c>
      <c r="F62" s="13" t="s">
        <v>81</v>
      </c>
      <c r="G62" s="16" t="s">
        <v>178</v>
      </c>
      <c r="H62" s="18" t="s">
        <v>39</v>
      </c>
      <c r="I62" s="17" t="s">
        <v>240</v>
      </c>
      <c r="J62" s="18" t="s">
        <v>241</v>
      </c>
      <c r="K62" s="18"/>
      <c r="L62" s="20"/>
      <c r="M62" s="20" t="s">
        <v>39</v>
      </c>
      <c r="N62" s="21">
        <v>6000000</v>
      </c>
      <c r="O62" s="194">
        <v>0.035</v>
      </c>
      <c r="P62" s="45" t="s">
        <v>1457</v>
      </c>
      <c r="Q62" s="188">
        <v>0</v>
      </c>
      <c r="R62" s="45" t="s">
        <v>1466</v>
      </c>
      <c r="S62" s="45" t="s">
        <v>1467</v>
      </c>
      <c r="T62" s="188">
        <v>0</v>
      </c>
      <c r="U62" s="188">
        <v>0</v>
      </c>
      <c r="V62" s="45" t="s">
        <v>39</v>
      </c>
      <c r="W62" s="45" t="s">
        <v>1457</v>
      </c>
      <c r="X62" s="45" t="s">
        <v>1457</v>
      </c>
      <c r="Y62" s="45" t="s">
        <v>1468</v>
      </c>
      <c r="Z62" s="45" t="s">
        <v>39</v>
      </c>
      <c r="AA62" s="45" t="s">
        <v>1457</v>
      </c>
      <c r="AB62" s="46" t="s">
        <v>39</v>
      </c>
      <c r="AC62" s="46" t="s">
        <v>39</v>
      </c>
      <c r="AD62" s="17" t="s">
        <v>243</v>
      </c>
      <c r="AE62" s="17" t="s">
        <v>244</v>
      </c>
    </row>
    <row r="63" s="2" customFormat="1" ht="24" hidden="1" customHeight="1" spans="1:31">
      <c r="A63" s="13">
        <v>61</v>
      </c>
      <c r="B63" s="187" t="s">
        <v>255</v>
      </c>
      <c r="C63" s="15"/>
      <c r="D63" s="15"/>
      <c r="E63" s="15" t="s">
        <v>238</v>
      </c>
      <c r="F63" s="198" t="s">
        <v>81</v>
      </c>
      <c r="G63" s="16" t="s">
        <v>178</v>
      </c>
      <c r="H63" s="16" t="s">
        <v>66</v>
      </c>
      <c r="I63" s="200" t="s">
        <v>319</v>
      </c>
      <c r="J63" s="200" t="s">
        <v>1469</v>
      </c>
      <c r="K63" s="16"/>
      <c r="L63" s="20"/>
      <c r="M63" s="20"/>
      <c r="N63" s="21"/>
      <c r="O63" s="194">
        <v>0.26</v>
      </c>
      <c r="P63" s="188">
        <v>0</v>
      </c>
      <c r="Q63" s="188">
        <v>0</v>
      </c>
      <c r="R63" s="188">
        <v>0</v>
      </c>
      <c r="S63" s="188">
        <v>0</v>
      </c>
      <c r="T63" s="188">
        <v>0</v>
      </c>
      <c r="U63" s="188">
        <v>0</v>
      </c>
      <c r="V63" s="45" t="s">
        <v>39</v>
      </c>
      <c r="W63" s="188">
        <v>0</v>
      </c>
      <c r="X63" s="45" t="s">
        <v>1457</v>
      </c>
      <c r="Y63" s="45" t="s">
        <v>1470</v>
      </c>
      <c r="Z63" s="45" t="s">
        <v>39</v>
      </c>
      <c r="AA63" s="45" t="s">
        <v>1457</v>
      </c>
      <c r="AB63" s="22"/>
      <c r="AC63" s="20"/>
      <c r="AD63" s="17"/>
      <c r="AE63" s="17"/>
    </row>
    <row r="64" s="2" customFormat="1" ht="37.5" hidden="1" customHeight="1" spans="1:31">
      <c r="A64" s="13">
        <v>62</v>
      </c>
      <c r="B64" s="187" t="s">
        <v>258</v>
      </c>
      <c r="C64" s="15"/>
      <c r="D64" s="15"/>
      <c r="E64" s="15" t="s">
        <v>238</v>
      </c>
      <c r="F64" s="198" t="s">
        <v>81</v>
      </c>
      <c r="G64" s="16" t="s">
        <v>178</v>
      </c>
      <c r="H64" s="16" t="s">
        <v>70</v>
      </c>
      <c r="I64" s="200" t="s">
        <v>1471</v>
      </c>
      <c r="J64" s="200" t="s">
        <v>1472</v>
      </c>
      <c r="K64" s="16"/>
      <c r="L64" s="20"/>
      <c r="M64" s="20"/>
      <c r="N64" s="21"/>
      <c r="O64" s="194">
        <v>0.28</v>
      </c>
      <c r="P64" s="188">
        <v>0</v>
      </c>
      <c r="Q64" s="188">
        <v>0</v>
      </c>
      <c r="R64" s="188">
        <v>0</v>
      </c>
      <c r="S64" s="188">
        <v>0</v>
      </c>
      <c r="T64" s="188">
        <v>0</v>
      </c>
      <c r="U64" s="188">
        <v>0</v>
      </c>
      <c r="V64" s="188">
        <v>0</v>
      </c>
      <c r="W64" s="188">
        <v>0</v>
      </c>
      <c r="X64" s="45" t="s">
        <v>1457</v>
      </c>
      <c r="Y64" s="45" t="s">
        <v>39</v>
      </c>
      <c r="Z64" s="45" t="s">
        <v>39</v>
      </c>
      <c r="AA64" s="45" t="s">
        <v>1457</v>
      </c>
      <c r="AB64" s="22"/>
      <c r="AC64" s="20"/>
      <c r="AD64" s="17"/>
      <c r="AE64" s="17"/>
    </row>
    <row r="65" s="2" customFormat="1" ht="56.25" hidden="1" customHeight="1" spans="1:31">
      <c r="A65" s="13">
        <v>63</v>
      </c>
      <c r="B65" s="187" t="s">
        <v>261</v>
      </c>
      <c r="C65" s="15"/>
      <c r="D65" s="15"/>
      <c r="E65" s="15" t="s">
        <v>238</v>
      </c>
      <c r="F65" s="198" t="s">
        <v>81</v>
      </c>
      <c r="G65" s="16" t="s">
        <v>178</v>
      </c>
      <c r="H65" s="16" t="s">
        <v>74</v>
      </c>
      <c r="I65" s="200" t="s">
        <v>1473</v>
      </c>
      <c r="J65" s="200" t="s">
        <v>1474</v>
      </c>
      <c r="K65" s="16"/>
      <c r="L65" s="20"/>
      <c r="M65" s="20"/>
      <c r="N65" s="21"/>
      <c r="O65" s="194">
        <v>0.27</v>
      </c>
      <c r="P65" s="188">
        <v>0</v>
      </c>
      <c r="Q65" s="188">
        <v>0</v>
      </c>
      <c r="R65" s="188">
        <v>0</v>
      </c>
      <c r="S65" s="188">
        <v>0</v>
      </c>
      <c r="T65" s="188">
        <v>0</v>
      </c>
      <c r="U65" s="188">
        <v>0</v>
      </c>
      <c r="V65" s="188">
        <v>0</v>
      </c>
      <c r="W65" s="188">
        <v>0</v>
      </c>
      <c r="X65" s="45" t="s">
        <v>1457</v>
      </c>
      <c r="Y65" s="45" t="s">
        <v>39</v>
      </c>
      <c r="Z65" s="45" t="s">
        <v>39</v>
      </c>
      <c r="AA65" s="45" t="s">
        <v>1457</v>
      </c>
      <c r="AB65" s="22"/>
      <c r="AC65" s="20"/>
      <c r="AD65" s="17"/>
      <c r="AE65" s="17"/>
    </row>
    <row r="66" s="2" customFormat="1" ht="37.5" hidden="1" customHeight="1" spans="1:31">
      <c r="A66" s="13">
        <v>64</v>
      </c>
      <c r="B66" s="187" t="s">
        <v>264</v>
      </c>
      <c r="C66" s="15"/>
      <c r="D66" s="15"/>
      <c r="E66" s="15" t="s">
        <v>238</v>
      </c>
      <c r="F66" s="198" t="s">
        <v>81</v>
      </c>
      <c r="G66" s="16" t="s">
        <v>178</v>
      </c>
      <c r="H66" s="16" t="s">
        <v>86</v>
      </c>
      <c r="I66" s="200" t="s">
        <v>1475</v>
      </c>
      <c r="J66" s="200" t="s">
        <v>1476</v>
      </c>
      <c r="K66" s="16"/>
      <c r="L66" s="20"/>
      <c r="M66" s="20"/>
      <c r="N66" s="21"/>
      <c r="O66" s="194">
        <v>0.28</v>
      </c>
      <c r="P66" s="188">
        <v>0</v>
      </c>
      <c r="Q66" s="188">
        <v>0</v>
      </c>
      <c r="R66" s="188">
        <v>0</v>
      </c>
      <c r="S66" s="188">
        <v>0</v>
      </c>
      <c r="T66" s="188">
        <v>0</v>
      </c>
      <c r="U66" s="188">
        <v>0</v>
      </c>
      <c r="V66" s="188">
        <v>0</v>
      </c>
      <c r="W66" s="188">
        <v>0</v>
      </c>
      <c r="X66" s="45" t="s">
        <v>1457</v>
      </c>
      <c r="Y66" s="45" t="s">
        <v>39</v>
      </c>
      <c r="Z66" s="45" t="s">
        <v>39</v>
      </c>
      <c r="AA66" s="45" t="s">
        <v>1457</v>
      </c>
      <c r="AB66" s="22"/>
      <c r="AC66" s="20"/>
      <c r="AD66" s="17"/>
      <c r="AE66" s="17"/>
    </row>
    <row r="67" s="2" customFormat="1" ht="56.25" hidden="1" customHeight="1" spans="1:31">
      <c r="A67" s="13">
        <v>65</v>
      </c>
      <c r="B67" s="187" t="s">
        <v>268</v>
      </c>
      <c r="C67" s="15"/>
      <c r="D67" s="15"/>
      <c r="E67" s="15" t="s">
        <v>238</v>
      </c>
      <c r="F67" s="198" t="s">
        <v>81</v>
      </c>
      <c r="G67" s="16" t="s">
        <v>178</v>
      </c>
      <c r="H67" s="16" t="s">
        <v>272</v>
      </c>
      <c r="I67" s="200" t="s">
        <v>1477</v>
      </c>
      <c r="J67" s="200" t="s">
        <v>1478</v>
      </c>
      <c r="K67" s="16"/>
      <c r="L67" s="20"/>
      <c r="M67" s="20"/>
      <c r="N67" s="21"/>
      <c r="O67" s="194">
        <v>0.28</v>
      </c>
      <c r="P67" s="188">
        <v>0</v>
      </c>
      <c r="Q67" s="188">
        <v>0</v>
      </c>
      <c r="R67" s="188">
        <v>0</v>
      </c>
      <c r="S67" s="188">
        <v>0</v>
      </c>
      <c r="T67" s="188">
        <v>0</v>
      </c>
      <c r="U67" s="188">
        <v>0</v>
      </c>
      <c r="V67" s="188">
        <v>0</v>
      </c>
      <c r="W67" s="188">
        <v>0</v>
      </c>
      <c r="X67" s="45" t="s">
        <v>1457</v>
      </c>
      <c r="Y67" s="45" t="s">
        <v>39</v>
      </c>
      <c r="Z67" s="45" t="s">
        <v>39</v>
      </c>
      <c r="AA67" s="45" t="s">
        <v>1457</v>
      </c>
      <c r="AB67" s="22"/>
      <c r="AC67" s="20"/>
      <c r="AD67" s="17"/>
      <c r="AE67" s="17"/>
    </row>
    <row r="68" s="2" customFormat="1" ht="37.5" hidden="1" customHeight="1" spans="1:31">
      <c r="A68" s="13">
        <v>66</v>
      </c>
      <c r="B68" s="187" t="s">
        <v>271</v>
      </c>
      <c r="C68" s="15"/>
      <c r="D68" s="15"/>
      <c r="E68" s="15" t="s">
        <v>238</v>
      </c>
      <c r="F68" s="198" t="s">
        <v>81</v>
      </c>
      <c r="G68" s="16" t="s">
        <v>178</v>
      </c>
      <c r="H68" s="16" t="s">
        <v>276</v>
      </c>
      <c r="I68" s="200" t="s">
        <v>1479</v>
      </c>
      <c r="J68" s="200" t="s">
        <v>1480</v>
      </c>
      <c r="K68" s="16"/>
      <c r="L68" s="20"/>
      <c r="M68" s="20"/>
      <c r="N68" s="21"/>
      <c r="O68" s="194">
        <v>0.28</v>
      </c>
      <c r="P68" s="188">
        <v>0</v>
      </c>
      <c r="Q68" s="188">
        <v>0</v>
      </c>
      <c r="R68" s="188">
        <v>0</v>
      </c>
      <c r="S68" s="188">
        <v>0</v>
      </c>
      <c r="T68" s="188">
        <v>0</v>
      </c>
      <c r="U68" s="188">
        <v>0</v>
      </c>
      <c r="V68" s="188">
        <v>0</v>
      </c>
      <c r="W68" s="188">
        <v>0</v>
      </c>
      <c r="X68" s="45" t="s">
        <v>1457</v>
      </c>
      <c r="Y68" s="45" t="s">
        <v>39</v>
      </c>
      <c r="Z68" s="45" t="s">
        <v>39</v>
      </c>
      <c r="AA68" s="45" t="s">
        <v>1457</v>
      </c>
      <c r="AB68" s="22"/>
      <c r="AC68" s="20"/>
      <c r="AD68" s="17"/>
      <c r="AE68" s="17"/>
    </row>
    <row r="69" s="2" customFormat="1" ht="37.5" hidden="1" customHeight="1" spans="1:31">
      <c r="A69" s="13">
        <v>67</v>
      </c>
      <c r="B69" s="187" t="s">
        <v>275</v>
      </c>
      <c r="C69" s="15"/>
      <c r="D69" s="15"/>
      <c r="E69" s="15" t="s">
        <v>238</v>
      </c>
      <c r="F69" s="198" t="s">
        <v>81</v>
      </c>
      <c r="G69" s="16" t="s">
        <v>178</v>
      </c>
      <c r="H69" s="16" t="s">
        <v>280</v>
      </c>
      <c r="I69" s="200" t="s">
        <v>1481</v>
      </c>
      <c r="J69" s="200" t="s">
        <v>1482</v>
      </c>
      <c r="K69" s="16"/>
      <c r="L69" s="20"/>
      <c r="M69" s="20"/>
      <c r="N69" s="21"/>
      <c r="O69" s="194">
        <v>0.13</v>
      </c>
      <c r="P69" s="188">
        <v>0</v>
      </c>
      <c r="Q69" s="188">
        <v>0</v>
      </c>
      <c r="R69" s="188">
        <v>0</v>
      </c>
      <c r="S69" s="188">
        <v>0</v>
      </c>
      <c r="T69" s="188">
        <v>0</v>
      </c>
      <c r="U69" s="188">
        <v>0</v>
      </c>
      <c r="V69" s="188">
        <v>0</v>
      </c>
      <c r="W69" s="188">
        <v>0</v>
      </c>
      <c r="X69" s="45" t="s">
        <v>1457</v>
      </c>
      <c r="Y69" s="45" t="s">
        <v>39</v>
      </c>
      <c r="Z69" s="45" t="s">
        <v>39</v>
      </c>
      <c r="AA69" s="45" t="s">
        <v>1457</v>
      </c>
      <c r="AB69" s="22"/>
      <c r="AC69" s="20"/>
      <c r="AD69" s="17"/>
      <c r="AE69" s="17"/>
    </row>
    <row r="70" s="2" customFormat="1" ht="112.5" hidden="1" customHeight="1" spans="1:31">
      <c r="A70" s="13">
        <v>68</v>
      </c>
      <c r="B70" s="187" t="s">
        <v>279</v>
      </c>
      <c r="C70" s="15"/>
      <c r="D70" s="15"/>
      <c r="E70" s="15" t="s">
        <v>238</v>
      </c>
      <c r="F70" s="198" t="s">
        <v>81</v>
      </c>
      <c r="G70" s="16" t="s">
        <v>178</v>
      </c>
      <c r="H70" s="16" t="s">
        <v>322</v>
      </c>
      <c r="I70" s="200" t="s">
        <v>1483</v>
      </c>
      <c r="J70" s="200" t="s">
        <v>1484</v>
      </c>
      <c r="K70" s="16"/>
      <c r="L70" s="20"/>
      <c r="M70" s="20"/>
      <c r="N70" s="21"/>
      <c r="O70" s="194">
        <v>0.06</v>
      </c>
      <c r="P70" s="188">
        <v>0</v>
      </c>
      <c r="Q70" s="188">
        <v>0</v>
      </c>
      <c r="R70" s="188">
        <v>0</v>
      </c>
      <c r="S70" s="188">
        <v>0</v>
      </c>
      <c r="T70" s="188">
        <v>0</v>
      </c>
      <c r="U70" s="188">
        <v>0</v>
      </c>
      <c r="V70" s="188">
        <v>0</v>
      </c>
      <c r="W70" s="188">
        <v>0</v>
      </c>
      <c r="X70" s="45" t="s">
        <v>1457</v>
      </c>
      <c r="Y70" s="45" t="s">
        <v>1485</v>
      </c>
      <c r="Z70" s="45" t="s">
        <v>39</v>
      </c>
      <c r="AA70" s="45" t="s">
        <v>1457</v>
      </c>
      <c r="AB70" s="22"/>
      <c r="AC70" s="20"/>
      <c r="AD70" s="17"/>
      <c r="AE70" s="17"/>
    </row>
    <row r="71" s="2" customFormat="1" ht="12" customHeight="1" spans="1:31">
      <c r="A71" s="13">
        <v>69</v>
      </c>
      <c r="B71" s="187" t="s">
        <v>283</v>
      </c>
      <c r="C71" s="15" t="s">
        <v>175</v>
      </c>
      <c r="D71" s="15" t="s">
        <v>246</v>
      </c>
      <c r="E71" s="15" t="s">
        <v>247</v>
      </c>
      <c r="F71" s="13" t="s">
        <v>37</v>
      </c>
      <c r="G71" s="16" t="s">
        <v>103</v>
      </c>
      <c r="H71" s="16" t="s">
        <v>39</v>
      </c>
      <c r="I71" s="43" t="s">
        <v>39</v>
      </c>
      <c r="J71" s="16" t="s">
        <v>39</v>
      </c>
      <c r="K71" s="16"/>
      <c r="L71" s="20"/>
      <c r="M71" s="20" t="s">
        <v>39</v>
      </c>
      <c r="N71" s="21" t="s">
        <v>39</v>
      </c>
      <c r="O71" s="188" t="s">
        <v>39</v>
      </c>
      <c r="P71" s="188" t="s">
        <v>39</v>
      </c>
      <c r="Q71" s="188" t="s">
        <v>39</v>
      </c>
      <c r="R71" s="188" t="s">
        <v>39</v>
      </c>
      <c r="S71" s="188" t="s">
        <v>39</v>
      </c>
      <c r="T71" s="188" t="s">
        <v>39</v>
      </c>
      <c r="U71" s="188" t="s">
        <v>39</v>
      </c>
      <c r="V71" s="188" t="s">
        <v>39</v>
      </c>
      <c r="W71" s="188" t="s">
        <v>39</v>
      </c>
      <c r="X71" s="188" t="s">
        <v>39</v>
      </c>
      <c r="Y71" s="188"/>
      <c r="Z71" s="188"/>
      <c r="AA71" s="188"/>
      <c r="AB71" s="22">
        <v>0.1</v>
      </c>
      <c r="AC71" s="20" t="s">
        <v>39</v>
      </c>
      <c r="AD71" s="17"/>
      <c r="AE71" s="17"/>
    </row>
    <row r="72" s="2" customFormat="1" ht="36" customHeight="1" spans="1:31">
      <c r="A72" s="13">
        <v>70</v>
      </c>
      <c r="B72" s="187" t="s">
        <v>289</v>
      </c>
      <c r="C72" s="15" t="s">
        <v>175</v>
      </c>
      <c r="D72" s="15" t="s">
        <v>246</v>
      </c>
      <c r="E72" s="15" t="s">
        <v>247</v>
      </c>
      <c r="F72" s="13" t="s">
        <v>81</v>
      </c>
      <c r="G72" s="16" t="s">
        <v>103</v>
      </c>
      <c r="H72" s="16" t="s">
        <v>60</v>
      </c>
      <c r="I72" s="17" t="s">
        <v>249</v>
      </c>
      <c r="J72" s="18" t="s">
        <v>250</v>
      </c>
      <c r="K72" s="18"/>
      <c r="L72" s="20"/>
      <c r="M72" s="20" t="s">
        <v>39</v>
      </c>
      <c r="N72" s="21">
        <v>800000</v>
      </c>
      <c r="O72" s="194">
        <v>0.2</v>
      </c>
      <c r="P72" s="188" t="s">
        <v>39</v>
      </c>
      <c r="Q72" s="188" t="s">
        <v>39</v>
      </c>
      <c r="R72" s="194" t="s">
        <v>39</v>
      </c>
      <c r="S72" s="194" t="s">
        <v>39</v>
      </c>
      <c r="T72" s="194" t="s">
        <v>39</v>
      </c>
      <c r="U72" s="188" t="s">
        <v>39</v>
      </c>
      <c r="V72" s="194">
        <v>0.03</v>
      </c>
      <c r="W72" s="194">
        <v>0.04</v>
      </c>
      <c r="X72" s="190" t="s">
        <v>1486</v>
      </c>
      <c r="Y72" s="188" t="s">
        <v>39</v>
      </c>
      <c r="Z72" s="188" t="s">
        <v>39</v>
      </c>
      <c r="AA72" s="188" t="s">
        <v>1486</v>
      </c>
      <c r="AB72" s="22" t="s">
        <v>39</v>
      </c>
      <c r="AC72" s="20" t="s">
        <v>39</v>
      </c>
      <c r="AD72" s="195" t="s">
        <v>252</v>
      </c>
      <c r="AE72" s="17" t="s">
        <v>253</v>
      </c>
    </row>
    <row r="73" s="2" customFormat="1" ht="36" customHeight="1" spans="1:31">
      <c r="A73" s="13">
        <v>71</v>
      </c>
      <c r="B73" s="187" t="s">
        <v>292</v>
      </c>
      <c r="C73" s="15" t="s">
        <v>175</v>
      </c>
      <c r="D73" s="15" t="s">
        <v>246</v>
      </c>
      <c r="E73" s="15" t="s">
        <v>247</v>
      </c>
      <c r="F73" s="13" t="s">
        <v>81</v>
      </c>
      <c r="G73" s="16" t="s">
        <v>103</v>
      </c>
      <c r="H73" s="16" t="s">
        <v>66</v>
      </c>
      <c r="I73" s="17" t="s">
        <v>256</v>
      </c>
      <c r="J73" s="18" t="s">
        <v>257</v>
      </c>
      <c r="K73" s="18"/>
      <c r="L73" s="20"/>
      <c r="M73" s="20" t="s">
        <v>39</v>
      </c>
      <c r="N73" s="21">
        <v>880000</v>
      </c>
      <c r="O73" s="194">
        <v>0.18</v>
      </c>
      <c r="P73" s="188" t="s">
        <v>39</v>
      </c>
      <c r="Q73" s="188" t="s">
        <v>39</v>
      </c>
      <c r="R73" s="194" t="s">
        <v>39</v>
      </c>
      <c r="S73" s="194" t="s">
        <v>39</v>
      </c>
      <c r="T73" s="194" t="s">
        <v>39</v>
      </c>
      <c r="U73" s="188" t="s">
        <v>39</v>
      </c>
      <c r="V73" s="194">
        <v>0.02</v>
      </c>
      <c r="W73" s="194">
        <v>0.03</v>
      </c>
      <c r="X73" s="190" t="s">
        <v>1486</v>
      </c>
      <c r="Y73" s="188" t="s">
        <v>39</v>
      </c>
      <c r="Z73" s="188" t="s">
        <v>39</v>
      </c>
      <c r="AA73" s="188" t="s">
        <v>1486</v>
      </c>
      <c r="AB73" s="22" t="s">
        <v>39</v>
      </c>
      <c r="AC73" s="20" t="s">
        <v>39</v>
      </c>
      <c r="AD73" s="195" t="s">
        <v>252</v>
      </c>
      <c r="AE73" s="17" t="s">
        <v>253</v>
      </c>
    </row>
    <row r="74" s="2" customFormat="1" ht="36" customHeight="1" spans="1:31">
      <c r="A74" s="13">
        <v>72</v>
      </c>
      <c r="B74" s="187" t="s">
        <v>296</v>
      </c>
      <c r="C74" s="15" t="s">
        <v>175</v>
      </c>
      <c r="D74" s="15" t="s">
        <v>246</v>
      </c>
      <c r="E74" s="15" t="s">
        <v>247</v>
      </c>
      <c r="F74" s="13" t="s">
        <v>81</v>
      </c>
      <c r="G74" s="16" t="s">
        <v>103</v>
      </c>
      <c r="H74" s="16" t="s">
        <v>70</v>
      </c>
      <c r="I74" s="17" t="s">
        <v>259</v>
      </c>
      <c r="J74" s="18" t="s">
        <v>260</v>
      </c>
      <c r="K74" s="18"/>
      <c r="L74" s="20"/>
      <c r="M74" s="20" t="s">
        <v>39</v>
      </c>
      <c r="N74" s="21">
        <v>800000</v>
      </c>
      <c r="O74" s="194">
        <v>0.18</v>
      </c>
      <c r="P74" s="188" t="s">
        <v>39</v>
      </c>
      <c r="Q74" s="188" t="s">
        <v>39</v>
      </c>
      <c r="R74" s="194" t="s">
        <v>39</v>
      </c>
      <c r="S74" s="194" t="s">
        <v>39</v>
      </c>
      <c r="T74" s="194" t="s">
        <v>39</v>
      </c>
      <c r="U74" s="188" t="s">
        <v>39</v>
      </c>
      <c r="V74" s="194">
        <v>0.03</v>
      </c>
      <c r="W74" s="194">
        <v>0.03</v>
      </c>
      <c r="X74" s="190" t="s">
        <v>1486</v>
      </c>
      <c r="Y74" s="188" t="s">
        <v>39</v>
      </c>
      <c r="Z74" s="188" t="s">
        <v>39</v>
      </c>
      <c r="AA74" s="188" t="s">
        <v>1486</v>
      </c>
      <c r="AB74" s="22" t="s">
        <v>39</v>
      </c>
      <c r="AC74" s="20" t="s">
        <v>39</v>
      </c>
      <c r="AD74" s="195" t="s">
        <v>252</v>
      </c>
      <c r="AE74" s="17" t="s">
        <v>253</v>
      </c>
    </row>
    <row r="75" s="2" customFormat="1" ht="36" customHeight="1" spans="1:31">
      <c r="A75" s="13">
        <v>73</v>
      </c>
      <c r="B75" s="187" t="s">
        <v>300</v>
      </c>
      <c r="C75" s="15" t="s">
        <v>175</v>
      </c>
      <c r="D75" s="15" t="s">
        <v>246</v>
      </c>
      <c r="E75" s="15" t="s">
        <v>247</v>
      </c>
      <c r="F75" s="13" t="s">
        <v>81</v>
      </c>
      <c r="G75" s="16" t="s">
        <v>103</v>
      </c>
      <c r="H75" s="16" t="s">
        <v>74</v>
      </c>
      <c r="I75" s="17" t="s">
        <v>262</v>
      </c>
      <c r="J75" s="18" t="s">
        <v>263</v>
      </c>
      <c r="K75" s="18"/>
      <c r="L75" s="20"/>
      <c r="M75" s="20" t="s">
        <v>39</v>
      </c>
      <c r="N75" s="21">
        <v>800000</v>
      </c>
      <c r="O75" s="194">
        <v>0.2</v>
      </c>
      <c r="P75" s="188" t="s">
        <v>39</v>
      </c>
      <c r="Q75" s="188" t="s">
        <v>39</v>
      </c>
      <c r="R75" s="194" t="s">
        <v>39</v>
      </c>
      <c r="S75" s="194" t="s">
        <v>39</v>
      </c>
      <c r="T75" s="194" t="s">
        <v>39</v>
      </c>
      <c r="U75" s="188" t="s">
        <v>39</v>
      </c>
      <c r="V75" s="194">
        <v>0.03</v>
      </c>
      <c r="W75" s="194">
        <v>0.04</v>
      </c>
      <c r="X75" s="190" t="s">
        <v>1486</v>
      </c>
      <c r="Y75" s="188" t="s">
        <v>39</v>
      </c>
      <c r="Z75" s="188" t="s">
        <v>39</v>
      </c>
      <c r="AA75" s="188" t="s">
        <v>1486</v>
      </c>
      <c r="AB75" s="22" t="s">
        <v>39</v>
      </c>
      <c r="AC75" s="20" t="s">
        <v>39</v>
      </c>
      <c r="AD75" s="195" t="s">
        <v>252</v>
      </c>
      <c r="AE75" s="17" t="s">
        <v>253</v>
      </c>
    </row>
    <row r="76" s="2" customFormat="1" ht="36" customHeight="1" spans="1:31">
      <c r="A76" s="13">
        <v>74</v>
      </c>
      <c r="B76" s="187" t="s">
        <v>303</v>
      </c>
      <c r="C76" s="15" t="s">
        <v>175</v>
      </c>
      <c r="D76" s="15" t="s">
        <v>246</v>
      </c>
      <c r="E76" s="15" t="s">
        <v>247</v>
      </c>
      <c r="F76" s="13" t="s">
        <v>81</v>
      </c>
      <c r="G76" s="16" t="s">
        <v>103</v>
      </c>
      <c r="H76" s="16" t="s">
        <v>265</v>
      </c>
      <c r="I76" s="17" t="s">
        <v>266</v>
      </c>
      <c r="J76" s="18" t="s">
        <v>267</v>
      </c>
      <c r="K76" s="18"/>
      <c r="L76" s="20"/>
      <c r="M76" s="20" t="s">
        <v>39</v>
      </c>
      <c r="N76" s="21">
        <v>800000</v>
      </c>
      <c r="O76" s="194">
        <v>0.2</v>
      </c>
      <c r="P76" s="188" t="s">
        <v>39</v>
      </c>
      <c r="Q76" s="188" t="s">
        <v>39</v>
      </c>
      <c r="R76" s="194" t="s">
        <v>39</v>
      </c>
      <c r="S76" s="194" t="s">
        <v>39</v>
      </c>
      <c r="T76" s="194" t="s">
        <v>39</v>
      </c>
      <c r="U76" s="188" t="s">
        <v>39</v>
      </c>
      <c r="V76" s="194">
        <v>0.03</v>
      </c>
      <c r="W76" s="194">
        <v>0.04</v>
      </c>
      <c r="X76" s="190" t="s">
        <v>1486</v>
      </c>
      <c r="Y76" s="188" t="s">
        <v>39</v>
      </c>
      <c r="Z76" s="188" t="s">
        <v>39</v>
      </c>
      <c r="AA76" s="188" t="s">
        <v>1486</v>
      </c>
      <c r="AB76" s="22" t="s">
        <v>39</v>
      </c>
      <c r="AC76" s="20" t="s">
        <v>39</v>
      </c>
      <c r="AD76" s="195" t="s">
        <v>252</v>
      </c>
      <c r="AE76" s="17" t="s">
        <v>253</v>
      </c>
    </row>
    <row r="77" s="2" customFormat="1" ht="36" customHeight="1" spans="1:31">
      <c r="A77" s="13">
        <v>75</v>
      </c>
      <c r="B77" s="187" t="s">
        <v>305</v>
      </c>
      <c r="C77" s="15" t="s">
        <v>175</v>
      </c>
      <c r="D77" s="15" t="s">
        <v>246</v>
      </c>
      <c r="E77" s="15" t="s">
        <v>247</v>
      </c>
      <c r="F77" s="13" t="s">
        <v>81</v>
      </c>
      <c r="G77" s="16" t="s">
        <v>103</v>
      </c>
      <c r="H77" s="16" t="s">
        <v>86</v>
      </c>
      <c r="I77" s="17" t="s">
        <v>269</v>
      </c>
      <c r="J77" s="18" t="s">
        <v>270</v>
      </c>
      <c r="K77" s="18"/>
      <c r="L77" s="20"/>
      <c r="M77" s="20" t="s">
        <v>39</v>
      </c>
      <c r="N77" s="21">
        <v>800000</v>
      </c>
      <c r="O77" s="194">
        <v>0.2</v>
      </c>
      <c r="P77" s="188" t="s">
        <v>39</v>
      </c>
      <c r="Q77" s="188" t="s">
        <v>39</v>
      </c>
      <c r="R77" s="194" t="s">
        <v>39</v>
      </c>
      <c r="S77" s="194" t="s">
        <v>39</v>
      </c>
      <c r="T77" s="194" t="s">
        <v>39</v>
      </c>
      <c r="U77" s="188" t="s">
        <v>39</v>
      </c>
      <c r="V77" s="194">
        <v>0.03</v>
      </c>
      <c r="W77" s="194">
        <v>0.04</v>
      </c>
      <c r="X77" s="190" t="s">
        <v>1486</v>
      </c>
      <c r="Y77" s="188" t="s">
        <v>39</v>
      </c>
      <c r="Z77" s="188" t="s">
        <v>39</v>
      </c>
      <c r="AA77" s="188" t="s">
        <v>1486</v>
      </c>
      <c r="AB77" s="22" t="s">
        <v>39</v>
      </c>
      <c r="AC77" s="20" t="s">
        <v>39</v>
      </c>
      <c r="AD77" s="195" t="s">
        <v>252</v>
      </c>
      <c r="AE77" s="17" t="s">
        <v>253</v>
      </c>
    </row>
    <row r="78" s="2" customFormat="1" ht="36" customHeight="1" spans="1:31">
      <c r="A78" s="13">
        <v>76</v>
      </c>
      <c r="B78" s="187" t="s">
        <v>308</v>
      </c>
      <c r="C78" s="15" t="s">
        <v>175</v>
      </c>
      <c r="D78" s="15" t="s">
        <v>246</v>
      </c>
      <c r="E78" s="15" t="s">
        <v>247</v>
      </c>
      <c r="F78" s="13" t="s">
        <v>81</v>
      </c>
      <c r="G78" s="16" t="s">
        <v>103</v>
      </c>
      <c r="H78" s="16" t="s">
        <v>272</v>
      </c>
      <c r="I78" s="17" t="s">
        <v>273</v>
      </c>
      <c r="J78" s="18" t="s">
        <v>274</v>
      </c>
      <c r="K78" s="18"/>
      <c r="L78" s="20"/>
      <c r="M78" s="20" t="s">
        <v>39</v>
      </c>
      <c r="N78" s="21">
        <v>800000</v>
      </c>
      <c r="O78" s="194">
        <v>0.18</v>
      </c>
      <c r="P78" s="188" t="s">
        <v>39</v>
      </c>
      <c r="Q78" s="188" t="s">
        <v>39</v>
      </c>
      <c r="R78" s="194" t="s">
        <v>39</v>
      </c>
      <c r="S78" s="194" t="s">
        <v>39</v>
      </c>
      <c r="T78" s="194" t="s">
        <v>39</v>
      </c>
      <c r="U78" s="188" t="s">
        <v>39</v>
      </c>
      <c r="V78" s="194">
        <v>0.03</v>
      </c>
      <c r="W78" s="194">
        <v>0.03</v>
      </c>
      <c r="X78" s="190" t="s">
        <v>1486</v>
      </c>
      <c r="Y78" s="188" t="s">
        <v>39</v>
      </c>
      <c r="Z78" s="188" t="s">
        <v>39</v>
      </c>
      <c r="AA78" s="188" t="s">
        <v>1486</v>
      </c>
      <c r="AB78" s="22" t="s">
        <v>39</v>
      </c>
      <c r="AC78" s="20" t="s">
        <v>39</v>
      </c>
      <c r="AD78" s="195" t="s">
        <v>252</v>
      </c>
      <c r="AE78" s="17" t="s">
        <v>253</v>
      </c>
    </row>
    <row r="79" s="2" customFormat="1" ht="36" customHeight="1" spans="1:31">
      <c r="A79" s="13">
        <v>77</v>
      </c>
      <c r="B79" s="187" t="s">
        <v>311</v>
      </c>
      <c r="C79" s="15" t="s">
        <v>175</v>
      </c>
      <c r="D79" s="15" t="s">
        <v>246</v>
      </c>
      <c r="E79" s="15" t="s">
        <v>247</v>
      </c>
      <c r="F79" s="13" t="s">
        <v>81</v>
      </c>
      <c r="G79" s="16" t="s">
        <v>103</v>
      </c>
      <c r="H79" s="16" t="s">
        <v>276</v>
      </c>
      <c r="I79" s="17" t="s">
        <v>277</v>
      </c>
      <c r="J79" s="18" t="s">
        <v>278</v>
      </c>
      <c r="K79" s="18"/>
      <c r="L79" s="20"/>
      <c r="M79" s="20" t="s">
        <v>39</v>
      </c>
      <c r="N79" s="21">
        <v>800000</v>
      </c>
      <c r="O79" s="194">
        <v>0.2</v>
      </c>
      <c r="P79" s="188" t="s">
        <v>39</v>
      </c>
      <c r="Q79" s="188" t="s">
        <v>39</v>
      </c>
      <c r="R79" s="194" t="s">
        <v>39</v>
      </c>
      <c r="S79" s="194" t="s">
        <v>39</v>
      </c>
      <c r="T79" s="194" t="s">
        <v>39</v>
      </c>
      <c r="U79" s="188" t="s">
        <v>39</v>
      </c>
      <c r="V79" s="194">
        <v>0.03</v>
      </c>
      <c r="W79" s="194">
        <v>0.04</v>
      </c>
      <c r="X79" s="190" t="s">
        <v>1486</v>
      </c>
      <c r="Y79" s="188" t="s">
        <v>39</v>
      </c>
      <c r="Z79" s="188" t="s">
        <v>39</v>
      </c>
      <c r="AA79" s="188" t="s">
        <v>1486</v>
      </c>
      <c r="AB79" s="22" t="s">
        <v>39</v>
      </c>
      <c r="AC79" s="20" t="s">
        <v>39</v>
      </c>
      <c r="AD79" s="195" t="s">
        <v>252</v>
      </c>
      <c r="AE79" s="17" t="s">
        <v>253</v>
      </c>
    </row>
    <row r="80" s="2" customFormat="1" ht="36" customHeight="1" spans="1:31">
      <c r="A80" s="13">
        <v>78</v>
      </c>
      <c r="B80" s="187" t="s">
        <v>315</v>
      </c>
      <c r="C80" s="15" t="s">
        <v>175</v>
      </c>
      <c r="D80" s="15" t="s">
        <v>246</v>
      </c>
      <c r="E80" s="15" t="s">
        <v>247</v>
      </c>
      <c r="F80" s="13" t="s">
        <v>81</v>
      </c>
      <c r="G80" s="16" t="s">
        <v>103</v>
      </c>
      <c r="H80" s="16" t="s">
        <v>280</v>
      </c>
      <c r="I80" s="17" t="s">
        <v>281</v>
      </c>
      <c r="J80" s="18" t="s">
        <v>282</v>
      </c>
      <c r="K80" s="18"/>
      <c r="L80" s="20"/>
      <c r="M80" s="20" t="s">
        <v>39</v>
      </c>
      <c r="N80" s="21">
        <v>960000</v>
      </c>
      <c r="O80" s="194">
        <v>0.2</v>
      </c>
      <c r="P80" s="188" t="s">
        <v>39</v>
      </c>
      <c r="Q80" s="188" t="s">
        <v>39</v>
      </c>
      <c r="R80" s="194" t="s">
        <v>39</v>
      </c>
      <c r="S80" s="194" t="s">
        <v>39</v>
      </c>
      <c r="T80" s="194" t="s">
        <v>39</v>
      </c>
      <c r="U80" s="188" t="s">
        <v>39</v>
      </c>
      <c r="V80" s="194">
        <v>0.03</v>
      </c>
      <c r="W80" s="194">
        <v>0.04</v>
      </c>
      <c r="X80" s="190" t="s">
        <v>1486</v>
      </c>
      <c r="Y80" s="188" t="s">
        <v>39</v>
      </c>
      <c r="Z80" s="188" t="s">
        <v>39</v>
      </c>
      <c r="AA80" s="188" t="s">
        <v>1486</v>
      </c>
      <c r="AB80" s="22" t="s">
        <v>39</v>
      </c>
      <c r="AC80" s="20" t="s">
        <v>39</v>
      </c>
      <c r="AD80" s="195" t="s">
        <v>252</v>
      </c>
      <c r="AE80" s="17" t="s">
        <v>253</v>
      </c>
    </row>
    <row r="81" s="2" customFormat="1" ht="48" customHeight="1" spans="1:31">
      <c r="A81" s="13">
        <v>79</v>
      </c>
      <c r="B81" s="187" t="s">
        <v>318</v>
      </c>
      <c r="C81" s="15" t="s">
        <v>175</v>
      </c>
      <c r="D81" s="15" t="s">
        <v>246</v>
      </c>
      <c r="E81" s="15" t="s">
        <v>247</v>
      </c>
      <c r="F81" s="13" t="s">
        <v>81</v>
      </c>
      <c r="G81" s="16" t="s">
        <v>103</v>
      </c>
      <c r="H81" s="16" t="s">
        <v>284</v>
      </c>
      <c r="I81" s="17" t="s">
        <v>285</v>
      </c>
      <c r="J81" s="18" t="s">
        <v>286</v>
      </c>
      <c r="K81" s="18"/>
      <c r="L81" s="20"/>
      <c r="M81" s="20" t="s">
        <v>39</v>
      </c>
      <c r="N81" s="21">
        <v>480000</v>
      </c>
      <c r="O81" s="194">
        <v>0.18</v>
      </c>
      <c r="P81" s="188" t="s">
        <v>39</v>
      </c>
      <c r="Q81" s="188" t="s">
        <v>39</v>
      </c>
      <c r="R81" s="194" t="s">
        <v>39</v>
      </c>
      <c r="S81" s="194" t="s">
        <v>39</v>
      </c>
      <c r="T81" s="194" t="s">
        <v>39</v>
      </c>
      <c r="U81" s="188" t="s">
        <v>39</v>
      </c>
      <c r="V81" s="194" t="s">
        <v>39</v>
      </c>
      <c r="W81" s="192" t="s">
        <v>1457</v>
      </c>
      <c r="X81" s="190" t="s">
        <v>1486</v>
      </c>
      <c r="Y81" s="188" t="s">
        <v>39</v>
      </c>
      <c r="Z81" s="188" t="s">
        <v>39</v>
      </c>
      <c r="AA81" s="188" t="s">
        <v>1486</v>
      </c>
      <c r="AB81" s="22" t="s">
        <v>39</v>
      </c>
      <c r="AC81" s="20" t="s">
        <v>39</v>
      </c>
      <c r="AD81" s="195" t="s">
        <v>287</v>
      </c>
      <c r="AE81" s="17" t="s">
        <v>288</v>
      </c>
    </row>
    <row r="82" s="2" customFormat="1" ht="12" customHeight="1" spans="1:31">
      <c r="A82" s="13">
        <v>80</v>
      </c>
      <c r="B82" s="187" t="s">
        <v>321</v>
      </c>
      <c r="C82" s="15" t="s">
        <v>175</v>
      </c>
      <c r="D82" s="15" t="s">
        <v>290</v>
      </c>
      <c r="E82" s="15" t="s">
        <v>291</v>
      </c>
      <c r="F82" s="13" t="s">
        <v>37</v>
      </c>
      <c r="G82" s="16" t="s">
        <v>103</v>
      </c>
      <c r="H82" s="16" t="s">
        <v>39</v>
      </c>
      <c r="I82" s="43" t="s">
        <v>39</v>
      </c>
      <c r="J82" s="16" t="s">
        <v>39</v>
      </c>
      <c r="K82" s="16"/>
      <c r="L82" s="20"/>
      <c r="M82" s="20" t="s">
        <v>39</v>
      </c>
      <c r="N82" s="21" t="s">
        <v>39</v>
      </c>
      <c r="O82" s="188" t="s">
        <v>39</v>
      </c>
      <c r="P82" s="188" t="s">
        <v>39</v>
      </c>
      <c r="Q82" s="188" t="s">
        <v>39</v>
      </c>
      <c r="R82" s="188" t="s">
        <v>39</v>
      </c>
      <c r="S82" s="188" t="s">
        <v>39</v>
      </c>
      <c r="T82" s="188" t="s">
        <v>39</v>
      </c>
      <c r="U82" s="188" t="s">
        <v>39</v>
      </c>
      <c r="V82" s="188" t="s">
        <v>39</v>
      </c>
      <c r="W82" s="188" t="s">
        <v>39</v>
      </c>
      <c r="X82" s="188" t="s">
        <v>39</v>
      </c>
      <c r="Y82" s="45"/>
      <c r="Z82" s="45"/>
      <c r="AA82" s="45"/>
      <c r="AB82" s="22">
        <v>0.05</v>
      </c>
      <c r="AC82" s="20" t="s">
        <v>39</v>
      </c>
      <c r="AD82" s="17"/>
      <c r="AE82" s="17"/>
    </row>
    <row r="83" s="2" customFormat="1" ht="60" customHeight="1" spans="1:31">
      <c r="A83" s="13">
        <v>81</v>
      </c>
      <c r="B83" s="187" t="s">
        <v>325</v>
      </c>
      <c r="C83" s="15" t="s">
        <v>175</v>
      </c>
      <c r="D83" s="15" t="s">
        <v>290</v>
      </c>
      <c r="E83" s="15" t="s">
        <v>291</v>
      </c>
      <c r="F83" s="13" t="s">
        <v>81</v>
      </c>
      <c r="G83" s="16" t="s">
        <v>103</v>
      </c>
      <c r="H83" s="16" t="s">
        <v>60</v>
      </c>
      <c r="I83" s="17" t="s">
        <v>240</v>
      </c>
      <c r="J83" s="18" t="s">
        <v>293</v>
      </c>
      <c r="K83" s="18"/>
      <c r="L83" s="188" t="s">
        <v>1724</v>
      </c>
      <c r="M83" s="20" t="s">
        <v>39</v>
      </c>
      <c r="N83" s="21">
        <v>1330000</v>
      </c>
      <c r="O83" s="194">
        <v>0.12</v>
      </c>
      <c r="P83" s="194">
        <v>0.01</v>
      </c>
      <c r="Q83" s="194"/>
      <c r="R83" s="194">
        <v>0.01</v>
      </c>
      <c r="S83" s="194">
        <v>0.01</v>
      </c>
      <c r="T83" s="194">
        <v>0.01</v>
      </c>
      <c r="U83" s="194">
        <v>0.02</v>
      </c>
      <c r="V83" s="194">
        <v>0.02</v>
      </c>
      <c r="W83" s="194">
        <v>0.02</v>
      </c>
      <c r="X83" s="188" t="s">
        <v>39</v>
      </c>
      <c r="Y83" s="188"/>
      <c r="Z83" s="188"/>
      <c r="AA83" s="188"/>
      <c r="AB83" s="22" t="s">
        <v>39</v>
      </c>
      <c r="AC83" s="20" t="s">
        <v>39</v>
      </c>
      <c r="AD83" s="195" t="s">
        <v>294</v>
      </c>
      <c r="AE83" s="17" t="s">
        <v>295</v>
      </c>
    </row>
    <row r="84" s="2" customFormat="1" ht="60" customHeight="1" spans="1:31">
      <c r="A84" s="13">
        <v>82</v>
      </c>
      <c r="B84" s="187" t="s">
        <v>328</v>
      </c>
      <c r="C84" s="15" t="s">
        <v>175</v>
      </c>
      <c r="D84" s="15" t="s">
        <v>290</v>
      </c>
      <c r="E84" s="15" t="s">
        <v>291</v>
      </c>
      <c r="F84" s="13" t="s">
        <v>81</v>
      </c>
      <c r="G84" s="16" t="s">
        <v>103</v>
      </c>
      <c r="H84" s="16" t="s">
        <v>66</v>
      </c>
      <c r="I84" s="17" t="s">
        <v>297</v>
      </c>
      <c r="J84" s="18" t="s">
        <v>298</v>
      </c>
      <c r="K84" s="18"/>
      <c r="L84" s="20"/>
      <c r="M84" s="20" t="s">
        <v>39</v>
      </c>
      <c r="N84" s="21">
        <v>590000</v>
      </c>
      <c r="O84" s="194">
        <v>0.12</v>
      </c>
      <c r="P84" s="194">
        <v>0.01</v>
      </c>
      <c r="Q84" s="194" t="s">
        <v>1457</v>
      </c>
      <c r="R84" s="194">
        <v>0.01</v>
      </c>
      <c r="S84" s="194">
        <v>0.01</v>
      </c>
      <c r="T84" s="194">
        <v>0.01</v>
      </c>
      <c r="U84" s="194">
        <v>0.02</v>
      </c>
      <c r="V84" s="194" t="s">
        <v>1457</v>
      </c>
      <c r="W84" s="192" t="s">
        <v>1457</v>
      </c>
      <c r="X84" s="188" t="s">
        <v>1457</v>
      </c>
      <c r="Y84" s="188" t="s">
        <v>39</v>
      </c>
      <c r="Z84" s="188" t="s">
        <v>39</v>
      </c>
      <c r="AA84" s="188" t="s">
        <v>1457</v>
      </c>
      <c r="AB84" s="22" t="s">
        <v>39</v>
      </c>
      <c r="AC84" s="20" t="s">
        <v>39</v>
      </c>
      <c r="AD84" s="195" t="s">
        <v>294</v>
      </c>
      <c r="AE84" s="17" t="s">
        <v>299</v>
      </c>
    </row>
    <row r="85" s="2" customFormat="1" ht="60" customHeight="1" spans="1:31">
      <c r="A85" s="13">
        <v>83</v>
      </c>
      <c r="B85" s="187" t="s">
        <v>332</v>
      </c>
      <c r="C85" s="15" t="s">
        <v>175</v>
      </c>
      <c r="D85" s="15" t="s">
        <v>290</v>
      </c>
      <c r="E85" s="15" t="s">
        <v>291</v>
      </c>
      <c r="F85" s="13" t="s">
        <v>81</v>
      </c>
      <c r="G85" s="16" t="s">
        <v>103</v>
      </c>
      <c r="H85" s="16" t="s">
        <v>70</v>
      </c>
      <c r="I85" s="17" t="s">
        <v>301</v>
      </c>
      <c r="J85" s="18" t="s">
        <v>302</v>
      </c>
      <c r="K85" s="18"/>
      <c r="L85" s="20"/>
      <c r="M85" s="20" t="s">
        <v>39</v>
      </c>
      <c r="N85" s="21">
        <v>400000</v>
      </c>
      <c r="O85" s="194">
        <v>0.12</v>
      </c>
      <c r="P85" s="194">
        <v>0.01</v>
      </c>
      <c r="Q85" s="194" t="s">
        <v>1457</v>
      </c>
      <c r="R85" s="194">
        <v>0.01</v>
      </c>
      <c r="S85" s="194">
        <v>0.01</v>
      </c>
      <c r="T85" s="194">
        <v>0.01</v>
      </c>
      <c r="U85" s="194">
        <v>0.02</v>
      </c>
      <c r="V85" s="194">
        <v>0.03</v>
      </c>
      <c r="W85" s="194">
        <v>0.03</v>
      </c>
      <c r="X85" s="188" t="s">
        <v>1457</v>
      </c>
      <c r="Y85" s="188" t="s">
        <v>39</v>
      </c>
      <c r="Z85" s="188" t="s">
        <v>39</v>
      </c>
      <c r="AA85" s="188" t="s">
        <v>1457</v>
      </c>
      <c r="AB85" s="22" t="s">
        <v>39</v>
      </c>
      <c r="AC85" s="20" t="s">
        <v>39</v>
      </c>
      <c r="AD85" s="195" t="s">
        <v>294</v>
      </c>
      <c r="AE85" s="17" t="s">
        <v>299</v>
      </c>
    </row>
    <row r="86" s="2" customFormat="1" ht="60" customHeight="1" spans="1:31">
      <c r="A86" s="13">
        <v>84</v>
      </c>
      <c r="B86" s="187" t="s">
        <v>338</v>
      </c>
      <c r="C86" s="15" t="s">
        <v>175</v>
      </c>
      <c r="D86" s="15" t="s">
        <v>290</v>
      </c>
      <c r="E86" s="15" t="s">
        <v>291</v>
      </c>
      <c r="F86" s="13" t="s">
        <v>81</v>
      </c>
      <c r="G86" s="16" t="s">
        <v>103</v>
      </c>
      <c r="H86" s="16" t="s">
        <v>265</v>
      </c>
      <c r="I86" s="17" t="s">
        <v>98</v>
      </c>
      <c r="J86" s="18" t="s">
        <v>304</v>
      </c>
      <c r="K86" s="18"/>
      <c r="L86" s="20"/>
      <c r="M86" s="20" t="s">
        <v>39</v>
      </c>
      <c r="N86" s="21">
        <v>240000</v>
      </c>
      <c r="O86" s="194">
        <v>0.05</v>
      </c>
      <c r="P86" s="194">
        <v>0.01</v>
      </c>
      <c r="Q86" s="194" t="s">
        <v>1457</v>
      </c>
      <c r="R86" s="194">
        <v>0.01</v>
      </c>
      <c r="S86" s="194">
        <v>0.01</v>
      </c>
      <c r="T86" s="194">
        <v>0.01</v>
      </c>
      <c r="U86" s="194">
        <v>0.01</v>
      </c>
      <c r="V86" s="194" t="s">
        <v>1457</v>
      </c>
      <c r="W86" s="192" t="s">
        <v>1457</v>
      </c>
      <c r="X86" s="188" t="s">
        <v>1457</v>
      </c>
      <c r="Y86" s="188" t="s">
        <v>39</v>
      </c>
      <c r="Z86" s="188" t="s">
        <v>39</v>
      </c>
      <c r="AA86" s="188" t="s">
        <v>1457</v>
      </c>
      <c r="AB86" s="22" t="s">
        <v>39</v>
      </c>
      <c r="AC86" s="20" t="s">
        <v>39</v>
      </c>
      <c r="AD86" s="195" t="s">
        <v>294</v>
      </c>
      <c r="AE86" s="17" t="s">
        <v>299</v>
      </c>
    </row>
    <row r="87" s="2" customFormat="1" ht="60" customHeight="1" spans="1:31">
      <c r="A87" s="13">
        <v>85</v>
      </c>
      <c r="B87" s="187" t="s">
        <v>343</v>
      </c>
      <c r="C87" s="15" t="s">
        <v>175</v>
      </c>
      <c r="D87" s="15" t="s">
        <v>290</v>
      </c>
      <c r="E87" s="15" t="s">
        <v>291</v>
      </c>
      <c r="F87" s="13" t="s">
        <v>81</v>
      </c>
      <c r="G87" s="16" t="s">
        <v>103</v>
      </c>
      <c r="H87" s="16" t="s">
        <v>86</v>
      </c>
      <c r="I87" s="17" t="s">
        <v>306</v>
      </c>
      <c r="J87" s="18" t="s">
        <v>270</v>
      </c>
      <c r="K87" s="18"/>
      <c r="L87" s="188" t="s">
        <v>1724</v>
      </c>
      <c r="M87" s="20" t="s">
        <v>39</v>
      </c>
      <c r="N87" s="21">
        <v>325000</v>
      </c>
      <c r="O87" s="194">
        <v>0.12</v>
      </c>
      <c r="P87" s="194">
        <v>0.01</v>
      </c>
      <c r="Q87" s="194"/>
      <c r="R87" s="194">
        <v>0.01</v>
      </c>
      <c r="S87" s="194">
        <v>0.01</v>
      </c>
      <c r="T87" s="194">
        <v>0.01</v>
      </c>
      <c r="U87" s="194">
        <v>0.02</v>
      </c>
      <c r="V87" s="194"/>
      <c r="W87" s="192"/>
      <c r="X87" s="188" t="s">
        <v>39</v>
      </c>
      <c r="Y87" s="188"/>
      <c r="Z87" s="188"/>
      <c r="AA87" s="188"/>
      <c r="AB87" s="22" t="s">
        <v>39</v>
      </c>
      <c r="AC87" s="20" t="s">
        <v>39</v>
      </c>
      <c r="AD87" s="195" t="s">
        <v>294</v>
      </c>
      <c r="AE87" s="17" t="s">
        <v>307</v>
      </c>
    </row>
    <row r="88" s="2" customFormat="1" ht="60" customHeight="1" spans="1:31">
      <c r="A88" s="13">
        <v>86</v>
      </c>
      <c r="B88" s="187" t="s">
        <v>345</v>
      </c>
      <c r="C88" s="15" t="s">
        <v>175</v>
      </c>
      <c r="D88" s="15" t="s">
        <v>290</v>
      </c>
      <c r="E88" s="15" t="s">
        <v>291</v>
      </c>
      <c r="F88" s="13" t="s">
        <v>81</v>
      </c>
      <c r="G88" s="16" t="s">
        <v>103</v>
      </c>
      <c r="H88" s="16" t="s">
        <v>272</v>
      </c>
      <c r="I88" s="17" t="s">
        <v>309</v>
      </c>
      <c r="J88" s="18" t="s">
        <v>310</v>
      </c>
      <c r="K88" s="18"/>
      <c r="L88" s="20"/>
      <c r="M88" s="20" t="s">
        <v>39</v>
      </c>
      <c r="N88" s="21">
        <v>365000</v>
      </c>
      <c r="O88" s="194">
        <v>0.12</v>
      </c>
      <c r="P88" s="194">
        <v>0.01</v>
      </c>
      <c r="Q88" s="194" t="s">
        <v>1457</v>
      </c>
      <c r="R88" s="194">
        <v>0.01</v>
      </c>
      <c r="S88" s="194">
        <v>0.01</v>
      </c>
      <c r="T88" s="194">
        <v>0.01</v>
      </c>
      <c r="U88" s="194">
        <v>0.02</v>
      </c>
      <c r="V88" s="194" t="s">
        <v>1457</v>
      </c>
      <c r="W88" s="192" t="s">
        <v>1457</v>
      </c>
      <c r="X88" s="188" t="s">
        <v>1457</v>
      </c>
      <c r="Y88" s="188" t="s">
        <v>39</v>
      </c>
      <c r="Z88" s="188" t="s">
        <v>39</v>
      </c>
      <c r="AA88" s="188" t="s">
        <v>1457</v>
      </c>
      <c r="AB88" s="22" t="s">
        <v>39</v>
      </c>
      <c r="AC88" s="20" t="s">
        <v>39</v>
      </c>
      <c r="AD88" s="195" t="s">
        <v>294</v>
      </c>
      <c r="AE88" s="17" t="s">
        <v>299</v>
      </c>
    </row>
    <row r="89" s="2" customFormat="1" ht="60" customHeight="1" spans="1:31">
      <c r="A89" s="13">
        <v>87</v>
      </c>
      <c r="B89" s="187" t="s">
        <v>347</v>
      </c>
      <c r="C89" s="15" t="s">
        <v>175</v>
      </c>
      <c r="D89" s="15" t="s">
        <v>290</v>
      </c>
      <c r="E89" s="15" t="s">
        <v>291</v>
      </c>
      <c r="F89" s="13" t="s">
        <v>81</v>
      </c>
      <c r="G89" s="16" t="s">
        <v>103</v>
      </c>
      <c r="H89" s="16" t="s">
        <v>276</v>
      </c>
      <c r="I89" s="17" t="s">
        <v>312</v>
      </c>
      <c r="J89" s="18" t="s">
        <v>313</v>
      </c>
      <c r="K89" s="18"/>
      <c r="L89" s="188" t="s">
        <v>1724</v>
      </c>
      <c r="M89" s="20" t="s">
        <v>39</v>
      </c>
      <c r="N89" s="21">
        <v>420000</v>
      </c>
      <c r="O89" s="194">
        <v>0.12</v>
      </c>
      <c r="P89" s="194">
        <v>0.01</v>
      </c>
      <c r="Q89" s="194"/>
      <c r="R89" s="194">
        <v>0.01</v>
      </c>
      <c r="S89" s="194">
        <v>0.01</v>
      </c>
      <c r="T89" s="194">
        <v>0.01</v>
      </c>
      <c r="U89" s="194">
        <v>0.02</v>
      </c>
      <c r="V89" s="194"/>
      <c r="W89" s="192"/>
      <c r="X89" s="188" t="s">
        <v>39</v>
      </c>
      <c r="Y89" s="188"/>
      <c r="Z89" s="188"/>
      <c r="AA89" s="188"/>
      <c r="AB89" s="22" t="s">
        <v>39</v>
      </c>
      <c r="AC89" s="20" t="s">
        <v>39</v>
      </c>
      <c r="AD89" s="195" t="s">
        <v>294</v>
      </c>
      <c r="AE89" s="17" t="s">
        <v>314</v>
      </c>
    </row>
    <row r="90" s="2" customFormat="1" ht="60" customHeight="1" spans="1:31">
      <c r="A90" s="13">
        <v>88</v>
      </c>
      <c r="B90" s="187" t="s">
        <v>350</v>
      </c>
      <c r="C90" s="15" t="s">
        <v>175</v>
      </c>
      <c r="D90" s="15" t="s">
        <v>290</v>
      </c>
      <c r="E90" s="15" t="s">
        <v>291</v>
      </c>
      <c r="F90" s="13" t="s">
        <v>81</v>
      </c>
      <c r="G90" s="16" t="s">
        <v>103</v>
      </c>
      <c r="H90" s="16" t="s">
        <v>280</v>
      </c>
      <c r="I90" s="17" t="s">
        <v>316</v>
      </c>
      <c r="J90" s="18" t="s">
        <v>317</v>
      </c>
      <c r="K90" s="18"/>
      <c r="L90" s="188" t="s">
        <v>1724</v>
      </c>
      <c r="M90" s="20" t="s">
        <v>39</v>
      </c>
      <c r="N90" s="21">
        <v>375000</v>
      </c>
      <c r="O90" s="194">
        <v>0.12</v>
      </c>
      <c r="P90" s="194">
        <v>0.01</v>
      </c>
      <c r="Q90" s="194"/>
      <c r="R90" s="194">
        <v>0.01</v>
      </c>
      <c r="S90" s="194">
        <v>0.01</v>
      </c>
      <c r="T90" s="194">
        <v>0.01</v>
      </c>
      <c r="U90" s="194">
        <v>0.02</v>
      </c>
      <c r="V90" s="194"/>
      <c r="W90" s="192"/>
      <c r="X90" s="188" t="s">
        <v>39</v>
      </c>
      <c r="Y90" s="188"/>
      <c r="Z90" s="188"/>
      <c r="AA90" s="188"/>
      <c r="AB90" s="22" t="s">
        <v>39</v>
      </c>
      <c r="AC90" s="20" t="s">
        <v>39</v>
      </c>
      <c r="AD90" s="195" t="s">
        <v>294</v>
      </c>
      <c r="AE90" s="17" t="s">
        <v>295</v>
      </c>
    </row>
    <row r="91" s="2" customFormat="1" ht="60" customHeight="1" spans="1:31">
      <c r="A91" s="13">
        <v>89</v>
      </c>
      <c r="B91" s="187" t="s">
        <v>352</v>
      </c>
      <c r="C91" s="15" t="s">
        <v>175</v>
      </c>
      <c r="D91" s="15" t="s">
        <v>290</v>
      </c>
      <c r="E91" s="15" t="s">
        <v>291</v>
      </c>
      <c r="F91" s="13" t="s">
        <v>81</v>
      </c>
      <c r="G91" s="16" t="s">
        <v>103</v>
      </c>
      <c r="H91" s="16" t="s">
        <v>284</v>
      </c>
      <c r="I91" s="17" t="s">
        <v>319</v>
      </c>
      <c r="J91" s="18" t="s">
        <v>320</v>
      </c>
      <c r="K91" s="18"/>
      <c r="L91" s="20"/>
      <c r="M91" s="20" t="s">
        <v>39</v>
      </c>
      <c r="N91" s="21">
        <v>1440000</v>
      </c>
      <c r="O91" s="194">
        <v>0.12</v>
      </c>
      <c r="P91" s="194">
        <v>0.01</v>
      </c>
      <c r="Q91" s="194" t="s">
        <v>1457</v>
      </c>
      <c r="R91" s="194">
        <v>0.01</v>
      </c>
      <c r="S91" s="194">
        <v>0.01</v>
      </c>
      <c r="T91" s="194">
        <v>0.01</v>
      </c>
      <c r="U91" s="194">
        <v>0.02</v>
      </c>
      <c r="V91" s="194">
        <v>0.03</v>
      </c>
      <c r="W91" s="194">
        <v>0.02</v>
      </c>
      <c r="X91" s="188" t="s">
        <v>1457</v>
      </c>
      <c r="Y91" s="188" t="s">
        <v>39</v>
      </c>
      <c r="Z91" s="188" t="s">
        <v>39</v>
      </c>
      <c r="AA91" s="188" t="s">
        <v>1457</v>
      </c>
      <c r="AB91" s="22" t="s">
        <v>39</v>
      </c>
      <c r="AC91" s="20" t="s">
        <v>39</v>
      </c>
      <c r="AD91" s="195" t="s">
        <v>294</v>
      </c>
      <c r="AE91" s="17" t="s">
        <v>299</v>
      </c>
    </row>
    <row r="92" s="2" customFormat="1" ht="60" customHeight="1" spans="1:31">
      <c r="A92" s="13">
        <v>90</v>
      </c>
      <c r="B92" s="187" t="s">
        <v>355</v>
      </c>
      <c r="C92" s="15" t="s">
        <v>175</v>
      </c>
      <c r="D92" s="15" t="s">
        <v>290</v>
      </c>
      <c r="E92" s="15" t="s">
        <v>291</v>
      </c>
      <c r="F92" s="13" t="s">
        <v>81</v>
      </c>
      <c r="G92" s="16" t="s">
        <v>103</v>
      </c>
      <c r="H92" s="16" t="s">
        <v>322</v>
      </c>
      <c r="I92" s="17" t="s">
        <v>323</v>
      </c>
      <c r="J92" s="18" t="s">
        <v>324</v>
      </c>
      <c r="K92" s="18"/>
      <c r="L92" s="20"/>
      <c r="M92" s="20" t="s">
        <v>39</v>
      </c>
      <c r="N92" s="21">
        <v>560000</v>
      </c>
      <c r="O92" s="194">
        <v>0.12</v>
      </c>
      <c r="P92" s="194">
        <v>0.01</v>
      </c>
      <c r="Q92" s="194" t="s">
        <v>1457</v>
      </c>
      <c r="R92" s="194">
        <v>0.01</v>
      </c>
      <c r="S92" s="194">
        <v>0.01</v>
      </c>
      <c r="T92" s="194">
        <v>0.01</v>
      </c>
      <c r="U92" s="194">
        <v>0.02</v>
      </c>
      <c r="V92" s="194">
        <v>0.04</v>
      </c>
      <c r="W92" s="194">
        <v>0.04</v>
      </c>
      <c r="X92" s="188" t="s">
        <v>1457</v>
      </c>
      <c r="Y92" s="188" t="s">
        <v>39</v>
      </c>
      <c r="Z92" s="188" t="s">
        <v>39</v>
      </c>
      <c r="AA92" s="188" t="s">
        <v>1457</v>
      </c>
      <c r="AB92" s="22" t="s">
        <v>39</v>
      </c>
      <c r="AC92" s="20" t="s">
        <v>39</v>
      </c>
      <c r="AD92" s="195" t="s">
        <v>294</v>
      </c>
      <c r="AE92" s="17" t="s">
        <v>299</v>
      </c>
    </row>
    <row r="93" s="2" customFormat="1" ht="60" customHeight="1" spans="1:31">
      <c r="A93" s="13">
        <v>91</v>
      </c>
      <c r="B93" s="187" t="s">
        <v>357</v>
      </c>
      <c r="C93" s="15" t="s">
        <v>175</v>
      </c>
      <c r="D93" s="15" t="s">
        <v>290</v>
      </c>
      <c r="E93" s="15" t="s">
        <v>291</v>
      </c>
      <c r="F93" s="13" t="s">
        <v>81</v>
      </c>
      <c r="G93" s="16" t="s">
        <v>103</v>
      </c>
      <c r="H93" s="16" t="s">
        <v>322</v>
      </c>
      <c r="I93" s="17" t="s">
        <v>94</v>
      </c>
      <c r="J93" s="18" t="s">
        <v>326</v>
      </c>
      <c r="K93" s="18"/>
      <c r="L93" s="188" t="s">
        <v>1724</v>
      </c>
      <c r="M93" s="20" t="s">
        <v>39</v>
      </c>
      <c r="N93" s="21">
        <v>545000</v>
      </c>
      <c r="O93" s="194">
        <v>0.12</v>
      </c>
      <c r="P93" s="194">
        <v>0.01</v>
      </c>
      <c r="Q93" s="194"/>
      <c r="R93" s="194">
        <v>0.01</v>
      </c>
      <c r="S93" s="194">
        <v>0.01</v>
      </c>
      <c r="T93" s="194">
        <v>0.01</v>
      </c>
      <c r="U93" s="194">
        <v>0.02</v>
      </c>
      <c r="V93" s="194"/>
      <c r="W93" s="192"/>
      <c r="X93" s="188" t="s">
        <v>39</v>
      </c>
      <c r="Y93" s="188"/>
      <c r="Z93" s="188"/>
      <c r="AA93" s="188"/>
      <c r="AB93" s="22" t="s">
        <v>39</v>
      </c>
      <c r="AC93" s="20" t="s">
        <v>39</v>
      </c>
      <c r="AD93" s="195" t="s">
        <v>294</v>
      </c>
      <c r="AE93" s="17" t="s">
        <v>327</v>
      </c>
    </row>
    <row r="94" s="2" customFormat="1" ht="60" customHeight="1" spans="1:31">
      <c r="A94" s="13">
        <v>92</v>
      </c>
      <c r="B94" s="187" t="s">
        <v>359</v>
      </c>
      <c r="C94" s="15" t="s">
        <v>175</v>
      </c>
      <c r="D94" s="15" t="s">
        <v>290</v>
      </c>
      <c r="E94" s="15" t="s">
        <v>291</v>
      </c>
      <c r="F94" s="13" t="s">
        <v>81</v>
      </c>
      <c r="G94" s="16" t="s">
        <v>103</v>
      </c>
      <c r="H94" s="16" t="s">
        <v>329</v>
      </c>
      <c r="I94" s="17" t="s">
        <v>330</v>
      </c>
      <c r="J94" s="18" t="s">
        <v>331</v>
      </c>
      <c r="K94" s="18"/>
      <c r="L94" s="188" t="s">
        <v>1724</v>
      </c>
      <c r="M94" s="20" t="s">
        <v>39</v>
      </c>
      <c r="N94" s="21">
        <v>395000</v>
      </c>
      <c r="O94" s="194">
        <v>0.12</v>
      </c>
      <c r="P94" s="194">
        <v>0.01</v>
      </c>
      <c r="Q94" s="194"/>
      <c r="R94" s="194">
        <v>0.01</v>
      </c>
      <c r="S94" s="194">
        <v>0.01</v>
      </c>
      <c r="T94" s="194">
        <v>0.01</v>
      </c>
      <c r="U94" s="194">
        <v>0.02</v>
      </c>
      <c r="V94" s="194"/>
      <c r="W94" s="192"/>
      <c r="X94" s="188" t="s">
        <v>39</v>
      </c>
      <c r="Y94" s="188"/>
      <c r="Z94" s="188"/>
      <c r="AA94" s="188"/>
      <c r="AB94" s="22" t="s">
        <v>39</v>
      </c>
      <c r="AC94" s="20" t="s">
        <v>39</v>
      </c>
      <c r="AD94" s="195" t="s">
        <v>294</v>
      </c>
      <c r="AE94" s="17" t="s">
        <v>314</v>
      </c>
    </row>
    <row r="95" s="2" customFormat="1" ht="60" customHeight="1" spans="1:31">
      <c r="A95" s="13">
        <v>93</v>
      </c>
      <c r="B95" s="187" t="s">
        <v>361</v>
      </c>
      <c r="C95" s="15" t="s">
        <v>175</v>
      </c>
      <c r="D95" s="15" t="s">
        <v>290</v>
      </c>
      <c r="E95" s="15" t="s">
        <v>291</v>
      </c>
      <c r="F95" s="13" t="s">
        <v>81</v>
      </c>
      <c r="G95" s="16" t="s">
        <v>103</v>
      </c>
      <c r="H95" s="16" t="s">
        <v>333</v>
      </c>
      <c r="I95" s="17" t="s">
        <v>334</v>
      </c>
      <c r="J95" s="18" t="s">
        <v>335</v>
      </c>
      <c r="K95" s="18"/>
      <c r="L95" s="188" t="s">
        <v>1724</v>
      </c>
      <c r="M95" s="20" t="s">
        <v>39</v>
      </c>
      <c r="N95" s="21">
        <v>585000</v>
      </c>
      <c r="O95" s="194">
        <v>0.12</v>
      </c>
      <c r="P95" s="194">
        <v>0.01</v>
      </c>
      <c r="Q95" s="194"/>
      <c r="R95" s="194">
        <v>0.01</v>
      </c>
      <c r="S95" s="194">
        <v>0.01</v>
      </c>
      <c r="T95" s="194">
        <v>0.01</v>
      </c>
      <c r="U95" s="194">
        <v>0.02</v>
      </c>
      <c r="V95" s="194"/>
      <c r="W95" s="192"/>
      <c r="X95" s="188" t="s">
        <v>39</v>
      </c>
      <c r="Y95" s="188"/>
      <c r="Z95" s="188"/>
      <c r="AA95" s="188"/>
      <c r="AB95" s="22" t="s">
        <v>39</v>
      </c>
      <c r="AC95" s="20" t="s">
        <v>39</v>
      </c>
      <c r="AD95" s="195" t="s">
        <v>294</v>
      </c>
      <c r="AE95" s="17" t="s">
        <v>295</v>
      </c>
    </row>
    <row r="96" s="2" customFormat="1" ht="12" customHeight="1" spans="1:31">
      <c r="A96" s="13">
        <v>94</v>
      </c>
      <c r="B96" s="187" t="s">
        <v>365</v>
      </c>
      <c r="C96" s="15" t="s">
        <v>175</v>
      </c>
      <c r="D96" s="15" t="s">
        <v>336</v>
      </c>
      <c r="E96" s="15" t="s">
        <v>337</v>
      </c>
      <c r="F96" s="198" t="s">
        <v>37</v>
      </c>
      <c r="G96" s="16" t="s">
        <v>103</v>
      </c>
      <c r="H96" s="187" t="s">
        <v>39</v>
      </c>
      <c r="I96" s="198" t="s">
        <v>39</v>
      </c>
      <c r="J96" s="187" t="s">
        <v>39</v>
      </c>
      <c r="K96" s="187"/>
      <c r="L96" s="188"/>
      <c r="M96" s="188" t="s">
        <v>39</v>
      </c>
      <c r="N96" s="21" t="s">
        <v>39</v>
      </c>
      <c r="O96" s="201" t="s">
        <v>39</v>
      </c>
      <c r="P96" s="188"/>
      <c r="Q96" s="188" t="s">
        <v>39</v>
      </c>
      <c r="R96" s="188" t="s">
        <v>39</v>
      </c>
      <c r="S96" s="188" t="s">
        <v>39</v>
      </c>
      <c r="T96" s="188"/>
      <c r="U96" s="188"/>
      <c r="V96" s="188"/>
      <c r="W96" s="188"/>
      <c r="X96" s="188"/>
      <c r="Y96" s="188"/>
      <c r="Z96" s="188"/>
      <c r="AA96" s="188"/>
      <c r="AB96" s="22">
        <v>0.05</v>
      </c>
      <c r="AC96" s="188" t="s">
        <v>39</v>
      </c>
      <c r="AD96" s="195" t="s">
        <v>104</v>
      </c>
      <c r="AE96" s="17"/>
    </row>
    <row r="97" s="2" customFormat="1" ht="24" customHeight="1" spans="1:31">
      <c r="A97" s="13">
        <v>95</v>
      </c>
      <c r="B97" s="187" t="s">
        <v>368</v>
      </c>
      <c r="C97" s="15" t="s">
        <v>175</v>
      </c>
      <c r="D97" s="15" t="s">
        <v>336</v>
      </c>
      <c r="E97" s="15" t="s">
        <v>337</v>
      </c>
      <c r="F97" s="13" t="s">
        <v>81</v>
      </c>
      <c r="G97" s="16" t="s">
        <v>103</v>
      </c>
      <c r="H97" s="16" t="s">
        <v>60</v>
      </c>
      <c r="I97" s="43" t="s">
        <v>339</v>
      </c>
      <c r="J97" s="18" t="s">
        <v>340</v>
      </c>
      <c r="K97" s="18"/>
      <c r="L97" s="20"/>
      <c r="M97" s="20" t="s">
        <v>39</v>
      </c>
      <c r="N97" s="21">
        <v>2400000</v>
      </c>
      <c r="O97" s="194">
        <v>0.18</v>
      </c>
      <c r="P97" s="188" t="s">
        <v>39</v>
      </c>
      <c r="Q97" s="188" t="s">
        <v>39</v>
      </c>
      <c r="R97" s="194" t="s">
        <v>39</v>
      </c>
      <c r="S97" s="194" t="s">
        <v>39</v>
      </c>
      <c r="T97" s="194" t="s">
        <v>1487</v>
      </c>
      <c r="U97" s="202" t="s">
        <v>1488</v>
      </c>
      <c r="V97" s="194">
        <v>0.03</v>
      </c>
      <c r="W97" s="194">
        <v>0.04</v>
      </c>
      <c r="X97" s="188" t="s">
        <v>1486</v>
      </c>
      <c r="Y97" s="188" t="s">
        <v>39</v>
      </c>
      <c r="Z97" s="188" t="s">
        <v>39</v>
      </c>
      <c r="AA97" s="188" t="s">
        <v>1486</v>
      </c>
      <c r="AB97" s="22" t="s">
        <v>39</v>
      </c>
      <c r="AC97" s="20" t="s">
        <v>39</v>
      </c>
      <c r="AD97" s="195" t="s">
        <v>341</v>
      </c>
      <c r="AE97" s="17" t="s">
        <v>299</v>
      </c>
    </row>
    <row r="98" s="2" customFormat="1" ht="24" customHeight="1" spans="1:31">
      <c r="A98" s="13">
        <v>96</v>
      </c>
      <c r="B98" s="187" t="s">
        <v>371</v>
      </c>
      <c r="C98" s="15" t="s">
        <v>175</v>
      </c>
      <c r="D98" s="15" t="s">
        <v>336</v>
      </c>
      <c r="E98" s="15" t="s">
        <v>337</v>
      </c>
      <c r="F98" s="13" t="s">
        <v>81</v>
      </c>
      <c r="G98" s="16" t="s">
        <v>103</v>
      </c>
      <c r="H98" s="16" t="s">
        <v>66</v>
      </c>
      <c r="I98" s="43" t="s">
        <v>344</v>
      </c>
      <c r="J98" s="18" t="s">
        <v>340</v>
      </c>
      <c r="K98" s="18"/>
      <c r="L98" s="20"/>
      <c r="M98" s="20" t="s">
        <v>39</v>
      </c>
      <c r="N98" s="21">
        <v>1400000</v>
      </c>
      <c r="O98" s="194">
        <v>0.19</v>
      </c>
      <c r="P98" s="188" t="s">
        <v>39</v>
      </c>
      <c r="Q98" s="188" t="s">
        <v>39</v>
      </c>
      <c r="R98" s="194" t="s">
        <v>39</v>
      </c>
      <c r="S98" s="194" t="s">
        <v>39</v>
      </c>
      <c r="T98" s="194" t="s">
        <v>1487</v>
      </c>
      <c r="U98" s="202" t="s">
        <v>1488</v>
      </c>
      <c r="V98" s="194">
        <v>0.03</v>
      </c>
      <c r="W98" s="194">
        <v>0.04</v>
      </c>
      <c r="X98" s="188" t="s">
        <v>1486</v>
      </c>
      <c r="Y98" s="188" t="s">
        <v>39</v>
      </c>
      <c r="Z98" s="188" t="s">
        <v>39</v>
      </c>
      <c r="AA98" s="188" t="s">
        <v>1486</v>
      </c>
      <c r="AB98" s="22" t="s">
        <v>39</v>
      </c>
      <c r="AC98" s="20" t="s">
        <v>39</v>
      </c>
      <c r="AD98" s="195" t="s">
        <v>341</v>
      </c>
      <c r="AE98" s="17" t="s">
        <v>299</v>
      </c>
    </row>
    <row r="99" s="2" customFormat="1" ht="24" customHeight="1" spans="1:31">
      <c r="A99" s="13">
        <v>97</v>
      </c>
      <c r="B99" s="187" t="s">
        <v>376</v>
      </c>
      <c r="C99" s="15" t="s">
        <v>175</v>
      </c>
      <c r="D99" s="15" t="s">
        <v>336</v>
      </c>
      <c r="E99" s="15" t="s">
        <v>337</v>
      </c>
      <c r="F99" s="13" t="s">
        <v>81</v>
      </c>
      <c r="G99" s="16" t="s">
        <v>103</v>
      </c>
      <c r="H99" s="16" t="s">
        <v>70</v>
      </c>
      <c r="I99" s="43" t="s">
        <v>256</v>
      </c>
      <c r="J99" s="18" t="s">
        <v>346</v>
      </c>
      <c r="K99" s="18"/>
      <c r="L99" s="20"/>
      <c r="M99" s="20" t="s">
        <v>39</v>
      </c>
      <c r="N99" s="21">
        <v>2000000</v>
      </c>
      <c r="O99" s="194">
        <v>0.21</v>
      </c>
      <c r="P99" s="188" t="s">
        <v>39</v>
      </c>
      <c r="Q99" s="188" t="s">
        <v>39</v>
      </c>
      <c r="R99" s="194" t="s">
        <v>39</v>
      </c>
      <c r="S99" s="194" t="s">
        <v>39</v>
      </c>
      <c r="T99" s="194" t="s">
        <v>1487</v>
      </c>
      <c r="U99" s="202" t="s">
        <v>1488</v>
      </c>
      <c r="V99" s="194">
        <v>0.03</v>
      </c>
      <c r="W99" s="194">
        <v>0.04</v>
      </c>
      <c r="X99" s="188" t="s">
        <v>1486</v>
      </c>
      <c r="Y99" s="188" t="s">
        <v>39</v>
      </c>
      <c r="Z99" s="188" t="s">
        <v>39</v>
      </c>
      <c r="AA99" s="188" t="s">
        <v>1486</v>
      </c>
      <c r="AB99" s="22" t="s">
        <v>39</v>
      </c>
      <c r="AC99" s="20" t="s">
        <v>39</v>
      </c>
      <c r="AD99" s="195" t="s">
        <v>341</v>
      </c>
      <c r="AE99" s="17" t="s">
        <v>299</v>
      </c>
    </row>
    <row r="100" s="2" customFormat="1" ht="24" customHeight="1" spans="1:31">
      <c r="A100" s="13">
        <v>98</v>
      </c>
      <c r="B100" s="187" t="s">
        <v>379</v>
      </c>
      <c r="C100" s="15" t="s">
        <v>175</v>
      </c>
      <c r="D100" s="15" t="s">
        <v>336</v>
      </c>
      <c r="E100" s="15" t="s">
        <v>337</v>
      </c>
      <c r="F100" s="13" t="s">
        <v>81</v>
      </c>
      <c r="G100" s="16" t="s">
        <v>103</v>
      </c>
      <c r="H100" s="16" t="s">
        <v>74</v>
      </c>
      <c r="I100" s="43" t="s">
        <v>348</v>
      </c>
      <c r="J100" s="18" t="s">
        <v>349</v>
      </c>
      <c r="K100" s="18"/>
      <c r="L100" s="20"/>
      <c r="M100" s="20" t="s">
        <v>39</v>
      </c>
      <c r="N100" s="21">
        <v>1080000</v>
      </c>
      <c r="O100" s="194">
        <v>0.2</v>
      </c>
      <c r="P100" s="188" t="s">
        <v>39</v>
      </c>
      <c r="Q100" s="188" t="s">
        <v>39</v>
      </c>
      <c r="R100" s="194" t="s">
        <v>39</v>
      </c>
      <c r="S100" s="194" t="s">
        <v>39</v>
      </c>
      <c r="T100" s="194" t="s">
        <v>1487</v>
      </c>
      <c r="U100" s="202" t="s">
        <v>1488</v>
      </c>
      <c r="V100" s="194">
        <v>0.03</v>
      </c>
      <c r="W100" s="194">
        <v>0.04</v>
      </c>
      <c r="X100" s="188" t="s">
        <v>1486</v>
      </c>
      <c r="Y100" s="188" t="s">
        <v>39</v>
      </c>
      <c r="Z100" s="188" t="s">
        <v>39</v>
      </c>
      <c r="AA100" s="188" t="s">
        <v>1486</v>
      </c>
      <c r="AB100" s="22" t="s">
        <v>39</v>
      </c>
      <c r="AC100" s="20" t="s">
        <v>39</v>
      </c>
      <c r="AD100" s="195" t="s">
        <v>341</v>
      </c>
      <c r="AE100" s="17" t="s">
        <v>299</v>
      </c>
    </row>
    <row r="101" s="2" customFormat="1" ht="24" customHeight="1" spans="1:31">
      <c r="A101" s="13">
        <v>99</v>
      </c>
      <c r="B101" s="187" t="s">
        <v>382</v>
      </c>
      <c r="C101" s="15" t="s">
        <v>175</v>
      </c>
      <c r="D101" s="15" t="s">
        <v>336</v>
      </c>
      <c r="E101" s="15" t="s">
        <v>337</v>
      </c>
      <c r="F101" s="13" t="s">
        <v>81</v>
      </c>
      <c r="G101" s="16" t="s">
        <v>103</v>
      </c>
      <c r="H101" s="16" t="s">
        <v>265</v>
      </c>
      <c r="I101" s="43" t="s">
        <v>351</v>
      </c>
      <c r="J101" s="18" t="s">
        <v>349</v>
      </c>
      <c r="K101" s="18"/>
      <c r="L101" s="20"/>
      <c r="M101" s="20" t="s">
        <v>39</v>
      </c>
      <c r="N101" s="21">
        <v>920000</v>
      </c>
      <c r="O101" s="194">
        <v>0.2</v>
      </c>
      <c r="P101" s="188" t="s">
        <v>39</v>
      </c>
      <c r="Q101" s="188" t="s">
        <v>39</v>
      </c>
      <c r="R101" s="194" t="s">
        <v>39</v>
      </c>
      <c r="S101" s="194" t="s">
        <v>39</v>
      </c>
      <c r="T101" s="194" t="s">
        <v>1487</v>
      </c>
      <c r="U101" s="202" t="s">
        <v>1488</v>
      </c>
      <c r="V101" s="194">
        <v>0.03</v>
      </c>
      <c r="W101" s="194">
        <v>0.04</v>
      </c>
      <c r="X101" s="188" t="s">
        <v>1486</v>
      </c>
      <c r="Y101" s="188" t="s">
        <v>39</v>
      </c>
      <c r="Z101" s="188" t="s">
        <v>39</v>
      </c>
      <c r="AA101" s="188" t="s">
        <v>1486</v>
      </c>
      <c r="AB101" s="22" t="s">
        <v>39</v>
      </c>
      <c r="AC101" s="20" t="s">
        <v>39</v>
      </c>
      <c r="AD101" s="195" t="s">
        <v>341</v>
      </c>
      <c r="AE101" s="17" t="s">
        <v>299</v>
      </c>
    </row>
    <row r="102" s="2" customFormat="1" ht="24" customHeight="1" spans="1:31">
      <c r="A102" s="13">
        <v>100</v>
      </c>
      <c r="B102" s="187" t="s">
        <v>385</v>
      </c>
      <c r="C102" s="15" t="s">
        <v>175</v>
      </c>
      <c r="D102" s="15" t="s">
        <v>336</v>
      </c>
      <c r="E102" s="15" t="s">
        <v>337</v>
      </c>
      <c r="F102" s="13" t="s">
        <v>81</v>
      </c>
      <c r="G102" s="16" t="s">
        <v>103</v>
      </c>
      <c r="H102" s="16" t="s">
        <v>86</v>
      </c>
      <c r="I102" s="43" t="s">
        <v>353</v>
      </c>
      <c r="J102" s="18" t="s">
        <v>354</v>
      </c>
      <c r="K102" s="18"/>
      <c r="L102" s="20"/>
      <c r="M102" s="20" t="s">
        <v>39</v>
      </c>
      <c r="N102" s="21">
        <v>720000</v>
      </c>
      <c r="O102" s="194">
        <v>0.23</v>
      </c>
      <c r="P102" s="188" t="s">
        <v>39</v>
      </c>
      <c r="Q102" s="188" t="s">
        <v>39</v>
      </c>
      <c r="R102" s="194" t="s">
        <v>39</v>
      </c>
      <c r="S102" s="194" t="s">
        <v>39</v>
      </c>
      <c r="T102" s="194" t="s">
        <v>1487</v>
      </c>
      <c r="U102" s="202" t="s">
        <v>1488</v>
      </c>
      <c r="V102" s="194">
        <v>0.03</v>
      </c>
      <c r="W102" s="194">
        <v>0.04</v>
      </c>
      <c r="X102" s="188" t="s">
        <v>1486</v>
      </c>
      <c r="Y102" s="188" t="s">
        <v>39</v>
      </c>
      <c r="Z102" s="188" t="s">
        <v>39</v>
      </c>
      <c r="AA102" s="188" t="s">
        <v>1486</v>
      </c>
      <c r="AB102" s="22" t="s">
        <v>39</v>
      </c>
      <c r="AC102" s="20" t="s">
        <v>39</v>
      </c>
      <c r="AD102" s="195" t="s">
        <v>341</v>
      </c>
      <c r="AE102" s="17" t="s">
        <v>299</v>
      </c>
    </row>
    <row r="103" s="2" customFormat="1" ht="24" customHeight="1" spans="1:31">
      <c r="A103" s="13">
        <v>101</v>
      </c>
      <c r="B103" s="187" t="s">
        <v>388</v>
      </c>
      <c r="C103" s="15" t="s">
        <v>175</v>
      </c>
      <c r="D103" s="15" t="s">
        <v>336</v>
      </c>
      <c r="E103" s="15" t="s">
        <v>337</v>
      </c>
      <c r="F103" s="13" t="s">
        <v>81</v>
      </c>
      <c r="G103" s="16" t="s">
        <v>103</v>
      </c>
      <c r="H103" s="16" t="s">
        <v>272</v>
      </c>
      <c r="I103" s="43" t="s">
        <v>356</v>
      </c>
      <c r="J103" s="18" t="s">
        <v>354</v>
      </c>
      <c r="K103" s="18"/>
      <c r="L103" s="20"/>
      <c r="M103" s="20" t="s">
        <v>39</v>
      </c>
      <c r="N103" s="21">
        <v>1080000</v>
      </c>
      <c r="O103" s="194">
        <v>0.23</v>
      </c>
      <c r="P103" s="188" t="s">
        <v>39</v>
      </c>
      <c r="Q103" s="188" t="s">
        <v>39</v>
      </c>
      <c r="R103" s="194" t="s">
        <v>39</v>
      </c>
      <c r="S103" s="194" t="s">
        <v>39</v>
      </c>
      <c r="T103" s="194" t="s">
        <v>1487</v>
      </c>
      <c r="U103" s="202" t="s">
        <v>1488</v>
      </c>
      <c r="V103" s="194">
        <v>0.03</v>
      </c>
      <c r="W103" s="194">
        <v>0.04</v>
      </c>
      <c r="X103" s="188" t="s">
        <v>1486</v>
      </c>
      <c r="Y103" s="188" t="s">
        <v>39</v>
      </c>
      <c r="Z103" s="188" t="s">
        <v>39</v>
      </c>
      <c r="AA103" s="188" t="s">
        <v>1486</v>
      </c>
      <c r="AB103" s="22" t="s">
        <v>39</v>
      </c>
      <c r="AC103" s="20" t="s">
        <v>39</v>
      </c>
      <c r="AD103" s="195" t="s">
        <v>341</v>
      </c>
      <c r="AE103" s="17" t="s">
        <v>299</v>
      </c>
    </row>
    <row r="104" s="2" customFormat="1" ht="24" customHeight="1" spans="1:31">
      <c r="A104" s="13">
        <v>102</v>
      </c>
      <c r="B104" s="187" t="s">
        <v>391</v>
      </c>
      <c r="C104" s="15" t="s">
        <v>175</v>
      </c>
      <c r="D104" s="15" t="s">
        <v>336</v>
      </c>
      <c r="E104" s="15" t="s">
        <v>337</v>
      </c>
      <c r="F104" s="13" t="s">
        <v>81</v>
      </c>
      <c r="G104" s="16" t="s">
        <v>103</v>
      </c>
      <c r="H104" s="16" t="s">
        <v>276</v>
      </c>
      <c r="I104" s="43" t="s">
        <v>358</v>
      </c>
      <c r="J104" s="18" t="s">
        <v>250</v>
      </c>
      <c r="K104" s="18"/>
      <c r="L104" s="20"/>
      <c r="M104" s="20" t="s">
        <v>39</v>
      </c>
      <c r="N104" s="21">
        <v>880000</v>
      </c>
      <c r="O104" s="194">
        <v>0.23</v>
      </c>
      <c r="P104" s="188" t="s">
        <v>39</v>
      </c>
      <c r="Q104" s="188" t="s">
        <v>39</v>
      </c>
      <c r="R104" s="194" t="s">
        <v>39</v>
      </c>
      <c r="S104" s="194" t="s">
        <v>39</v>
      </c>
      <c r="T104" s="194" t="s">
        <v>1487</v>
      </c>
      <c r="U104" s="202" t="s">
        <v>1488</v>
      </c>
      <c r="V104" s="194">
        <v>0.03</v>
      </c>
      <c r="W104" s="194">
        <v>0.04</v>
      </c>
      <c r="X104" s="188" t="s">
        <v>1486</v>
      </c>
      <c r="Y104" s="188" t="s">
        <v>39</v>
      </c>
      <c r="Z104" s="188" t="s">
        <v>39</v>
      </c>
      <c r="AA104" s="188" t="s">
        <v>1486</v>
      </c>
      <c r="AB104" s="22" t="s">
        <v>39</v>
      </c>
      <c r="AC104" s="20" t="s">
        <v>39</v>
      </c>
      <c r="AD104" s="195" t="s">
        <v>341</v>
      </c>
      <c r="AE104" s="17" t="s">
        <v>299</v>
      </c>
    </row>
    <row r="105" s="2" customFormat="1" ht="24" customHeight="1" spans="1:31">
      <c r="A105" s="13">
        <v>103</v>
      </c>
      <c r="B105" s="187" t="s">
        <v>394</v>
      </c>
      <c r="C105" s="15" t="s">
        <v>175</v>
      </c>
      <c r="D105" s="15" t="s">
        <v>336</v>
      </c>
      <c r="E105" s="15" t="s">
        <v>337</v>
      </c>
      <c r="F105" s="13" t="s">
        <v>81</v>
      </c>
      <c r="G105" s="16" t="s">
        <v>103</v>
      </c>
      <c r="H105" s="16" t="s">
        <v>280</v>
      </c>
      <c r="I105" s="43" t="s">
        <v>360</v>
      </c>
      <c r="J105" s="18" t="s">
        <v>346</v>
      </c>
      <c r="K105" s="18"/>
      <c r="L105" s="20"/>
      <c r="M105" s="20" t="s">
        <v>39</v>
      </c>
      <c r="N105" s="21">
        <v>880000</v>
      </c>
      <c r="O105" s="194">
        <v>0.23</v>
      </c>
      <c r="P105" s="188" t="s">
        <v>39</v>
      </c>
      <c r="Q105" s="188" t="s">
        <v>39</v>
      </c>
      <c r="R105" s="194" t="s">
        <v>39</v>
      </c>
      <c r="S105" s="194" t="s">
        <v>39</v>
      </c>
      <c r="T105" s="194" t="s">
        <v>1487</v>
      </c>
      <c r="U105" s="202" t="s">
        <v>1488</v>
      </c>
      <c r="V105" s="194">
        <v>0.03</v>
      </c>
      <c r="W105" s="194">
        <v>0.04</v>
      </c>
      <c r="X105" s="188" t="s">
        <v>1486</v>
      </c>
      <c r="Y105" s="188" t="s">
        <v>39</v>
      </c>
      <c r="Z105" s="188" t="s">
        <v>39</v>
      </c>
      <c r="AA105" s="188" t="s">
        <v>1486</v>
      </c>
      <c r="AB105" s="22" t="s">
        <v>39</v>
      </c>
      <c r="AC105" s="20" t="s">
        <v>39</v>
      </c>
      <c r="AD105" s="195" t="s">
        <v>341</v>
      </c>
      <c r="AE105" s="17" t="s">
        <v>299</v>
      </c>
    </row>
    <row r="106" s="2" customFormat="1" ht="36" customHeight="1" spans="1:31">
      <c r="A106" s="13">
        <v>104</v>
      </c>
      <c r="B106" s="187" t="s">
        <v>397</v>
      </c>
      <c r="C106" s="15" t="s">
        <v>175</v>
      </c>
      <c r="D106" s="15" t="s">
        <v>336</v>
      </c>
      <c r="E106" s="15" t="s">
        <v>337</v>
      </c>
      <c r="F106" s="13" t="s">
        <v>81</v>
      </c>
      <c r="G106" s="16" t="s">
        <v>103</v>
      </c>
      <c r="H106" s="16" t="s">
        <v>284</v>
      </c>
      <c r="I106" s="43" t="s">
        <v>362</v>
      </c>
      <c r="J106" s="18" t="s">
        <v>363</v>
      </c>
      <c r="K106" s="18"/>
      <c r="L106" s="20"/>
      <c r="M106" s="20" t="s">
        <v>39</v>
      </c>
      <c r="N106" s="21">
        <v>1520000</v>
      </c>
      <c r="O106" s="194">
        <v>0.21</v>
      </c>
      <c r="P106" s="188" t="s">
        <v>39</v>
      </c>
      <c r="Q106" s="188" t="s">
        <v>39</v>
      </c>
      <c r="R106" s="194" t="s">
        <v>39</v>
      </c>
      <c r="S106" s="194" t="s">
        <v>39</v>
      </c>
      <c r="T106" s="194" t="s">
        <v>1487</v>
      </c>
      <c r="U106" s="202" t="s">
        <v>1488</v>
      </c>
      <c r="V106" s="194">
        <v>0.03</v>
      </c>
      <c r="W106" s="194">
        <v>0.04</v>
      </c>
      <c r="X106" s="188" t="s">
        <v>1486</v>
      </c>
      <c r="Y106" s="188" t="s">
        <v>39</v>
      </c>
      <c r="Z106" s="188" t="s">
        <v>39</v>
      </c>
      <c r="AA106" s="188" t="s">
        <v>1486</v>
      </c>
      <c r="AB106" s="22" t="s">
        <v>39</v>
      </c>
      <c r="AC106" s="20" t="s">
        <v>39</v>
      </c>
      <c r="AD106" s="195" t="s">
        <v>341</v>
      </c>
      <c r="AE106" s="17" t="s">
        <v>364</v>
      </c>
    </row>
    <row r="107" s="2" customFormat="1" ht="36" customHeight="1" spans="1:31">
      <c r="A107" s="13">
        <v>105</v>
      </c>
      <c r="B107" s="187" t="s">
        <v>398</v>
      </c>
      <c r="C107" s="15" t="s">
        <v>175</v>
      </c>
      <c r="D107" s="15" t="s">
        <v>336</v>
      </c>
      <c r="E107" s="15" t="s">
        <v>337</v>
      </c>
      <c r="F107" s="13" t="s">
        <v>81</v>
      </c>
      <c r="G107" s="16" t="s">
        <v>103</v>
      </c>
      <c r="H107" s="16" t="s">
        <v>322</v>
      </c>
      <c r="I107" s="43" t="s">
        <v>366</v>
      </c>
      <c r="J107" s="18" t="s">
        <v>367</v>
      </c>
      <c r="K107" s="18"/>
      <c r="L107" s="20"/>
      <c r="M107" s="20" t="s">
        <v>39</v>
      </c>
      <c r="N107" s="21">
        <v>1080000</v>
      </c>
      <c r="O107" s="194">
        <v>0.22</v>
      </c>
      <c r="P107" s="188" t="s">
        <v>39</v>
      </c>
      <c r="Q107" s="188" t="s">
        <v>39</v>
      </c>
      <c r="R107" s="194" t="s">
        <v>39</v>
      </c>
      <c r="S107" s="194" t="s">
        <v>39</v>
      </c>
      <c r="T107" s="194" t="s">
        <v>1487</v>
      </c>
      <c r="U107" s="202" t="s">
        <v>1488</v>
      </c>
      <c r="V107" s="194">
        <v>0.03</v>
      </c>
      <c r="W107" s="194">
        <v>0.04</v>
      </c>
      <c r="X107" s="188" t="s">
        <v>1486</v>
      </c>
      <c r="Y107" s="188" t="s">
        <v>39</v>
      </c>
      <c r="Z107" s="188" t="s">
        <v>39</v>
      </c>
      <c r="AA107" s="188" t="s">
        <v>1486</v>
      </c>
      <c r="AB107" s="22" t="s">
        <v>39</v>
      </c>
      <c r="AC107" s="20" t="s">
        <v>39</v>
      </c>
      <c r="AD107" s="195" t="s">
        <v>341</v>
      </c>
      <c r="AE107" s="17" t="s">
        <v>364</v>
      </c>
    </row>
    <row r="108" s="2" customFormat="1" ht="36" customHeight="1" spans="1:31">
      <c r="A108" s="13">
        <v>106</v>
      </c>
      <c r="B108" s="187" t="s">
        <v>402</v>
      </c>
      <c r="C108" s="15" t="s">
        <v>175</v>
      </c>
      <c r="D108" s="15" t="s">
        <v>336</v>
      </c>
      <c r="E108" s="15" t="s">
        <v>337</v>
      </c>
      <c r="F108" s="13" t="s">
        <v>81</v>
      </c>
      <c r="G108" s="16" t="s">
        <v>103</v>
      </c>
      <c r="H108" s="16" t="s">
        <v>329</v>
      </c>
      <c r="I108" s="43" t="s">
        <v>369</v>
      </c>
      <c r="J108" s="18" t="s">
        <v>370</v>
      </c>
      <c r="K108" s="18"/>
      <c r="L108" s="20"/>
      <c r="M108" s="20" t="s">
        <v>39</v>
      </c>
      <c r="N108" s="21">
        <v>880000</v>
      </c>
      <c r="O108" s="194">
        <v>0.23</v>
      </c>
      <c r="P108" s="188" t="s">
        <v>39</v>
      </c>
      <c r="Q108" s="188" t="s">
        <v>39</v>
      </c>
      <c r="R108" s="194" t="s">
        <v>39</v>
      </c>
      <c r="S108" s="194" t="s">
        <v>39</v>
      </c>
      <c r="T108" s="194" t="s">
        <v>1487</v>
      </c>
      <c r="U108" s="202" t="s">
        <v>1488</v>
      </c>
      <c r="V108" s="194">
        <v>0.03</v>
      </c>
      <c r="W108" s="194">
        <v>0.04</v>
      </c>
      <c r="X108" s="188" t="s">
        <v>1486</v>
      </c>
      <c r="Y108" s="188" t="s">
        <v>39</v>
      </c>
      <c r="Z108" s="188" t="s">
        <v>39</v>
      </c>
      <c r="AA108" s="188" t="s">
        <v>1486</v>
      </c>
      <c r="AB108" s="22" t="s">
        <v>39</v>
      </c>
      <c r="AC108" s="20" t="s">
        <v>39</v>
      </c>
      <c r="AD108" s="195" t="s">
        <v>341</v>
      </c>
      <c r="AE108" s="17" t="s">
        <v>364</v>
      </c>
    </row>
    <row r="109" s="2" customFormat="1" ht="12" hidden="1" customHeight="1" spans="1:31">
      <c r="A109" s="13">
        <v>107</v>
      </c>
      <c r="B109" s="187" t="s">
        <v>407</v>
      </c>
      <c r="C109" s="15" t="s">
        <v>175</v>
      </c>
      <c r="D109" s="15" t="s">
        <v>372</v>
      </c>
      <c r="E109" s="15" t="s">
        <v>373</v>
      </c>
      <c r="F109" s="13" t="s">
        <v>53</v>
      </c>
      <c r="G109" s="16" t="s">
        <v>374</v>
      </c>
      <c r="H109" s="16" t="s">
        <v>39</v>
      </c>
      <c r="I109" s="17" t="s">
        <v>39</v>
      </c>
      <c r="J109" s="18" t="s">
        <v>39</v>
      </c>
      <c r="K109" s="18"/>
      <c r="L109" s="20"/>
      <c r="M109" s="20" t="s">
        <v>39</v>
      </c>
      <c r="N109" s="21">
        <v>2462000</v>
      </c>
      <c r="O109" s="196" t="s">
        <v>39</v>
      </c>
      <c r="P109" s="190" t="s">
        <v>39</v>
      </c>
      <c r="Q109" s="190" t="s">
        <v>39</v>
      </c>
      <c r="R109" s="190" t="s">
        <v>39</v>
      </c>
      <c r="S109" s="190" t="s">
        <v>39</v>
      </c>
      <c r="T109" s="188" t="s">
        <v>39</v>
      </c>
      <c r="U109" s="188" t="s">
        <v>39</v>
      </c>
      <c r="V109" s="188" t="s">
        <v>39</v>
      </c>
      <c r="W109" s="188" t="s">
        <v>39</v>
      </c>
      <c r="X109" s="188" t="s">
        <v>39</v>
      </c>
      <c r="Y109" s="45"/>
      <c r="Z109" s="45"/>
      <c r="AA109" s="45" t="s">
        <v>39</v>
      </c>
      <c r="AB109" s="187"/>
      <c r="AC109" s="46" t="s">
        <v>39</v>
      </c>
      <c r="AD109" s="189" t="s">
        <v>375</v>
      </c>
      <c r="AE109" s="17"/>
    </row>
    <row r="110" s="2" customFormat="1" ht="12" hidden="1" customHeight="1" spans="1:31">
      <c r="A110" s="13">
        <v>108</v>
      </c>
      <c r="B110" s="187" t="s">
        <v>410</v>
      </c>
      <c r="C110" s="15" t="s">
        <v>175</v>
      </c>
      <c r="D110" s="15" t="s">
        <v>377</v>
      </c>
      <c r="E110" s="15" t="s">
        <v>378</v>
      </c>
      <c r="F110" s="13" t="s">
        <v>53</v>
      </c>
      <c r="G110" s="16" t="s">
        <v>374</v>
      </c>
      <c r="H110" s="16" t="s">
        <v>39</v>
      </c>
      <c r="I110" s="17" t="s">
        <v>39</v>
      </c>
      <c r="J110" s="18" t="s">
        <v>39</v>
      </c>
      <c r="K110" s="18"/>
      <c r="L110" s="20"/>
      <c r="M110" s="20" t="s">
        <v>39</v>
      </c>
      <c r="N110" s="21">
        <v>2465000</v>
      </c>
      <c r="O110" s="196" t="s">
        <v>39</v>
      </c>
      <c r="P110" s="190" t="s">
        <v>39</v>
      </c>
      <c r="Q110" s="190" t="s">
        <v>39</v>
      </c>
      <c r="R110" s="190" t="s">
        <v>39</v>
      </c>
      <c r="S110" s="190" t="s">
        <v>39</v>
      </c>
      <c r="T110" s="188" t="s">
        <v>39</v>
      </c>
      <c r="U110" s="188" t="s">
        <v>39</v>
      </c>
      <c r="V110" s="188" t="s">
        <v>39</v>
      </c>
      <c r="W110" s="188" t="s">
        <v>39</v>
      </c>
      <c r="X110" s="188" t="s">
        <v>39</v>
      </c>
      <c r="Y110" s="45"/>
      <c r="Z110" s="45"/>
      <c r="AA110" s="45" t="s">
        <v>39</v>
      </c>
      <c r="AB110" s="187"/>
      <c r="AC110" s="46" t="s">
        <v>39</v>
      </c>
      <c r="AD110" s="189" t="s">
        <v>375</v>
      </c>
      <c r="AE110" s="17"/>
    </row>
    <row r="111" s="2" customFormat="1" ht="12" hidden="1" customHeight="1" spans="1:31">
      <c r="A111" s="13">
        <v>109</v>
      </c>
      <c r="B111" s="187" t="s">
        <v>412</v>
      </c>
      <c r="C111" s="15" t="s">
        <v>175</v>
      </c>
      <c r="D111" s="15" t="s">
        <v>380</v>
      </c>
      <c r="E111" s="15" t="s">
        <v>381</v>
      </c>
      <c r="F111" s="13" t="s">
        <v>53</v>
      </c>
      <c r="G111" s="16" t="s">
        <v>374</v>
      </c>
      <c r="H111" s="16" t="s">
        <v>39</v>
      </c>
      <c r="I111" s="17" t="s">
        <v>39</v>
      </c>
      <c r="J111" s="18" t="s">
        <v>39</v>
      </c>
      <c r="K111" s="18"/>
      <c r="L111" s="20"/>
      <c r="M111" s="20" t="s">
        <v>39</v>
      </c>
      <c r="N111" s="21">
        <v>2650000</v>
      </c>
      <c r="O111" s="196" t="s">
        <v>39</v>
      </c>
      <c r="P111" s="190" t="s">
        <v>39</v>
      </c>
      <c r="Q111" s="190" t="s">
        <v>39</v>
      </c>
      <c r="R111" s="190" t="s">
        <v>39</v>
      </c>
      <c r="S111" s="190" t="s">
        <v>39</v>
      </c>
      <c r="T111" s="188" t="s">
        <v>39</v>
      </c>
      <c r="U111" s="188" t="s">
        <v>39</v>
      </c>
      <c r="V111" s="188" t="s">
        <v>39</v>
      </c>
      <c r="W111" s="188" t="s">
        <v>39</v>
      </c>
      <c r="X111" s="188" t="s">
        <v>39</v>
      </c>
      <c r="Y111" s="45"/>
      <c r="Z111" s="45"/>
      <c r="AA111" s="45" t="s">
        <v>39</v>
      </c>
      <c r="AB111" s="187"/>
      <c r="AC111" s="46" t="s">
        <v>39</v>
      </c>
      <c r="AD111" s="189" t="s">
        <v>375</v>
      </c>
      <c r="AE111" s="17"/>
    </row>
    <row r="112" s="2" customFormat="1" ht="12" hidden="1" customHeight="1" spans="1:31">
      <c r="A112" s="13">
        <v>110</v>
      </c>
      <c r="B112" s="187" t="s">
        <v>415</v>
      </c>
      <c r="C112" s="15" t="s">
        <v>175</v>
      </c>
      <c r="D112" s="15" t="s">
        <v>383</v>
      </c>
      <c r="E112" s="15" t="s">
        <v>384</v>
      </c>
      <c r="F112" s="13" t="s">
        <v>53</v>
      </c>
      <c r="G112" s="16" t="s">
        <v>374</v>
      </c>
      <c r="H112" s="16" t="s">
        <v>39</v>
      </c>
      <c r="I112" s="17" t="s">
        <v>39</v>
      </c>
      <c r="J112" s="18" t="s">
        <v>39</v>
      </c>
      <c r="K112" s="18"/>
      <c r="L112" s="20"/>
      <c r="M112" s="20" t="s">
        <v>39</v>
      </c>
      <c r="N112" s="21">
        <v>1574000</v>
      </c>
      <c r="O112" s="196" t="s">
        <v>39</v>
      </c>
      <c r="P112" s="190" t="s">
        <v>39</v>
      </c>
      <c r="Q112" s="190" t="s">
        <v>39</v>
      </c>
      <c r="R112" s="190" t="s">
        <v>39</v>
      </c>
      <c r="S112" s="190" t="s">
        <v>39</v>
      </c>
      <c r="T112" s="188" t="s">
        <v>39</v>
      </c>
      <c r="U112" s="188" t="s">
        <v>39</v>
      </c>
      <c r="V112" s="188" t="s">
        <v>39</v>
      </c>
      <c r="W112" s="188" t="s">
        <v>39</v>
      </c>
      <c r="X112" s="188" t="s">
        <v>39</v>
      </c>
      <c r="Y112" s="45"/>
      <c r="Z112" s="45"/>
      <c r="AA112" s="45" t="s">
        <v>39</v>
      </c>
      <c r="AB112" s="187"/>
      <c r="AC112" s="46" t="s">
        <v>39</v>
      </c>
      <c r="AD112" s="189" t="s">
        <v>375</v>
      </c>
      <c r="AE112" s="17"/>
    </row>
    <row r="113" s="2" customFormat="1" ht="12" hidden="1" customHeight="1" spans="1:31">
      <c r="A113" s="13">
        <v>111</v>
      </c>
      <c r="B113" s="187" t="s">
        <v>418</v>
      </c>
      <c r="C113" s="15" t="s">
        <v>175</v>
      </c>
      <c r="D113" s="15" t="s">
        <v>386</v>
      </c>
      <c r="E113" s="15" t="s">
        <v>387</v>
      </c>
      <c r="F113" s="13" t="s">
        <v>53</v>
      </c>
      <c r="G113" s="16" t="s">
        <v>374</v>
      </c>
      <c r="H113" s="16" t="s">
        <v>39</v>
      </c>
      <c r="I113" s="17" t="s">
        <v>39</v>
      </c>
      <c r="J113" s="18" t="s">
        <v>39</v>
      </c>
      <c r="K113" s="18"/>
      <c r="L113" s="20"/>
      <c r="M113" s="20" t="s">
        <v>39</v>
      </c>
      <c r="N113" s="21">
        <v>3130000</v>
      </c>
      <c r="O113" s="196" t="s">
        <v>39</v>
      </c>
      <c r="P113" s="190" t="s">
        <v>39</v>
      </c>
      <c r="Q113" s="190" t="s">
        <v>39</v>
      </c>
      <c r="R113" s="190" t="s">
        <v>39</v>
      </c>
      <c r="S113" s="190" t="s">
        <v>39</v>
      </c>
      <c r="T113" s="188" t="s">
        <v>39</v>
      </c>
      <c r="U113" s="188" t="s">
        <v>39</v>
      </c>
      <c r="V113" s="188" t="s">
        <v>39</v>
      </c>
      <c r="W113" s="188" t="s">
        <v>39</v>
      </c>
      <c r="X113" s="188" t="s">
        <v>39</v>
      </c>
      <c r="Y113" s="45"/>
      <c r="Z113" s="45"/>
      <c r="AA113" s="45" t="s">
        <v>39</v>
      </c>
      <c r="AB113" s="187"/>
      <c r="AC113" s="46" t="s">
        <v>39</v>
      </c>
      <c r="AD113" s="189" t="s">
        <v>375</v>
      </c>
      <c r="AE113" s="17"/>
    </row>
    <row r="114" s="2" customFormat="1" ht="12" hidden="1" customHeight="1" spans="1:31">
      <c r="A114" s="13">
        <v>112</v>
      </c>
      <c r="B114" s="187" t="s">
        <v>421</v>
      </c>
      <c r="C114" s="15" t="s">
        <v>175</v>
      </c>
      <c r="D114" s="15" t="s">
        <v>389</v>
      </c>
      <c r="E114" s="15" t="s">
        <v>390</v>
      </c>
      <c r="F114" s="13" t="s">
        <v>53</v>
      </c>
      <c r="G114" s="16" t="s">
        <v>374</v>
      </c>
      <c r="H114" s="16" t="s">
        <v>39</v>
      </c>
      <c r="I114" s="17" t="s">
        <v>39</v>
      </c>
      <c r="J114" s="18" t="s">
        <v>39</v>
      </c>
      <c r="K114" s="18"/>
      <c r="L114" s="20"/>
      <c r="M114" s="20" t="s">
        <v>39</v>
      </c>
      <c r="N114" s="21">
        <v>2588000</v>
      </c>
      <c r="O114" s="196" t="s">
        <v>39</v>
      </c>
      <c r="P114" s="190" t="s">
        <v>39</v>
      </c>
      <c r="Q114" s="190" t="s">
        <v>39</v>
      </c>
      <c r="R114" s="190" t="s">
        <v>39</v>
      </c>
      <c r="S114" s="190" t="s">
        <v>39</v>
      </c>
      <c r="T114" s="188" t="s">
        <v>39</v>
      </c>
      <c r="U114" s="188" t="s">
        <v>39</v>
      </c>
      <c r="V114" s="188" t="s">
        <v>39</v>
      </c>
      <c r="W114" s="188" t="s">
        <v>39</v>
      </c>
      <c r="X114" s="188" t="s">
        <v>39</v>
      </c>
      <c r="Y114" s="45"/>
      <c r="Z114" s="45"/>
      <c r="AA114" s="45" t="s">
        <v>39</v>
      </c>
      <c r="AB114" s="187"/>
      <c r="AC114" s="46" t="s">
        <v>39</v>
      </c>
      <c r="AD114" s="189" t="s">
        <v>375</v>
      </c>
      <c r="AE114" s="17"/>
    </row>
    <row r="115" s="2" customFormat="1" ht="12" hidden="1" customHeight="1" spans="1:31">
      <c r="A115" s="13">
        <v>113</v>
      </c>
      <c r="B115" s="187" t="s">
        <v>423</v>
      </c>
      <c r="C115" s="15" t="s">
        <v>175</v>
      </c>
      <c r="D115" s="15" t="s">
        <v>392</v>
      </c>
      <c r="E115" s="15" t="s">
        <v>393</v>
      </c>
      <c r="F115" s="13" t="s">
        <v>53</v>
      </c>
      <c r="G115" s="16" t="s">
        <v>374</v>
      </c>
      <c r="H115" s="16" t="s">
        <v>39</v>
      </c>
      <c r="I115" s="17" t="s">
        <v>39</v>
      </c>
      <c r="J115" s="18" t="s">
        <v>39</v>
      </c>
      <c r="K115" s="18"/>
      <c r="L115" s="20"/>
      <c r="M115" s="20" t="s">
        <v>39</v>
      </c>
      <c r="N115" s="21">
        <v>1249000</v>
      </c>
      <c r="O115" s="196" t="s">
        <v>39</v>
      </c>
      <c r="P115" s="190" t="s">
        <v>39</v>
      </c>
      <c r="Q115" s="190" t="s">
        <v>39</v>
      </c>
      <c r="R115" s="190" t="s">
        <v>39</v>
      </c>
      <c r="S115" s="190" t="s">
        <v>39</v>
      </c>
      <c r="T115" s="188" t="s">
        <v>39</v>
      </c>
      <c r="U115" s="188" t="s">
        <v>39</v>
      </c>
      <c r="V115" s="188" t="s">
        <v>39</v>
      </c>
      <c r="W115" s="188" t="s">
        <v>39</v>
      </c>
      <c r="X115" s="188" t="s">
        <v>39</v>
      </c>
      <c r="Y115" s="45"/>
      <c r="Z115" s="45"/>
      <c r="AA115" s="45" t="s">
        <v>39</v>
      </c>
      <c r="AB115" s="187"/>
      <c r="AC115" s="46" t="s">
        <v>39</v>
      </c>
      <c r="AD115" s="189" t="s">
        <v>375</v>
      </c>
      <c r="AE115" s="17"/>
    </row>
    <row r="116" s="2" customFormat="1" ht="12" hidden="1" customHeight="1" spans="1:31">
      <c r="A116" s="13">
        <v>114</v>
      </c>
      <c r="B116" s="187" t="s">
        <v>426</v>
      </c>
      <c r="C116" s="15" t="s">
        <v>175</v>
      </c>
      <c r="D116" s="15" t="s">
        <v>395</v>
      </c>
      <c r="E116" s="15" t="s">
        <v>396</v>
      </c>
      <c r="F116" s="13" t="s">
        <v>53</v>
      </c>
      <c r="G116" s="16" t="s">
        <v>48</v>
      </c>
      <c r="H116" s="16" t="s">
        <v>39</v>
      </c>
      <c r="I116" s="17" t="s">
        <v>39</v>
      </c>
      <c r="J116" s="18" t="s">
        <v>39</v>
      </c>
      <c r="K116" s="18"/>
      <c r="L116" s="20"/>
      <c r="M116" s="20" t="s">
        <v>39</v>
      </c>
      <c r="N116" s="21" t="s">
        <v>39</v>
      </c>
      <c r="O116" s="190" t="s">
        <v>39</v>
      </c>
      <c r="P116" s="190" t="s">
        <v>39</v>
      </c>
      <c r="Q116" s="190" t="s">
        <v>39</v>
      </c>
      <c r="R116" s="190" t="s">
        <v>39</v>
      </c>
      <c r="S116" s="190" t="s">
        <v>39</v>
      </c>
      <c r="T116" s="190" t="s">
        <v>39</v>
      </c>
      <c r="U116" s="190" t="s">
        <v>39</v>
      </c>
      <c r="V116" s="45" t="s">
        <v>39</v>
      </c>
      <c r="W116" s="190" t="s">
        <v>39</v>
      </c>
      <c r="X116" s="190" t="s">
        <v>39</v>
      </c>
      <c r="Y116" s="45"/>
      <c r="Z116" s="45"/>
      <c r="AA116" s="45" t="s">
        <v>39</v>
      </c>
      <c r="AB116" s="51">
        <v>0.08</v>
      </c>
      <c r="AC116" s="46">
        <v>0.015</v>
      </c>
      <c r="AD116" s="17"/>
      <c r="AE116" s="17"/>
    </row>
    <row r="117" s="2" customFormat="1" ht="12" hidden="1" customHeight="1" spans="1:31">
      <c r="A117" s="13">
        <v>115</v>
      </c>
      <c r="B117" s="187" t="s">
        <v>428</v>
      </c>
      <c r="C117" s="15" t="s">
        <v>175</v>
      </c>
      <c r="D117" s="15" t="s">
        <v>395</v>
      </c>
      <c r="E117" s="15" t="s">
        <v>396</v>
      </c>
      <c r="F117" s="13" t="s">
        <v>37</v>
      </c>
      <c r="G117" s="16" t="s">
        <v>48</v>
      </c>
      <c r="H117" s="16" t="s">
        <v>39</v>
      </c>
      <c r="I117" s="43" t="s">
        <v>39</v>
      </c>
      <c r="J117" s="16" t="s">
        <v>39</v>
      </c>
      <c r="K117" s="16"/>
      <c r="L117" s="20"/>
      <c r="M117" s="20" t="s">
        <v>39</v>
      </c>
      <c r="N117" s="21" t="s">
        <v>39</v>
      </c>
      <c r="O117" s="188" t="s">
        <v>39</v>
      </c>
      <c r="P117" s="188" t="s">
        <v>39</v>
      </c>
      <c r="Q117" s="188">
        <v>0.02</v>
      </c>
      <c r="R117" s="188" t="s">
        <v>39</v>
      </c>
      <c r="S117" s="188" t="s">
        <v>39</v>
      </c>
      <c r="T117" s="188" t="s">
        <v>39</v>
      </c>
      <c r="U117" s="188" t="s">
        <v>39</v>
      </c>
      <c r="V117" s="188" t="s">
        <v>39</v>
      </c>
      <c r="W117" s="188" t="s">
        <v>39</v>
      </c>
      <c r="X117" s="188" t="s">
        <v>39</v>
      </c>
      <c r="Y117" s="45"/>
      <c r="Z117" s="45"/>
      <c r="AA117" s="45" t="s">
        <v>39</v>
      </c>
      <c r="AB117" s="51">
        <v>0.08</v>
      </c>
      <c r="AC117" s="46">
        <v>0.015</v>
      </c>
      <c r="AD117" s="17"/>
      <c r="AE117" s="17"/>
    </row>
    <row r="118" s="2" customFormat="1" ht="12" hidden="1" customHeight="1" spans="1:31">
      <c r="A118" s="13">
        <v>116</v>
      </c>
      <c r="B118" s="187" t="s">
        <v>430</v>
      </c>
      <c r="C118" s="15" t="s">
        <v>175</v>
      </c>
      <c r="D118" s="15" t="s">
        <v>399</v>
      </c>
      <c r="E118" s="15" t="s">
        <v>400</v>
      </c>
      <c r="F118" s="13" t="s">
        <v>47</v>
      </c>
      <c r="G118" s="16" t="s">
        <v>48</v>
      </c>
      <c r="H118" s="16" t="s">
        <v>39</v>
      </c>
      <c r="I118" s="17" t="s">
        <v>39</v>
      </c>
      <c r="J118" s="18" t="s">
        <v>401</v>
      </c>
      <c r="K118" s="18"/>
      <c r="L118" s="20"/>
      <c r="M118" s="20" t="s">
        <v>39</v>
      </c>
      <c r="N118" s="21" t="s">
        <v>39</v>
      </c>
      <c r="O118" s="190" t="s">
        <v>39</v>
      </c>
      <c r="P118" s="190" t="s">
        <v>39</v>
      </c>
      <c r="Q118" s="190" t="s">
        <v>39</v>
      </c>
      <c r="R118" s="190" t="s">
        <v>39</v>
      </c>
      <c r="S118" s="190" t="s">
        <v>39</v>
      </c>
      <c r="T118" s="190" t="s">
        <v>39</v>
      </c>
      <c r="U118" s="190" t="s">
        <v>39</v>
      </c>
      <c r="V118" s="45" t="s">
        <v>39</v>
      </c>
      <c r="W118" s="190" t="s">
        <v>39</v>
      </c>
      <c r="X118" s="190" t="s">
        <v>39</v>
      </c>
      <c r="Y118" s="45"/>
      <c r="Z118" s="45"/>
      <c r="AA118" s="45"/>
      <c r="AB118" s="113">
        <v>0.03</v>
      </c>
      <c r="AC118" s="24" t="s">
        <v>39</v>
      </c>
      <c r="AD118" s="17"/>
      <c r="AE118" s="17"/>
    </row>
    <row r="119" s="2" customFormat="1" ht="36" hidden="1" customHeight="1" spans="1:31">
      <c r="A119" s="13">
        <v>117</v>
      </c>
      <c r="B119" s="187" t="s">
        <v>433</v>
      </c>
      <c r="C119" s="15" t="s">
        <v>175</v>
      </c>
      <c r="D119" s="15" t="s">
        <v>399</v>
      </c>
      <c r="E119" s="15" t="s">
        <v>400</v>
      </c>
      <c r="F119" s="13" t="s">
        <v>47</v>
      </c>
      <c r="G119" s="16" t="s">
        <v>48</v>
      </c>
      <c r="H119" s="18" t="s">
        <v>39</v>
      </c>
      <c r="I119" s="17" t="s">
        <v>403</v>
      </c>
      <c r="J119" s="18" t="s">
        <v>404</v>
      </c>
      <c r="K119" s="18"/>
      <c r="L119" s="20"/>
      <c r="M119" s="20" t="s">
        <v>39</v>
      </c>
      <c r="N119" s="21">
        <v>400000</v>
      </c>
      <c r="O119" s="191">
        <v>0.17</v>
      </c>
      <c r="P119" s="190" t="s">
        <v>39</v>
      </c>
      <c r="Q119" s="191">
        <v>0.02</v>
      </c>
      <c r="R119" s="190" t="s">
        <v>39</v>
      </c>
      <c r="S119" s="190" t="s">
        <v>39</v>
      </c>
      <c r="T119" s="190" t="s">
        <v>39</v>
      </c>
      <c r="U119" s="190" t="s">
        <v>39</v>
      </c>
      <c r="V119" s="188">
        <v>0.04</v>
      </c>
      <c r="W119" s="188">
        <v>0.04</v>
      </c>
      <c r="X119" s="190" t="s">
        <v>39</v>
      </c>
      <c r="Y119" s="203"/>
      <c r="Z119" s="203"/>
      <c r="AA119" s="203">
        <v>0.5</v>
      </c>
      <c r="AB119" s="24" t="s">
        <v>39</v>
      </c>
      <c r="AC119" s="24" t="s">
        <v>39</v>
      </c>
      <c r="AD119" s="17"/>
      <c r="AE119" s="17" t="s">
        <v>405</v>
      </c>
    </row>
    <row r="120" s="2" customFormat="1" ht="36" hidden="1" customHeight="1" spans="1:31">
      <c r="A120" s="13">
        <v>118</v>
      </c>
      <c r="B120" s="187" t="s">
        <v>436</v>
      </c>
      <c r="C120" s="15" t="s">
        <v>175</v>
      </c>
      <c r="D120" s="15" t="s">
        <v>399</v>
      </c>
      <c r="E120" s="15" t="s">
        <v>400</v>
      </c>
      <c r="F120" s="13" t="s">
        <v>47</v>
      </c>
      <c r="G120" s="16" t="s">
        <v>48</v>
      </c>
      <c r="H120" s="18" t="s">
        <v>39</v>
      </c>
      <c r="I120" s="43" t="s">
        <v>408</v>
      </c>
      <c r="J120" s="45" t="s">
        <v>1490</v>
      </c>
      <c r="K120" s="18"/>
      <c r="L120" s="20"/>
      <c r="M120" s="20" t="s">
        <v>39</v>
      </c>
      <c r="N120" s="21">
        <v>380000</v>
      </c>
      <c r="O120" s="191">
        <v>0.15</v>
      </c>
      <c r="P120" s="190" t="s">
        <v>39</v>
      </c>
      <c r="Q120" s="191">
        <v>0.02</v>
      </c>
      <c r="R120" s="190" t="s">
        <v>39</v>
      </c>
      <c r="S120" s="190" t="s">
        <v>39</v>
      </c>
      <c r="T120" s="190" t="s">
        <v>39</v>
      </c>
      <c r="U120" s="190" t="s">
        <v>39</v>
      </c>
      <c r="V120" s="188">
        <v>0.04</v>
      </c>
      <c r="W120" s="188">
        <v>0.04</v>
      </c>
      <c r="X120" s="190" t="s">
        <v>39</v>
      </c>
      <c r="Y120" s="203"/>
      <c r="Z120" s="203"/>
      <c r="AA120" s="203">
        <v>0.5</v>
      </c>
      <c r="AB120" s="24" t="s">
        <v>39</v>
      </c>
      <c r="AC120" s="24" t="s">
        <v>39</v>
      </c>
      <c r="AD120" s="17"/>
      <c r="AE120" s="17" t="s">
        <v>405</v>
      </c>
    </row>
    <row r="121" s="2" customFormat="1" ht="36" hidden="1" customHeight="1" spans="1:31">
      <c r="A121" s="13">
        <v>119</v>
      </c>
      <c r="B121" s="187" t="s">
        <v>440</v>
      </c>
      <c r="C121" s="15" t="s">
        <v>175</v>
      </c>
      <c r="D121" s="15" t="s">
        <v>399</v>
      </c>
      <c r="E121" s="15" t="s">
        <v>400</v>
      </c>
      <c r="F121" s="13" t="s">
        <v>47</v>
      </c>
      <c r="G121" s="16" t="s">
        <v>48</v>
      </c>
      <c r="H121" s="18" t="s">
        <v>39</v>
      </c>
      <c r="I121" s="43" t="s">
        <v>209</v>
      </c>
      <c r="J121" s="18" t="s">
        <v>411</v>
      </c>
      <c r="K121" s="18"/>
      <c r="L121" s="20"/>
      <c r="M121" s="20" t="s">
        <v>39</v>
      </c>
      <c r="N121" s="21">
        <v>500000</v>
      </c>
      <c r="O121" s="191">
        <v>0.18</v>
      </c>
      <c r="P121" s="190" t="s">
        <v>39</v>
      </c>
      <c r="Q121" s="191">
        <v>0.02</v>
      </c>
      <c r="R121" s="190" t="s">
        <v>39</v>
      </c>
      <c r="S121" s="190" t="s">
        <v>39</v>
      </c>
      <c r="T121" s="190" t="s">
        <v>39</v>
      </c>
      <c r="U121" s="190" t="s">
        <v>39</v>
      </c>
      <c r="V121" s="188">
        <v>0.04</v>
      </c>
      <c r="W121" s="188">
        <v>0.04</v>
      </c>
      <c r="X121" s="190" t="s">
        <v>39</v>
      </c>
      <c r="Y121" s="203"/>
      <c r="Z121" s="203"/>
      <c r="AA121" s="203">
        <v>0.5</v>
      </c>
      <c r="AB121" s="24" t="s">
        <v>39</v>
      </c>
      <c r="AC121" s="24" t="s">
        <v>39</v>
      </c>
      <c r="AD121" s="17"/>
      <c r="AE121" s="17" t="s">
        <v>405</v>
      </c>
    </row>
    <row r="122" s="2" customFormat="1" ht="36" hidden="1" customHeight="1" spans="1:31">
      <c r="A122" s="13">
        <v>120</v>
      </c>
      <c r="B122" s="187" t="s">
        <v>447</v>
      </c>
      <c r="C122" s="15" t="s">
        <v>175</v>
      </c>
      <c r="D122" s="15" t="s">
        <v>399</v>
      </c>
      <c r="E122" s="15" t="s">
        <v>400</v>
      </c>
      <c r="F122" s="13" t="s">
        <v>47</v>
      </c>
      <c r="G122" s="16" t="s">
        <v>48</v>
      </c>
      <c r="H122" s="18" t="s">
        <v>39</v>
      </c>
      <c r="I122" s="43" t="s">
        <v>413</v>
      </c>
      <c r="J122" s="18" t="s">
        <v>414</v>
      </c>
      <c r="K122" s="18"/>
      <c r="L122" s="20"/>
      <c r="M122" s="20" t="s">
        <v>39</v>
      </c>
      <c r="N122" s="21">
        <v>800000</v>
      </c>
      <c r="O122" s="191">
        <v>0.1</v>
      </c>
      <c r="P122" s="190" t="s">
        <v>39</v>
      </c>
      <c r="Q122" s="190" t="s">
        <v>39</v>
      </c>
      <c r="R122" s="190" t="s">
        <v>39</v>
      </c>
      <c r="S122" s="190" t="s">
        <v>39</v>
      </c>
      <c r="T122" s="190" t="s">
        <v>39</v>
      </c>
      <c r="U122" s="190" t="s">
        <v>39</v>
      </c>
      <c r="V122" s="188">
        <v>0.04</v>
      </c>
      <c r="W122" s="188">
        <v>0.04</v>
      </c>
      <c r="X122" s="190" t="s">
        <v>39</v>
      </c>
      <c r="Y122" s="203"/>
      <c r="Z122" s="203"/>
      <c r="AA122" s="203">
        <v>0.5</v>
      </c>
      <c r="AB122" s="24" t="s">
        <v>39</v>
      </c>
      <c r="AC122" s="24" t="s">
        <v>39</v>
      </c>
      <c r="AD122" s="17"/>
      <c r="AE122" s="17" t="s">
        <v>405</v>
      </c>
    </row>
    <row r="123" s="2" customFormat="1" ht="36" hidden="1" customHeight="1" spans="1:31">
      <c r="A123" s="13">
        <v>121</v>
      </c>
      <c r="B123" s="187" t="s">
        <v>452</v>
      </c>
      <c r="C123" s="15" t="s">
        <v>175</v>
      </c>
      <c r="D123" s="15" t="s">
        <v>399</v>
      </c>
      <c r="E123" s="15" t="s">
        <v>400</v>
      </c>
      <c r="F123" s="13" t="s">
        <v>47</v>
      </c>
      <c r="G123" s="16" t="s">
        <v>48</v>
      </c>
      <c r="H123" s="18" t="s">
        <v>39</v>
      </c>
      <c r="I123" s="43" t="s">
        <v>416</v>
      </c>
      <c r="J123" s="18" t="s">
        <v>417</v>
      </c>
      <c r="K123" s="18"/>
      <c r="L123" s="20"/>
      <c r="M123" s="20" t="s">
        <v>39</v>
      </c>
      <c r="N123" s="21">
        <v>240000</v>
      </c>
      <c r="O123" s="191">
        <v>0.02</v>
      </c>
      <c r="P123" s="190" t="s">
        <v>39</v>
      </c>
      <c r="Q123" s="191">
        <v>0.02</v>
      </c>
      <c r="R123" s="190" t="s">
        <v>39</v>
      </c>
      <c r="S123" s="190" t="s">
        <v>39</v>
      </c>
      <c r="T123" s="190" t="s">
        <v>39</v>
      </c>
      <c r="U123" s="190" t="s">
        <v>39</v>
      </c>
      <c r="V123" s="188">
        <v>0.04</v>
      </c>
      <c r="W123" s="191">
        <v>0.01</v>
      </c>
      <c r="X123" s="190" t="s">
        <v>39</v>
      </c>
      <c r="Y123" s="203"/>
      <c r="Z123" s="203"/>
      <c r="AA123" s="203">
        <v>0.5</v>
      </c>
      <c r="AB123" s="24" t="s">
        <v>39</v>
      </c>
      <c r="AC123" s="24" t="s">
        <v>39</v>
      </c>
      <c r="AD123" s="17"/>
      <c r="AE123" s="17" t="s">
        <v>405</v>
      </c>
    </row>
    <row r="124" s="2" customFormat="1" ht="36" hidden="1" customHeight="1" spans="1:31">
      <c r="A124" s="13">
        <v>122</v>
      </c>
      <c r="B124" s="187" t="s">
        <v>455</v>
      </c>
      <c r="C124" s="15" t="s">
        <v>175</v>
      </c>
      <c r="D124" s="15" t="s">
        <v>399</v>
      </c>
      <c r="E124" s="15" t="s">
        <v>400</v>
      </c>
      <c r="F124" s="13" t="s">
        <v>47</v>
      </c>
      <c r="G124" s="16" t="s">
        <v>48</v>
      </c>
      <c r="H124" s="18" t="s">
        <v>39</v>
      </c>
      <c r="I124" s="43" t="s">
        <v>419</v>
      </c>
      <c r="J124" s="18" t="s">
        <v>420</v>
      </c>
      <c r="K124" s="18"/>
      <c r="L124" s="20"/>
      <c r="M124" s="20" t="s">
        <v>39</v>
      </c>
      <c r="N124" s="21">
        <v>480000</v>
      </c>
      <c r="O124" s="191">
        <v>0.18</v>
      </c>
      <c r="P124" s="190" t="s">
        <v>39</v>
      </c>
      <c r="Q124" s="191">
        <v>0.02</v>
      </c>
      <c r="R124" s="190" t="s">
        <v>39</v>
      </c>
      <c r="S124" s="190" t="s">
        <v>39</v>
      </c>
      <c r="T124" s="190" t="s">
        <v>39</v>
      </c>
      <c r="U124" s="190" t="s">
        <v>39</v>
      </c>
      <c r="V124" s="188">
        <v>0.04</v>
      </c>
      <c r="W124" s="188">
        <v>0.04</v>
      </c>
      <c r="X124" s="190" t="s">
        <v>39</v>
      </c>
      <c r="Y124" s="203"/>
      <c r="Z124" s="203"/>
      <c r="AA124" s="203">
        <v>0.5</v>
      </c>
      <c r="AB124" s="24" t="s">
        <v>39</v>
      </c>
      <c r="AC124" s="24" t="s">
        <v>39</v>
      </c>
      <c r="AD124" s="17"/>
      <c r="AE124" s="17" t="s">
        <v>405</v>
      </c>
    </row>
    <row r="125" s="2" customFormat="1" ht="36" hidden="1" customHeight="1" spans="1:31">
      <c r="A125" s="13">
        <v>123</v>
      </c>
      <c r="B125" s="187" t="s">
        <v>458</v>
      </c>
      <c r="C125" s="15" t="s">
        <v>175</v>
      </c>
      <c r="D125" s="15" t="s">
        <v>399</v>
      </c>
      <c r="E125" s="15" t="s">
        <v>400</v>
      </c>
      <c r="F125" s="13" t="s">
        <v>47</v>
      </c>
      <c r="G125" s="16" t="s">
        <v>48</v>
      </c>
      <c r="H125" s="18" t="s">
        <v>39</v>
      </c>
      <c r="I125" s="43" t="s">
        <v>422</v>
      </c>
      <c r="J125" s="18" t="s">
        <v>414</v>
      </c>
      <c r="K125" s="18"/>
      <c r="L125" s="20"/>
      <c r="M125" s="20" t="s">
        <v>39</v>
      </c>
      <c r="N125" s="21">
        <v>240000</v>
      </c>
      <c r="O125" s="191">
        <v>0.18</v>
      </c>
      <c r="P125" s="190" t="s">
        <v>39</v>
      </c>
      <c r="Q125" s="191">
        <v>0.02</v>
      </c>
      <c r="R125" s="190" t="s">
        <v>39</v>
      </c>
      <c r="S125" s="190" t="s">
        <v>39</v>
      </c>
      <c r="T125" s="190" t="s">
        <v>39</v>
      </c>
      <c r="U125" s="190" t="s">
        <v>39</v>
      </c>
      <c r="V125" s="188">
        <v>0.04</v>
      </c>
      <c r="W125" s="188">
        <v>0.04</v>
      </c>
      <c r="X125" s="190" t="s">
        <v>39</v>
      </c>
      <c r="Y125" s="203"/>
      <c r="Z125" s="203"/>
      <c r="AA125" s="203">
        <v>0.5</v>
      </c>
      <c r="AB125" s="24" t="s">
        <v>39</v>
      </c>
      <c r="AC125" s="24" t="s">
        <v>39</v>
      </c>
      <c r="AD125" s="17"/>
      <c r="AE125" s="17" t="s">
        <v>405</v>
      </c>
    </row>
    <row r="126" s="2" customFormat="1" ht="36" hidden="1" customHeight="1" spans="1:31">
      <c r="A126" s="13">
        <v>124</v>
      </c>
      <c r="B126" s="187" t="s">
        <v>461</v>
      </c>
      <c r="C126" s="15" t="s">
        <v>175</v>
      </c>
      <c r="D126" s="15" t="s">
        <v>399</v>
      </c>
      <c r="E126" s="15" t="s">
        <v>400</v>
      </c>
      <c r="F126" s="13" t="s">
        <v>47</v>
      </c>
      <c r="G126" s="16" t="s">
        <v>48</v>
      </c>
      <c r="H126" s="18" t="s">
        <v>39</v>
      </c>
      <c r="I126" s="43" t="s">
        <v>424</v>
      </c>
      <c r="J126" s="18" t="s">
        <v>425</v>
      </c>
      <c r="K126" s="18"/>
      <c r="L126" s="20"/>
      <c r="M126" s="20" t="s">
        <v>39</v>
      </c>
      <c r="N126" s="21">
        <v>220000</v>
      </c>
      <c r="O126" s="191">
        <v>0.18</v>
      </c>
      <c r="P126" s="190" t="s">
        <v>39</v>
      </c>
      <c r="Q126" s="191">
        <v>0.02</v>
      </c>
      <c r="R126" s="190" t="s">
        <v>39</v>
      </c>
      <c r="S126" s="190" t="s">
        <v>39</v>
      </c>
      <c r="T126" s="190" t="s">
        <v>39</v>
      </c>
      <c r="U126" s="190" t="s">
        <v>39</v>
      </c>
      <c r="V126" s="188">
        <v>0.04</v>
      </c>
      <c r="W126" s="188">
        <v>0.04</v>
      </c>
      <c r="X126" s="190" t="s">
        <v>39</v>
      </c>
      <c r="Y126" s="203"/>
      <c r="Z126" s="203"/>
      <c r="AA126" s="203">
        <v>0.5</v>
      </c>
      <c r="AB126" s="24" t="s">
        <v>39</v>
      </c>
      <c r="AC126" s="24" t="s">
        <v>39</v>
      </c>
      <c r="AD126" s="17"/>
      <c r="AE126" s="17" t="s">
        <v>405</v>
      </c>
    </row>
    <row r="127" s="2" customFormat="1" ht="36" hidden="1" customHeight="1" spans="1:31">
      <c r="A127" s="13">
        <v>125</v>
      </c>
      <c r="B127" s="187" t="s">
        <v>463</v>
      </c>
      <c r="C127" s="15" t="s">
        <v>175</v>
      </c>
      <c r="D127" s="15" t="s">
        <v>399</v>
      </c>
      <c r="E127" s="15" t="s">
        <v>400</v>
      </c>
      <c r="F127" s="13" t="s">
        <v>47</v>
      </c>
      <c r="G127" s="16" t="s">
        <v>48</v>
      </c>
      <c r="H127" s="18" t="s">
        <v>39</v>
      </c>
      <c r="I127" s="43" t="s">
        <v>186</v>
      </c>
      <c r="J127" s="18" t="s">
        <v>427</v>
      </c>
      <c r="K127" s="18"/>
      <c r="L127" s="20"/>
      <c r="M127" s="20" t="s">
        <v>39</v>
      </c>
      <c r="N127" s="21">
        <v>300000</v>
      </c>
      <c r="O127" s="191">
        <v>0.18</v>
      </c>
      <c r="P127" s="190" t="s">
        <v>39</v>
      </c>
      <c r="Q127" s="191">
        <v>0.02</v>
      </c>
      <c r="R127" s="190" t="s">
        <v>39</v>
      </c>
      <c r="S127" s="190" t="s">
        <v>39</v>
      </c>
      <c r="T127" s="190" t="s">
        <v>39</v>
      </c>
      <c r="U127" s="190" t="s">
        <v>39</v>
      </c>
      <c r="V127" s="188">
        <v>0.04</v>
      </c>
      <c r="W127" s="188">
        <v>0.04</v>
      </c>
      <c r="X127" s="190" t="s">
        <v>39</v>
      </c>
      <c r="Y127" s="203"/>
      <c r="Z127" s="203"/>
      <c r="AA127" s="203">
        <v>0.5</v>
      </c>
      <c r="AB127" s="24" t="s">
        <v>39</v>
      </c>
      <c r="AC127" s="24" t="s">
        <v>39</v>
      </c>
      <c r="AD127" s="17"/>
      <c r="AE127" s="17" t="s">
        <v>405</v>
      </c>
    </row>
    <row r="128" s="2" customFormat="1" ht="36" hidden="1" customHeight="1" spans="1:31">
      <c r="A128" s="13">
        <v>126</v>
      </c>
      <c r="B128" s="187" t="s">
        <v>466</v>
      </c>
      <c r="C128" s="15" t="s">
        <v>175</v>
      </c>
      <c r="D128" s="15" t="s">
        <v>399</v>
      </c>
      <c r="E128" s="15" t="s">
        <v>400</v>
      </c>
      <c r="F128" s="13" t="s">
        <v>47</v>
      </c>
      <c r="G128" s="16" t="s">
        <v>48</v>
      </c>
      <c r="H128" s="18" t="s">
        <v>39</v>
      </c>
      <c r="I128" s="43" t="s">
        <v>319</v>
      </c>
      <c r="J128" s="18" t="s">
        <v>429</v>
      </c>
      <c r="K128" s="18"/>
      <c r="L128" s="20"/>
      <c r="M128" s="20" t="s">
        <v>39</v>
      </c>
      <c r="N128" s="21">
        <v>400000</v>
      </c>
      <c r="O128" s="191">
        <v>0.18</v>
      </c>
      <c r="P128" s="190" t="s">
        <v>39</v>
      </c>
      <c r="Q128" s="191">
        <v>0.02</v>
      </c>
      <c r="R128" s="190" t="s">
        <v>39</v>
      </c>
      <c r="S128" s="190" t="s">
        <v>39</v>
      </c>
      <c r="T128" s="190" t="s">
        <v>39</v>
      </c>
      <c r="U128" s="190" t="s">
        <v>39</v>
      </c>
      <c r="V128" s="188">
        <v>0.04</v>
      </c>
      <c r="W128" s="188">
        <v>0.04</v>
      </c>
      <c r="X128" s="190" t="s">
        <v>39</v>
      </c>
      <c r="Y128" s="203"/>
      <c r="Z128" s="203"/>
      <c r="AA128" s="203">
        <v>0.5</v>
      </c>
      <c r="AB128" s="24" t="s">
        <v>39</v>
      </c>
      <c r="AC128" s="24" t="s">
        <v>39</v>
      </c>
      <c r="AD128" s="17"/>
      <c r="AE128" s="17" t="s">
        <v>405</v>
      </c>
    </row>
    <row r="129" s="2" customFormat="1" ht="36" hidden="1" customHeight="1" spans="1:31">
      <c r="A129" s="13">
        <v>127</v>
      </c>
      <c r="B129" s="187" t="s">
        <v>468</v>
      </c>
      <c r="C129" s="15" t="s">
        <v>175</v>
      </c>
      <c r="D129" s="15" t="s">
        <v>399</v>
      </c>
      <c r="E129" s="15" t="s">
        <v>400</v>
      </c>
      <c r="F129" s="13" t="s">
        <v>47</v>
      </c>
      <c r="G129" s="16" t="s">
        <v>48</v>
      </c>
      <c r="H129" s="18" t="s">
        <v>39</v>
      </c>
      <c r="I129" s="43" t="s">
        <v>431</v>
      </c>
      <c r="J129" s="45" t="s">
        <v>1491</v>
      </c>
      <c r="K129" s="18"/>
      <c r="L129" s="20"/>
      <c r="M129" s="20" t="s">
        <v>39</v>
      </c>
      <c r="N129" s="21">
        <v>300000</v>
      </c>
      <c r="O129" s="191">
        <v>0.18</v>
      </c>
      <c r="P129" s="190" t="s">
        <v>39</v>
      </c>
      <c r="Q129" s="191">
        <v>0.02</v>
      </c>
      <c r="R129" s="190" t="s">
        <v>39</v>
      </c>
      <c r="S129" s="190" t="s">
        <v>39</v>
      </c>
      <c r="T129" s="190" t="s">
        <v>39</v>
      </c>
      <c r="U129" s="190" t="s">
        <v>39</v>
      </c>
      <c r="V129" s="188">
        <v>0.04</v>
      </c>
      <c r="W129" s="188">
        <v>0.04</v>
      </c>
      <c r="X129" s="190" t="s">
        <v>39</v>
      </c>
      <c r="Y129" s="203"/>
      <c r="Z129" s="203"/>
      <c r="AA129" s="203">
        <v>0.5</v>
      </c>
      <c r="AB129" s="24" t="s">
        <v>39</v>
      </c>
      <c r="AC129" s="24" t="s">
        <v>39</v>
      </c>
      <c r="AD129" s="17"/>
      <c r="AE129" s="17" t="s">
        <v>405</v>
      </c>
    </row>
    <row r="130" s="2" customFormat="1" ht="36" hidden="1" customHeight="1" spans="1:31">
      <c r="A130" s="13">
        <v>128</v>
      </c>
      <c r="B130" s="187" t="s">
        <v>472</v>
      </c>
      <c r="C130" s="15" t="s">
        <v>175</v>
      </c>
      <c r="D130" s="15" t="s">
        <v>399</v>
      </c>
      <c r="E130" s="15" t="s">
        <v>400</v>
      </c>
      <c r="F130" s="13" t="s">
        <v>47</v>
      </c>
      <c r="G130" s="16" t="s">
        <v>48</v>
      </c>
      <c r="H130" s="18" t="s">
        <v>39</v>
      </c>
      <c r="I130" s="43" t="s">
        <v>434</v>
      </c>
      <c r="J130" s="18" t="s">
        <v>435</v>
      </c>
      <c r="K130" s="18"/>
      <c r="L130" s="20"/>
      <c r="M130" s="20" t="s">
        <v>39</v>
      </c>
      <c r="N130" s="21">
        <v>220000</v>
      </c>
      <c r="O130" s="191">
        <v>0.18</v>
      </c>
      <c r="P130" s="190" t="s">
        <v>39</v>
      </c>
      <c r="Q130" s="191">
        <v>0.02</v>
      </c>
      <c r="R130" s="190" t="s">
        <v>39</v>
      </c>
      <c r="S130" s="190" t="s">
        <v>39</v>
      </c>
      <c r="T130" s="190" t="s">
        <v>39</v>
      </c>
      <c r="U130" s="190" t="s">
        <v>39</v>
      </c>
      <c r="V130" s="188">
        <v>0.04</v>
      </c>
      <c r="W130" s="188">
        <v>0.04</v>
      </c>
      <c r="X130" s="190" t="s">
        <v>39</v>
      </c>
      <c r="Y130" s="203"/>
      <c r="Z130" s="203"/>
      <c r="AA130" s="203">
        <v>0.5</v>
      </c>
      <c r="AB130" s="24" t="s">
        <v>39</v>
      </c>
      <c r="AC130" s="24" t="s">
        <v>39</v>
      </c>
      <c r="AD130" s="17"/>
      <c r="AE130" s="17" t="s">
        <v>405</v>
      </c>
    </row>
    <row r="131" s="2" customFormat="1" ht="12" hidden="1" customHeight="1" spans="1:31">
      <c r="A131" s="13">
        <v>129</v>
      </c>
      <c r="B131" s="187" t="s">
        <v>477</v>
      </c>
      <c r="C131" s="15" t="s">
        <v>175</v>
      </c>
      <c r="D131" s="15" t="s">
        <v>437</v>
      </c>
      <c r="E131" s="15" t="s">
        <v>438</v>
      </c>
      <c r="F131" s="13" t="s">
        <v>53</v>
      </c>
      <c r="G131" s="16" t="s">
        <v>48</v>
      </c>
      <c r="H131" s="16" t="s">
        <v>39</v>
      </c>
      <c r="I131" s="17" t="s">
        <v>39</v>
      </c>
      <c r="J131" s="18" t="s">
        <v>39</v>
      </c>
      <c r="K131" s="18"/>
      <c r="L131" s="20"/>
      <c r="M131" s="20" t="s">
        <v>39</v>
      </c>
      <c r="N131" s="21">
        <v>566000</v>
      </c>
      <c r="O131" s="190" t="s">
        <v>39</v>
      </c>
      <c r="P131" s="190" t="s">
        <v>39</v>
      </c>
      <c r="Q131" s="190" t="s">
        <v>39</v>
      </c>
      <c r="R131" s="190" t="s">
        <v>39</v>
      </c>
      <c r="S131" s="190" t="s">
        <v>39</v>
      </c>
      <c r="T131" s="190" t="s">
        <v>39</v>
      </c>
      <c r="U131" s="190" t="s">
        <v>39</v>
      </c>
      <c r="V131" s="45" t="s">
        <v>39</v>
      </c>
      <c r="W131" s="190" t="s">
        <v>39</v>
      </c>
      <c r="X131" s="190" t="s">
        <v>39</v>
      </c>
      <c r="Y131" s="45"/>
      <c r="Z131" s="45"/>
      <c r="AA131" s="45" t="s">
        <v>39</v>
      </c>
      <c r="AB131" s="16">
        <v>100000</v>
      </c>
      <c r="AC131" s="46" t="s">
        <v>39</v>
      </c>
      <c r="AD131" s="17" t="s">
        <v>439</v>
      </c>
      <c r="AE131" s="17"/>
    </row>
    <row r="132" s="2" customFormat="1" ht="12" hidden="1" customHeight="1" spans="1:31">
      <c r="A132" s="13">
        <v>130</v>
      </c>
      <c r="B132" s="187" t="s">
        <v>480</v>
      </c>
      <c r="C132" s="15" t="s">
        <v>175</v>
      </c>
      <c r="D132" s="15" t="s">
        <v>441</v>
      </c>
      <c r="E132" s="15" t="s">
        <v>442</v>
      </c>
      <c r="F132" s="13" t="s">
        <v>53</v>
      </c>
      <c r="G132" s="16" t="s">
        <v>48</v>
      </c>
      <c r="H132" s="16" t="s">
        <v>39</v>
      </c>
      <c r="I132" s="17" t="s">
        <v>39</v>
      </c>
      <c r="J132" s="18" t="s">
        <v>39</v>
      </c>
      <c r="K132" s="18"/>
      <c r="L132" s="20"/>
      <c r="M132" s="20" t="s">
        <v>39</v>
      </c>
      <c r="N132" s="21">
        <v>710000</v>
      </c>
      <c r="O132" s="190" t="s">
        <v>39</v>
      </c>
      <c r="P132" s="190" t="s">
        <v>39</v>
      </c>
      <c r="Q132" s="190" t="s">
        <v>39</v>
      </c>
      <c r="R132" s="190" t="s">
        <v>39</v>
      </c>
      <c r="S132" s="190" t="s">
        <v>39</v>
      </c>
      <c r="T132" s="190" t="s">
        <v>39</v>
      </c>
      <c r="U132" s="190" t="s">
        <v>39</v>
      </c>
      <c r="V132" s="45" t="s">
        <v>39</v>
      </c>
      <c r="W132" s="190" t="s">
        <v>39</v>
      </c>
      <c r="X132" s="190" t="s">
        <v>39</v>
      </c>
      <c r="Y132" s="45"/>
      <c r="Z132" s="45"/>
      <c r="AA132" s="45" t="s">
        <v>39</v>
      </c>
      <c r="AB132" s="16">
        <v>100000</v>
      </c>
      <c r="AC132" s="46" t="s">
        <v>39</v>
      </c>
      <c r="AD132" s="17" t="s">
        <v>439</v>
      </c>
      <c r="AE132" s="17"/>
    </row>
    <row r="133" s="2" customFormat="1" ht="24" customHeight="1" spans="1:31">
      <c r="A133" s="13">
        <v>131</v>
      </c>
      <c r="B133" s="187" t="s">
        <v>484</v>
      </c>
      <c r="C133" s="15" t="s">
        <v>443</v>
      </c>
      <c r="D133" s="15" t="s">
        <v>444</v>
      </c>
      <c r="E133" s="15" t="s">
        <v>445</v>
      </c>
      <c r="F133" s="15" t="s">
        <v>53</v>
      </c>
      <c r="G133" s="187" t="s">
        <v>103</v>
      </c>
      <c r="H133" s="187" t="s">
        <v>39</v>
      </c>
      <c r="I133" s="198" t="s">
        <v>39</v>
      </c>
      <c r="J133" s="187" t="s">
        <v>39</v>
      </c>
      <c r="K133" s="187"/>
      <c r="L133" s="188"/>
      <c r="M133" s="188" t="s">
        <v>39</v>
      </c>
      <c r="N133" s="21" t="s">
        <v>39</v>
      </c>
      <c r="O133" s="190" t="s">
        <v>39</v>
      </c>
      <c r="P133" s="188"/>
      <c r="Q133" s="190"/>
      <c r="R133" s="190"/>
      <c r="S133" s="190" t="s">
        <v>39</v>
      </c>
      <c r="T133" s="190" t="s">
        <v>39</v>
      </c>
      <c r="U133" s="190" t="s">
        <v>39</v>
      </c>
      <c r="V133" s="45" t="s">
        <v>39</v>
      </c>
      <c r="W133" s="190" t="s">
        <v>39</v>
      </c>
      <c r="X133" s="190" t="s">
        <v>39</v>
      </c>
      <c r="Y133" s="45"/>
      <c r="Z133" s="45"/>
      <c r="AA133" s="45" t="s">
        <v>39</v>
      </c>
      <c r="AB133" s="187"/>
      <c r="AC133" s="20" t="s">
        <v>39</v>
      </c>
      <c r="AD133" s="189" t="s">
        <v>446</v>
      </c>
      <c r="AE133" s="17"/>
    </row>
    <row r="134" s="2" customFormat="1" ht="24" customHeight="1" spans="1:31">
      <c r="A134" s="13">
        <v>132</v>
      </c>
      <c r="B134" s="187" t="s">
        <v>487</v>
      </c>
      <c r="C134" s="15" t="s">
        <v>443</v>
      </c>
      <c r="D134" s="15" t="s">
        <v>444</v>
      </c>
      <c r="E134" s="15" t="s">
        <v>445</v>
      </c>
      <c r="F134" s="15" t="s">
        <v>53</v>
      </c>
      <c r="G134" s="16" t="s">
        <v>103</v>
      </c>
      <c r="H134" s="16" t="s">
        <v>60</v>
      </c>
      <c r="I134" s="17" t="s">
        <v>448</v>
      </c>
      <c r="J134" s="18" t="s">
        <v>449</v>
      </c>
      <c r="K134" s="18"/>
      <c r="L134" s="20"/>
      <c r="M134" s="20" t="s">
        <v>39</v>
      </c>
      <c r="N134" s="21">
        <v>280000</v>
      </c>
      <c r="O134" s="194">
        <v>0.09</v>
      </c>
      <c r="P134" s="188">
        <v>0</v>
      </c>
      <c r="Q134" s="188">
        <v>0</v>
      </c>
      <c r="R134" s="190" t="s">
        <v>1492</v>
      </c>
      <c r="S134" s="191">
        <v>0.02</v>
      </c>
      <c r="T134" s="194">
        <v>0</v>
      </c>
      <c r="U134" s="188">
        <v>0</v>
      </c>
      <c r="V134" s="194" t="s">
        <v>1457</v>
      </c>
      <c r="W134" s="199">
        <v>0</v>
      </c>
      <c r="X134" s="188" t="s">
        <v>1493</v>
      </c>
      <c r="Y134" s="188" t="s">
        <v>39</v>
      </c>
      <c r="Z134" s="188" t="s">
        <v>39</v>
      </c>
      <c r="AA134" s="188" t="s">
        <v>1457</v>
      </c>
      <c r="AB134" s="22" t="s">
        <v>39</v>
      </c>
      <c r="AC134" s="18" t="s">
        <v>39</v>
      </c>
      <c r="AD134" s="17" t="s">
        <v>450</v>
      </c>
      <c r="AE134" s="17" t="s">
        <v>451</v>
      </c>
    </row>
    <row r="135" s="2" customFormat="1" ht="24" customHeight="1" spans="1:31">
      <c r="A135" s="13">
        <v>133</v>
      </c>
      <c r="B135" s="187" t="s">
        <v>491</v>
      </c>
      <c r="C135" s="15" t="s">
        <v>443</v>
      </c>
      <c r="D135" s="15" t="s">
        <v>444</v>
      </c>
      <c r="E135" s="15" t="s">
        <v>445</v>
      </c>
      <c r="F135" s="15" t="s">
        <v>53</v>
      </c>
      <c r="G135" s="16" t="s">
        <v>103</v>
      </c>
      <c r="H135" s="16" t="s">
        <v>66</v>
      </c>
      <c r="I135" s="17" t="s">
        <v>453</v>
      </c>
      <c r="J135" s="18" t="s">
        <v>454</v>
      </c>
      <c r="K135" s="18"/>
      <c r="L135" s="20"/>
      <c r="M135" s="20" t="s">
        <v>39</v>
      </c>
      <c r="N135" s="21">
        <v>560000</v>
      </c>
      <c r="O135" s="194">
        <v>0.1</v>
      </c>
      <c r="P135" s="188">
        <v>0</v>
      </c>
      <c r="Q135" s="188">
        <v>0</v>
      </c>
      <c r="R135" s="190" t="s">
        <v>1494</v>
      </c>
      <c r="S135" s="191">
        <v>0.02</v>
      </c>
      <c r="T135" s="194">
        <v>0</v>
      </c>
      <c r="U135" s="188">
        <v>0</v>
      </c>
      <c r="V135" s="194" t="s">
        <v>1457</v>
      </c>
      <c r="W135" s="199">
        <v>0</v>
      </c>
      <c r="X135" s="188" t="s">
        <v>1493</v>
      </c>
      <c r="Y135" s="188" t="s">
        <v>39</v>
      </c>
      <c r="Z135" s="188" t="s">
        <v>39</v>
      </c>
      <c r="AA135" s="188" t="s">
        <v>1457</v>
      </c>
      <c r="AB135" s="22" t="s">
        <v>39</v>
      </c>
      <c r="AC135" s="18" t="s">
        <v>39</v>
      </c>
      <c r="AD135" s="17" t="s">
        <v>450</v>
      </c>
      <c r="AE135" s="17" t="s">
        <v>451</v>
      </c>
    </row>
    <row r="136" s="2" customFormat="1" ht="24" customHeight="1" spans="1:31">
      <c r="A136" s="13">
        <v>134</v>
      </c>
      <c r="B136" s="187" t="s">
        <v>495</v>
      </c>
      <c r="C136" s="15" t="s">
        <v>443</v>
      </c>
      <c r="D136" s="15" t="s">
        <v>444</v>
      </c>
      <c r="E136" s="15" t="s">
        <v>445</v>
      </c>
      <c r="F136" s="15" t="s">
        <v>53</v>
      </c>
      <c r="G136" s="16" t="s">
        <v>103</v>
      </c>
      <c r="H136" s="16" t="s">
        <v>70</v>
      </c>
      <c r="I136" s="17" t="s">
        <v>456</v>
      </c>
      <c r="J136" s="18" t="s">
        <v>457</v>
      </c>
      <c r="K136" s="18"/>
      <c r="L136" s="20"/>
      <c r="M136" s="20" t="s">
        <v>39</v>
      </c>
      <c r="N136" s="21">
        <v>420000</v>
      </c>
      <c r="O136" s="194">
        <v>0.1</v>
      </c>
      <c r="P136" s="188">
        <v>0</v>
      </c>
      <c r="Q136" s="188">
        <v>0</v>
      </c>
      <c r="R136" s="190" t="s">
        <v>1495</v>
      </c>
      <c r="S136" s="191">
        <v>0.02</v>
      </c>
      <c r="T136" s="194">
        <v>0</v>
      </c>
      <c r="U136" s="188">
        <v>0</v>
      </c>
      <c r="V136" s="194" t="s">
        <v>1457</v>
      </c>
      <c r="W136" s="199">
        <v>0</v>
      </c>
      <c r="X136" s="188" t="s">
        <v>1493</v>
      </c>
      <c r="Y136" s="188" t="s">
        <v>39</v>
      </c>
      <c r="Z136" s="188" t="s">
        <v>39</v>
      </c>
      <c r="AA136" s="188" t="s">
        <v>1457</v>
      </c>
      <c r="AB136" s="22" t="s">
        <v>39</v>
      </c>
      <c r="AC136" s="18" t="s">
        <v>39</v>
      </c>
      <c r="AD136" s="17" t="s">
        <v>450</v>
      </c>
      <c r="AE136" s="17" t="s">
        <v>451</v>
      </c>
    </row>
    <row r="137" s="2" customFormat="1" ht="24" customHeight="1" spans="1:31">
      <c r="A137" s="13">
        <v>135</v>
      </c>
      <c r="B137" s="187" t="s">
        <v>498</v>
      </c>
      <c r="C137" s="15" t="s">
        <v>443</v>
      </c>
      <c r="D137" s="15" t="s">
        <v>444</v>
      </c>
      <c r="E137" s="15" t="s">
        <v>445</v>
      </c>
      <c r="F137" s="15" t="s">
        <v>53</v>
      </c>
      <c r="G137" s="16" t="s">
        <v>103</v>
      </c>
      <c r="H137" s="16" t="s">
        <v>74</v>
      </c>
      <c r="I137" s="17" t="s">
        <v>459</v>
      </c>
      <c r="J137" s="18" t="s">
        <v>460</v>
      </c>
      <c r="K137" s="18"/>
      <c r="L137" s="20"/>
      <c r="M137" s="20" t="s">
        <v>39</v>
      </c>
      <c r="N137" s="21">
        <v>210000</v>
      </c>
      <c r="O137" s="194">
        <v>0.1</v>
      </c>
      <c r="P137" s="188">
        <v>0</v>
      </c>
      <c r="Q137" s="188">
        <v>0</v>
      </c>
      <c r="R137" s="190" t="s">
        <v>1496</v>
      </c>
      <c r="S137" s="191">
        <v>0.02</v>
      </c>
      <c r="T137" s="194">
        <v>0</v>
      </c>
      <c r="U137" s="188">
        <v>0</v>
      </c>
      <c r="V137" s="194" t="s">
        <v>1457</v>
      </c>
      <c r="W137" s="199">
        <v>0</v>
      </c>
      <c r="X137" s="188" t="s">
        <v>1493</v>
      </c>
      <c r="Y137" s="188" t="s">
        <v>39</v>
      </c>
      <c r="Z137" s="188" t="s">
        <v>39</v>
      </c>
      <c r="AA137" s="188" t="s">
        <v>1457</v>
      </c>
      <c r="AB137" s="22" t="s">
        <v>39</v>
      </c>
      <c r="AC137" s="18" t="s">
        <v>39</v>
      </c>
      <c r="AD137" s="17" t="s">
        <v>450</v>
      </c>
      <c r="AE137" s="17" t="s">
        <v>451</v>
      </c>
    </row>
    <row r="138" s="2" customFormat="1" ht="24" customHeight="1" spans="1:31">
      <c r="A138" s="13">
        <v>136</v>
      </c>
      <c r="B138" s="187" t="s">
        <v>500</v>
      </c>
      <c r="C138" s="15" t="s">
        <v>443</v>
      </c>
      <c r="D138" s="15" t="s">
        <v>444</v>
      </c>
      <c r="E138" s="15" t="s">
        <v>445</v>
      </c>
      <c r="F138" s="15" t="s">
        <v>53</v>
      </c>
      <c r="G138" s="16" t="s">
        <v>103</v>
      </c>
      <c r="H138" s="16" t="s">
        <v>265</v>
      </c>
      <c r="I138" s="17" t="s">
        <v>316</v>
      </c>
      <c r="J138" s="18" t="s">
        <v>462</v>
      </c>
      <c r="K138" s="18"/>
      <c r="L138" s="20"/>
      <c r="M138" s="20" t="s">
        <v>39</v>
      </c>
      <c r="N138" s="21">
        <v>490000</v>
      </c>
      <c r="O138" s="194">
        <v>0.1</v>
      </c>
      <c r="P138" s="188">
        <v>0</v>
      </c>
      <c r="Q138" s="188">
        <v>0</v>
      </c>
      <c r="R138" s="190" t="s">
        <v>1497</v>
      </c>
      <c r="S138" s="191">
        <v>0.02</v>
      </c>
      <c r="T138" s="194">
        <v>0</v>
      </c>
      <c r="U138" s="188">
        <v>0</v>
      </c>
      <c r="V138" s="194" t="s">
        <v>1457</v>
      </c>
      <c r="W138" s="199">
        <v>0</v>
      </c>
      <c r="X138" s="188" t="s">
        <v>1493</v>
      </c>
      <c r="Y138" s="188" t="s">
        <v>39</v>
      </c>
      <c r="Z138" s="188" t="s">
        <v>39</v>
      </c>
      <c r="AA138" s="188" t="s">
        <v>1457</v>
      </c>
      <c r="AB138" s="22" t="s">
        <v>39</v>
      </c>
      <c r="AC138" s="18" t="s">
        <v>39</v>
      </c>
      <c r="AD138" s="17" t="s">
        <v>450</v>
      </c>
      <c r="AE138" s="17" t="s">
        <v>451</v>
      </c>
    </row>
    <row r="139" s="2" customFormat="1" ht="24" customHeight="1" spans="1:31">
      <c r="A139" s="13">
        <v>137</v>
      </c>
      <c r="B139" s="187" t="s">
        <v>503</v>
      </c>
      <c r="C139" s="15" t="s">
        <v>443</v>
      </c>
      <c r="D139" s="15" t="s">
        <v>444</v>
      </c>
      <c r="E139" s="15" t="s">
        <v>445</v>
      </c>
      <c r="F139" s="15" t="s">
        <v>53</v>
      </c>
      <c r="G139" s="16" t="s">
        <v>103</v>
      </c>
      <c r="H139" s="16" t="s">
        <v>86</v>
      </c>
      <c r="I139" s="17" t="s">
        <v>464</v>
      </c>
      <c r="J139" s="18" t="s">
        <v>465</v>
      </c>
      <c r="K139" s="18"/>
      <c r="L139" s="20"/>
      <c r="M139" s="20" t="s">
        <v>39</v>
      </c>
      <c r="N139" s="21">
        <v>560000</v>
      </c>
      <c r="O139" s="194">
        <v>0.09</v>
      </c>
      <c r="P139" s="188">
        <v>0</v>
      </c>
      <c r="Q139" s="188">
        <v>0</v>
      </c>
      <c r="R139" s="190" t="s">
        <v>1498</v>
      </c>
      <c r="S139" s="191">
        <v>0.02</v>
      </c>
      <c r="T139" s="194">
        <v>0</v>
      </c>
      <c r="U139" s="188">
        <v>0</v>
      </c>
      <c r="V139" s="194" t="s">
        <v>1457</v>
      </c>
      <c r="W139" s="199">
        <v>0</v>
      </c>
      <c r="X139" s="188" t="s">
        <v>1493</v>
      </c>
      <c r="Y139" s="188" t="s">
        <v>39</v>
      </c>
      <c r="Z139" s="188" t="s">
        <v>39</v>
      </c>
      <c r="AA139" s="188" t="s">
        <v>1457</v>
      </c>
      <c r="AB139" s="22" t="s">
        <v>39</v>
      </c>
      <c r="AC139" s="18" t="s">
        <v>39</v>
      </c>
      <c r="AD139" s="17" t="s">
        <v>450</v>
      </c>
      <c r="AE139" s="17" t="s">
        <v>451</v>
      </c>
    </row>
    <row r="140" s="2" customFormat="1" ht="24" customHeight="1" spans="1:31">
      <c r="A140" s="13">
        <v>138</v>
      </c>
      <c r="B140" s="187" t="s">
        <v>508</v>
      </c>
      <c r="C140" s="15" t="s">
        <v>443</v>
      </c>
      <c r="D140" s="15" t="s">
        <v>444</v>
      </c>
      <c r="E140" s="15" t="s">
        <v>445</v>
      </c>
      <c r="F140" s="15" t="s">
        <v>53</v>
      </c>
      <c r="G140" s="16" t="s">
        <v>103</v>
      </c>
      <c r="H140" s="16" t="s">
        <v>272</v>
      </c>
      <c r="I140" s="17" t="s">
        <v>186</v>
      </c>
      <c r="J140" s="18" t="s">
        <v>467</v>
      </c>
      <c r="K140" s="18"/>
      <c r="L140" s="20"/>
      <c r="M140" s="20" t="s">
        <v>39</v>
      </c>
      <c r="N140" s="21">
        <v>210000</v>
      </c>
      <c r="O140" s="194">
        <v>0.09</v>
      </c>
      <c r="P140" s="188">
        <v>0</v>
      </c>
      <c r="Q140" s="188">
        <v>0</v>
      </c>
      <c r="R140" s="190" t="s">
        <v>1499</v>
      </c>
      <c r="S140" s="191">
        <v>0.02</v>
      </c>
      <c r="T140" s="194">
        <v>0</v>
      </c>
      <c r="U140" s="188">
        <v>0</v>
      </c>
      <c r="V140" s="194" t="s">
        <v>1457</v>
      </c>
      <c r="W140" s="199">
        <v>0</v>
      </c>
      <c r="X140" s="188" t="s">
        <v>1493</v>
      </c>
      <c r="Y140" s="188" t="s">
        <v>39</v>
      </c>
      <c r="Z140" s="188" t="s">
        <v>39</v>
      </c>
      <c r="AA140" s="188" t="s">
        <v>1457</v>
      </c>
      <c r="AB140" s="22" t="s">
        <v>39</v>
      </c>
      <c r="AC140" s="18" t="s">
        <v>39</v>
      </c>
      <c r="AD140" s="17" t="s">
        <v>450</v>
      </c>
      <c r="AE140" s="17" t="s">
        <v>451</v>
      </c>
    </row>
    <row r="141" s="2" customFormat="1" ht="12" customHeight="1" spans="1:31">
      <c r="A141" s="13">
        <v>139</v>
      </c>
      <c r="B141" s="187" t="s">
        <v>513</v>
      </c>
      <c r="C141" s="15" t="s">
        <v>443</v>
      </c>
      <c r="D141" s="15" t="s">
        <v>469</v>
      </c>
      <c r="E141" s="15" t="s">
        <v>470</v>
      </c>
      <c r="F141" s="13" t="s">
        <v>37</v>
      </c>
      <c r="G141" s="16" t="s">
        <v>103</v>
      </c>
      <c r="H141" s="16" t="s">
        <v>39</v>
      </c>
      <c r="I141" s="43" t="s">
        <v>39</v>
      </c>
      <c r="J141" s="16" t="s">
        <v>39</v>
      </c>
      <c r="K141" s="16"/>
      <c r="L141" s="20"/>
      <c r="M141" s="20" t="s">
        <v>39</v>
      </c>
      <c r="N141" s="21" t="s">
        <v>39</v>
      </c>
      <c r="O141" s="188" t="s">
        <v>39</v>
      </c>
      <c r="P141" s="188"/>
      <c r="Q141" s="188">
        <v>0.05</v>
      </c>
      <c r="R141" s="188"/>
      <c r="S141" s="188" t="s">
        <v>39</v>
      </c>
      <c r="T141" s="188" t="s">
        <v>39</v>
      </c>
      <c r="U141" s="188" t="s">
        <v>39</v>
      </c>
      <c r="V141" s="188" t="s">
        <v>39</v>
      </c>
      <c r="W141" s="188" t="s">
        <v>39</v>
      </c>
      <c r="X141" s="188" t="s">
        <v>39</v>
      </c>
      <c r="Y141" s="188"/>
      <c r="Z141" s="188"/>
      <c r="AA141" s="188"/>
      <c r="AB141" s="22">
        <v>0.05</v>
      </c>
      <c r="AC141" s="18" t="s">
        <v>39</v>
      </c>
      <c r="AD141" s="17" t="s">
        <v>471</v>
      </c>
      <c r="AE141" s="17"/>
    </row>
    <row r="142" s="2" customFormat="1" ht="36" customHeight="1" spans="1:31">
      <c r="A142" s="13">
        <v>140</v>
      </c>
      <c r="B142" s="187" t="s">
        <v>517</v>
      </c>
      <c r="C142" s="15" t="s">
        <v>443</v>
      </c>
      <c r="D142" s="15" t="s">
        <v>469</v>
      </c>
      <c r="E142" s="15" t="s">
        <v>470</v>
      </c>
      <c r="F142" s="13" t="s">
        <v>81</v>
      </c>
      <c r="G142" s="16" t="s">
        <v>103</v>
      </c>
      <c r="H142" s="16" t="s">
        <v>60</v>
      </c>
      <c r="I142" s="17" t="s">
        <v>473</v>
      </c>
      <c r="J142" s="18" t="s">
        <v>474</v>
      </c>
      <c r="K142" s="18"/>
      <c r="L142" s="20"/>
      <c r="M142" s="20" t="s">
        <v>39</v>
      </c>
      <c r="N142" s="21" t="s">
        <v>39</v>
      </c>
      <c r="O142" s="194">
        <v>0.035</v>
      </c>
      <c r="P142" s="188" t="s">
        <v>39</v>
      </c>
      <c r="Q142" s="188" t="s">
        <v>39</v>
      </c>
      <c r="R142" s="194" t="s">
        <v>39</v>
      </c>
      <c r="S142" s="194" t="s">
        <v>39</v>
      </c>
      <c r="T142" s="194" t="s">
        <v>39</v>
      </c>
      <c r="U142" s="188" t="s">
        <v>39</v>
      </c>
      <c r="V142" s="194">
        <v>0.035</v>
      </c>
      <c r="W142" s="194">
        <v>0.06</v>
      </c>
      <c r="X142" s="192" t="s">
        <v>1457</v>
      </c>
      <c r="Y142" s="188" t="s">
        <v>1500</v>
      </c>
      <c r="Z142" s="188" t="s">
        <v>39</v>
      </c>
      <c r="AA142" s="188" t="s">
        <v>1457</v>
      </c>
      <c r="AB142" s="22" t="s">
        <v>39</v>
      </c>
      <c r="AC142" s="18" t="s">
        <v>39</v>
      </c>
      <c r="AD142" s="189" t="s">
        <v>475</v>
      </c>
      <c r="AE142" s="17" t="s">
        <v>288</v>
      </c>
    </row>
    <row r="143" s="2" customFormat="1" ht="48" customHeight="1" spans="1:31">
      <c r="A143" s="13">
        <v>141</v>
      </c>
      <c r="B143" s="187" t="s">
        <v>521</v>
      </c>
      <c r="C143" s="15" t="s">
        <v>443</v>
      </c>
      <c r="D143" s="15" t="s">
        <v>469</v>
      </c>
      <c r="E143" s="15" t="s">
        <v>470</v>
      </c>
      <c r="F143" s="13" t="s">
        <v>81</v>
      </c>
      <c r="G143" s="16" t="s">
        <v>103</v>
      </c>
      <c r="H143" s="16" t="s">
        <v>66</v>
      </c>
      <c r="I143" s="17" t="s">
        <v>478</v>
      </c>
      <c r="J143" s="18" t="s">
        <v>479</v>
      </c>
      <c r="K143" s="18"/>
      <c r="L143" s="20"/>
      <c r="M143" s="20" t="s">
        <v>39</v>
      </c>
      <c r="N143" s="21" t="s">
        <v>39</v>
      </c>
      <c r="O143" s="194">
        <v>0.025</v>
      </c>
      <c r="P143" s="188">
        <v>0</v>
      </c>
      <c r="Q143" s="188">
        <v>0</v>
      </c>
      <c r="R143" s="194">
        <v>0</v>
      </c>
      <c r="S143" s="194">
        <v>0</v>
      </c>
      <c r="T143" s="194">
        <v>0</v>
      </c>
      <c r="U143" s="188">
        <v>0</v>
      </c>
      <c r="V143" s="194">
        <v>0.035</v>
      </c>
      <c r="W143" s="194">
        <v>0.07</v>
      </c>
      <c r="X143" s="192" t="s">
        <v>1457</v>
      </c>
      <c r="Y143" s="188" t="s">
        <v>1501</v>
      </c>
      <c r="Z143" s="188" t="s">
        <v>39</v>
      </c>
      <c r="AA143" s="188" t="s">
        <v>1457</v>
      </c>
      <c r="AB143" s="22" t="s">
        <v>39</v>
      </c>
      <c r="AC143" s="18" t="s">
        <v>39</v>
      </c>
      <c r="AD143" s="189" t="s">
        <v>475</v>
      </c>
      <c r="AE143" s="17" t="s">
        <v>288</v>
      </c>
    </row>
    <row r="144" s="2" customFormat="1" ht="48" customHeight="1" spans="1:31">
      <c r="A144" s="13">
        <v>142</v>
      </c>
      <c r="B144" s="187" t="s">
        <v>524</v>
      </c>
      <c r="C144" s="15" t="s">
        <v>443</v>
      </c>
      <c r="D144" s="15" t="s">
        <v>469</v>
      </c>
      <c r="E144" s="15" t="s">
        <v>470</v>
      </c>
      <c r="F144" s="13" t="s">
        <v>81</v>
      </c>
      <c r="G144" s="16" t="s">
        <v>103</v>
      </c>
      <c r="H144" s="16" t="s">
        <v>70</v>
      </c>
      <c r="I144" s="43" t="s">
        <v>481</v>
      </c>
      <c r="J144" s="18" t="s">
        <v>482</v>
      </c>
      <c r="K144" s="18"/>
      <c r="L144" s="20"/>
      <c r="M144" s="20" t="s">
        <v>39</v>
      </c>
      <c r="N144" s="21" t="s">
        <v>39</v>
      </c>
      <c r="O144" s="194">
        <v>0.025</v>
      </c>
      <c r="P144" s="188">
        <v>0</v>
      </c>
      <c r="Q144" s="188">
        <v>0</v>
      </c>
      <c r="R144" s="194">
        <v>0</v>
      </c>
      <c r="S144" s="194">
        <v>0</v>
      </c>
      <c r="T144" s="194">
        <v>0</v>
      </c>
      <c r="U144" s="188">
        <v>0</v>
      </c>
      <c r="V144" s="194">
        <v>0.035</v>
      </c>
      <c r="W144" s="194">
        <v>0.07</v>
      </c>
      <c r="X144" s="192" t="s">
        <v>1457</v>
      </c>
      <c r="Y144" s="188" t="s">
        <v>1502</v>
      </c>
      <c r="Z144" s="188" t="s">
        <v>39</v>
      </c>
      <c r="AA144" s="188" t="s">
        <v>1457</v>
      </c>
      <c r="AB144" s="22" t="s">
        <v>39</v>
      </c>
      <c r="AC144" s="18" t="s">
        <v>39</v>
      </c>
      <c r="AD144" s="189" t="s">
        <v>483</v>
      </c>
      <c r="AE144" s="17" t="s">
        <v>288</v>
      </c>
    </row>
    <row r="145" s="2" customFormat="1" ht="48" customHeight="1" spans="1:31">
      <c r="A145" s="13">
        <v>143</v>
      </c>
      <c r="B145" s="187" t="s">
        <v>526</v>
      </c>
      <c r="C145" s="15" t="s">
        <v>443</v>
      </c>
      <c r="D145" s="15" t="s">
        <v>469</v>
      </c>
      <c r="E145" s="15" t="s">
        <v>470</v>
      </c>
      <c r="F145" s="13" t="s">
        <v>81</v>
      </c>
      <c r="G145" s="16" t="s">
        <v>103</v>
      </c>
      <c r="H145" s="16" t="s">
        <v>74</v>
      </c>
      <c r="I145" s="43" t="s">
        <v>485</v>
      </c>
      <c r="J145" s="18" t="s">
        <v>486</v>
      </c>
      <c r="K145" s="18"/>
      <c r="L145" s="20"/>
      <c r="M145" s="20" t="s">
        <v>39</v>
      </c>
      <c r="N145" s="21" t="s">
        <v>39</v>
      </c>
      <c r="O145" s="194">
        <v>0.025</v>
      </c>
      <c r="P145" s="188">
        <v>0</v>
      </c>
      <c r="Q145" s="188">
        <v>0</v>
      </c>
      <c r="R145" s="194">
        <v>0</v>
      </c>
      <c r="S145" s="194">
        <v>0</v>
      </c>
      <c r="T145" s="194">
        <v>0</v>
      </c>
      <c r="U145" s="188">
        <v>0</v>
      </c>
      <c r="V145" s="194">
        <v>0.035</v>
      </c>
      <c r="W145" s="194">
        <v>0.07</v>
      </c>
      <c r="X145" s="192" t="s">
        <v>1457</v>
      </c>
      <c r="Y145" s="188" t="s">
        <v>1501</v>
      </c>
      <c r="Z145" s="188" t="s">
        <v>39</v>
      </c>
      <c r="AA145" s="188" t="s">
        <v>1457</v>
      </c>
      <c r="AB145" s="22" t="s">
        <v>39</v>
      </c>
      <c r="AC145" s="18" t="s">
        <v>39</v>
      </c>
      <c r="AD145" s="189" t="s">
        <v>475</v>
      </c>
      <c r="AE145" s="17" t="s">
        <v>288</v>
      </c>
    </row>
    <row r="146" s="2" customFormat="1" ht="48" customHeight="1" spans="1:31">
      <c r="A146" s="13">
        <v>144</v>
      </c>
      <c r="B146" s="187" t="s">
        <v>529</v>
      </c>
      <c r="C146" s="15" t="s">
        <v>443</v>
      </c>
      <c r="D146" s="15" t="s">
        <v>469</v>
      </c>
      <c r="E146" s="15" t="s">
        <v>470</v>
      </c>
      <c r="F146" s="13" t="s">
        <v>81</v>
      </c>
      <c r="G146" s="16" t="s">
        <v>103</v>
      </c>
      <c r="H146" s="16" t="s">
        <v>265</v>
      </c>
      <c r="I146" s="43" t="s">
        <v>488</v>
      </c>
      <c r="J146" s="18" t="s">
        <v>489</v>
      </c>
      <c r="K146" s="18"/>
      <c r="L146" s="20"/>
      <c r="M146" s="20" t="s">
        <v>39</v>
      </c>
      <c r="N146" s="21" t="s">
        <v>39</v>
      </c>
      <c r="O146" s="194">
        <v>0</v>
      </c>
      <c r="P146" s="194">
        <v>0</v>
      </c>
      <c r="Q146" s="188">
        <v>0</v>
      </c>
      <c r="R146" s="194">
        <v>0</v>
      </c>
      <c r="S146" s="194">
        <v>0</v>
      </c>
      <c r="T146" s="194">
        <v>0</v>
      </c>
      <c r="U146" s="194">
        <v>0</v>
      </c>
      <c r="V146" s="194">
        <v>0.035</v>
      </c>
      <c r="W146" s="194">
        <v>0.065</v>
      </c>
      <c r="X146" s="192" t="s">
        <v>1457</v>
      </c>
      <c r="Y146" s="188" t="s">
        <v>1501</v>
      </c>
      <c r="Z146" s="188" t="s">
        <v>39</v>
      </c>
      <c r="AA146" s="188" t="s">
        <v>1457</v>
      </c>
      <c r="AB146" s="22" t="s">
        <v>39</v>
      </c>
      <c r="AC146" s="18" t="s">
        <v>39</v>
      </c>
      <c r="AD146" s="189" t="s">
        <v>490</v>
      </c>
      <c r="AE146" s="17" t="s">
        <v>288</v>
      </c>
    </row>
    <row r="147" s="2" customFormat="1" ht="48" customHeight="1" spans="1:31">
      <c r="A147" s="13">
        <v>145</v>
      </c>
      <c r="B147" s="187" t="s">
        <v>532</v>
      </c>
      <c r="C147" s="15" t="s">
        <v>443</v>
      </c>
      <c r="D147" s="15" t="s">
        <v>469</v>
      </c>
      <c r="E147" s="15" t="s">
        <v>470</v>
      </c>
      <c r="F147" s="13" t="s">
        <v>81</v>
      </c>
      <c r="G147" s="16" t="s">
        <v>103</v>
      </c>
      <c r="H147" s="16" t="s">
        <v>86</v>
      </c>
      <c r="I147" s="43" t="s">
        <v>492</v>
      </c>
      <c r="J147" s="18" t="s">
        <v>493</v>
      </c>
      <c r="K147" s="18"/>
      <c r="L147" s="20"/>
      <c r="M147" s="20" t="s">
        <v>39</v>
      </c>
      <c r="N147" s="21" t="s">
        <v>39</v>
      </c>
      <c r="O147" s="194">
        <v>0.025</v>
      </c>
      <c r="P147" s="188">
        <v>0</v>
      </c>
      <c r="Q147" s="188">
        <v>0</v>
      </c>
      <c r="R147" s="194">
        <v>0</v>
      </c>
      <c r="S147" s="194">
        <v>0</v>
      </c>
      <c r="T147" s="194">
        <v>0</v>
      </c>
      <c r="U147" s="188">
        <v>0</v>
      </c>
      <c r="V147" s="194">
        <v>0.035</v>
      </c>
      <c r="W147" s="194">
        <v>0.07</v>
      </c>
      <c r="X147" s="192" t="s">
        <v>1457</v>
      </c>
      <c r="Y147" s="188" t="s">
        <v>1503</v>
      </c>
      <c r="Z147" s="188" t="s">
        <v>39</v>
      </c>
      <c r="AA147" s="188" t="s">
        <v>1457</v>
      </c>
      <c r="AB147" s="22" t="s">
        <v>39</v>
      </c>
      <c r="AC147" s="18" t="s">
        <v>39</v>
      </c>
      <c r="AD147" s="189" t="s">
        <v>494</v>
      </c>
      <c r="AE147" s="17" t="s">
        <v>288</v>
      </c>
    </row>
    <row r="148" s="2" customFormat="1" ht="24" customHeight="1" spans="1:31">
      <c r="A148" s="13">
        <v>146</v>
      </c>
      <c r="B148" s="187" t="s">
        <v>535</v>
      </c>
      <c r="C148" s="15" t="s">
        <v>443</v>
      </c>
      <c r="D148" s="15" t="s">
        <v>469</v>
      </c>
      <c r="E148" s="15" t="s">
        <v>470</v>
      </c>
      <c r="F148" s="13" t="s">
        <v>81</v>
      </c>
      <c r="G148" s="16" t="s">
        <v>103</v>
      </c>
      <c r="H148" s="16" t="s">
        <v>272</v>
      </c>
      <c r="I148" s="43" t="s">
        <v>240</v>
      </c>
      <c r="J148" s="18" t="s">
        <v>496</v>
      </c>
      <c r="K148" s="18"/>
      <c r="L148" s="20"/>
      <c r="M148" s="20" t="s">
        <v>39</v>
      </c>
      <c r="N148" s="21" t="s">
        <v>39</v>
      </c>
      <c r="O148" s="194">
        <v>0.025</v>
      </c>
      <c r="P148" s="188">
        <v>0</v>
      </c>
      <c r="Q148" s="188">
        <v>0</v>
      </c>
      <c r="R148" s="194">
        <v>0</v>
      </c>
      <c r="S148" s="194">
        <v>0</v>
      </c>
      <c r="T148" s="194">
        <v>0</v>
      </c>
      <c r="U148" s="188">
        <v>0</v>
      </c>
      <c r="V148" s="194">
        <v>0.035</v>
      </c>
      <c r="W148" s="194">
        <v>0.07</v>
      </c>
      <c r="X148" s="188" t="s">
        <v>1457</v>
      </c>
      <c r="Y148" s="188" t="s">
        <v>39</v>
      </c>
      <c r="Z148" s="188" t="s">
        <v>39</v>
      </c>
      <c r="AA148" s="188" t="s">
        <v>1457</v>
      </c>
      <c r="AB148" s="22" t="s">
        <v>39</v>
      </c>
      <c r="AC148" s="18" t="s">
        <v>39</v>
      </c>
      <c r="AD148" s="195" t="s">
        <v>497</v>
      </c>
      <c r="AE148" s="17" t="s">
        <v>288</v>
      </c>
    </row>
    <row r="149" s="2" customFormat="1" ht="48" customHeight="1" spans="1:31">
      <c r="A149" s="13">
        <v>147</v>
      </c>
      <c r="B149" s="187" t="s">
        <v>539</v>
      </c>
      <c r="C149" s="15" t="s">
        <v>443</v>
      </c>
      <c r="D149" s="15" t="s">
        <v>469</v>
      </c>
      <c r="E149" s="15" t="s">
        <v>470</v>
      </c>
      <c r="F149" s="13" t="s">
        <v>81</v>
      </c>
      <c r="G149" s="16" t="s">
        <v>103</v>
      </c>
      <c r="H149" s="16" t="s">
        <v>276</v>
      </c>
      <c r="I149" s="43" t="s">
        <v>499</v>
      </c>
      <c r="J149" s="18" t="s">
        <v>496</v>
      </c>
      <c r="K149" s="18"/>
      <c r="L149" s="20"/>
      <c r="M149" s="20" t="s">
        <v>39</v>
      </c>
      <c r="N149" s="21" t="s">
        <v>39</v>
      </c>
      <c r="O149" s="194">
        <v>0</v>
      </c>
      <c r="P149" s="194">
        <v>0</v>
      </c>
      <c r="Q149" s="188">
        <v>0</v>
      </c>
      <c r="R149" s="194">
        <v>0</v>
      </c>
      <c r="S149" s="194">
        <v>0</v>
      </c>
      <c r="T149" s="194">
        <v>0</v>
      </c>
      <c r="U149" s="194">
        <v>0</v>
      </c>
      <c r="V149" s="194">
        <v>0.035</v>
      </c>
      <c r="W149" s="194" t="s">
        <v>1504</v>
      </c>
      <c r="X149" s="192" t="s">
        <v>1457</v>
      </c>
      <c r="Y149" s="188" t="s">
        <v>1505</v>
      </c>
      <c r="Z149" s="188" t="s">
        <v>39</v>
      </c>
      <c r="AA149" s="188" t="s">
        <v>1457</v>
      </c>
      <c r="AB149" s="22" t="s">
        <v>39</v>
      </c>
      <c r="AC149" s="18" t="s">
        <v>39</v>
      </c>
      <c r="AD149" s="195" t="s">
        <v>497</v>
      </c>
      <c r="AE149" s="17" t="s">
        <v>288</v>
      </c>
    </row>
    <row r="150" s="2" customFormat="1" ht="12" customHeight="1" spans="1:31">
      <c r="A150" s="13">
        <v>148</v>
      </c>
      <c r="B150" s="187" t="s">
        <v>542</v>
      </c>
      <c r="C150" s="15" t="s">
        <v>443</v>
      </c>
      <c r="D150" s="15" t="s">
        <v>501</v>
      </c>
      <c r="E150" s="15" t="s">
        <v>502</v>
      </c>
      <c r="F150" s="13" t="s">
        <v>37</v>
      </c>
      <c r="G150" s="16" t="s">
        <v>103</v>
      </c>
      <c r="H150" s="16" t="s">
        <v>39</v>
      </c>
      <c r="I150" s="43" t="s">
        <v>39</v>
      </c>
      <c r="J150" s="16" t="s">
        <v>39</v>
      </c>
      <c r="K150" s="16"/>
      <c r="L150" s="20"/>
      <c r="M150" s="20" t="s">
        <v>39</v>
      </c>
      <c r="N150" s="21">
        <v>17000000</v>
      </c>
      <c r="O150" s="188" t="s">
        <v>39</v>
      </c>
      <c r="P150" s="188" t="s">
        <v>39</v>
      </c>
      <c r="Q150" s="188">
        <v>0.02</v>
      </c>
      <c r="R150" s="188" t="s">
        <v>39</v>
      </c>
      <c r="S150" s="188" t="s">
        <v>39</v>
      </c>
      <c r="T150" s="188" t="s">
        <v>39</v>
      </c>
      <c r="U150" s="188" t="s">
        <v>39</v>
      </c>
      <c r="V150" s="188" t="s">
        <v>39</v>
      </c>
      <c r="W150" s="188" t="s">
        <v>39</v>
      </c>
      <c r="X150" s="188" t="s">
        <v>39</v>
      </c>
      <c r="Y150" s="188"/>
      <c r="Z150" s="188"/>
      <c r="AA150" s="188"/>
      <c r="AB150" s="46">
        <v>0.045</v>
      </c>
      <c r="AC150" s="46" t="s">
        <v>39</v>
      </c>
      <c r="AD150" s="17"/>
      <c r="AE150" s="17"/>
    </row>
    <row r="151" s="2" customFormat="1" ht="12" hidden="1" customHeight="1" spans="1:31">
      <c r="A151" s="13">
        <v>149</v>
      </c>
      <c r="B151" s="187" t="s">
        <v>544</v>
      </c>
      <c r="C151" s="15" t="s">
        <v>443</v>
      </c>
      <c r="D151" s="15" t="s">
        <v>504</v>
      </c>
      <c r="E151" s="15" t="s">
        <v>505</v>
      </c>
      <c r="F151" s="13" t="s">
        <v>53</v>
      </c>
      <c r="G151" s="16" t="s">
        <v>48</v>
      </c>
      <c r="H151" s="16" t="s">
        <v>39</v>
      </c>
      <c r="I151" s="17" t="s">
        <v>39</v>
      </c>
      <c r="J151" s="18" t="s">
        <v>39</v>
      </c>
      <c r="K151" s="18"/>
      <c r="L151" s="20"/>
      <c r="M151" s="20" t="s">
        <v>39</v>
      </c>
      <c r="N151" s="21">
        <v>522000</v>
      </c>
      <c r="O151" s="190" t="s">
        <v>39</v>
      </c>
      <c r="P151" s="190" t="s">
        <v>39</v>
      </c>
      <c r="Q151" s="190" t="s">
        <v>39</v>
      </c>
      <c r="R151" s="190" t="s">
        <v>39</v>
      </c>
      <c r="S151" s="190" t="s">
        <v>39</v>
      </c>
      <c r="T151" s="190" t="s">
        <v>39</v>
      </c>
      <c r="U151" s="190" t="s">
        <v>39</v>
      </c>
      <c r="V151" s="45" t="s">
        <v>39</v>
      </c>
      <c r="W151" s="190" t="s">
        <v>39</v>
      </c>
      <c r="X151" s="190" t="s">
        <v>39</v>
      </c>
      <c r="Y151" s="45"/>
      <c r="Z151" s="45"/>
      <c r="AA151" s="45" t="s">
        <v>39</v>
      </c>
      <c r="AB151" s="16">
        <v>100000</v>
      </c>
      <c r="AC151" s="46" t="s">
        <v>39</v>
      </c>
      <c r="AD151" s="17" t="s">
        <v>439</v>
      </c>
      <c r="AE151" s="17"/>
    </row>
    <row r="152" s="2" customFormat="1" ht="12" hidden="1" customHeight="1" spans="1:31">
      <c r="A152" s="13">
        <v>150</v>
      </c>
      <c r="B152" s="187" t="s">
        <v>547</v>
      </c>
      <c r="C152" s="15" t="s">
        <v>443</v>
      </c>
      <c r="D152" s="15" t="s">
        <v>506</v>
      </c>
      <c r="E152" s="15" t="s">
        <v>507</v>
      </c>
      <c r="F152" s="198" t="s">
        <v>37</v>
      </c>
      <c r="G152" s="16" t="s">
        <v>48</v>
      </c>
      <c r="H152" s="187" t="s">
        <v>39</v>
      </c>
      <c r="I152" s="45" t="s">
        <v>39</v>
      </c>
      <c r="J152" s="45" t="s">
        <v>39</v>
      </c>
      <c r="K152" s="45"/>
      <c r="L152" s="188"/>
      <c r="M152" s="188" t="s">
        <v>39</v>
      </c>
      <c r="N152" s="21" t="s">
        <v>39</v>
      </c>
      <c r="O152" s="190" t="s">
        <v>39</v>
      </c>
      <c r="P152" s="190" t="s">
        <v>39</v>
      </c>
      <c r="Q152" s="190" t="s">
        <v>39</v>
      </c>
      <c r="R152" s="190"/>
      <c r="S152" s="190" t="s">
        <v>39</v>
      </c>
      <c r="T152" s="190" t="s">
        <v>39</v>
      </c>
      <c r="U152" s="190" t="s">
        <v>39</v>
      </c>
      <c r="V152" s="45"/>
      <c r="W152" s="190" t="s">
        <v>39</v>
      </c>
      <c r="X152" s="190" t="s">
        <v>39</v>
      </c>
      <c r="Y152" s="45"/>
      <c r="Z152" s="45"/>
      <c r="AA152" s="45" t="s">
        <v>39</v>
      </c>
      <c r="AB152" s="46">
        <v>0.05</v>
      </c>
      <c r="AC152" s="204" t="s">
        <v>39</v>
      </c>
      <c r="AD152" s="189" t="s">
        <v>104</v>
      </c>
      <c r="AE152" s="17"/>
    </row>
    <row r="153" s="2" customFormat="1" ht="36" hidden="1" customHeight="1" spans="1:31">
      <c r="A153" s="13">
        <v>151</v>
      </c>
      <c r="B153" s="187" t="s">
        <v>550</v>
      </c>
      <c r="C153" s="15" t="s">
        <v>443</v>
      </c>
      <c r="D153" s="15" t="s">
        <v>506</v>
      </c>
      <c r="E153" s="15" t="s">
        <v>507</v>
      </c>
      <c r="F153" s="13" t="s">
        <v>81</v>
      </c>
      <c r="G153" s="16" t="s">
        <v>48</v>
      </c>
      <c r="H153" s="18" t="s">
        <v>39</v>
      </c>
      <c r="I153" s="43" t="s">
        <v>186</v>
      </c>
      <c r="J153" s="18" t="s">
        <v>509</v>
      </c>
      <c r="K153" s="18"/>
      <c r="L153" s="20"/>
      <c r="M153" s="20" t="s">
        <v>39</v>
      </c>
      <c r="N153" s="21">
        <v>564000</v>
      </c>
      <c r="O153" s="191">
        <v>0.18</v>
      </c>
      <c r="P153" s="190" t="s">
        <v>39</v>
      </c>
      <c r="Q153" s="192"/>
      <c r="R153" s="190" t="s">
        <v>39</v>
      </c>
      <c r="S153" s="190" t="s">
        <v>39</v>
      </c>
      <c r="T153" s="190" t="s">
        <v>39</v>
      </c>
      <c r="U153" s="190" t="s">
        <v>39</v>
      </c>
      <c r="V153" s="192">
        <v>1500</v>
      </c>
      <c r="W153" s="192"/>
      <c r="X153" s="190" t="s">
        <v>39</v>
      </c>
      <c r="Y153" s="194"/>
      <c r="Z153" s="194"/>
      <c r="AA153" s="194">
        <v>0.501</v>
      </c>
      <c r="AB153" s="51" t="s">
        <v>39</v>
      </c>
      <c r="AC153" s="46" t="s">
        <v>39</v>
      </c>
      <c r="AD153" s="120" t="s">
        <v>510</v>
      </c>
      <c r="AE153" s="17" t="s">
        <v>511</v>
      </c>
    </row>
    <row r="154" s="2" customFormat="1" ht="24" hidden="1" customHeight="1" spans="1:31">
      <c r="A154" s="13">
        <v>152</v>
      </c>
      <c r="B154" s="187" t="s">
        <v>554</v>
      </c>
      <c r="C154" s="15" t="s">
        <v>443</v>
      </c>
      <c r="D154" s="15" t="s">
        <v>506</v>
      </c>
      <c r="E154" s="15" t="s">
        <v>507</v>
      </c>
      <c r="F154" s="13" t="s">
        <v>81</v>
      </c>
      <c r="G154" s="16" t="s">
        <v>48</v>
      </c>
      <c r="H154" s="18" t="s">
        <v>39</v>
      </c>
      <c r="I154" s="43" t="s">
        <v>514</v>
      </c>
      <c r="J154" s="18" t="s">
        <v>515</v>
      </c>
      <c r="K154" s="18"/>
      <c r="L154" s="20"/>
      <c r="M154" s="20" t="s">
        <v>39</v>
      </c>
      <c r="N154" s="21">
        <v>924000</v>
      </c>
      <c r="O154" s="191">
        <v>0.19</v>
      </c>
      <c r="P154" s="190" t="s">
        <v>39</v>
      </c>
      <c r="Q154" s="192"/>
      <c r="R154" s="190" t="s">
        <v>39</v>
      </c>
      <c r="S154" s="190" t="s">
        <v>39</v>
      </c>
      <c r="T154" s="190" t="s">
        <v>39</v>
      </c>
      <c r="U154" s="190" t="s">
        <v>39</v>
      </c>
      <c r="V154" s="192">
        <v>1500</v>
      </c>
      <c r="W154" s="192"/>
      <c r="X154" s="190" t="s">
        <v>39</v>
      </c>
      <c r="Y154" s="194"/>
      <c r="Z154" s="194"/>
      <c r="AA154" s="194">
        <v>0.501</v>
      </c>
      <c r="AB154" s="51" t="s">
        <v>39</v>
      </c>
      <c r="AC154" s="46" t="s">
        <v>39</v>
      </c>
      <c r="AD154" s="120" t="s">
        <v>510</v>
      </c>
      <c r="AE154" s="17" t="s">
        <v>516</v>
      </c>
    </row>
    <row r="155" s="2" customFormat="1" ht="24" hidden="1" customHeight="1" spans="1:31">
      <c r="A155" s="13">
        <v>153</v>
      </c>
      <c r="B155" s="187" t="s">
        <v>558</v>
      </c>
      <c r="C155" s="15" t="s">
        <v>443</v>
      </c>
      <c r="D155" s="15" t="s">
        <v>506</v>
      </c>
      <c r="E155" s="15" t="s">
        <v>507</v>
      </c>
      <c r="F155" s="13" t="s">
        <v>81</v>
      </c>
      <c r="G155" s="16" t="s">
        <v>48</v>
      </c>
      <c r="H155" s="18" t="s">
        <v>39</v>
      </c>
      <c r="I155" s="43" t="s">
        <v>518</v>
      </c>
      <c r="J155" s="18" t="s">
        <v>519</v>
      </c>
      <c r="K155" s="18"/>
      <c r="L155" s="20"/>
      <c r="M155" s="20" t="s">
        <v>39</v>
      </c>
      <c r="N155" s="21">
        <v>384000</v>
      </c>
      <c r="O155" s="191">
        <v>0.19</v>
      </c>
      <c r="P155" s="190" t="s">
        <v>39</v>
      </c>
      <c r="Q155" s="192"/>
      <c r="R155" s="190" t="s">
        <v>39</v>
      </c>
      <c r="S155" s="190" t="s">
        <v>39</v>
      </c>
      <c r="T155" s="190" t="s">
        <v>39</v>
      </c>
      <c r="U155" s="190" t="s">
        <v>39</v>
      </c>
      <c r="V155" s="192">
        <v>1000</v>
      </c>
      <c r="W155" s="192"/>
      <c r="X155" s="190" t="s">
        <v>39</v>
      </c>
      <c r="Y155" s="194"/>
      <c r="Z155" s="194"/>
      <c r="AA155" s="194">
        <v>0.501</v>
      </c>
      <c r="AB155" s="51" t="s">
        <v>39</v>
      </c>
      <c r="AC155" s="46" t="s">
        <v>39</v>
      </c>
      <c r="AD155" s="120" t="s">
        <v>520</v>
      </c>
      <c r="AE155" s="17" t="s">
        <v>516</v>
      </c>
    </row>
    <row r="156" s="2" customFormat="1" ht="24" hidden="1" customHeight="1" spans="1:31">
      <c r="A156" s="13">
        <v>154</v>
      </c>
      <c r="B156" s="187" t="s">
        <v>561</v>
      </c>
      <c r="C156" s="15" t="s">
        <v>443</v>
      </c>
      <c r="D156" s="15" t="s">
        <v>506</v>
      </c>
      <c r="E156" s="15" t="s">
        <v>507</v>
      </c>
      <c r="F156" s="13" t="s">
        <v>81</v>
      </c>
      <c r="G156" s="16" t="s">
        <v>48</v>
      </c>
      <c r="H156" s="18" t="s">
        <v>39</v>
      </c>
      <c r="I156" s="43" t="s">
        <v>522</v>
      </c>
      <c r="J156" s="18" t="s">
        <v>523</v>
      </c>
      <c r="K156" s="18"/>
      <c r="L156" s="20"/>
      <c r="M156" s="20" t="s">
        <v>39</v>
      </c>
      <c r="N156" s="21">
        <v>588000</v>
      </c>
      <c r="O156" s="191">
        <v>0.19</v>
      </c>
      <c r="P156" s="190" t="s">
        <v>39</v>
      </c>
      <c r="Q156" s="192"/>
      <c r="R156" s="190" t="s">
        <v>39</v>
      </c>
      <c r="S156" s="190" t="s">
        <v>39</v>
      </c>
      <c r="T156" s="190" t="s">
        <v>39</v>
      </c>
      <c r="U156" s="190" t="s">
        <v>39</v>
      </c>
      <c r="V156" s="192">
        <v>1500</v>
      </c>
      <c r="W156" s="192"/>
      <c r="X156" s="190" t="s">
        <v>39</v>
      </c>
      <c r="Y156" s="194"/>
      <c r="Z156" s="194"/>
      <c r="AA156" s="194">
        <v>0.501</v>
      </c>
      <c r="AB156" s="51" t="s">
        <v>39</v>
      </c>
      <c r="AC156" s="46" t="s">
        <v>39</v>
      </c>
      <c r="AD156" s="120" t="s">
        <v>510</v>
      </c>
      <c r="AE156" s="17" t="s">
        <v>516</v>
      </c>
    </row>
    <row r="157" s="2" customFormat="1" ht="36" hidden="1" customHeight="1" spans="1:31">
      <c r="A157" s="13">
        <v>155</v>
      </c>
      <c r="B157" s="187" t="s">
        <v>565</v>
      </c>
      <c r="C157" s="15" t="s">
        <v>443</v>
      </c>
      <c r="D157" s="15" t="s">
        <v>506</v>
      </c>
      <c r="E157" s="15" t="s">
        <v>507</v>
      </c>
      <c r="F157" s="13" t="s">
        <v>81</v>
      </c>
      <c r="G157" s="16" t="s">
        <v>48</v>
      </c>
      <c r="H157" s="18" t="s">
        <v>39</v>
      </c>
      <c r="I157" s="43" t="s">
        <v>448</v>
      </c>
      <c r="J157" s="18" t="s">
        <v>525</v>
      </c>
      <c r="K157" s="18"/>
      <c r="L157" s="20"/>
      <c r="M157" s="20" t="s">
        <v>39</v>
      </c>
      <c r="N157" s="21">
        <v>660000</v>
      </c>
      <c r="O157" s="191">
        <v>0.19</v>
      </c>
      <c r="P157" s="190" t="s">
        <v>39</v>
      </c>
      <c r="Q157" s="192"/>
      <c r="R157" s="190" t="s">
        <v>39</v>
      </c>
      <c r="S157" s="190" t="s">
        <v>39</v>
      </c>
      <c r="T157" s="190" t="s">
        <v>39</v>
      </c>
      <c r="U157" s="190" t="s">
        <v>39</v>
      </c>
      <c r="V157" s="192">
        <v>1500</v>
      </c>
      <c r="W157" s="192"/>
      <c r="X157" s="190" t="s">
        <v>39</v>
      </c>
      <c r="Y157" s="194"/>
      <c r="Z157" s="194"/>
      <c r="AA157" s="194">
        <v>0.501</v>
      </c>
      <c r="AB157" s="51" t="s">
        <v>39</v>
      </c>
      <c r="AC157" s="46" t="s">
        <v>39</v>
      </c>
      <c r="AD157" s="120" t="s">
        <v>510</v>
      </c>
      <c r="AE157" s="17" t="s">
        <v>511</v>
      </c>
    </row>
    <row r="158" s="2" customFormat="1" ht="36" hidden="1" customHeight="1" spans="1:31">
      <c r="A158" s="13">
        <v>156</v>
      </c>
      <c r="B158" s="187" t="s">
        <v>568</v>
      </c>
      <c r="C158" s="15" t="s">
        <v>443</v>
      </c>
      <c r="D158" s="15" t="s">
        <v>506</v>
      </c>
      <c r="E158" s="15" t="s">
        <v>507</v>
      </c>
      <c r="F158" s="13" t="s">
        <v>81</v>
      </c>
      <c r="G158" s="16" t="s">
        <v>48</v>
      </c>
      <c r="H158" s="18" t="s">
        <v>39</v>
      </c>
      <c r="I158" s="43" t="s">
        <v>527</v>
      </c>
      <c r="J158" s="18" t="s">
        <v>528</v>
      </c>
      <c r="K158" s="18"/>
      <c r="L158" s="20"/>
      <c r="M158" s="20" t="s">
        <v>39</v>
      </c>
      <c r="N158" s="21">
        <v>660000</v>
      </c>
      <c r="O158" s="191">
        <v>0.19</v>
      </c>
      <c r="P158" s="190" t="s">
        <v>39</v>
      </c>
      <c r="Q158" s="192"/>
      <c r="R158" s="190" t="s">
        <v>39</v>
      </c>
      <c r="S158" s="190" t="s">
        <v>39</v>
      </c>
      <c r="T158" s="190" t="s">
        <v>39</v>
      </c>
      <c r="U158" s="190" t="s">
        <v>39</v>
      </c>
      <c r="V158" s="192">
        <v>1000</v>
      </c>
      <c r="W158" s="192"/>
      <c r="X158" s="190" t="s">
        <v>39</v>
      </c>
      <c r="Y158" s="194"/>
      <c r="Z158" s="194"/>
      <c r="AA158" s="194">
        <v>0.501</v>
      </c>
      <c r="AB158" s="51" t="s">
        <v>39</v>
      </c>
      <c r="AC158" s="46" t="s">
        <v>39</v>
      </c>
      <c r="AD158" s="120" t="s">
        <v>520</v>
      </c>
      <c r="AE158" s="17" t="s">
        <v>511</v>
      </c>
    </row>
    <row r="159" s="2" customFormat="1" ht="36" hidden="1" customHeight="1" spans="1:31">
      <c r="A159" s="13">
        <v>157</v>
      </c>
      <c r="B159" s="187" t="s">
        <v>571</v>
      </c>
      <c r="C159" s="15" t="s">
        <v>443</v>
      </c>
      <c r="D159" s="15" t="s">
        <v>506</v>
      </c>
      <c r="E159" s="15" t="s">
        <v>507</v>
      </c>
      <c r="F159" s="13" t="s">
        <v>81</v>
      </c>
      <c r="G159" s="16" t="s">
        <v>48</v>
      </c>
      <c r="H159" s="18" t="s">
        <v>39</v>
      </c>
      <c r="I159" s="43" t="s">
        <v>530</v>
      </c>
      <c r="J159" s="18" t="s">
        <v>531</v>
      </c>
      <c r="K159" s="18"/>
      <c r="L159" s="20"/>
      <c r="M159" s="20" t="s">
        <v>39</v>
      </c>
      <c r="N159" s="21">
        <v>588000</v>
      </c>
      <c r="O159" s="191">
        <v>0.16</v>
      </c>
      <c r="P159" s="190" t="s">
        <v>39</v>
      </c>
      <c r="Q159" s="192"/>
      <c r="R159" s="190" t="s">
        <v>39</v>
      </c>
      <c r="S159" s="190" t="s">
        <v>39</v>
      </c>
      <c r="T159" s="190" t="s">
        <v>39</v>
      </c>
      <c r="U159" s="190" t="s">
        <v>39</v>
      </c>
      <c r="V159" s="192">
        <v>1500</v>
      </c>
      <c r="W159" s="192"/>
      <c r="X159" s="190" t="s">
        <v>39</v>
      </c>
      <c r="Y159" s="194"/>
      <c r="Z159" s="194"/>
      <c r="AA159" s="194">
        <v>0.501</v>
      </c>
      <c r="AB159" s="51" t="s">
        <v>39</v>
      </c>
      <c r="AC159" s="46" t="s">
        <v>39</v>
      </c>
      <c r="AD159" s="120" t="s">
        <v>510</v>
      </c>
      <c r="AE159" s="17" t="s">
        <v>511</v>
      </c>
    </row>
    <row r="160" s="2" customFormat="1" ht="36" hidden="1" customHeight="1" spans="1:31">
      <c r="A160" s="13">
        <v>158</v>
      </c>
      <c r="B160" s="187" t="s">
        <v>574</v>
      </c>
      <c r="C160" s="15" t="s">
        <v>443</v>
      </c>
      <c r="D160" s="15" t="s">
        <v>506</v>
      </c>
      <c r="E160" s="15" t="s">
        <v>507</v>
      </c>
      <c r="F160" s="13" t="s">
        <v>81</v>
      </c>
      <c r="G160" s="16" t="s">
        <v>48</v>
      </c>
      <c r="H160" s="18" t="s">
        <v>39</v>
      </c>
      <c r="I160" s="43" t="s">
        <v>533</v>
      </c>
      <c r="J160" s="18" t="s">
        <v>534</v>
      </c>
      <c r="K160" s="18"/>
      <c r="L160" s="20"/>
      <c r="M160" s="20" t="s">
        <v>39</v>
      </c>
      <c r="N160" s="21">
        <v>564000</v>
      </c>
      <c r="O160" s="191">
        <v>0.19</v>
      </c>
      <c r="P160" s="190" t="s">
        <v>39</v>
      </c>
      <c r="Q160" s="192"/>
      <c r="R160" s="190" t="s">
        <v>39</v>
      </c>
      <c r="S160" s="190" t="s">
        <v>39</v>
      </c>
      <c r="T160" s="190" t="s">
        <v>39</v>
      </c>
      <c r="U160" s="190" t="s">
        <v>39</v>
      </c>
      <c r="V160" s="192">
        <v>1500</v>
      </c>
      <c r="W160" s="192"/>
      <c r="X160" s="190" t="s">
        <v>39</v>
      </c>
      <c r="Y160" s="194"/>
      <c r="Z160" s="194"/>
      <c r="AA160" s="194">
        <v>0.501</v>
      </c>
      <c r="AB160" s="51" t="s">
        <v>39</v>
      </c>
      <c r="AC160" s="46" t="s">
        <v>39</v>
      </c>
      <c r="AD160" s="120" t="s">
        <v>510</v>
      </c>
      <c r="AE160" s="17" t="s">
        <v>511</v>
      </c>
    </row>
    <row r="161" s="2" customFormat="1" ht="36" hidden="1" customHeight="1" spans="1:31">
      <c r="A161" s="13">
        <v>159</v>
      </c>
      <c r="B161" s="187" t="s">
        <v>579</v>
      </c>
      <c r="C161" s="15" t="s">
        <v>443</v>
      </c>
      <c r="D161" s="15" t="s">
        <v>506</v>
      </c>
      <c r="E161" s="15" t="s">
        <v>507</v>
      </c>
      <c r="F161" s="13" t="s">
        <v>81</v>
      </c>
      <c r="G161" s="16" t="s">
        <v>48</v>
      </c>
      <c r="H161" s="18" t="s">
        <v>39</v>
      </c>
      <c r="I161" s="43" t="s">
        <v>536</v>
      </c>
      <c r="J161" s="18" t="s">
        <v>537</v>
      </c>
      <c r="K161" s="18"/>
      <c r="L161" s="20"/>
      <c r="M161" s="20" t="s">
        <v>39</v>
      </c>
      <c r="N161" s="21">
        <v>672000</v>
      </c>
      <c r="O161" s="191">
        <v>0.16</v>
      </c>
      <c r="P161" s="190" t="s">
        <v>39</v>
      </c>
      <c r="Q161" s="192"/>
      <c r="R161" s="190" t="s">
        <v>39</v>
      </c>
      <c r="S161" s="190" t="s">
        <v>39</v>
      </c>
      <c r="T161" s="190" t="s">
        <v>39</v>
      </c>
      <c r="U161" s="190" t="s">
        <v>39</v>
      </c>
      <c r="V161" s="192">
        <v>1000</v>
      </c>
      <c r="W161" s="192"/>
      <c r="X161" s="190" t="s">
        <v>39</v>
      </c>
      <c r="Y161" s="194"/>
      <c r="Z161" s="194"/>
      <c r="AA161" s="194">
        <v>0.501</v>
      </c>
      <c r="AB161" s="51" t="s">
        <v>39</v>
      </c>
      <c r="AC161" s="46" t="s">
        <v>39</v>
      </c>
      <c r="AD161" s="120" t="s">
        <v>538</v>
      </c>
      <c r="AE161" s="17" t="s">
        <v>511</v>
      </c>
    </row>
    <row r="162" s="2" customFormat="1" ht="36" hidden="1" customHeight="1" spans="1:31">
      <c r="A162" s="13">
        <v>160</v>
      </c>
      <c r="B162" s="187" t="s">
        <v>584</v>
      </c>
      <c r="C162" s="15" t="s">
        <v>443</v>
      </c>
      <c r="D162" s="15" t="s">
        <v>506</v>
      </c>
      <c r="E162" s="15" t="s">
        <v>507</v>
      </c>
      <c r="F162" s="13" t="s">
        <v>81</v>
      </c>
      <c r="G162" s="16" t="s">
        <v>48</v>
      </c>
      <c r="H162" s="18" t="s">
        <v>39</v>
      </c>
      <c r="I162" s="43" t="s">
        <v>459</v>
      </c>
      <c r="J162" s="18" t="s">
        <v>540</v>
      </c>
      <c r="K162" s="18"/>
      <c r="L162" s="20"/>
      <c r="M162" s="20" t="s">
        <v>39</v>
      </c>
      <c r="N162" s="21">
        <v>588000</v>
      </c>
      <c r="O162" s="191">
        <v>0.19</v>
      </c>
      <c r="P162" s="190" t="s">
        <v>39</v>
      </c>
      <c r="Q162" s="192"/>
      <c r="R162" s="190" t="s">
        <v>39</v>
      </c>
      <c r="S162" s="190" t="s">
        <v>39</v>
      </c>
      <c r="T162" s="190" t="s">
        <v>39</v>
      </c>
      <c r="U162" s="190" t="s">
        <v>39</v>
      </c>
      <c r="V162" s="192">
        <v>600</v>
      </c>
      <c r="W162" s="192"/>
      <c r="X162" s="190" t="s">
        <v>39</v>
      </c>
      <c r="Y162" s="194"/>
      <c r="Z162" s="194"/>
      <c r="AA162" s="194">
        <v>0.501</v>
      </c>
      <c r="AB162" s="51" t="s">
        <v>39</v>
      </c>
      <c r="AC162" s="46" t="s">
        <v>39</v>
      </c>
      <c r="AD162" s="120" t="s">
        <v>541</v>
      </c>
      <c r="AE162" s="17" t="s">
        <v>511</v>
      </c>
    </row>
    <row r="163" s="2" customFormat="1" ht="36" hidden="1" customHeight="1" spans="1:31">
      <c r="A163" s="13">
        <v>161</v>
      </c>
      <c r="B163" s="187" t="s">
        <v>588</v>
      </c>
      <c r="C163" s="15" t="s">
        <v>443</v>
      </c>
      <c r="D163" s="15" t="s">
        <v>506</v>
      </c>
      <c r="E163" s="15" t="s">
        <v>507</v>
      </c>
      <c r="F163" s="13" t="s">
        <v>81</v>
      </c>
      <c r="G163" s="16" t="s">
        <v>48</v>
      </c>
      <c r="H163" s="18" t="s">
        <v>39</v>
      </c>
      <c r="I163" s="43" t="s">
        <v>98</v>
      </c>
      <c r="J163" s="18" t="s">
        <v>543</v>
      </c>
      <c r="K163" s="18"/>
      <c r="L163" s="20"/>
      <c r="M163" s="20" t="s">
        <v>39</v>
      </c>
      <c r="N163" s="21">
        <v>1056000</v>
      </c>
      <c r="O163" s="191">
        <v>0.16</v>
      </c>
      <c r="P163" s="190" t="s">
        <v>39</v>
      </c>
      <c r="Q163" s="192"/>
      <c r="R163" s="190" t="s">
        <v>39</v>
      </c>
      <c r="S163" s="190" t="s">
        <v>39</v>
      </c>
      <c r="T163" s="190" t="s">
        <v>39</v>
      </c>
      <c r="U163" s="190" t="s">
        <v>39</v>
      </c>
      <c r="V163" s="192">
        <v>1000</v>
      </c>
      <c r="W163" s="192"/>
      <c r="X163" s="190" t="s">
        <v>39</v>
      </c>
      <c r="Y163" s="194"/>
      <c r="Z163" s="194"/>
      <c r="AA163" s="194">
        <v>0.501</v>
      </c>
      <c r="AB163" s="51" t="s">
        <v>39</v>
      </c>
      <c r="AC163" s="46" t="s">
        <v>39</v>
      </c>
      <c r="AD163" s="120" t="s">
        <v>538</v>
      </c>
      <c r="AE163" s="17" t="s">
        <v>511</v>
      </c>
    </row>
    <row r="164" s="2" customFormat="1" ht="36" hidden="1" customHeight="1" spans="1:31">
      <c r="A164" s="13">
        <v>162</v>
      </c>
      <c r="B164" s="187" t="s">
        <v>592</v>
      </c>
      <c r="C164" s="15" t="s">
        <v>443</v>
      </c>
      <c r="D164" s="15" t="s">
        <v>506</v>
      </c>
      <c r="E164" s="15" t="s">
        <v>507</v>
      </c>
      <c r="F164" s="13" t="s">
        <v>81</v>
      </c>
      <c r="G164" s="16" t="s">
        <v>48</v>
      </c>
      <c r="H164" s="18" t="s">
        <v>39</v>
      </c>
      <c r="I164" s="43" t="s">
        <v>240</v>
      </c>
      <c r="J164" s="18" t="s">
        <v>545</v>
      </c>
      <c r="K164" s="18"/>
      <c r="L164" s="20"/>
      <c r="M164" s="20" t="s">
        <v>39</v>
      </c>
      <c r="N164" s="21">
        <v>1548000</v>
      </c>
      <c r="O164" s="191">
        <v>0.16</v>
      </c>
      <c r="P164" s="190" t="s">
        <v>39</v>
      </c>
      <c r="Q164" s="192"/>
      <c r="R164" s="190" t="s">
        <v>39</v>
      </c>
      <c r="S164" s="190" t="s">
        <v>39</v>
      </c>
      <c r="T164" s="190" t="s">
        <v>39</v>
      </c>
      <c r="U164" s="190" t="s">
        <v>39</v>
      </c>
      <c r="V164" s="192">
        <v>2500</v>
      </c>
      <c r="W164" s="192"/>
      <c r="X164" s="190" t="s">
        <v>39</v>
      </c>
      <c r="Y164" s="194"/>
      <c r="Z164" s="194"/>
      <c r="AA164" s="194">
        <v>0.501</v>
      </c>
      <c r="AB164" s="51" t="s">
        <v>39</v>
      </c>
      <c r="AC164" s="46" t="s">
        <v>39</v>
      </c>
      <c r="AD164" s="120" t="s">
        <v>546</v>
      </c>
      <c r="AE164" s="17" t="s">
        <v>511</v>
      </c>
    </row>
    <row r="165" s="2" customFormat="1" ht="36" hidden="1" customHeight="1" spans="1:31">
      <c r="A165" s="13">
        <v>163</v>
      </c>
      <c r="B165" s="187" t="s">
        <v>595</v>
      </c>
      <c r="C165" s="15" t="s">
        <v>443</v>
      </c>
      <c r="D165" s="15" t="s">
        <v>506</v>
      </c>
      <c r="E165" s="15" t="s">
        <v>507</v>
      </c>
      <c r="F165" s="13" t="s">
        <v>81</v>
      </c>
      <c r="G165" s="16" t="s">
        <v>48</v>
      </c>
      <c r="H165" s="18" t="s">
        <v>39</v>
      </c>
      <c r="I165" s="43" t="s">
        <v>548</v>
      </c>
      <c r="J165" s="18" t="s">
        <v>545</v>
      </c>
      <c r="K165" s="18"/>
      <c r="L165" s="20"/>
      <c r="M165" s="20" t="s">
        <v>39</v>
      </c>
      <c r="N165" s="21">
        <v>564000</v>
      </c>
      <c r="O165" s="191">
        <v>0.15</v>
      </c>
      <c r="P165" s="190" t="s">
        <v>39</v>
      </c>
      <c r="Q165" s="192"/>
      <c r="R165" s="190" t="s">
        <v>39</v>
      </c>
      <c r="S165" s="190" t="s">
        <v>39</v>
      </c>
      <c r="T165" s="190" t="s">
        <v>39</v>
      </c>
      <c r="U165" s="190" t="s">
        <v>39</v>
      </c>
      <c r="V165" s="192">
        <v>1500</v>
      </c>
      <c r="W165" s="192"/>
      <c r="X165" s="190" t="s">
        <v>39</v>
      </c>
      <c r="Y165" s="194"/>
      <c r="Z165" s="194"/>
      <c r="AA165" s="194">
        <v>0.501</v>
      </c>
      <c r="AB165" s="51" t="s">
        <v>39</v>
      </c>
      <c r="AC165" s="46" t="s">
        <v>39</v>
      </c>
      <c r="AD165" s="120" t="s">
        <v>549</v>
      </c>
      <c r="AE165" s="17" t="s">
        <v>511</v>
      </c>
    </row>
    <row r="166" s="2" customFormat="1" ht="36" hidden="1" customHeight="1" spans="1:31">
      <c r="A166" s="13">
        <v>164</v>
      </c>
      <c r="B166" s="187" t="s">
        <v>599</v>
      </c>
      <c r="C166" s="15" t="s">
        <v>443</v>
      </c>
      <c r="D166" s="15" t="s">
        <v>506</v>
      </c>
      <c r="E166" s="15" t="s">
        <v>507</v>
      </c>
      <c r="F166" s="13" t="s">
        <v>81</v>
      </c>
      <c r="G166" s="16" t="s">
        <v>48</v>
      </c>
      <c r="H166" s="18" t="s">
        <v>39</v>
      </c>
      <c r="I166" s="43" t="s">
        <v>551</v>
      </c>
      <c r="J166" s="18" t="s">
        <v>552</v>
      </c>
      <c r="K166" s="18"/>
      <c r="L166" s="20"/>
      <c r="M166" s="20" t="s">
        <v>39</v>
      </c>
      <c r="N166" s="21">
        <v>672000</v>
      </c>
      <c r="O166" s="191">
        <v>0.19</v>
      </c>
      <c r="P166" s="190" t="s">
        <v>39</v>
      </c>
      <c r="Q166" s="192"/>
      <c r="R166" s="190" t="s">
        <v>39</v>
      </c>
      <c r="S166" s="190" t="s">
        <v>39</v>
      </c>
      <c r="T166" s="190" t="s">
        <v>39</v>
      </c>
      <c r="U166" s="190" t="s">
        <v>39</v>
      </c>
      <c r="V166" s="192">
        <v>600</v>
      </c>
      <c r="W166" s="192"/>
      <c r="X166" s="190" t="s">
        <v>39</v>
      </c>
      <c r="Y166" s="194"/>
      <c r="Z166" s="194"/>
      <c r="AA166" s="194">
        <v>0.501</v>
      </c>
      <c r="AB166" s="51" t="s">
        <v>39</v>
      </c>
      <c r="AC166" s="46" t="s">
        <v>39</v>
      </c>
      <c r="AD166" s="120" t="s">
        <v>553</v>
      </c>
      <c r="AE166" s="17" t="s">
        <v>511</v>
      </c>
    </row>
    <row r="167" s="2" customFormat="1" ht="36" hidden="1" customHeight="1" spans="1:31">
      <c r="A167" s="13">
        <v>165</v>
      </c>
      <c r="B167" s="187" t="s">
        <v>601</v>
      </c>
      <c r="C167" s="15" t="s">
        <v>443</v>
      </c>
      <c r="D167" s="15" t="s">
        <v>506</v>
      </c>
      <c r="E167" s="15" t="s">
        <v>507</v>
      </c>
      <c r="F167" s="13" t="s">
        <v>81</v>
      </c>
      <c r="G167" s="16" t="s">
        <v>48</v>
      </c>
      <c r="H167" s="18" t="s">
        <v>39</v>
      </c>
      <c r="I167" s="43" t="s">
        <v>555</v>
      </c>
      <c r="J167" s="18" t="s">
        <v>556</v>
      </c>
      <c r="K167" s="18"/>
      <c r="L167" s="20"/>
      <c r="M167" s="20" t="s">
        <v>39</v>
      </c>
      <c r="N167" s="21">
        <v>660000</v>
      </c>
      <c r="O167" s="191">
        <v>0.19</v>
      </c>
      <c r="P167" s="190" t="s">
        <v>39</v>
      </c>
      <c r="Q167" s="192"/>
      <c r="R167" s="190" t="s">
        <v>39</v>
      </c>
      <c r="S167" s="190" t="s">
        <v>39</v>
      </c>
      <c r="T167" s="190" t="s">
        <v>39</v>
      </c>
      <c r="U167" s="190" t="s">
        <v>39</v>
      </c>
      <c r="V167" s="192">
        <v>800</v>
      </c>
      <c r="W167" s="192"/>
      <c r="X167" s="190" t="s">
        <v>39</v>
      </c>
      <c r="Y167" s="194"/>
      <c r="Z167" s="194"/>
      <c r="AA167" s="194">
        <v>0.501</v>
      </c>
      <c r="AB167" s="51" t="s">
        <v>39</v>
      </c>
      <c r="AC167" s="46" t="s">
        <v>39</v>
      </c>
      <c r="AD167" s="120" t="s">
        <v>557</v>
      </c>
      <c r="AE167" s="17" t="s">
        <v>511</v>
      </c>
    </row>
    <row r="168" s="2" customFormat="1" ht="36" hidden="1" customHeight="1" spans="1:31">
      <c r="A168" s="13">
        <v>166</v>
      </c>
      <c r="B168" s="187" t="s">
        <v>603</v>
      </c>
      <c r="C168" s="15" t="s">
        <v>443</v>
      </c>
      <c r="D168" s="15" t="s">
        <v>506</v>
      </c>
      <c r="E168" s="15" t="s">
        <v>507</v>
      </c>
      <c r="F168" s="13" t="s">
        <v>81</v>
      </c>
      <c r="G168" s="16" t="s">
        <v>48</v>
      </c>
      <c r="H168" s="18" t="s">
        <v>39</v>
      </c>
      <c r="I168" s="43" t="s">
        <v>559</v>
      </c>
      <c r="J168" s="18" t="s">
        <v>560</v>
      </c>
      <c r="K168" s="18"/>
      <c r="L168" s="20"/>
      <c r="M168" s="20" t="s">
        <v>39</v>
      </c>
      <c r="N168" s="21">
        <v>660000</v>
      </c>
      <c r="O168" s="191">
        <v>0.17</v>
      </c>
      <c r="P168" s="190" t="s">
        <v>39</v>
      </c>
      <c r="Q168" s="192"/>
      <c r="R168" s="190" t="s">
        <v>39</v>
      </c>
      <c r="S168" s="190" t="s">
        <v>39</v>
      </c>
      <c r="T168" s="190" t="s">
        <v>39</v>
      </c>
      <c r="U168" s="190" t="s">
        <v>39</v>
      </c>
      <c r="V168" s="192">
        <v>1500</v>
      </c>
      <c r="W168" s="192"/>
      <c r="X168" s="190" t="s">
        <v>39</v>
      </c>
      <c r="Y168" s="194"/>
      <c r="Z168" s="194"/>
      <c r="AA168" s="194">
        <v>0.501</v>
      </c>
      <c r="AB168" s="51" t="s">
        <v>39</v>
      </c>
      <c r="AC168" s="46" t="s">
        <v>39</v>
      </c>
      <c r="AD168" s="120" t="s">
        <v>510</v>
      </c>
      <c r="AE168" s="17" t="s">
        <v>511</v>
      </c>
    </row>
    <row r="169" s="2" customFormat="1" ht="36" hidden="1" customHeight="1" spans="1:31">
      <c r="A169" s="13">
        <v>167</v>
      </c>
      <c r="B169" s="187" t="s">
        <v>606</v>
      </c>
      <c r="C169" s="15" t="s">
        <v>443</v>
      </c>
      <c r="D169" s="15" t="s">
        <v>506</v>
      </c>
      <c r="E169" s="15" t="s">
        <v>507</v>
      </c>
      <c r="F169" s="13" t="s">
        <v>81</v>
      </c>
      <c r="G169" s="16" t="s">
        <v>48</v>
      </c>
      <c r="H169" s="18" t="s">
        <v>39</v>
      </c>
      <c r="I169" s="43" t="s">
        <v>562</v>
      </c>
      <c r="J169" s="18" t="s">
        <v>563</v>
      </c>
      <c r="K169" s="18"/>
      <c r="L169" s="20"/>
      <c r="M169" s="20" t="s">
        <v>39</v>
      </c>
      <c r="N169" s="21">
        <v>2004000</v>
      </c>
      <c r="O169" s="191">
        <v>0.15</v>
      </c>
      <c r="P169" s="190" t="s">
        <v>39</v>
      </c>
      <c r="Q169" s="192"/>
      <c r="R169" s="190" t="s">
        <v>39</v>
      </c>
      <c r="S169" s="190" t="s">
        <v>39</v>
      </c>
      <c r="T169" s="190" t="s">
        <v>39</v>
      </c>
      <c r="U169" s="190" t="s">
        <v>39</v>
      </c>
      <c r="V169" s="192">
        <v>2000</v>
      </c>
      <c r="W169" s="192"/>
      <c r="X169" s="190" t="s">
        <v>39</v>
      </c>
      <c r="Y169" s="194"/>
      <c r="Z169" s="194"/>
      <c r="AA169" s="194">
        <v>0.501</v>
      </c>
      <c r="AB169" s="51" t="s">
        <v>39</v>
      </c>
      <c r="AC169" s="46" t="s">
        <v>39</v>
      </c>
      <c r="AD169" s="120" t="s">
        <v>564</v>
      </c>
      <c r="AE169" s="17" t="s">
        <v>511</v>
      </c>
    </row>
    <row r="170" s="2" customFormat="1" ht="36" hidden="1" customHeight="1" spans="1:31">
      <c r="A170" s="13">
        <v>168</v>
      </c>
      <c r="B170" s="187" t="s">
        <v>609</v>
      </c>
      <c r="C170" s="15" t="s">
        <v>443</v>
      </c>
      <c r="D170" s="15" t="s">
        <v>506</v>
      </c>
      <c r="E170" s="15" t="s">
        <v>507</v>
      </c>
      <c r="F170" s="13" t="s">
        <v>81</v>
      </c>
      <c r="G170" s="16" t="s">
        <v>48</v>
      </c>
      <c r="H170" s="18" t="s">
        <v>39</v>
      </c>
      <c r="I170" s="43" t="s">
        <v>566</v>
      </c>
      <c r="J170" s="18" t="s">
        <v>567</v>
      </c>
      <c r="K170" s="18"/>
      <c r="L170" s="20"/>
      <c r="M170" s="20" t="s">
        <v>39</v>
      </c>
      <c r="N170" s="21">
        <v>348000</v>
      </c>
      <c r="O170" s="191">
        <v>0.19</v>
      </c>
      <c r="P170" s="190" t="s">
        <v>39</v>
      </c>
      <c r="Q170" s="192"/>
      <c r="R170" s="190" t="s">
        <v>39</v>
      </c>
      <c r="S170" s="190" t="s">
        <v>39</v>
      </c>
      <c r="T170" s="190" t="s">
        <v>39</v>
      </c>
      <c r="U170" s="190" t="s">
        <v>39</v>
      </c>
      <c r="V170" s="192">
        <v>1500</v>
      </c>
      <c r="W170" s="192"/>
      <c r="X170" s="190" t="s">
        <v>39</v>
      </c>
      <c r="Y170" s="194"/>
      <c r="Z170" s="194"/>
      <c r="AA170" s="194">
        <v>0.501</v>
      </c>
      <c r="AB170" s="51" t="s">
        <v>39</v>
      </c>
      <c r="AC170" s="46" t="s">
        <v>39</v>
      </c>
      <c r="AD170" s="120" t="s">
        <v>510</v>
      </c>
      <c r="AE170" s="17" t="s">
        <v>511</v>
      </c>
    </row>
    <row r="171" s="2" customFormat="1" ht="36" hidden="1" customHeight="1" spans="1:31">
      <c r="A171" s="13">
        <v>169</v>
      </c>
      <c r="B171" s="187" t="s">
        <v>612</v>
      </c>
      <c r="C171" s="15" t="s">
        <v>443</v>
      </c>
      <c r="D171" s="15" t="s">
        <v>506</v>
      </c>
      <c r="E171" s="15" t="s">
        <v>507</v>
      </c>
      <c r="F171" s="13" t="s">
        <v>81</v>
      </c>
      <c r="G171" s="16" t="s">
        <v>48</v>
      </c>
      <c r="H171" s="18" t="s">
        <v>39</v>
      </c>
      <c r="I171" s="43" t="s">
        <v>569</v>
      </c>
      <c r="J171" s="18" t="s">
        <v>570</v>
      </c>
      <c r="K171" s="18"/>
      <c r="L171" s="20"/>
      <c r="M171" s="20" t="s">
        <v>39</v>
      </c>
      <c r="N171" s="21">
        <v>1032000</v>
      </c>
      <c r="O171" s="191">
        <v>0.19</v>
      </c>
      <c r="P171" s="190" t="s">
        <v>39</v>
      </c>
      <c r="Q171" s="192"/>
      <c r="R171" s="190" t="s">
        <v>39</v>
      </c>
      <c r="S171" s="190" t="s">
        <v>39</v>
      </c>
      <c r="T171" s="190" t="s">
        <v>39</v>
      </c>
      <c r="U171" s="190" t="s">
        <v>39</v>
      </c>
      <c r="V171" s="192">
        <v>1500</v>
      </c>
      <c r="W171" s="192"/>
      <c r="X171" s="190" t="s">
        <v>39</v>
      </c>
      <c r="Y171" s="194"/>
      <c r="Z171" s="194"/>
      <c r="AA171" s="194">
        <v>0.501</v>
      </c>
      <c r="AB171" s="51" t="s">
        <v>39</v>
      </c>
      <c r="AC171" s="46" t="s">
        <v>39</v>
      </c>
      <c r="AD171" s="120" t="s">
        <v>510</v>
      </c>
      <c r="AE171" s="17" t="s">
        <v>511</v>
      </c>
    </row>
    <row r="172" s="2" customFormat="1" ht="36" hidden="1" customHeight="1" spans="1:31">
      <c r="A172" s="13">
        <v>170</v>
      </c>
      <c r="B172" s="187" t="s">
        <v>614</v>
      </c>
      <c r="C172" s="15" t="s">
        <v>443</v>
      </c>
      <c r="D172" s="15" t="s">
        <v>506</v>
      </c>
      <c r="E172" s="15" t="s">
        <v>507</v>
      </c>
      <c r="F172" s="13" t="s">
        <v>81</v>
      </c>
      <c r="G172" s="16" t="s">
        <v>48</v>
      </c>
      <c r="H172" s="18" t="s">
        <v>39</v>
      </c>
      <c r="I172" s="43" t="s">
        <v>572</v>
      </c>
      <c r="J172" s="18" t="s">
        <v>573</v>
      </c>
      <c r="K172" s="18"/>
      <c r="L172" s="20"/>
      <c r="M172" s="20" t="s">
        <v>39</v>
      </c>
      <c r="N172" s="21">
        <v>1128000</v>
      </c>
      <c r="O172" s="191">
        <v>0.18</v>
      </c>
      <c r="P172" s="190" t="s">
        <v>39</v>
      </c>
      <c r="Q172" s="192"/>
      <c r="R172" s="190" t="s">
        <v>39</v>
      </c>
      <c r="S172" s="190" t="s">
        <v>39</v>
      </c>
      <c r="T172" s="190" t="s">
        <v>39</v>
      </c>
      <c r="U172" s="190" t="s">
        <v>39</v>
      </c>
      <c r="V172" s="192">
        <v>1000</v>
      </c>
      <c r="W172" s="192"/>
      <c r="X172" s="190" t="s">
        <v>39</v>
      </c>
      <c r="Y172" s="194"/>
      <c r="Z172" s="194"/>
      <c r="AA172" s="194">
        <v>0.501</v>
      </c>
      <c r="AB172" s="51" t="s">
        <v>39</v>
      </c>
      <c r="AC172" s="46" t="s">
        <v>39</v>
      </c>
      <c r="AD172" s="120" t="s">
        <v>520</v>
      </c>
      <c r="AE172" s="17" t="s">
        <v>511</v>
      </c>
    </row>
    <row r="173" s="2" customFormat="1" ht="36" hidden="1" customHeight="1" spans="1:31">
      <c r="A173" s="13">
        <v>171</v>
      </c>
      <c r="B173" s="187" t="s">
        <v>617</v>
      </c>
      <c r="C173" s="15" t="s">
        <v>443</v>
      </c>
      <c r="D173" s="15" t="s">
        <v>506</v>
      </c>
      <c r="E173" s="15" t="s">
        <v>507</v>
      </c>
      <c r="F173" s="13" t="s">
        <v>81</v>
      </c>
      <c r="G173" s="16" t="s">
        <v>48</v>
      </c>
      <c r="H173" s="18" t="s">
        <v>39</v>
      </c>
      <c r="I173" s="43" t="s">
        <v>87</v>
      </c>
      <c r="J173" s="18" t="s">
        <v>575</v>
      </c>
      <c r="K173" s="18"/>
      <c r="L173" s="20"/>
      <c r="M173" s="20" t="s">
        <v>39</v>
      </c>
      <c r="N173" s="21">
        <v>912000</v>
      </c>
      <c r="O173" s="191">
        <v>0.19</v>
      </c>
      <c r="P173" s="190" t="s">
        <v>39</v>
      </c>
      <c r="Q173" s="192"/>
      <c r="R173" s="190" t="s">
        <v>39</v>
      </c>
      <c r="S173" s="190" t="s">
        <v>39</v>
      </c>
      <c r="T173" s="190" t="s">
        <v>39</v>
      </c>
      <c r="U173" s="190" t="s">
        <v>39</v>
      </c>
      <c r="V173" s="192">
        <v>600</v>
      </c>
      <c r="W173" s="192"/>
      <c r="X173" s="190" t="s">
        <v>39</v>
      </c>
      <c r="Y173" s="194"/>
      <c r="Z173" s="194"/>
      <c r="AA173" s="194">
        <v>0.501</v>
      </c>
      <c r="AB173" s="51" t="s">
        <v>39</v>
      </c>
      <c r="AC173" s="46" t="s">
        <v>39</v>
      </c>
      <c r="AD173" s="120" t="s">
        <v>553</v>
      </c>
      <c r="AE173" s="17" t="s">
        <v>511</v>
      </c>
    </row>
    <row r="174" s="2" customFormat="1" ht="12" hidden="1" customHeight="1" spans="1:31">
      <c r="A174" s="13">
        <v>172</v>
      </c>
      <c r="B174" s="187" t="s">
        <v>620</v>
      </c>
      <c r="C174" s="15" t="s">
        <v>443</v>
      </c>
      <c r="D174" s="15" t="s">
        <v>576</v>
      </c>
      <c r="E174" s="15" t="s">
        <v>577</v>
      </c>
      <c r="F174" s="198" t="s">
        <v>37</v>
      </c>
      <c r="G174" s="16" t="s">
        <v>578</v>
      </c>
      <c r="H174" s="45" t="s">
        <v>39</v>
      </c>
      <c r="I174" s="198" t="s">
        <v>39</v>
      </c>
      <c r="J174" s="45" t="s">
        <v>39</v>
      </c>
      <c r="K174" s="45"/>
      <c r="L174" s="188"/>
      <c r="M174" s="188" t="s">
        <v>39</v>
      </c>
      <c r="N174" s="21" t="s">
        <v>39</v>
      </c>
      <c r="O174" s="191" t="s">
        <v>39</v>
      </c>
      <c r="P174" s="190" t="s">
        <v>39</v>
      </c>
      <c r="Q174" s="192"/>
      <c r="R174" s="190"/>
      <c r="S174" s="190" t="s">
        <v>39</v>
      </c>
      <c r="T174" s="190" t="s">
        <v>39</v>
      </c>
      <c r="U174" s="190" t="s">
        <v>39</v>
      </c>
      <c r="V174" s="192"/>
      <c r="W174" s="192"/>
      <c r="X174" s="190" t="s">
        <v>39</v>
      </c>
      <c r="Y174" s="45"/>
      <c r="Z174" s="45"/>
      <c r="AA174" s="45" t="s">
        <v>39</v>
      </c>
      <c r="AB174" s="46">
        <v>0.05</v>
      </c>
      <c r="AC174" s="46">
        <v>0.005</v>
      </c>
      <c r="AD174" s="120" t="s">
        <v>104</v>
      </c>
      <c r="AE174" s="17"/>
    </row>
    <row r="175" s="2" customFormat="1" ht="48" hidden="1" customHeight="1" spans="1:31">
      <c r="A175" s="13">
        <v>173</v>
      </c>
      <c r="B175" s="187" t="s">
        <v>623</v>
      </c>
      <c r="C175" s="15" t="s">
        <v>443</v>
      </c>
      <c r="D175" s="15" t="s">
        <v>576</v>
      </c>
      <c r="E175" s="15" t="s">
        <v>577</v>
      </c>
      <c r="F175" s="13" t="s">
        <v>81</v>
      </c>
      <c r="G175" s="16" t="s">
        <v>578</v>
      </c>
      <c r="H175" s="16" t="s">
        <v>60</v>
      </c>
      <c r="I175" s="17" t="s">
        <v>580</v>
      </c>
      <c r="J175" s="45" t="s">
        <v>1506</v>
      </c>
      <c r="K175" s="18"/>
      <c r="L175" s="20"/>
      <c r="M175" s="20" t="s">
        <v>39</v>
      </c>
      <c r="N175" s="21" t="s">
        <v>39</v>
      </c>
      <c r="O175" s="199">
        <v>0.05</v>
      </c>
      <c r="P175" s="188" t="s">
        <v>39</v>
      </c>
      <c r="Q175" s="190" t="s">
        <v>39</v>
      </c>
      <c r="R175" s="190" t="s">
        <v>39</v>
      </c>
      <c r="S175" s="190" t="s">
        <v>39</v>
      </c>
      <c r="T175" s="190" t="s">
        <v>39</v>
      </c>
      <c r="U175" s="190" t="s">
        <v>39</v>
      </c>
      <c r="V175" s="194" t="s">
        <v>39</v>
      </c>
      <c r="W175" s="199">
        <v>0.06</v>
      </c>
      <c r="X175" s="192" t="s">
        <v>1457</v>
      </c>
      <c r="Y175" s="45">
        <v>30000</v>
      </c>
      <c r="Z175" s="45" t="s">
        <v>39</v>
      </c>
      <c r="AA175" s="45" t="s">
        <v>1457</v>
      </c>
      <c r="AB175" s="46" t="s">
        <v>39</v>
      </c>
      <c r="AC175" s="46" t="s">
        <v>39</v>
      </c>
      <c r="AD175" s="189" t="s">
        <v>582</v>
      </c>
      <c r="AE175" s="17" t="s">
        <v>288</v>
      </c>
    </row>
    <row r="176" s="2" customFormat="1" ht="60" hidden="1" customHeight="1" spans="1:31">
      <c r="A176" s="13">
        <v>174</v>
      </c>
      <c r="B176" s="187" t="s">
        <v>627</v>
      </c>
      <c r="C176" s="15" t="s">
        <v>443</v>
      </c>
      <c r="D176" s="15" t="s">
        <v>576</v>
      </c>
      <c r="E176" s="15" t="s">
        <v>577</v>
      </c>
      <c r="F176" s="13" t="s">
        <v>81</v>
      </c>
      <c r="G176" s="16" t="s">
        <v>578</v>
      </c>
      <c r="H176" s="16" t="s">
        <v>66</v>
      </c>
      <c r="I176" s="17" t="s">
        <v>585</v>
      </c>
      <c r="J176" s="18" t="s">
        <v>586</v>
      </c>
      <c r="K176" s="18"/>
      <c r="L176" s="20"/>
      <c r="M176" s="20" t="s">
        <v>39</v>
      </c>
      <c r="N176" s="21" t="s">
        <v>39</v>
      </c>
      <c r="O176" s="199">
        <v>0.19</v>
      </c>
      <c r="P176" s="188" t="s">
        <v>39</v>
      </c>
      <c r="Q176" s="190" t="s">
        <v>39</v>
      </c>
      <c r="R176" s="191" t="s">
        <v>39</v>
      </c>
      <c r="S176" s="190" t="s">
        <v>39</v>
      </c>
      <c r="T176" s="190" t="s">
        <v>39</v>
      </c>
      <c r="U176" s="190" t="s">
        <v>39</v>
      </c>
      <c r="V176" s="194" t="s">
        <v>39</v>
      </c>
      <c r="W176" s="199">
        <v>0.06</v>
      </c>
      <c r="X176" s="190" t="s">
        <v>1457</v>
      </c>
      <c r="Y176" s="45" t="s">
        <v>39</v>
      </c>
      <c r="Z176" s="45" t="s">
        <v>39</v>
      </c>
      <c r="AA176" s="45" t="s">
        <v>1457</v>
      </c>
      <c r="AB176" s="46" t="s">
        <v>39</v>
      </c>
      <c r="AC176" s="46" t="s">
        <v>39</v>
      </c>
      <c r="AD176" s="189" t="s">
        <v>587</v>
      </c>
      <c r="AE176" s="17" t="s">
        <v>288</v>
      </c>
    </row>
    <row r="177" s="2" customFormat="1" ht="36" hidden="1" customHeight="1" spans="1:31">
      <c r="A177" s="13">
        <v>175</v>
      </c>
      <c r="B177" s="187" t="s">
        <v>631</v>
      </c>
      <c r="C177" s="15" t="s">
        <v>443</v>
      </c>
      <c r="D177" s="15" t="s">
        <v>576</v>
      </c>
      <c r="E177" s="15" t="s">
        <v>577</v>
      </c>
      <c r="F177" s="13" t="s">
        <v>81</v>
      </c>
      <c r="G177" s="16" t="s">
        <v>578</v>
      </c>
      <c r="H177" s="16" t="s">
        <v>70</v>
      </c>
      <c r="I177" s="17" t="s">
        <v>589</v>
      </c>
      <c r="J177" s="18" t="s">
        <v>590</v>
      </c>
      <c r="K177" s="18"/>
      <c r="L177" s="20"/>
      <c r="M177" s="20" t="s">
        <v>39</v>
      </c>
      <c r="N177" s="21" t="s">
        <v>39</v>
      </c>
      <c r="O177" s="199">
        <v>0.165</v>
      </c>
      <c r="P177" s="188" t="s">
        <v>39</v>
      </c>
      <c r="Q177" s="190" t="s">
        <v>39</v>
      </c>
      <c r="R177" s="191" t="s">
        <v>39</v>
      </c>
      <c r="S177" s="190" t="s">
        <v>39</v>
      </c>
      <c r="T177" s="190" t="s">
        <v>39</v>
      </c>
      <c r="U177" s="190" t="s">
        <v>39</v>
      </c>
      <c r="V177" s="194">
        <v>0.035</v>
      </c>
      <c r="W177" s="199">
        <v>0.06</v>
      </c>
      <c r="X177" s="190" t="s">
        <v>1457</v>
      </c>
      <c r="Y177" s="45" t="s">
        <v>39</v>
      </c>
      <c r="Z177" s="45" t="s">
        <v>39</v>
      </c>
      <c r="AA177" s="45" t="s">
        <v>1457</v>
      </c>
      <c r="AB177" s="46" t="s">
        <v>39</v>
      </c>
      <c r="AC177" s="46" t="s">
        <v>39</v>
      </c>
      <c r="AD177" s="189" t="s">
        <v>591</v>
      </c>
      <c r="AE177" s="17" t="s">
        <v>288</v>
      </c>
    </row>
    <row r="178" s="2" customFormat="1" ht="48" hidden="1" customHeight="1" spans="1:31">
      <c r="A178" s="13">
        <v>176</v>
      </c>
      <c r="B178" s="187" t="s">
        <v>634</v>
      </c>
      <c r="C178" s="15" t="s">
        <v>443</v>
      </c>
      <c r="D178" s="15" t="s">
        <v>576</v>
      </c>
      <c r="E178" s="15" t="s">
        <v>577</v>
      </c>
      <c r="F178" s="13" t="s">
        <v>81</v>
      </c>
      <c r="G178" s="16" t="s">
        <v>578</v>
      </c>
      <c r="H178" s="16" t="s">
        <v>74</v>
      </c>
      <c r="I178" s="17" t="s">
        <v>240</v>
      </c>
      <c r="J178" s="18" t="s">
        <v>593</v>
      </c>
      <c r="K178" s="18"/>
      <c r="L178" s="20"/>
      <c r="M178" s="20" t="s">
        <v>39</v>
      </c>
      <c r="N178" s="21" t="s">
        <v>39</v>
      </c>
      <c r="O178" s="199">
        <v>0.135</v>
      </c>
      <c r="P178" s="188" t="s">
        <v>39</v>
      </c>
      <c r="Q178" s="190" t="s">
        <v>39</v>
      </c>
      <c r="R178" s="191" t="s">
        <v>39</v>
      </c>
      <c r="S178" s="190" t="s">
        <v>39</v>
      </c>
      <c r="T178" s="190" t="s">
        <v>39</v>
      </c>
      <c r="U178" s="190" t="s">
        <v>39</v>
      </c>
      <c r="V178" s="194">
        <v>0.035</v>
      </c>
      <c r="W178" s="199">
        <v>0.06</v>
      </c>
      <c r="X178" s="190" t="s">
        <v>1457</v>
      </c>
      <c r="Y178" s="45" t="s">
        <v>39</v>
      </c>
      <c r="Z178" s="45" t="s">
        <v>39</v>
      </c>
      <c r="AA178" s="45" t="s">
        <v>1457</v>
      </c>
      <c r="AB178" s="46" t="s">
        <v>39</v>
      </c>
      <c r="AC178" s="46" t="s">
        <v>39</v>
      </c>
      <c r="AD178" s="189" t="s">
        <v>594</v>
      </c>
      <c r="AE178" s="189" t="s">
        <v>288</v>
      </c>
    </row>
    <row r="179" s="2" customFormat="1" ht="48" hidden="1" customHeight="1" spans="1:31">
      <c r="A179" s="13">
        <v>177</v>
      </c>
      <c r="B179" s="187" t="s">
        <v>638</v>
      </c>
      <c r="C179" s="15" t="s">
        <v>443</v>
      </c>
      <c r="D179" s="15" t="s">
        <v>576</v>
      </c>
      <c r="E179" s="15" t="s">
        <v>577</v>
      </c>
      <c r="F179" s="13" t="s">
        <v>81</v>
      </c>
      <c r="G179" s="16" t="s">
        <v>578</v>
      </c>
      <c r="H179" s="16" t="s">
        <v>265</v>
      </c>
      <c r="I179" s="17" t="s">
        <v>596</v>
      </c>
      <c r="J179" s="18" t="s">
        <v>597</v>
      </c>
      <c r="K179" s="18"/>
      <c r="L179" s="20"/>
      <c r="M179" s="20" t="s">
        <v>39</v>
      </c>
      <c r="N179" s="21" t="s">
        <v>39</v>
      </c>
      <c r="O179" s="199">
        <v>0.155</v>
      </c>
      <c r="P179" s="188" t="s">
        <v>39</v>
      </c>
      <c r="Q179" s="190" t="s">
        <v>39</v>
      </c>
      <c r="R179" s="191" t="s">
        <v>39</v>
      </c>
      <c r="S179" s="190" t="s">
        <v>39</v>
      </c>
      <c r="T179" s="190" t="s">
        <v>39</v>
      </c>
      <c r="U179" s="190" t="s">
        <v>39</v>
      </c>
      <c r="V179" s="194">
        <v>0.035</v>
      </c>
      <c r="W179" s="199">
        <v>0.06</v>
      </c>
      <c r="X179" s="190" t="s">
        <v>1457</v>
      </c>
      <c r="Y179" s="45" t="s">
        <v>39</v>
      </c>
      <c r="Z179" s="45" t="s">
        <v>39</v>
      </c>
      <c r="AA179" s="45" t="s">
        <v>1457</v>
      </c>
      <c r="AB179" s="46" t="s">
        <v>39</v>
      </c>
      <c r="AC179" s="46" t="s">
        <v>39</v>
      </c>
      <c r="AD179" s="189" t="s">
        <v>598</v>
      </c>
      <c r="AE179" s="17" t="s">
        <v>288</v>
      </c>
    </row>
    <row r="180" s="2" customFormat="1" ht="36" hidden="1" customHeight="1" spans="1:31">
      <c r="A180" s="13">
        <v>178</v>
      </c>
      <c r="B180" s="187" t="s">
        <v>641</v>
      </c>
      <c r="C180" s="15" t="s">
        <v>443</v>
      </c>
      <c r="D180" s="15" t="s">
        <v>576</v>
      </c>
      <c r="E180" s="15" t="s">
        <v>577</v>
      </c>
      <c r="F180" s="13" t="s">
        <v>81</v>
      </c>
      <c r="G180" s="16" t="s">
        <v>578</v>
      </c>
      <c r="H180" s="16" t="s">
        <v>86</v>
      </c>
      <c r="I180" s="17" t="s">
        <v>419</v>
      </c>
      <c r="J180" s="45" t="s">
        <v>1507</v>
      </c>
      <c r="K180" s="18"/>
      <c r="L180" s="20"/>
      <c r="M180" s="20" t="s">
        <v>39</v>
      </c>
      <c r="N180" s="21" t="s">
        <v>39</v>
      </c>
      <c r="O180" s="199">
        <v>0.155</v>
      </c>
      <c r="P180" s="188" t="s">
        <v>39</v>
      </c>
      <c r="Q180" s="190" t="s">
        <v>39</v>
      </c>
      <c r="R180" s="191" t="s">
        <v>39</v>
      </c>
      <c r="S180" s="190" t="s">
        <v>39</v>
      </c>
      <c r="T180" s="190" t="s">
        <v>39</v>
      </c>
      <c r="U180" s="190" t="s">
        <v>39</v>
      </c>
      <c r="V180" s="194">
        <v>0.035</v>
      </c>
      <c r="W180" s="199">
        <v>0.06</v>
      </c>
      <c r="X180" s="190" t="s">
        <v>1457</v>
      </c>
      <c r="Y180" s="45" t="s">
        <v>39</v>
      </c>
      <c r="Z180" s="45" t="s">
        <v>39</v>
      </c>
      <c r="AA180" s="45" t="s">
        <v>1457</v>
      </c>
      <c r="AB180" s="46" t="s">
        <v>39</v>
      </c>
      <c r="AC180" s="46" t="s">
        <v>39</v>
      </c>
      <c r="AD180" s="189" t="s">
        <v>591</v>
      </c>
      <c r="AE180" s="17" t="s">
        <v>288</v>
      </c>
    </row>
    <row r="181" s="2" customFormat="1" ht="36" hidden="1" customHeight="1" spans="1:31">
      <c r="A181" s="13">
        <v>179</v>
      </c>
      <c r="B181" s="187" t="s">
        <v>646</v>
      </c>
      <c r="C181" s="15" t="s">
        <v>443</v>
      </c>
      <c r="D181" s="15" t="s">
        <v>576</v>
      </c>
      <c r="E181" s="15" t="s">
        <v>577</v>
      </c>
      <c r="F181" s="13" t="s">
        <v>81</v>
      </c>
      <c r="G181" s="16" t="s">
        <v>578</v>
      </c>
      <c r="H181" s="16" t="s">
        <v>272</v>
      </c>
      <c r="I181" s="17" t="s">
        <v>459</v>
      </c>
      <c r="J181" s="18" t="s">
        <v>602</v>
      </c>
      <c r="K181" s="18"/>
      <c r="L181" s="20"/>
      <c r="M181" s="20" t="s">
        <v>39</v>
      </c>
      <c r="N181" s="21" t="s">
        <v>39</v>
      </c>
      <c r="O181" s="199">
        <v>0.185</v>
      </c>
      <c r="P181" s="188" t="s">
        <v>39</v>
      </c>
      <c r="Q181" s="190" t="s">
        <v>39</v>
      </c>
      <c r="R181" s="191" t="s">
        <v>39</v>
      </c>
      <c r="S181" s="190" t="s">
        <v>39</v>
      </c>
      <c r="T181" s="190" t="s">
        <v>39</v>
      </c>
      <c r="U181" s="190" t="s">
        <v>39</v>
      </c>
      <c r="V181" s="194">
        <v>0.035</v>
      </c>
      <c r="W181" s="199">
        <v>0.06</v>
      </c>
      <c r="X181" s="190" t="s">
        <v>1457</v>
      </c>
      <c r="Y181" s="45" t="s">
        <v>39</v>
      </c>
      <c r="Z181" s="45" t="s">
        <v>39</v>
      </c>
      <c r="AA181" s="45" t="s">
        <v>1457</v>
      </c>
      <c r="AB181" s="46" t="s">
        <v>39</v>
      </c>
      <c r="AC181" s="46" t="s">
        <v>39</v>
      </c>
      <c r="AD181" s="189" t="s">
        <v>591</v>
      </c>
      <c r="AE181" s="17" t="s">
        <v>288</v>
      </c>
    </row>
    <row r="182" s="2" customFormat="1" ht="36" hidden="1" customHeight="1" spans="1:31">
      <c r="A182" s="13">
        <v>180</v>
      </c>
      <c r="B182" s="187" t="s">
        <v>652</v>
      </c>
      <c r="C182" s="15" t="s">
        <v>443</v>
      </c>
      <c r="D182" s="15" t="s">
        <v>576</v>
      </c>
      <c r="E182" s="15" t="s">
        <v>577</v>
      </c>
      <c r="F182" s="13" t="s">
        <v>81</v>
      </c>
      <c r="G182" s="16" t="s">
        <v>578</v>
      </c>
      <c r="H182" s="16" t="s">
        <v>276</v>
      </c>
      <c r="I182" s="17" t="s">
        <v>604</v>
      </c>
      <c r="J182" s="45" t="s">
        <v>1474</v>
      </c>
      <c r="K182" s="18"/>
      <c r="L182" s="20"/>
      <c r="M182" s="20" t="s">
        <v>39</v>
      </c>
      <c r="N182" s="21" t="s">
        <v>39</v>
      </c>
      <c r="O182" s="199">
        <v>0.185</v>
      </c>
      <c r="P182" s="188" t="s">
        <v>39</v>
      </c>
      <c r="Q182" s="190" t="s">
        <v>39</v>
      </c>
      <c r="R182" s="191" t="s">
        <v>39</v>
      </c>
      <c r="S182" s="190" t="s">
        <v>39</v>
      </c>
      <c r="T182" s="190" t="s">
        <v>39</v>
      </c>
      <c r="U182" s="190" t="s">
        <v>39</v>
      </c>
      <c r="V182" s="194">
        <v>0.035</v>
      </c>
      <c r="W182" s="199">
        <v>0.06</v>
      </c>
      <c r="X182" s="190" t="s">
        <v>1457</v>
      </c>
      <c r="Y182" s="45" t="s">
        <v>39</v>
      </c>
      <c r="Z182" s="45" t="s">
        <v>39</v>
      </c>
      <c r="AA182" s="45" t="s">
        <v>1457</v>
      </c>
      <c r="AB182" s="46" t="s">
        <v>39</v>
      </c>
      <c r="AC182" s="46" t="s">
        <v>39</v>
      </c>
      <c r="AD182" s="189" t="s">
        <v>591</v>
      </c>
      <c r="AE182" s="17" t="s">
        <v>288</v>
      </c>
    </row>
    <row r="183" s="2" customFormat="1" ht="36" hidden="1" customHeight="1" spans="1:31">
      <c r="A183" s="13">
        <v>181</v>
      </c>
      <c r="B183" s="187" t="s">
        <v>655</v>
      </c>
      <c r="C183" s="15" t="s">
        <v>443</v>
      </c>
      <c r="D183" s="15" t="s">
        <v>576</v>
      </c>
      <c r="E183" s="15" t="s">
        <v>577</v>
      </c>
      <c r="F183" s="13" t="s">
        <v>81</v>
      </c>
      <c r="G183" s="16" t="s">
        <v>578</v>
      </c>
      <c r="H183" s="16" t="s">
        <v>280</v>
      </c>
      <c r="I183" s="17" t="s">
        <v>607</v>
      </c>
      <c r="J183" s="18" t="s">
        <v>608</v>
      </c>
      <c r="K183" s="18"/>
      <c r="L183" s="20"/>
      <c r="M183" s="20" t="s">
        <v>39</v>
      </c>
      <c r="N183" s="21" t="s">
        <v>39</v>
      </c>
      <c r="O183" s="199">
        <v>0.175</v>
      </c>
      <c r="P183" s="188" t="s">
        <v>39</v>
      </c>
      <c r="Q183" s="190" t="s">
        <v>39</v>
      </c>
      <c r="R183" s="191" t="s">
        <v>39</v>
      </c>
      <c r="S183" s="190" t="s">
        <v>39</v>
      </c>
      <c r="T183" s="190" t="s">
        <v>39</v>
      </c>
      <c r="U183" s="190" t="s">
        <v>39</v>
      </c>
      <c r="V183" s="194">
        <v>0.035</v>
      </c>
      <c r="W183" s="199">
        <v>0.06</v>
      </c>
      <c r="X183" s="190" t="s">
        <v>1457</v>
      </c>
      <c r="Y183" s="45" t="s">
        <v>39</v>
      </c>
      <c r="Z183" s="45" t="s">
        <v>39</v>
      </c>
      <c r="AA183" s="45" t="s">
        <v>1457</v>
      </c>
      <c r="AB183" s="46" t="s">
        <v>39</v>
      </c>
      <c r="AC183" s="46" t="s">
        <v>39</v>
      </c>
      <c r="AD183" s="189" t="s">
        <v>591</v>
      </c>
      <c r="AE183" s="17" t="s">
        <v>288</v>
      </c>
    </row>
    <row r="184" s="2" customFormat="1" ht="48" hidden="1" customHeight="1" spans="1:31">
      <c r="A184" s="13">
        <v>182</v>
      </c>
      <c r="B184" s="187" t="s">
        <v>658</v>
      </c>
      <c r="C184" s="15" t="s">
        <v>443</v>
      </c>
      <c r="D184" s="15" t="s">
        <v>576</v>
      </c>
      <c r="E184" s="15" t="s">
        <v>577</v>
      </c>
      <c r="F184" s="13" t="s">
        <v>81</v>
      </c>
      <c r="G184" s="16" t="s">
        <v>578</v>
      </c>
      <c r="H184" s="16" t="s">
        <v>284</v>
      </c>
      <c r="I184" s="17" t="s">
        <v>488</v>
      </c>
      <c r="J184" s="45" t="s">
        <v>1508</v>
      </c>
      <c r="K184" s="18"/>
      <c r="L184" s="20"/>
      <c r="M184" s="20" t="s">
        <v>39</v>
      </c>
      <c r="N184" s="21" t="s">
        <v>39</v>
      </c>
      <c r="O184" s="199">
        <v>0.19</v>
      </c>
      <c r="P184" s="188" t="s">
        <v>39</v>
      </c>
      <c r="Q184" s="190" t="s">
        <v>39</v>
      </c>
      <c r="R184" s="191" t="s">
        <v>39</v>
      </c>
      <c r="S184" s="190" t="s">
        <v>39</v>
      </c>
      <c r="T184" s="190" t="s">
        <v>39</v>
      </c>
      <c r="U184" s="190" t="s">
        <v>39</v>
      </c>
      <c r="V184" s="194" t="s">
        <v>39</v>
      </c>
      <c r="W184" s="199">
        <v>0.06</v>
      </c>
      <c r="X184" s="190" t="s">
        <v>1457</v>
      </c>
      <c r="Y184" s="45" t="s">
        <v>39</v>
      </c>
      <c r="Z184" s="45" t="s">
        <v>39</v>
      </c>
      <c r="AA184" s="45" t="s">
        <v>1457</v>
      </c>
      <c r="AB184" s="46" t="s">
        <v>39</v>
      </c>
      <c r="AC184" s="46" t="s">
        <v>39</v>
      </c>
      <c r="AD184" s="189" t="s">
        <v>611</v>
      </c>
      <c r="AE184" s="17" t="s">
        <v>288</v>
      </c>
    </row>
    <row r="185" s="2" customFormat="1" ht="36" hidden="1" customHeight="1" spans="1:31">
      <c r="A185" s="13">
        <v>183</v>
      </c>
      <c r="B185" s="187" t="s">
        <v>661</v>
      </c>
      <c r="C185" s="15" t="s">
        <v>443</v>
      </c>
      <c r="D185" s="15" t="s">
        <v>576</v>
      </c>
      <c r="E185" s="15" t="s">
        <v>577</v>
      </c>
      <c r="F185" s="13" t="s">
        <v>81</v>
      </c>
      <c r="G185" s="16" t="s">
        <v>578</v>
      </c>
      <c r="H185" s="16" t="s">
        <v>322</v>
      </c>
      <c r="I185" s="17" t="s">
        <v>186</v>
      </c>
      <c r="J185" s="18" t="s">
        <v>613</v>
      </c>
      <c r="K185" s="18"/>
      <c r="L185" s="20"/>
      <c r="M185" s="20" t="s">
        <v>39</v>
      </c>
      <c r="N185" s="21" t="s">
        <v>39</v>
      </c>
      <c r="O185" s="199">
        <v>0.145</v>
      </c>
      <c r="P185" s="188" t="s">
        <v>39</v>
      </c>
      <c r="Q185" s="190" t="s">
        <v>39</v>
      </c>
      <c r="R185" s="191" t="s">
        <v>39</v>
      </c>
      <c r="S185" s="190" t="s">
        <v>39</v>
      </c>
      <c r="T185" s="190" t="s">
        <v>39</v>
      </c>
      <c r="U185" s="190" t="s">
        <v>39</v>
      </c>
      <c r="V185" s="194">
        <v>0.035</v>
      </c>
      <c r="W185" s="199">
        <v>0.06</v>
      </c>
      <c r="X185" s="190" t="s">
        <v>1457</v>
      </c>
      <c r="Y185" s="45" t="s">
        <v>39</v>
      </c>
      <c r="Z185" s="45" t="s">
        <v>39</v>
      </c>
      <c r="AA185" s="45" t="s">
        <v>1457</v>
      </c>
      <c r="AB185" s="46" t="s">
        <v>39</v>
      </c>
      <c r="AC185" s="46" t="s">
        <v>39</v>
      </c>
      <c r="AD185" s="189" t="s">
        <v>591</v>
      </c>
      <c r="AE185" s="17" t="s">
        <v>288</v>
      </c>
    </row>
    <row r="186" s="2" customFormat="1" ht="36" hidden="1" customHeight="1" spans="1:31">
      <c r="A186" s="13">
        <v>184</v>
      </c>
      <c r="B186" s="187" t="s">
        <v>664</v>
      </c>
      <c r="C186" s="15" t="s">
        <v>443</v>
      </c>
      <c r="D186" s="15" t="s">
        <v>576</v>
      </c>
      <c r="E186" s="15" t="s">
        <v>577</v>
      </c>
      <c r="F186" s="13" t="s">
        <v>81</v>
      </c>
      <c r="G186" s="16" t="s">
        <v>578</v>
      </c>
      <c r="H186" s="16" t="s">
        <v>329</v>
      </c>
      <c r="I186" s="17" t="s">
        <v>615</v>
      </c>
      <c r="J186" s="18" t="s">
        <v>616</v>
      </c>
      <c r="K186" s="18"/>
      <c r="L186" s="20"/>
      <c r="M186" s="20" t="s">
        <v>39</v>
      </c>
      <c r="N186" s="21" t="s">
        <v>39</v>
      </c>
      <c r="O186" s="199">
        <v>0.145</v>
      </c>
      <c r="P186" s="188" t="s">
        <v>39</v>
      </c>
      <c r="Q186" s="190" t="s">
        <v>39</v>
      </c>
      <c r="R186" s="191" t="s">
        <v>39</v>
      </c>
      <c r="S186" s="190" t="s">
        <v>39</v>
      </c>
      <c r="T186" s="190" t="s">
        <v>39</v>
      </c>
      <c r="U186" s="190" t="s">
        <v>39</v>
      </c>
      <c r="V186" s="194">
        <v>0.035</v>
      </c>
      <c r="W186" s="199">
        <v>0.06</v>
      </c>
      <c r="X186" s="190" t="s">
        <v>1457</v>
      </c>
      <c r="Y186" s="45" t="s">
        <v>39</v>
      </c>
      <c r="Z186" s="45" t="s">
        <v>39</v>
      </c>
      <c r="AA186" s="45" t="s">
        <v>1457</v>
      </c>
      <c r="AB186" s="46" t="s">
        <v>39</v>
      </c>
      <c r="AC186" s="46" t="s">
        <v>39</v>
      </c>
      <c r="AD186" s="189" t="s">
        <v>591</v>
      </c>
      <c r="AE186" s="17" t="s">
        <v>288</v>
      </c>
    </row>
    <row r="187" s="2" customFormat="1" ht="36" hidden="1" customHeight="1" spans="1:31">
      <c r="A187" s="13">
        <v>185</v>
      </c>
      <c r="B187" s="187" t="s">
        <v>667</v>
      </c>
      <c r="C187" s="15" t="s">
        <v>443</v>
      </c>
      <c r="D187" s="15" t="s">
        <v>576</v>
      </c>
      <c r="E187" s="15" t="s">
        <v>577</v>
      </c>
      <c r="F187" s="13" t="s">
        <v>81</v>
      </c>
      <c r="G187" s="16" t="s">
        <v>578</v>
      </c>
      <c r="H187" s="16" t="s">
        <v>333</v>
      </c>
      <c r="I187" s="17" t="s">
        <v>618</v>
      </c>
      <c r="J187" s="18" t="s">
        <v>619</v>
      </c>
      <c r="K187" s="18"/>
      <c r="L187" s="20"/>
      <c r="M187" s="20" t="s">
        <v>39</v>
      </c>
      <c r="N187" s="21" t="s">
        <v>39</v>
      </c>
      <c r="O187" s="199">
        <v>0.145</v>
      </c>
      <c r="P187" s="188" t="s">
        <v>39</v>
      </c>
      <c r="Q187" s="190" t="s">
        <v>39</v>
      </c>
      <c r="R187" s="191" t="s">
        <v>39</v>
      </c>
      <c r="S187" s="190" t="s">
        <v>39</v>
      </c>
      <c r="T187" s="190" t="s">
        <v>39</v>
      </c>
      <c r="U187" s="190" t="s">
        <v>39</v>
      </c>
      <c r="V187" s="194">
        <v>0.035</v>
      </c>
      <c r="W187" s="199">
        <v>0.06</v>
      </c>
      <c r="X187" s="190" t="s">
        <v>1457</v>
      </c>
      <c r="Y187" s="45" t="s">
        <v>39</v>
      </c>
      <c r="Z187" s="45" t="s">
        <v>39</v>
      </c>
      <c r="AA187" s="45" t="s">
        <v>1457</v>
      </c>
      <c r="AB187" s="46" t="s">
        <v>39</v>
      </c>
      <c r="AC187" s="46" t="s">
        <v>39</v>
      </c>
      <c r="AD187" s="189" t="s">
        <v>591</v>
      </c>
      <c r="AE187" s="17" t="s">
        <v>288</v>
      </c>
    </row>
    <row r="188" s="2" customFormat="1" ht="36" hidden="1" customHeight="1" spans="1:31">
      <c r="A188" s="13">
        <v>186</v>
      </c>
      <c r="B188" s="187" t="s">
        <v>669</v>
      </c>
      <c r="C188" s="15" t="s">
        <v>443</v>
      </c>
      <c r="D188" s="15" t="s">
        <v>576</v>
      </c>
      <c r="E188" s="15" t="s">
        <v>577</v>
      </c>
      <c r="F188" s="13" t="s">
        <v>81</v>
      </c>
      <c r="G188" s="16" t="s">
        <v>578</v>
      </c>
      <c r="H188" s="16" t="s">
        <v>621</v>
      </c>
      <c r="I188" s="17" t="s">
        <v>485</v>
      </c>
      <c r="J188" s="18" t="s">
        <v>622</v>
      </c>
      <c r="K188" s="18"/>
      <c r="L188" s="20"/>
      <c r="M188" s="20" t="s">
        <v>39</v>
      </c>
      <c r="N188" s="21" t="s">
        <v>39</v>
      </c>
      <c r="O188" s="199">
        <v>0.165</v>
      </c>
      <c r="P188" s="188" t="s">
        <v>39</v>
      </c>
      <c r="Q188" s="190" t="s">
        <v>39</v>
      </c>
      <c r="R188" s="191" t="s">
        <v>39</v>
      </c>
      <c r="S188" s="190" t="s">
        <v>39</v>
      </c>
      <c r="T188" s="190" t="s">
        <v>39</v>
      </c>
      <c r="U188" s="190" t="s">
        <v>39</v>
      </c>
      <c r="V188" s="194">
        <v>0.035</v>
      </c>
      <c r="W188" s="199">
        <v>0.06</v>
      </c>
      <c r="X188" s="190" t="s">
        <v>1457</v>
      </c>
      <c r="Y188" s="45" t="s">
        <v>39</v>
      </c>
      <c r="Z188" s="45" t="s">
        <v>39</v>
      </c>
      <c r="AA188" s="45" t="s">
        <v>1457</v>
      </c>
      <c r="AB188" s="46" t="s">
        <v>39</v>
      </c>
      <c r="AC188" s="46" t="s">
        <v>39</v>
      </c>
      <c r="AD188" s="189" t="s">
        <v>591</v>
      </c>
      <c r="AE188" s="17" t="s">
        <v>288</v>
      </c>
    </row>
    <row r="189" s="2" customFormat="1" ht="36" hidden="1" customHeight="1" spans="1:31">
      <c r="A189" s="13">
        <v>187</v>
      </c>
      <c r="B189" s="187" t="s">
        <v>672</v>
      </c>
      <c r="C189" s="15" t="s">
        <v>443</v>
      </c>
      <c r="D189" s="15" t="s">
        <v>576</v>
      </c>
      <c r="E189" s="15" t="s">
        <v>577</v>
      </c>
      <c r="F189" s="13" t="s">
        <v>81</v>
      </c>
      <c r="G189" s="16" t="s">
        <v>578</v>
      </c>
      <c r="H189" s="16" t="s">
        <v>624</v>
      </c>
      <c r="I189" s="17" t="s">
        <v>625</v>
      </c>
      <c r="J189" s="18" t="s">
        <v>626</v>
      </c>
      <c r="K189" s="18"/>
      <c r="L189" s="20"/>
      <c r="M189" s="20" t="s">
        <v>39</v>
      </c>
      <c r="N189" s="21" t="s">
        <v>39</v>
      </c>
      <c r="O189" s="199">
        <v>0.165</v>
      </c>
      <c r="P189" s="188" t="s">
        <v>39</v>
      </c>
      <c r="Q189" s="190" t="s">
        <v>39</v>
      </c>
      <c r="R189" s="191" t="s">
        <v>39</v>
      </c>
      <c r="S189" s="190" t="s">
        <v>39</v>
      </c>
      <c r="T189" s="190" t="s">
        <v>39</v>
      </c>
      <c r="U189" s="190" t="s">
        <v>39</v>
      </c>
      <c r="V189" s="194">
        <v>0.035</v>
      </c>
      <c r="W189" s="199">
        <v>0.06</v>
      </c>
      <c r="X189" s="190" t="s">
        <v>1457</v>
      </c>
      <c r="Y189" s="45" t="s">
        <v>39</v>
      </c>
      <c r="Z189" s="45" t="s">
        <v>39</v>
      </c>
      <c r="AA189" s="45" t="s">
        <v>1457</v>
      </c>
      <c r="AB189" s="46" t="s">
        <v>39</v>
      </c>
      <c r="AC189" s="46" t="s">
        <v>39</v>
      </c>
      <c r="AD189" s="189" t="s">
        <v>591</v>
      </c>
      <c r="AE189" s="17" t="s">
        <v>288</v>
      </c>
    </row>
    <row r="190" s="2" customFormat="1" ht="48" hidden="1" customHeight="1" spans="1:31">
      <c r="A190" s="13">
        <v>188</v>
      </c>
      <c r="B190" s="187" t="s">
        <v>675</v>
      </c>
      <c r="C190" s="15" t="s">
        <v>443</v>
      </c>
      <c r="D190" s="15" t="s">
        <v>576</v>
      </c>
      <c r="E190" s="15" t="s">
        <v>577</v>
      </c>
      <c r="F190" s="13" t="s">
        <v>81</v>
      </c>
      <c r="G190" s="16" t="s">
        <v>578</v>
      </c>
      <c r="H190" s="16" t="s">
        <v>628</v>
      </c>
      <c r="I190" s="17" t="s">
        <v>144</v>
      </c>
      <c r="J190" s="45" t="s">
        <v>479</v>
      </c>
      <c r="K190" s="18"/>
      <c r="L190" s="20"/>
      <c r="M190" s="20" t="s">
        <v>39</v>
      </c>
      <c r="N190" s="21" t="s">
        <v>39</v>
      </c>
      <c r="O190" s="199">
        <v>0.155</v>
      </c>
      <c r="P190" s="188" t="s">
        <v>39</v>
      </c>
      <c r="Q190" s="190" t="s">
        <v>39</v>
      </c>
      <c r="R190" s="191" t="s">
        <v>39</v>
      </c>
      <c r="S190" s="190" t="s">
        <v>39</v>
      </c>
      <c r="T190" s="190" t="s">
        <v>39</v>
      </c>
      <c r="U190" s="190" t="s">
        <v>39</v>
      </c>
      <c r="V190" s="194">
        <v>0.035</v>
      </c>
      <c r="W190" s="199">
        <v>0.06</v>
      </c>
      <c r="X190" s="190" t="s">
        <v>1457</v>
      </c>
      <c r="Y190" s="45" t="s">
        <v>39</v>
      </c>
      <c r="Z190" s="45" t="s">
        <v>39</v>
      </c>
      <c r="AA190" s="45" t="s">
        <v>1457</v>
      </c>
      <c r="AB190" s="46" t="s">
        <v>39</v>
      </c>
      <c r="AC190" s="46" t="s">
        <v>39</v>
      </c>
      <c r="AD190" s="189" t="s">
        <v>630</v>
      </c>
      <c r="AE190" s="17" t="s">
        <v>288</v>
      </c>
    </row>
    <row r="191" s="2" customFormat="1" ht="36" hidden="1" customHeight="1" spans="1:31">
      <c r="A191" s="13">
        <v>189</v>
      </c>
      <c r="B191" s="187" t="s">
        <v>678</v>
      </c>
      <c r="C191" s="15" t="s">
        <v>443</v>
      </c>
      <c r="D191" s="15" t="s">
        <v>576</v>
      </c>
      <c r="E191" s="15" t="s">
        <v>577</v>
      </c>
      <c r="F191" s="13" t="s">
        <v>81</v>
      </c>
      <c r="G191" s="16" t="s">
        <v>578</v>
      </c>
      <c r="H191" s="16" t="s">
        <v>632</v>
      </c>
      <c r="I191" s="17" t="s">
        <v>214</v>
      </c>
      <c r="J191" s="45" t="s">
        <v>1509</v>
      </c>
      <c r="K191" s="18"/>
      <c r="L191" s="20"/>
      <c r="M191" s="20" t="s">
        <v>39</v>
      </c>
      <c r="N191" s="21" t="s">
        <v>39</v>
      </c>
      <c r="O191" s="199">
        <v>0.155</v>
      </c>
      <c r="P191" s="188" t="s">
        <v>39</v>
      </c>
      <c r="Q191" s="190" t="s">
        <v>39</v>
      </c>
      <c r="R191" s="191" t="s">
        <v>39</v>
      </c>
      <c r="S191" s="190" t="s">
        <v>39</v>
      </c>
      <c r="T191" s="190" t="s">
        <v>39</v>
      </c>
      <c r="U191" s="190" t="s">
        <v>39</v>
      </c>
      <c r="V191" s="194">
        <v>0.035</v>
      </c>
      <c r="W191" s="199">
        <v>0.06</v>
      </c>
      <c r="X191" s="190" t="s">
        <v>1457</v>
      </c>
      <c r="Y191" s="45" t="s">
        <v>39</v>
      </c>
      <c r="Z191" s="45" t="s">
        <v>39</v>
      </c>
      <c r="AA191" s="45" t="s">
        <v>1457</v>
      </c>
      <c r="AB191" s="46" t="s">
        <v>39</v>
      </c>
      <c r="AC191" s="46" t="s">
        <v>39</v>
      </c>
      <c r="AD191" s="189" t="s">
        <v>591</v>
      </c>
      <c r="AE191" s="17" t="s">
        <v>288</v>
      </c>
    </row>
    <row r="192" s="2" customFormat="1" ht="36" hidden="1" customHeight="1" spans="1:31">
      <c r="A192" s="13">
        <v>190</v>
      </c>
      <c r="B192" s="187" t="s">
        <v>681</v>
      </c>
      <c r="C192" s="15" t="s">
        <v>443</v>
      </c>
      <c r="D192" s="15" t="s">
        <v>576</v>
      </c>
      <c r="E192" s="15" t="s">
        <v>577</v>
      </c>
      <c r="F192" s="13" t="s">
        <v>81</v>
      </c>
      <c r="G192" s="16" t="s">
        <v>578</v>
      </c>
      <c r="H192" s="16" t="s">
        <v>635</v>
      </c>
      <c r="I192" s="17" t="s">
        <v>636</v>
      </c>
      <c r="J192" s="45" t="s">
        <v>1510</v>
      </c>
      <c r="K192" s="18"/>
      <c r="L192" s="20"/>
      <c r="M192" s="20" t="s">
        <v>39</v>
      </c>
      <c r="N192" s="21" t="s">
        <v>39</v>
      </c>
      <c r="O192" s="199">
        <v>0.135</v>
      </c>
      <c r="P192" s="188" t="s">
        <v>39</v>
      </c>
      <c r="Q192" s="190" t="s">
        <v>39</v>
      </c>
      <c r="R192" s="191" t="s">
        <v>39</v>
      </c>
      <c r="S192" s="190" t="s">
        <v>39</v>
      </c>
      <c r="T192" s="190" t="s">
        <v>39</v>
      </c>
      <c r="U192" s="190" t="s">
        <v>39</v>
      </c>
      <c r="V192" s="194">
        <v>0.035</v>
      </c>
      <c r="W192" s="199">
        <v>0.06</v>
      </c>
      <c r="X192" s="190" t="s">
        <v>1457</v>
      </c>
      <c r="Y192" s="45" t="s">
        <v>39</v>
      </c>
      <c r="Z192" s="45" t="s">
        <v>39</v>
      </c>
      <c r="AA192" s="45" t="s">
        <v>1457</v>
      </c>
      <c r="AB192" s="46" t="s">
        <v>39</v>
      </c>
      <c r="AC192" s="46" t="s">
        <v>39</v>
      </c>
      <c r="AD192" s="189" t="s">
        <v>591</v>
      </c>
      <c r="AE192" s="17" t="s">
        <v>288</v>
      </c>
    </row>
    <row r="193" s="2" customFormat="1" ht="12" hidden="1" customHeight="1" spans="1:31">
      <c r="A193" s="13">
        <v>191</v>
      </c>
      <c r="B193" s="187" t="s">
        <v>682</v>
      </c>
      <c r="C193" s="15" t="s">
        <v>443</v>
      </c>
      <c r="D193" s="15" t="s">
        <v>639</v>
      </c>
      <c r="E193" s="15" t="s">
        <v>640</v>
      </c>
      <c r="F193" s="13" t="s">
        <v>37</v>
      </c>
      <c r="G193" s="16" t="s">
        <v>178</v>
      </c>
      <c r="H193" s="16" t="s">
        <v>39</v>
      </c>
      <c r="I193" s="43" t="s">
        <v>39</v>
      </c>
      <c r="J193" s="16" t="s">
        <v>39</v>
      </c>
      <c r="K193" s="16"/>
      <c r="L193" s="20"/>
      <c r="M193" s="20" t="s">
        <v>39</v>
      </c>
      <c r="N193" s="21" t="s">
        <v>39</v>
      </c>
      <c r="O193" s="188" t="s">
        <v>39</v>
      </c>
      <c r="P193" s="188"/>
      <c r="Q193" s="188" t="s">
        <v>39</v>
      </c>
      <c r="R193" s="188"/>
      <c r="S193" s="188" t="s">
        <v>39</v>
      </c>
      <c r="T193" s="188" t="s">
        <v>39</v>
      </c>
      <c r="U193" s="188" t="s">
        <v>39</v>
      </c>
      <c r="V193" s="188"/>
      <c r="W193" s="188"/>
      <c r="X193" s="188" t="s">
        <v>39</v>
      </c>
      <c r="Y193" s="45"/>
      <c r="Z193" s="45"/>
      <c r="AA193" s="45"/>
      <c r="AB193" s="46">
        <v>0.05</v>
      </c>
      <c r="AC193" s="46" t="s">
        <v>39</v>
      </c>
      <c r="AD193" s="17"/>
      <c r="AE193" s="17"/>
    </row>
    <row r="194" s="2" customFormat="1" ht="24" hidden="1" customHeight="1" spans="1:31">
      <c r="A194" s="13">
        <v>192</v>
      </c>
      <c r="B194" s="187" t="s">
        <v>685</v>
      </c>
      <c r="C194" s="15" t="s">
        <v>443</v>
      </c>
      <c r="D194" s="15" t="s">
        <v>639</v>
      </c>
      <c r="E194" s="15" t="s">
        <v>640</v>
      </c>
      <c r="F194" s="13" t="s">
        <v>81</v>
      </c>
      <c r="G194" s="16" t="s">
        <v>178</v>
      </c>
      <c r="H194" s="18" t="s">
        <v>39</v>
      </c>
      <c r="I194" s="43" t="s">
        <v>589</v>
      </c>
      <c r="J194" s="16" t="s">
        <v>642</v>
      </c>
      <c r="K194" s="16"/>
      <c r="L194" s="20"/>
      <c r="M194" s="20" t="s">
        <v>39</v>
      </c>
      <c r="N194" s="21">
        <v>2352000</v>
      </c>
      <c r="O194" s="196">
        <v>0.15</v>
      </c>
      <c r="P194" s="188">
        <v>0.01</v>
      </c>
      <c r="Q194" s="188" t="s">
        <v>39</v>
      </c>
      <c r="R194" s="188">
        <v>0.04</v>
      </c>
      <c r="S194" s="188">
        <v>0.03</v>
      </c>
      <c r="T194" s="188">
        <v>0.01</v>
      </c>
      <c r="U194" s="188">
        <v>0.01</v>
      </c>
      <c r="V194" s="45">
        <v>0</v>
      </c>
      <c r="W194" s="45">
        <v>0</v>
      </c>
      <c r="X194" s="45" t="s">
        <v>1457</v>
      </c>
      <c r="Y194" s="45" t="s">
        <v>39</v>
      </c>
      <c r="Z194" s="45" t="s">
        <v>39</v>
      </c>
      <c r="AA194" s="45" t="s">
        <v>1457</v>
      </c>
      <c r="AB194" s="46" t="s">
        <v>39</v>
      </c>
      <c r="AC194" s="46" t="s">
        <v>39</v>
      </c>
      <c r="AD194" s="17" t="s">
        <v>643</v>
      </c>
      <c r="AE194" s="17" t="s">
        <v>644</v>
      </c>
    </row>
    <row r="195" s="2" customFormat="1" ht="36" hidden="1" customHeight="1" spans="1:31">
      <c r="A195" s="13">
        <v>193</v>
      </c>
      <c r="B195" s="187" t="s">
        <v>688</v>
      </c>
      <c r="C195" s="15" t="s">
        <v>443</v>
      </c>
      <c r="D195" s="15" t="s">
        <v>639</v>
      </c>
      <c r="E195" s="15" t="s">
        <v>640</v>
      </c>
      <c r="F195" s="13" t="s">
        <v>81</v>
      </c>
      <c r="G195" s="16" t="s">
        <v>178</v>
      </c>
      <c r="H195" s="18" t="s">
        <v>39</v>
      </c>
      <c r="I195" s="43" t="s">
        <v>647</v>
      </c>
      <c r="J195" s="16" t="s">
        <v>648</v>
      </c>
      <c r="K195" s="16"/>
      <c r="L195" s="20"/>
      <c r="M195" s="20" t="s">
        <v>39</v>
      </c>
      <c r="N195" s="21">
        <v>2280000</v>
      </c>
      <c r="O195" s="188" t="s">
        <v>1511</v>
      </c>
      <c r="P195" s="188">
        <v>0.01</v>
      </c>
      <c r="Q195" s="188" t="s">
        <v>39</v>
      </c>
      <c r="R195" s="188">
        <v>0.04</v>
      </c>
      <c r="S195" s="188">
        <v>0.03</v>
      </c>
      <c r="T195" s="188">
        <v>0.01</v>
      </c>
      <c r="U195" s="188">
        <v>0.01</v>
      </c>
      <c r="V195" s="45">
        <v>0</v>
      </c>
      <c r="W195" s="45">
        <v>0</v>
      </c>
      <c r="X195" s="45" t="s">
        <v>1457</v>
      </c>
      <c r="Y195" s="45" t="s">
        <v>39</v>
      </c>
      <c r="Z195" s="45" t="s">
        <v>39</v>
      </c>
      <c r="AA195" s="45" t="s">
        <v>1457</v>
      </c>
      <c r="AB195" s="46" t="s">
        <v>39</v>
      </c>
      <c r="AC195" s="46" t="s">
        <v>39</v>
      </c>
      <c r="AD195" s="17" t="s">
        <v>650</v>
      </c>
      <c r="AE195" s="17" t="s">
        <v>651</v>
      </c>
    </row>
    <row r="196" s="2" customFormat="1" ht="36" hidden="1" customHeight="1" spans="1:31">
      <c r="A196" s="13">
        <v>194</v>
      </c>
      <c r="B196" s="187" t="s">
        <v>691</v>
      </c>
      <c r="C196" s="15" t="s">
        <v>443</v>
      </c>
      <c r="D196" s="15" t="s">
        <v>639</v>
      </c>
      <c r="E196" s="15" t="s">
        <v>640</v>
      </c>
      <c r="F196" s="13" t="s">
        <v>81</v>
      </c>
      <c r="G196" s="16" t="s">
        <v>178</v>
      </c>
      <c r="H196" s="18" t="s">
        <v>39</v>
      </c>
      <c r="I196" s="43" t="s">
        <v>653</v>
      </c>
      <c r="J196" s="16" t="s">
        <v>654</v>
      </c>
      <c r="K196" s="16"/>
      <c r="L196" s="20"/>
      <c r="M196" s="20" t="s">
        <v>39</v>
      </c>
      <c r="N196" s="21">
        <v>816000</v>
      </c>
      <c r="O196" s="188" t="s">
        <v>1511</v>
      </c>
      <c r="P196" s="188">
        <v>0.01</v>
      </c>
      <c r="Q196" s="188" t="s">
        <v>39</v>
      </c>
      <c r="R196" s="188">
        <v>0.04</v>
      </c>
      <c r="S196" s="188">
        <v>0.03</v>
      </c>
      <c r="T196" s="188">
        <v>0.01</v>
      </c>
      <c r="U196" s="188">
        <v>0.01</v>
      </c>
      <c r="V196" s="45">
        <v>0</v>
      </c>
      <c r="W196" s="45">
        <v>0</v>
      </c>
      <c r="X196" s="45" t="s">
        <v>1457</v>
      </c>
      <c r="Y196" s="45" t="s">
        <v>39</v>
      </c>
      <c r="Z196" s="45" t="s">
        <v>39</v>
      </c>
      <c r="AA196" s="45" t="s">
        <v>1457</v>
      </c>
      <c r="AB196" s="46" t="s">
        <v>39</v>
      </c>
      <c r="AC196" s="46" t="s">
        <v>39</v>
      </c>
      <c r="AD196" s="17" t="s">
        <v>650</v>
      </c>
      <c r="AE196" s="17" t="s">
        <v>651</v>
      </c>
    </row>
    <row r="197" s="2" customFormat="1" ht="24" hidden="1" customHeight="1" spans="1:31">
      <c r="A197" s="13">
        <v>195</v>
      </c>
      <c r="B197" s="187" t="s">
        <v>694</v>
      </c>
      <c r="C197" s="15" t="s">
        <v>443</v>
      </c>
      <c r="D197" s="15" t="s">
        <v>639</v>
      </c>
      <c r="E197" s="15" t="s">
        <v>640</v>
      </c>
      <c r="F197" s="13" t="s">
        <v>81</v>
      </c>
      <c r="G197" s="16" t="s">
        <v>178</v>
      </c>
      <c r="H197" s="18" t="s">
        <v>39</v>
      </c>
      <c r="I197" s="43" t="s">
        <v>656</v>
      </c>
      <c r="J197" s="16" t="s">
        <v>657</v>
      </c>
      <c r="K197" s="16"/>
      <c r="L197" s="20"/>
      <c r="M197" s="20" t="s">
        <v>39</v>
      </c>
      <c r="N197" s="21">
        <v>700800</v>
      </c>
      <c r="O197" s="188">
        <v>0.1</v>
      </c>
      <c r="P197" s="188">
        <v>0.01</v>
      </c>
      <c r="Q197" s="188" t="s">
        <v>39</v>
      </c>
      <c r="R197" s="188">
        <v>0.04</v>
      </c>
      <c r="S197" s="188">
        <v>0.03</v>
      </c>
      <c r="T197" s="188">
        <v>0.01</v>
      </c>
      <c r="U197" s="188">
        <v>0.01</v>
      </c>
      <c r="V197" s="45" t="s">
        <v>1457</v>
      </c>
      <c r="W197" s="45" t="s">
        <v>1457</v>
      </c>
      <c r="X197" s="45" t="s">
        <v>1457</v>
      </c>
      <c r="Y197" s="45" t="s">
        <v>39</v>
      </c>
      <c r="Z197" s="45" t="s">
        <v>39</v>
      </c>
      <c r="AA197" s="45" t="s">
        <v>1457</v>
      </c>
      <c r="AB197" s="46" t="s">
        <v>39</v>
      </c>
      <c r="AC197" s="46" t="s">
        <v>39</v>
      </c>
      <c r="AD197" s="17" t="s">
        <v>643</v>
      </c>
      <c r="AE197" s="17" t="s">
        <v>644</v>
      </c>
    </row>
    <row r="198" s="2" customFormat="1" ht="24" hidden="1" customHeight="1" spans="1:31">
      <c r="A198" s="13">
        <v>196</v>
      </c>
      <c r="B198" s="187" t="s">
        <v>697</v>
      </c>
      <c r="C198" s="15" t="s">
        <v>443</v>
      </c>
      <c r="D198" s="15" t="s">
        <v>639</v>
      </c>
      <c r="E198" s="15" t="s">
        <v>640</v>
      </c>
      <c r="F198" s="13" t="s">
        <v>81</v>
      </c>
      <c r="G198" s="16" t="s">
        <v>178</v>
      </c>
      <c r="H198" s="18" t="s">
        <v>39</v>
      </c>
      <c r="I198" s="43" t="s">
        <v>659</v>
      </c>
      <c r="J198" s="16" t="s">
        <v>660</v>
      </c>
      <c r="K198" s="16"/>
      <c r="L198" s="20"/>
      <c r="M198" s="20" t="s">
        <v>39</v>
      </c>
      <c r="N198" s="21">
        <v>720000</v>
      </c>
      <c r="O198" s="196">
        <v>0.1</v>
      </c>
      <c r="P198" s="188">
        <v>0.01</v>
      </c>
      <c r="Q198" s="188" t="s">
        <v>39</v>
      </c>
      <c r="R198" s="188">
        <v>0.04</v>
      </c>
      <c r="S198" s="188">
        <v>0.03</v>
      </c>
      <c r="T198" s="188">
        <v>0.01</v>
      </c>
      <c r="U198" s="188">
        <v>0.01</v>
      </c>
      <c r="V198" s="45" t="s">
        <v>1457</v>
      </c>
      <c r="W198" s="45" t="s">
        <v>1457</v>
      </c>
      <c r="X198" s="45" t="s">
        <v>1457</v>
      </c>
      <c r="Y198" s="45" t="s">
        <v>39</v>
      </c>
      <c r="Z198" s="45" t="s">
        <v>39</v>
      </c>
      <c r="AA198" s="45" t="s">
        <v>1457</v>
      </c>
      <c r="AB198" s="46" t="s">
        <v>39</v>
      </c>
      <c r="AC198" s="46" t="s">
        <v>39</v>
      </c>
      <c r="AD198" s="17" t="s">
        <v>643</v>
      </c>
      <c r="AE198" s="17" t="s">
        <v>644</v>
      </c>
    </row>
    <row r="199" s="2" customFormat="1" ht="24" hidden="1" customHeight="1" spans="1:31">
      <c r="A199" s="13">
        <v>197</v>
      </c>
      <c r="B199" s="187" t="s">
        <v>699</v>
      </c>
      <c r="C199" s="15" t="s">
        <v>443</v>
      </c>
      <c r="D199" s="15" t="s">
        <v>639</v>
      </c>
      <c r="E199" s="15" t="s">
        <v>640</v>
      </c>
      <c r="F199" s="13" t="s">
        <v>81</v>
      </c>
      <c r="G199" s="16" t="s">
        <v>178</v>
      </c>
      <c r="H199" s="18" t="s">
        <v>39</v>
      </c>
      <c r="I199" s="43" t="s">
        <v>662</v>
      </c>
      <c r="J199" s="16" t="s">
        <v>663</v>
      </c>
      <c r="K199" s="16"/>
      <c r="L199" s="20"/>
      <c r="M199" s="20" t="s">
        <v>39</v>
      </c>
      <c r="N199" s="21">
        <v>960000</v>
      </c>
      <c r="O199" s="196">
        <v>0.1</v>
      </c>
      <c r="P199" s="188">
        <v>0.01</v>
      </c>
      <c r="Q199" s="188" t="s">
        <v>39</v>
      </c>
      <c r="R199" s="188">
        <v>0.04</v>
      </c>
      <c r="S199" s="188">
        <v>0.03</v>
      </c>
      <c r="T199" s="188">
        <v>0.01</v>
      </c>
      <c r="U199" s="188">
        <v>0.01</v>
      </c>
      <c r="V199" s="45" t="s">
        <v>1457</v>
      </c>
      <c r="W199" s="45" t="s">
        <v>1457</v>
      </c>
      <c r="X199" s="45" t="s">
        <v>1457</v>
      </c>
      <c r="Y199" s="45" t="s">
        <v>39</v>
      </c>
      <c r="Z199" s="45" t="s">
        <v>39</v>
      </c>
      <c r="AA199" s="188" t="s">
        <v>1457</v>
      </c>
      <c r="AB199" s="46" t="s">
        <v>39</v>
      </c>
      <c r="AC199" s="46" t="s">
        <v>39</v>
      </c>
      <c r="AD199" s="17" t="s">
        <v>643</v>
      </c>
      <c r="AE199" s="17" t="s">
        <v>644</v>
      </c>
    </row>
    <row r="200" s="2" customFormat="1" ht="24" hidden="1" customHeight="1" spans="1:31">
      <c r="A200" s="13">
        <v>198</v>
      </c>
      <c r="B200" s="187" t="s">
        <v>702</v>
      </c>
      <c r="C200" s="15" t="s">
        <v>443</v>
      </c>
      <c r="D200" s="15" t="s">
        <v>639</v>
      </c>
      <c r="E200" s="15" t="s">
        <v>640</v>
      </c>
      <c r="F200" s="13" t="s">
        <v>81</v>
      </c>
      <c r="G200" s="16" t="s">
        <v>178</v>
      </c>
      <c r="H200" s="18" t="s">
        <v>39</v>
      </c>
      <c r="I200" s="43" t="s">
        <v>665</v>
      </c>
      <c r="J200" s="16" t="s">
        <v>666</v>
      </c>
      <c r="K200" s="16"/>
      <c r="L200" s="20"/>
      <c r="M200" s="20" t="s">
        <v>39</v>
      </c>
      <c r="N200" s="21">
        <v>1032000</v>
      </c>
      <c r="O200" s="194">
        <v>0.1</v>
      </c>
      <c r="P200" s="188">
        <v>0.01</v>
      </c>
      <c r="Q200" s="45" t="s">
        <v>39</v>
      </c>
      <c r="R200" s="188">
        <v>0.04</v>
      </c>
      <c r="S200" s="188">
        <v>0.03</v>
      </c>
      <c r="T200" s="188">
        <v>0.01</v>
      </c>
      <c r="U200" s="188">
        <v>0.01</v>
      </c>
      <c r="V200" s="45" t="s">
        <v>1457</v>
      </c>
      <c r="W200" s="45" t="s">
        <v>1457</v>
      </c>
      <c r="X200" s="45" t="s">
        <v>1457</v>
      </c>
      <c r="Y200" s="45" t="s">
        <v>39</v>
      </c>
      <c r="Z200" s="45" t="s">
        <v>39</v>
      </c>
      <c r="AA200" s="45" t="s">
        <v>1457</v>
      </c>
      <c r="AB200" s="46" t="s">
        <v>39</v>
      </c>
      <c r="AC200" s="46" t="s">
        <v>39</v>
      </c>
      <c r="AD200" s="17" t="s">
        <v>643</v>
      </c>
      <c r="AE200" s="17" t="s">
        <v>644</v>
      </c>
    </row>
    <row r="201" s="2" customFormat="1" ht="24" hidden="1" customHeight="1" spans="1:31">
      <c r="A201" s="13">
        <v>199</v>
      </c>
      <c r="B201" s="187" t="s">
        <v>705</v>
      </c>
      <c r="C201" s="15" t="s">
        <v>443</v>
      </c>
      <c r="D201" s="15" t="s">
        <v>639</v>
      </c>
      <c r="E201" s="15" t="s">
        <v>640</v>
      </c>
      <c r="F201" s="13" t="s">
        <v>81</v>
      </c>
      <c r="G201" s="16" t="s">
        <v>178</v>
      </c>
      <c r="H201" s="18" t="s">
        <v>39</v>
      </c>
      <c r="I201" s="43" t="s">
        <v>530</v>
      </c>
      <c r="J201" s="16" t="s">
        <v>668</v>
      </c>
      <c r="K201" s="16"/>
      <c r="L201" s="20"/>
      <c r="M201" s="20" t="s">
        <v>39</v>
      </c>
      <c r="N201" s="21">
        <v>912000</v>
      </c>
      <c r="O201" s="194">
        <v>0.1</v>
      </c>
      <c r="P201" s="188">
        <v>0.01</v>
      </c>
      <c r="Q201" s="45" t="s">
        <v>39</v>
      </c>
      <c r="R201" s="188">
        <v>0.04</v>
      </c>
      <c r="S201" s="188">
        <v>0.03</v>
      </c>
      <c r="T201" s="188">
        <v>0.01</v>
      </c>
      <c r="U201" s="188">
        <v>0.01</v>
      </c>
      <c r="V201" s="45" t="s">
        <v>1457</v>
      </c>
      <c r="W201" s="45" t="s">
        <v>1457</v>
      </c>
      <c r="X201" s="45" t="s">
        <v>1457</v>
      </c>
      <c r="Y201" s="45" t="s">
        <v>39</v>
      </c>
      <c r="Z201" s="45" t="s">
        <v>39</v>
      </c>
      <c r="AA201" s="45" t="s">
        <v>1457</v>
      </c>
      <c r="AB201" s="46" t="s">
        <v>39</v>
      </c>
      <c r="AC201" s="46" t="s">
        <v>39</v>
      </c>
      <c r="AD201" s="17" t="s">
        <v>643</v>
      </c>
      <c r="AE201" s="17" t="s">
        <v>644</v>
      </c>
    </row>
    <row r="202" s="2" customFormat="1" ht="24" hidden="1" customHeight="1" spans="1:31">
      <c r="A202" s="13">
        <v>200</v>
      </c>
      <c r="B202" s="187" t="s">
        <v>708</v>
      </c>
      <c r="C202" s="15" t="s">
        <v>443</v>
      </c>
      <c r="D202" s="15" t="s">
        <v>639</v>
      </c>
      <c r="E202" s="15" t="s">
        <v>640</v>
      </c>
      <c r="F202" s="13" t="s">
        <v>81</v>
      </c>
      <c r="G202" s="16" t="s">
        <v>178</v>
      </c>
      <c r="H202" s="18" t="s">
        <v>39</v>
      </c>
      <c r="I202" s="43" t="s">
        <v>670</v>
      </c>
      <c r="J202" s="16" t="s">
        <v>671</v>
      </c>
      <c r="K202" s="16"/>
      <c r="L202" s="20"/>
      <c r="M202" s="20" t="s">
        <v>39</v>
      </c>
      <c r="N202" s="21">
        <v>792000</v>
      </c>
      <c r="O202" s="194">
        <v>0.1</v>
      </c>
      <c r="P202" s="188">
        <v>0.01</v>
      </c>
      <c r="Q202" s="45" t="s">
        <v>39</v>
      </c>
      <c r="R202" s="188">
        <v>0.04</v>
      </c>
      <c r="S202" s="188">
        <v>0.03</v>
      </c>
      <c r="T202" s="188">
        <v>0.01</v>
      </c>
      <c r="U202" s="188">
        <v>0.01</v>
      </c>
      <c r="V202" s="45" t="s">
        <v>1457</v>
      </c>
      <c r="W202" s="45" t="s">
        <v>1457</v>
      </c>
      <c r="X202" s="45" t="s">
        <v>1457</v>
      </c>
      <c r="Y202" s="45" t="s">
        <v>39</v>
      </c>
      <c r="Z202" s="45" t="s">
        <v>39</v>
      </c>
      <c r="AA202" s="45" t="s">
        <v>1457</v>
      </c>
      <c r="AB202" s="46" t="s">
        <v>39</v>
      </c>
      <c r="AC202" s="46" t="s">
        <v>39</v>
      </c>
      <c r="AD202" s="17" t="s">
        <v>643</v>
      </c>
      <c r="AE202" s="17" t="s">
        <v>644</v>
      </c>
    </row>
    <row r="203" s="2" customFormat="1" ht="24" hidden="1" customHeight="1" spans="1:31">
      <c r="A203" s="13">
        <v>201</v>
      </c>
      <c r="B203" s="187" t="s">
        <v>711</v>
      </c>
      <c r="C203" s="15" t="s">
        <v>443</v>
      </c>
      <c r="D203" s="15" t="s">
        <v>639</v>
      </c>
      <c r="E203" s="15" t="s">
        <v>640</v>
      </c>
      <c r="F203" s="13" t="s">
        <v>81</v>
      </c>
      <c r="G203" s="16" t="s">
        <v>178</v>
      </c>
      <c r="H203" s="18" t="s">
        <v>39</v>
      </c>
      <c r="I203" s="43" t="s">
        <v>673</v>
      </c>
      <c r="J203" s="16" t="s">
        <v>674</v>
      </c>
      <c r="K203" s="16"/>
      <c r="L203" s="20"/>
      <c r="M203" s="20" t="s">
        <v>39</v>
      </c>
      <c r="N203" s="21">
        <v>840000</v>
      </c>
      <c r="O203" s="194">
        <v>0.1</v>
      </c>
      <c r="P203" s="188">
        <v>0.01</v>
      </c>
      <c r="Q203" s="45" t="s">
        <v>39</v>
      </c>
      <c r="R203" s="188">
        <v>0.04</v>
      </c>
      <c r="S203" s="188">
        <v>0.03</v>
      </c>
      <c r="T203" s="188">
        <v>0.01</v>
      </c>
      <c r="U203" s="188">
        <v>0.01</v>
      </c>
      <c r="V203" s="45" t="s">
        <v>1457</v>
      </c>
      <c r="W203" s="45" t="s">
        <v>1457</v>
      </c>
      <c r="X203" s="45" t="s">
        <v>1457</v>
      </c>
      <c r="Y203" s="45" t="s">
        <v>39</v>
      </c>
      <c r="Z203" s="45" t="s">
        <v>39</v>
      </c>
      <c r="AA203" s="45" t="s">
        <v>1457</v>
      </c>
      <c r="AB203" s="46" t="s">
        <v>39</v>
      </c>
      <c r="AC203" s="46" t="s">
        <v>39</v>
      </c>
      <c r="AD203" s="17" t="s">
        <v>643</v>
      </c>
      <c r="AE203" s="17" t="s">
        <v>644</v>
      </c>
    </row>
    <row r="204" s="2" customFormat="1" ht="24" hidden="1" customHeight="1" spans="1:31">
      <c r="A204" s="13">
        <v>202</v>
      </c>
      <c r="B204" s="187" t="s">
        <v>713</v>
      </c>
      <c r="C204" s="15" t="s">
        <v>443</v>
      </c>
      <c r="D204" s="15" t="s">
        <v>639</v>
      </c>
      <c r="E204" s="15" t="s">
        <v>640</v>
      </c>
      <c r="F204" s="13" t="s">
        <v>81</v>
      </c>
      <c r="G204" s="16" t="s">
        <v>178</v>
      </c>
      <c r="H204" s="18" t="s">
        <v>39</v>
      </c>
      <c r="I204" s="43" t="s">
        <v>676</v>
      </c>
      <c r="J204" s="16" t="s">
        <v>677</v>
      </c>
      <c r="K204" s="16"/>
      <c r="L204" s="20"/>
      <c r="M204" s="20" t="s">
        <v>39</v>
      </c>
      <c r="N204" s="21">
        <v>912000</v>
      </c>
      <c r="O204" s="194">
        <v>0.1</v>
      </c>
      <c r="P204" s="188">
        <v>0.01</v>
      </c>
      <c r="Q204" s="45" t="s">
        <v>39</v>
      </c>
      <c r="R204" s="188">
        <v>0.04</v>
      </c>
      <c r="S204" s="188">
        <v>0.03</v>
      </c>
      <c r="T204" s="188">
        <v>0.01</v>
      </c>
      <c r="U204" s="188">
        <v>0.01</v>
      </c>
      <c r="V204" s="45" t="s">
        <v>1457</v>
      </c>
      <c r="W204" s="45" t="s">
        <v>1457</v>
      </c>
      <c r="X204" s="45" t="s">
        <v>1457</v>
      </c>
      <c r="Y204" s="45" t="s">
        <v>39</v>
      </c>
      <c r="Z204" s="45" t="s">
        <v>39</v>
      </c>
      <c r="AA204" s="45" t="s">
        <v>1457</v>
      </c>
      <c r="AB204" s="46" t="s">
        <v>39</v>
      </c>
      <c r="AC204" s="46" t="s">
        <v>39</v>
      </c>
      <c r="AD204" s="17" t="s">
        <v>643</v>
      </c>
      <c r="AE204" s="17" t="s">
        <v>644</v>
      </c>
    </row>
    <row r="205" s="2" customFormat="1" ht="24" hidden="1" customHeight="1" spans="1:31">
      <c r="A205" s="13">
        <v>203</v>
      </c>
      <c r="B205" s="187" t="s">
        <v>716</v>
      </c>
      <c r="C205" s="15" t="s">
        <v>443</v>
      </c>
      <c r="D205" s="15" t="s">
        <v>639</v>
      </c>
      <c r="E205" s="15" t="s">
        <v>640</v>
      </c>
      <c r="F205" s="13" t="s">
        <v>81</v>
      </c>
      <c r="G205" s="16" t="s">
        <v>178</v>
      </c>
      <c r="H205" s="18" t="s">
        <v>39</v>
      </c>
      <c r="I205" s="43" t="s">
        <v>679</v>
      </c>
      <c r="J205" s="16" t="s">
        <v>680</v>
      </c>
      <c r="K205" s="16"/>
      <c r="L205" s="20"/>
      <c r="M205" s="20" t="s">
        <v>39</v>
      </c>
      <c r="N205" s="21">
        <v>1020000</v>
      </c>
      <c r="O205" s="194">
        <v>0.1</v>
      </c>
      <c r="P205" s="188">
        <v>0.01</v>
      </c>
      <c r="Q205" s="45" t="s">
        <v>39</v>
      </c>
      <c r="R205" s="188">
        <v>0.04</v>
      </c>
      <c r="S205" s="188">
        <v>0.03</v>
      </c>
      <c r="T205" s="188">
        <v>0.01</v>
      </c>
      <c r="U205" s="188">
        <v>0.01</v>
      </c>
      <c r="V205" s="45" t="s">
        <v>1457</v>
      </c>
      <c r="W205" s="45" t="s">
        <v>1457</v>
      </c>
      <c r="X205" s="45" t="s">
        <v>1457</v>
      </c>
      <c r="Y205" s="45" t="s">
        <v>39</v>
      </c>
      <c r="Z205" s="45" t="s">
        <v>39</v>
      </c>
      <c r="AA205" s="45" t="s">
        <v>1457</v>
      </c>
      <c r="AB205" s="46" t="s">
        <v>39</v>
      </c>
      <c r="AC205" s="46" t="s">
        <v>39</v>
      </c>
      <c r="AD205" s="17" t="s">
        <v>643</v>
      </c>
      <c r="AE205" s="17" t="s">
        <v>644</v>
      </c>
    </row>
    <row r="206" s="2" customFormat="1" ht="24" hidden="1" customHeight="1" spans="1:31">
      <c r="A206" s="13">
        <v>204</v>
      </c>
      <c r="B206" s="187" t="s">
        <v>719</v>
      </c>
      <c r="C206" s="15" t="s">
        <v>443</v>
      </c>
      <c r="D206" s="15" t="s">
        <v>639</v>
      </c>
      <c r="E206" s="15" t="s">
        <v>640</v>
      </c>
      <c r="F206" s="13" t="s">
        <v>81</v>
      </c>
      <c r="G206" s="16" t="s">
        <v>178</v>
      </c>
      <c r="H206" s="18" t="s">
        <v>39</v>
      </c>
      <c r="I206" s="43" t="s">
        <v>618</v>
      </c>
      <c r="J206" s="16" t="s">
        <v>668</v>
      </c>
      <c r="K206" s="16"/>
      <c r="L206" s="20"/>
      <c r="M206" s="20" t="s">
        <v>39</v>
      </c>
      <c r="N206" s="21">
        <v>736800</v>
      </c>
      <c r="O206" s="194">
        <v>0.1</v>
      </c>
      <c r="P206" s="188">
        <v>0.01</v>
      </c>
      <c r="Q206" s="45" t="s">
        <v>39</v>
      </c>
      <c r="R206" s="188">
        <v>0.04</v>
      </c>
      <c r="S206" s="188">
        <v>0.03</v>
      </c>
      <c r="T206" s="188">
        <v>0.01</v>
      </c>
      <c r="U206" s="188">
        <v>0.01</v>
      </c>
      <c r="V206" s="45" t="s">
        <v>1457</v>
      </c>
      <c r="W206" s="45" t="s">
        <v>1457</v>
      </c>
      <c r="X206" s="45" t="s">
        <v>1457</v>
      </c>
      <c r="Y206" s="45" t="s">
        <v>39</v>
      </c>
      <c r="Z206" s="45" t="s">
        <v>39</v>
      </c>
      <c r="AA206" s="45" t="s">
        <v>1457</v>
      </c>
      <c r="AB206" s="46" t="s">
        <v>39</v>
      </c>
      <c r="AC206" s="46" t="s">
        <v>39</v>
      </c>
      <c r="AD206" s="17" t="s">
        <v>643</v>
      </c>
      <c r="AE206" s="17" t="s">
        <v>644</v>
      </c>
    </row>
    <row r="207" s="2" customFormat="1" ht="24" hidden="1" customHeight="1" spans="1:31">
      <c r="A207" s="13">
        <v>205</v>
      </c>
      <c r="B207" s="187" t="s">
        <v>722</v>
      </c>
      <c r="C207" s="15" t="s">
        <v>443</v>
      </c>
      <c r="D207" s="15" t="s">
        <v>639</v>
      </c>
      <c r="E207" s="15" t="s">
        <v>640</v>
      </c>
      <c r="F207" s="13" t="s">
        <v>81</v>
      </c>
      <c r="G207" s="16" t="s">
        <v>178</v>
      </c>
      <c r="H207" s="18" t="s">
        <v>39</v>
      </c>
      <c r="I207" s="43" t="s">
        <v>683</v>
      </c>
      <c r="J207" s="16" t="s">
        <v>684</v>
      </c>
      <c r="K207" s="16"/>
      <c r="L207" s="20"/>
      <c r="M207" s="20" t="s">
        <v>39</v>
      </c>
      <c r="N207" s="21">
        <v>948000</v>
      </c>
      <c r="O207" s="194">
        <v>0.1</v>
      </c>
      <c r="P207" s="188">
        <v>0.01</v>
      </c>
      <c r="Q207" s="45" t="s">
        <v>39</v>
      </c>
      <c r="R207" s="188">
        <v>0.04</v>
      </c>
      <c r="S207" s="188">
        <v>0.03</v>
      </c>
      <c r="T207" s="188">
        <v>0.01</v>
      </c>
      <c r="U207" s="188">
        <v>0.01</v>
      </c>
      <c r="V207" s="45" t="s">
        <v>1457</v>
      </c>
      <c r="W207" s="45" t="s">
        <v>1457</v>
      </c>
      <c r="X207" s="45" t="s">
        <v>1457</v>
      </c>
      <c r="Y207" s="45" t="s">
        <v>39</v>
      </c>
      <c r="Z207" s="45" t="s">
        <v>39</v>
      </c>
      <c r="AA207" s="45" t="s">
        <v>1457</v>
      </c>
      <c r="AB207" s="46" t="s">
        <v>39</v>
      </c>
      <c r="AC207" s="46" t="s">
        <v>39</v>
      </c>
      <c r="AD207" s="17" t="s">
        <v>643</v>
      </c>
      <c r="AE207" s="17" t="s">
        <v>644</v>
      </c>
    </row>
    <row r="208" s="2" customFormat="1" ht="24" hidden="1" customHeight="1" spans="1:31">
      <c r="A208" s="13">
        <v>206</v>
      </c>
      <c r="B208" s="187" t="s">
        <v>725</v>
      </c>
      <c r="C208" s="15" t="s">
        <v>443</v>
      </c>
      <c r="D208" s="15" t="s">
        <v>639</v>
      </c>
      <c r="E208" s="15" t="s">
        <v>640</v>
      </c>
      <c r="F208" s="13" t="s">
        <v>81</v>
      </c>
      <c r="G208" s="16" t="s">
        <v>178</v>
      </c>
      <c r="H208" s="18" t="s">
        <v>39</v>
      </c>
      <c r="I208" s="43" t="s">
        <v>686</v>
      </c>
      <c r="J208" s="16" t="s">
        <v>687</v>
      </c>
      <c r="K208" s="16"/>
      <c r="L208" s="20"/>
      <c r="M208" s="20" t="s">
        <v>39</v>
      </c>
      <c r="N208" s="21">
        <v>1464000</v>
      </c>
      <c r="O208" s="194">
        <v>0.1</v>
      </c>
      <c r="P208" s="188">
        <v>0.01</v>
      </c>
      <c r="Q208" s="45" t="s">
        <v>39</v>
      </c>
      <c r="R208" s="188">
        <v>0.04</v>
      </c>
      <c r="S208" s="188">
        <v>0.03</v>
      </c>
      <c r="T208" s="188">
        <v>0.01</v>
      </c>
      <c r="U208" s="188">
        <v>0.01</v>
      </c>
      <c r="V208" s="45" t="s">
        <v>1457</v>
      </c>
      <c r="W208" s="45" t="s">
        <v>1457</v>
      </c>
      <c r="X208" s="45" t="s">
        <v>1457</v>
      </c>
      <c r="Y208" s="45" t="s">
        <v>39</v>
      </c>
      <c r="Z208" s="45" t="s">
        <v>39</v>
      </c>
      <c r="AA208" s="45" t="s">
        <v>1457</v>
      </c>
      <c r="AB208" s="46" t="s">
        <v>39</v>
      </c>
      <c r="AC208" s="46" t="s">
        <v>39</v>
      </c>
      <c r="AD208" s="17" t="s">
        <v>643</v>
      </c>
      <c r="AE208" s="17" t="s">
        <v>644</v>
      </c>
    </row>
    <row r="209" s="2" customFormat="1" ht="24" hidden="1" customHeight="1" spans="1:31">
      <c r="A209" s="13">
        <v>207</v>
      </c>
      <c r="B209" s="187" t="s">
        <v>728</v>
      </c>
      <c r="C209" s="15" t="s">
        <v>443</v>
      </c>
      <c r="D209" s="15" t="s">
        <v>639</v>
      </c>
      <c r="E209" s="15" t="s">
        <v>640</v>
      </c>
      <c r="F209" s="13" t="s">
        <v>81</v>
      </c>
      <c r="G209" s="16" t="s">
        <v>178</v>
      </c>
      <c r="H209" s="18" t="s">
        <v>39</v>
      </c>
      <c r="I209" s="43" t="s">
        <v>689</v>
      </c>
      <c r="J209" s="16" t="s">
        <v>690</v>
      </c>
      <c r="K209" s="16"/>
      <c r="L209" s="20"/>
      <c r="M209" s="20" t="s">
        <v>39</v>
      </c>
      <c r="N209" s="21">
        <v>465600</v>
      </c>
      <c r="O209" s="194">
        <v>0.1</v>
      </c>
      <c r="P209" s="188">
        <v>0.01</v>
      </c>
      <c r="Q209" s="45" t="s">
        <v>39</v>
      </c>
      <c r="R209" s="188">
        <v>0.04</v>
      </c>
      <c r="S209" s="188">
        <v>0.03</v>
      </c>
      <c r="T209" s="188">
        <v>0.01</v>
      </c>
      <c r="U209" s="188">
        <v>0.01</v>
      </c>
      <c r="V209" s="45" t="s">
        <v>1457</v>
      </c>
      <c r="W209" s="45" t="s">
        <v>1457</v>
      </c>
      <c r="X209" s="45" t="s">
        <v>1457</v>
      </c>
      <c r="Y209" s="45" t="s">
        <v>39</v>
      </c>
      <c r="Z209" s="45" t="s">
        <v>39</v>
      </c>
      <c r="AA209" s="45" t="s">
        <v>1457</v>
      </c>
      <c r="AB209" s="46" t="s">
        <v>39</v>
      </c>
      <c r="AC209" s="46" t="s">
        <v>39</v>
      </c>
      <c r="AD209" s="17" t="s">
        <v>643</v>
      </c>
      <c r="AE209" s="17" t="s">
        <v>644</v>
      </c>
    </row>
    <row r="210" s="2" customFormat="1" hidden="1" spans="1:31">
      <c r="A210" s="13">
        <v>208</v>
      </c>
      <c r="B210" s="187" t="s">
        <v>730</v>
      </c>
      <c r="C210" s="15"/>
      <c r="D210" s="15"/>
      <c r="E210" s="15" t="s">
        <v>640</v>
      </c>
      <c r="F210" s="198" t="s">
        <v>81</v>
      </c>
      <c r="G210" s="16" t="s">
        <v>178</v>
      </c>
      <c r="H210" s="18"/>
      <c r="I210" s="205" t="s">
        <v>217</v>
      </c>
      <c r="J210" s="16" t="s">
        <v>1512</v>
      </c>
      <c r="K210" s="16"/>
      <c r="L210" s="20"/>
      <c r="M210" s="20"/>
      <c r="N210" s="21"/>
      <c r="O210" s="194">
        <v>0.1</v>
      </c>
      <c r="P210" s="188">
        <v>0.01</v>
      </c>
      <c r="Q210" s="45" t="s">
        <v>39</v>
      </c>
      <c r="R210" s="188">
        <v>0.04</v>
      </c>
      <c r="S210" s="188">
        <v>0.03</v>
      </c>
      <c r="T210" s="188">
        <v>0.01</v>
      </c>
      <c r="U210" s="188">
        <v>0.01</v>
      </c>
      <c r="V210" s="45" t="s">
        <v>1457</v>
      </c>
      <c r="W210" s="45" t="s">
        <v>1457</v>
      </c>
      <c r="X210" s="45" t="s">
        <v>1457</v>
      </c>
      <c r="Y210" s="45" t="s">
        <v>39</v>
      </c>
      <c r="Z210" s="45" t="s">
        <v>39</v>
      </c>
      <c r="AA210" s="45" t="s">
        <v>1457</v>
      </c>
      <c r="AB210" s="46"/>
      <c r="AC210" s="46"/>
      <c r="AD210" s="17"/>
      <c r="AE210" s="17"/>
    </row>
    <row r="211" s="2" customFormat="1" ht="24" hidden="1" customHeight="1" spans="1:31">
      <c r="A211" s="13">
        <v>209</v>
      </c>
      <c r="B211" s="187" t="s">
        <v>735</v>
      </c>
      <c r="C211" s="15" t="s">
        <v>443</v>
      </c>
      <c r="D211" s="15" t="s">
        <v>639</v>
      </c>
      <c r="E211" s="15" t="s">
        <v>640</v>
      </c>
      <c r="F211" s="13" t="s">
        <v>81</v>
      </c>
      <c r="G211" s="16" t="s">
        <v>178</v>
      </c>
      <c r="H211" s="18" t="s">
        <v>39</v>
      </c>
      <c r="I211" s="43" t="s">
        <v>692</v>
      </c>
      <c r="J211" s="16" t="s">
        <v>693</v>
      </c>
      <c r="K211" s="16"/>
      <c r="L211" s="20"/>
      <c r="M211" s="20" t="s">
        <v>39</v>
      </c>
      <c r="N211" s="21">
        <v>686400</v>
      </c>
      <c r="O211" s="194">
        <v>0.1</v>
      </c>
      <c r="P211" s="188">
        <v>0.01</v>
      </c>
      <c r="Q211" s="45" t="s">
        <v>39</v>
      </c>
      <c r="R211" s="188">
        <v>0.04</v>
      </c>
      <c r="S211" s="188">
        <v>0.03</v>
      </c>
      <c r="T211" s="188">
        <v>0.01</v>
      </c>
      <c r="U211" s="188">
        <v>0.01</v>
      </c>
      <c r="V211" s="45" t="s">
        <v>1457</v>
      </c>
      <c r="W211" s="45" t="s">
        <v>1457</v>
      </c>
      <c r="X211" s="45" t="s">
        <v>1457</v>
      </c>
      <c r="Y211" s="45" t="s">
        <v>39</v>
      </c>
      <c r="Z211" s="45" t="s">
        <v>39</v>
      </c>
      <c r="AA211" s="45" t="s">
        <v>1457</v>
      </c>
      <c r="AB211" s="46" t="s">
        <v>39</v>
      </c>
      <c r="AC211" s="46" t="s">
        <v>39</v>
      </c>
      <c r="AD211" s="17" t="s">
        <v>643</v>
      </c>
      <c r="AE211" s="17" t="s">
        <v>644</v>
      </c>
    </row>
    <row r="212" s="2" customFormat="1" ht="24" hidden="1" customHeight="1" spans="1:31">
      <c r="A212" s="13">
        <v>210</v>
      </c>
      <c r="B212" s="187" t="s">
        <v>741</v>
      </c>
      <c r="C212" s="15" t="s">
        <v>443</v>
      </c>
      <c r="D212" s="15" t="s">
        <v>639</v>
      </c>
      <c r="E212" s="15" t="s">
        <v>640</v>
      </c>
      <c r="F212" s="13" t="s">
        <v>81</v>
      </c>
      <c r="G212" s="16" t="s">
        <v>178</v>
      </c>
      <c r="H212" s="18" t="s">
        <v>39</v>
      </c>
      <c r="I212" s="43" t="s">
        <v>695</v>
      </c>
      <c r="J212" s="16" t="s">
        <v>696</v>
      </c>
      <c r="K212" s="16"/>
      <c r="L212" s="20"/>
      <c r="M212" s="20" t="s">
        <v>39</v>
      </c>
      <c r="N212" s="21">
        <v>720000</v>
      </c>
      <c r="O212" s="194">
        <v>0.1</v>
      </c>
      <c r="P212" s="188">
        <v>0.01</v>
      </c>
      <c r="Q212" s="45" t="s">
        <v>39</v>
      </c>
      <c r="R212" s="188">
        <v>0.04</v>
      </c>
      <c r="S212" s="188">
        <v>0.03</v>
      </c>
      <c r="T212" s="188">
        <v>0.01</v>
      </c>
      <c r="U212" s="188">
        <v>0.01</v>
      </c>
      <c r="V212" s="45" t="s">
        <v>1457</v>
      </c>
      <c r="W212" s="45" t="s">
        <v>1457</v>
      </c>
      <c r="X212" s="45" t="s">
        <v>1457</v>
      </c>
      <c r="Y212" s="45" t="s">
        <v>39</v>
      </c>
      <c r="Z212" s="45" t="s">
        <v>39</v>
      </c>
      <c r="AA212" s="45" t="s">
        <v>1457</v>
      </c>
      <c r="AB212" s="46" t="s">
        <v>39</v>
      </c>
      <c r="AC212" s="46" t="s">
        <v>39</v>
      </c>
      <c r="AD212" s="17" t="s">
        <v>643</v>
      </c>
      <c r="AE212" s="17" t="s">
        <v>644</v>
      </c>
    </row>
    <row r="213" s="2" customFormat="1" ht="24" hidden="1" customHeight="1" spans="1:31">
      <c r="A213" s="13">
        <v>211</v>
      </c>
      <c r="B213" s="187" t="s">
        <v>744</v>
      </c>
      <c r="C213" s="15" t="s">
        <v>443</v>
      </c>
      <c r="D213" s="15" t="s">
        <v>639</v>
      </c>
      <c r="E213" s="15" t="s">
        <v>640</v>
      </c>
      <c r="F213" s="13" t="s">
        <v>81</v>
      </c>
      <c r="G213" s="16" t="s">
        <v>178</v>
      </c>
      <c r="H213" s="18" t="s">
        <v>39</v>
      </c>
      <c r="I213" s="43" t="s">
        <v>319</v>
      </c>
      <c r="J213" s="16" t="s">
        <v>698</v>
      </c>
      <c r="K213" s="16"/>
      <c r="L213" s="20"/>
      <c r="M213" s="20" t="s">
        <v>39</v>
      </c>
      <c r="N213" s="21">
        <v>1128000</v>
      </c>
      <c r="O213" s="194">
        <v>0.1</v>
      </c>
      <c r="P213" s="188">
        <v>0.01</v>
      </c>
      <c r="Q213" s="45" t="s">
        <v>39</v>
      </c>
      <c r="R213" s="188">
        <v>0.04</v>
      </c>
      <c r="S213" s="188">
        <v>0.03</v>
      </c>
      <c r="T213" s="188">
        <v>0.01</v>
      </c>
      <c r="U213" s="188">
        <v>0.01</v>
      </c>
      <c r="V213" s="45" t="s">
        <v>1457</v>
      </c>
      <c r="W213" s="45" t="s">
        <v>1457</v>
      </c>
      <c r="X213" s="45" t="s">
        <v>1457</v>
      </c>
      <c r="Y213" s="45" t="s">
        <v>39</v>
      </c>
      <c r="Z213" s="45" t="s">
        <v>39</v>
      </c>
      <c r="AA213" s="45" t="s">
        <v>1457</v>
      </c>
      <c r="AB213" s="46" t="s">
        <v>39</v>
      </c>
      <c r="AC213" s="46" t="s">
        <v>39</v>
      </c>
      <c r="AD213" s="17" t="s">
        <v>643</v>
      </c>
      <c r="AE213" s="17" t="s">
        <v>644</v>
      </c>
    </row>
    <row r="214" s="2" customFormat="1" ht="24" hidden="1" customHeight="1" spans="1:31">
      <c r="A214" s="13">
        <v>212</v>
      </c>
      <c r="B214" s="187" t="s">
        <v>747</v>
      </c>
      <c r="C214" s="15" t="s">
        <v>443</v>
      </c>
      <c r="D214" s="15" t="s">
        <v>639</v>
      </c>
      <c r="E214" s="15" t="s">
        <v>640</v>
      </c>
      <c r="F214" s="13" t="s">
        <v>81</v>
      </c>
      <c r="G214" s="16" t="s">
        <v>178</v>
      </c>
      <c r="H214" s="18" t="s">
        <v>39</v>
      </c>
      <c r="I214" s="43" t="s">
        <v>700</v>
      </c>
      <c r="J214" s="16" t="s">
        <v>701</v>
      </c>
      <c r="K214" s="16"/>
      <c r="L214" s="20"/>
      <c r="M214" s="20" t="s">
        <v>39</v>
      </c>
      <c r="N214" s="21">
        <v>2244000</v>
      </c>
      <c r="O214" s="194">
        <v>0.1</v>
      </c>
      <c r="P214" s="188">
        <v>0.01</v>
      </c>
      <c r="Q214" s="45" t="s">
        <v>39</v>
      </c>
      <c r="R214" s="188">
        <v>0.04</v>
      </c>
      <c r="S214" s="188">
        <v>0.03</v>
      </c>
      <c r="T214" s="188">
        <v>0.01</v>
      </c>
      <c r="U214" s="188">
        <v>0.01</v>
      </c>
      <c r="V214" s="45" t="s">
        <v>1457</v>
      </c>
      <c r="W214" s="45" t="s">
        <v>1457</v>
      </c>
      <c r="X214" s="45" t="s">
        <v>1457</v>
      </c>
      <c r="Y214" s="45" t="s">
        <v>39</v>
      </c>
      <c r="Z214" s="45" t="s">
        <v>39</v>
      </c>
      <c r="AA214" s="45" t="s">
        <v>1457</v>
      </c>
      <c r="AB214" s="46" t="s">
        <v>39</v>
      </c>
      <c r="AC214" s="46" t="s">
        <v>39</v>
      </c>
      <c r="AD214" s="17" t="s">
        <v>643</v>
      </c>
      <c r="AE214" s="17" t="s">
        <v>644</v>
      </c>
    </row>
    <row r="215" s="2" customFormat="1" ht="24" hidden="1" customHeight="1" spans="1:31">
      <c r="A215" s="13">
        <v>213</v>
      </c>
      <c r="B215" s="187" t="s">
        <v>750</v>
      </c>
      <c r="C215" s="15" t="s">
        <v>443</v>
      </c>
      <c r="D215" s="15" t="s">
        <v>639</v>
      </c>
      <c r="E215" s="15" t="s">
        <v>640</v>
      </c>
      <c r="F215" s="13" t="s">
        <v>81</v>
      </c>
      <c r="G215" s="16" t="s">
        <v>178</v>
      </c>
      <c r="H215" s="18" t="s">
        <v>39</v>
      </c>
      <c r="I215" s="43" t="s">
        <v>703</v>
      </c>
      <c r="J215" s="16" t="s">
        <v>704</v>
      </c>
      <c r="K215" s="16"/>
      <c r="L215" s="20"/>
      <c r="M215" s="20" t="s">
        <v>39</v>
      </c>
      <c r="N215" s="21">
        <v>684000</v>
      </c>
      <c r="O215" s="194">
        <v>0.1</v>
      </c>
      <c r="P215" s="188">
        <v>0.01</v>
      </c>
      <c r="Q215" s="45" t="s">
        <v>39</v>
      </c>
      <c r="R215" s="188">
        <v>0.04</v>
      </c>
      <c r="S215" s="188">
        <v>0.03</v>
      </c>
      <c r="T215" s="188">
        <v>0.01</v>
      </c>
      <c r="U215" s="188">
        <v>0.01</v>
      </c>
      <c r="V215" s="45" t="s">
        <v>1457</v>
      </c>
      <c r="W215" s="45" t="s">
        <v>1457</v>
      </c>
      <c r="X215" s="45" t="s">
        <v>1457</v>
      </c>
      <c r="Y215" s="45" t="s">
        <v>39</v>
      </c>
      <c r="Z215" s="45" t="s">
        <v>39</v>
      </c>
      <c r="AA215" s="45" t="s">
        <v>1457</v>
      </c>
      <c r="AB215" s="46" t="s">
        <v>39</v>
      </c>
      <c r="AC215" s="46" t="s">
        <v>39</v>
      </c>
      <c r="AD215" s="17" t="s">
        <v>643</v>
      </c>
      <c r="AE215" s="17" t="s">
        <v>644</v>
      </c>
    </row>
    <row r="216" s="2" customFormat="1" ht="24" hidden="1" customHeight="1" spans="1:31">
      <c r="A216" s="13">
        <v>214</v>
      </c>
      <c r="B216" s="187" t="s">
        <v>756</v>
      </c>
      <c r="C216" s="15" t="s">
        <v>443</v>
      </c>
      <c r="D216" s="15" t="s">
        <v>639</v>
      </c>
      <c r="E216" s="15" t="s">
        <v>640</v>
      </c>
      <c r="F216" s="13" t="s">
        <v>81</v>
      </c>
      <c r="G216" s="16" t="s">
        <v>178</v>
      </c>
      <c r="H216" s="18" t="s">
        <v>39</v>
      </c>
      <c r="I216" s="43" t="s">
        <v>706</v>
      </c>
      <c r="J216" s="16" t="s">
        <v>707</v>
      </c>
      <c r="K216" s="16"/>
      <c r="L216" s="20"/>
      <c r="M216" s="20" t="s">
        <v>39</v>
      </c>
      <c r="N216" s="21">
        <v>816000</v>
      </c>
      <c r="O216" s="194">
        <v>0.1</v>
      </c>
      <c r="P216" s="188">
        <v>0.01</v>
      </c>
      <c r="Q216" s="45" t="s">
        <v>39</v>
      </c>
      <c r="R216" s="188">
        <v>0.04</v>
      </c>
      <c r="S216" s="188">
        <v>0.03</v>
      </c>
      <c r="T216" s="188">
        <v>0.01</v>
      </c>
      <c r="U216" s="188">
        <v>0.01</v>
      </c>
      <c r="V216" s="45" t="s">
        <v>1457</v>
      </c>
      <c r="W216" s="45" t="s">
        <v>1457</v>
      </c>
      <c r="X216" s="45" t="s">
        <v>1457</v>
      </c>
      <c r="Y216" s="45" t="s">
        <v>39</v>
      </c>
      <c r="Z216" s="45" t="s">
        <v>39</v>
      </c>
      <c r="AA216" s="45" t="s">
        <v>1457</v>
      </c>
      <c r="AB216" s="46" t="s">
        <v>39</v>
      </c>
      <c r="AC216" s="46" t="s">
        <v>39</v>
      </c>
      <c r="AD216" s="17" t="s">
        <v>643</v>
      </c>
      <c r="AE216" s="17" t="s">
        <v>644</v>
      </c>
    </row>
    <row r="217" s="2" customFormat="1" ht="12" hidden="1" customHeight="1" spans="1:31">
      <c r="A217" s="13">
        <v>215</v>
      </c>
      <c r="B217" s="187" t="s">
        <v>764</v>
      </c>
      <c r="C217" s="15"/>
      <c r="D217" s="15"/>
      <c r="E217" s="15" t="s">
        <v>640</v>
      </c>
      <c r="F217" s="198" t="s">
        <v>81</v>
      </c>
      <c r="G217" s="16" t="s">
        <v>178</v>
      </c>
      <c r="H217" s="45" t="s">
        <v>39</v>
      </c>
      <c r="I217" s="43" t="s">
        <v>1513</v>
      </c>
      <c r="J217" s="16" t="s">
        <v>1514</v>
      </c>
      <c r="K217" s="16"/>
      <c r="L217" s="20"/>
      <c r="M217" s="20"/>
      <c r="N217" s="21"/>
      <c r="O217" s="194">
        <v>0.1</v>
      </c>
      <c r="P217" s="188">
        <v>0.01</v>
      </c>
      <c r="Q217" s="45" t="s">
        <v>39</v>
      </c>
      <c r="R217" s="188">
        <v>0.04</v>
      </c>
      <c r="S217" s="188">
        <v>0.03</v>
      </c>
      <c r="T217" s="188">
        <v>0.01</v>
      </c>
      <c r="U217" s="188">
        <v>0.01</v>
      </c>
      <c r="V217" s="45" t="s">
        <v>1457</v>
      </c>
      <c r="W217" s="45" t="s">
        <v>1457</v>
      </c>
      <c r="X217" s="45" t="s">
        <v>1457</v>
      </c>
      <c r="Y217" s="45" t="s">
        <v>39</v>
      </c>
      <c r="Z217" s="45" t="s">
        <v>39</v>
      </c>
      <c r="AA217" s="45" t="s">
        <v>1457</v>
      </c>
      <c r="AB217" s="46"/>
      <c r="AC217" s="46"/>
      <c r="AD217" s="17"/>
      <c r="AE217" s="17"/>
    </row>
    <row r="218" s="2" customFormat="1" ht="24" hidden="1" customHeight="1" spans="1:31">
      <c r="A218" s="13">
        <v>216</v>
      </c>
      <c r="B218" s="187" t="s">
        <v>770</v>
      </c>
      <c r="C218" s="15" t="s">
        <v>443</v>
      </c>
      <c r="D218" s="15" t="s">
        <v>639</v>
      </c>
      <c r="E218" s="15" t="s">
        <v>640</v>
      </c>
      <c r="F218" s="13" t="s">
        <v>81</v>
      </c>
      <c r="G218" s="16" t="s">
        <v>178</v>
      </c>
      <c r="H218" s="18" t="s">
        <v>39</v>
      </c>
      <c r="I218" s="43" t="s">
        <v>709</v>
      </c>
      <c r="J218" s="16" t="s">
        <v>710</v>
      </c>
      <c r="K218" s="16"/>
      <c r="L218" s="20"/>
      <c r="M218" s="20" t="s">
        <v>39</v>
      </c>
      <c r="N218" s="21">
        <v>1015200</v>
      </c>
      <c r="O218" s="194">
        <v>0.1</v>
      </c>
      <c r="P218" s="188">
        <v>0.01</v>
      </c>
      <c r="Q218" s="45" t="s">
        <v>39</v>
      </c>
      <c r="R218" s="188">
        <v>0.04</v>
      </c>
      <c r="S218" s="188">
        <v>0.03</v>
      </c>
      <c r="T218" s="188">
        <v>0.01</v>
      </c>
      <c r="U218" s="188">
        <v>0.01</v>
      </c>
      <c r="V218" s="45" t="s">
        <v>1457</v>
      </c>
      <c r="W218" s="45" t="s">
        <v>1457</v>
      </c>
      <c r="X218" s="45" t="s">
        <v>1457</v>
      </c>
      <c r="Y218" s="45" t="s">
        <v>39</v>
      </c>
      <c r="Z218" s="45" t="s">
        <v>39</v>
      </c>
      <c r="AA218" s="45" t="s">
        <v>1457</v>
      </c>
      <c r="AB218" s="46" t="s">
        <v>39</v>
      </c>
      <c r="AC218" s="46" t="s">
        <v>39</v>
      </c>
      <c r="AD218" s="17" t="s">
        <v>643</v>
      </c>
      <c r="AE218" s="17" t="s">
        <v>644</v>
      </c>
    </row>
    <row r="219" s="2" customFormat="1" ht="24" hidden="1" customHeight="1" spans="1:31">
      <c r="A219" s="13">
        <v>217</v>
      </c>
      <c r="B219" s="187" t="s">
        <v>774</v>
      </c>
      <c r="C219" s="15" t="s">
        <v>443</v>
      </c>
      <c r="D219" s="15" t="s">
        <v>639</v>
      </c>
      <c r="E219" s="15" t="s">
        <v>640</v>
      </c>
      <c r="F219" s="13" t="s">
        <v>81</v>
      </c>
      <c r="G219" s="16" t="s">
        <v>178</v>
      </c>
      <c r="H219" s="18" t="s">
        <v>39</v>
      </c>
      <c r="I219" s="43" t="s">
        <v>485</v>
      </c>
      <c r="J219" s="16" t="s">
        <v>712</v>
      </c>
      <c r="K219" s="16"/>
      <c r="L219" s="20"/>
      <c r="M219" s="20" t="s">
        <v>39</v>
      </c>
      <c r="N219" s="21">
        <v>1363200</v>
      </c>
      <c r="O219" s="194">
        <v>0.1</v>
      </c>
      <c r="P219" s="188">
        <v>0.01</v>
      </c>
      <c r="Q219" s="45" t="s">
        <v>39</v>
      </c>
      <c r="R219" s="188">
        <v>0.04</v>
      </c>
      <c r="S219" s="188">
        <v>0.03</v>
      </c>
      <c r="T219" s="188">
        <v>0.01</v>
      </c>
      <c r="U219" s="188">
        <v>0.01</v>
      </c>
      <c r="V219" s="45" t="s">
        <v>1457</v>
      </c>
      <c r="W219" s="45" t="s">
        <v>1457</v>
      </c>
      <c r="X219" s="45" t="s">
        <v>1457</v>
      </c>
      <c r="Y219" s="45" t="s">
        <v>39</v>
      </c>
      <c r="Z219" s="45" t="s">
        <v>39</v>
      </c>
      <c r="AA219" s="45" t="s">
        <v>1457</v>
      </c>
      <c r="AB219" s="46" t="s">
        <v>39</v>
      </c>
      <c r="AC219" s="46" t="s">
        <v>39</v>
      </c>
      <c r="AD219" s="17" t="s">
        <v>643</v>
      </c>
      <c r="AE219" s="17" t="s">
        <v>644</v>
      </c>
    </row>
    <row r="220" s="2" customFormat="1" ht="24" hidden="1" customHeight="1" spans="1:31">
      <c r="A220" s="13">
        <v>218</v>
      </c>
      <c r="B220" s="187" t="s">
        <v>775</v>
      </c>
      <c r="C220" s="15" t="s">
        <v>443</v>
      </c>
      <c r="D220" s="15" t="s">
        <v>639</v>
      </c>
      <c r="E220" s="15" t="s">
        <v>640</v>
      </c>
      <c r="F220" s="13" t="s">
        <v>81</v>
      </c>
      <c r="G220" s="16" t="s">
        <v>178</v>
      </c>
      <c r="H220" s="18" t="s">
        <v>39</v>
      </c>
      <c r="I220" s="43" t="s">
        <v>714</v>
      </c>
      <c r="J220" s="16" t="s">
        <v>715</v>
      </c>
      <c r="K220" s="16"/>
      <c r="L220" s="20"/>
      <c r="M220" s="20" t="s">
        <v>39</v>
      </c>
      <c r="N220" s="21">
        <v>847200</v>
      </c>
      <c r="O220" s="194">
        <v>0.1</v>
      </c>
      <c r="P220" s="188">
        <v>0.01</v>
      </c>
      <c r="Q220" s="45" t="s">
        <v>39</v>
      </c>
      <c r="R220" s="188">
        <v>0.04</v>
      </c>
      <c r="S220" s="188">
        <v>0.03</v>
      </c>
      <c r="T220" s="188">
        <v>0.01</v>
      </c>
      <c r="U220" s="188">
        <v>0.01</v>
      </c>
      <c r="V220" s="45" t="s">
        <v>1457</v>
      </c>
      <c r="W220" s="45" t="s">
        <v>1457</v>
      </c>
      <c r="X220" s="45" t="s">
        <v>1457</v>
      </c>
      <c r="Y220" s="45" t="s">
        <v>39</v>
      </c>
      <c r="Z220" s="45" t="s">
        <v>39</v>
      </c>
      <c r="AA220" s="45" t="s">
        <v>1457</v>
      </c>
      <c r="AB220" s="46" t="s">
        <v>39</v>
      </c>
      <c r="AC220" s="46" t="s">
        <v>39</v>
      </c>
      <c r="AD220" s="17" t="s">
        <v>643</v>
      </c>
      <c r="AE220" s="17" t="s">
        <v>644</v>
      </c>
    </row>
    <row r="221" s="2" customFormat="1" ht="24" hidden="1" customHeight="1" spans="1:31">
      <c r="A221" s="13">
        <v>219</v>
      </c>
      <c r="B221" s="187" t="s">
        <v>777</v>
      </c>
      <c r="C221" s="15" t="s">
        <v>443</v>
      </c>
      <c r="D221" s="15" t="s">
        <v>639</v>
      </c>
      <c r="E221" s="15" t="s">
        <v>640</v>
      </c>
      <c r="F221" s="13" t="s">
        <v>81</v>
      </c>
      <c r="G221" s="16" t="s">
        <v>178</v>
      </c>
      <c r="H221" s="18" t="s">
        <v>39</v>
      </c>
      <c r="I221" s="43" t="s">
        <v>717</v>
      </c>
      <c r="J221" s="16" t="s">
        <v>718</v>
      </c>
      <c r="K221" s="16"/>
      <c r="L221" s="20"/>
      <c r="M221" s="20" t="s">
        <v>39</v>
      </c>
      <c r="N221" s="21">
        <v>936000</v>
      </c>
      <c r="O221" s="196">
        <v>0.1</v>
      </c>
      <c r="P221" s="188">
        <v>0.01</v>
      </c>
      <c r="Q221" s="188" t="s">
        <v>39</v>
      </c>
      <c r="R221" s="188">
        <v>0.04</v>
      </c>
      <c r="S221" s="188">
        <v>0.03</v>
      </c>
      <c r="T221" s="188">
        <v>0.01</v>
      </c>
      <c r="U221" s="188">
        <v>0.01</v>
      </c>
      <c r="V221" s="45" t="s">
        <v>1457</v>
      </c>
      <c r="W221" s="45" t="s">
        <v>1457</v>
      </c>
      <c r="X221" s="45" t="s">
        <v>1457</v>
      </c>
      <c r="Y221" s="45" t="s">
        <v>39</v>
      </c>
      <c r="Z221" s="45" t="s">
        <v>39</v>
      </c>
      <c r="AA221" s="45" t="s">
        <v>1457</v>
      </c>
      <c r="AB221" s="46" t="s">
        <v>39</v>
      </c>
      <c r="AC221" s="46" t="s">
        <v>39</v>
      </c>
      <c r="AD221" s="17" t="s">
        <v>643</v>
      </c>
      <c r="AE221" s="17" t="s">
        <v>644</v>
      </c>
    </row>
    <row r="222" s="2" customFormat="1" ht="24" hidden="1" customHeight="1" spans="1:31">
      <c r="A222" s="13">
        <v>220</v>
      </c>
      <c r="B222" s="187" t="s">
        <v>778</v>
      </c>
      <c r="C222" s="15" t="s">
        <v>443</v>
      </c>
      <c r="D222" s="15" t="s">
        <v>639</v>
      </c>
      <c r="E222" s="15" t="s">
        <v>640</v>
      </c>
      <c r="F222" s="13" t="s">
        <v>81</v>
      </c>
      <c r="G222" s="16" t="s">
        <v>178</v>
      </c>
      <c r="H222" s="18" t="s">
        <v>39</v>
      </c>
      <c r="I222" s="43" t="s">
        <v>720</v>
      </c>
      <c r="J222" s="16" t="s">
        <v>721</v>
      </c>
      <c r="K222" s="16"/>
      <c r="L222" s="20"/>
      <c r="M222" s="20" t="s">
        <v>39</v>
      </c>
      <c r="N222" s="21">
        <v>456000</v>
      </c>
      <c r="O222" s="196">
        <v>0.1</v>
      </c>
      <c r="P222" s="188">
        <v>0.01</v>
      </c>
      <c r="Q222" s="188" t="s">
        <v>39</v>
      </c>
      <c r="R222" s="188">
        <v>0.04</v>
      </c>
      <c r="S222" s="188">
        <v>0.03</v>
      </c>
      <c r="T222" s="188">
        <v>0.01</v>
      </c>
      <c r="U222" s="188">
        <v>0.01</v>
      </c>
      <c r="V222" s="45" t="s">
        <v>1457</v>
      </c>
      <c r="W222" s="45" t="s">
        <v>1457</v>
      </c>
      <c r="X222" s="45" t="s">
        <v>1457</v>
      </c>
      <c r="Y222" s="45" t="s">
        <v>39</v>
      </c>
      <c r="Z222" s="45" t="s">
        <v>39</v>
      </c>
      <c r="AA222" s="45" t="s">
        <v>1457</v>
      </c>
      <c r="AB222" s="46" t="s">
        <v>39</v>
      </c>
      <c r="AC222" s="46" t="s">
        <v>39</v>
      </c>
      <c r="AD222" s="17" t="s">
        <v>643</v>
      </c>
      <c r="AE222" s="17" t="s">
        <v>644</v>
      </c>
    </row>
    <row r="223" s="2" customFormat="1" ht="24" hidden="1" customHeight="1" spans="1:31">
      <c r="A223" s="13">
        <v>221</v>
      </c>
      <c r="B223" s="187" t="s">
        <v>781</v>
      </c>
      <c r="C223" s="15" t="s">
        <v>443</v>
      </c>
      <c r="D223" s="15" t="s">
        <v>639</v>
      </c>
      <c r="E223" s="15" t="s">
        <v>640</v>
      </c>
      <c r="F223" s="13" t="s">
        <v>81</v>
      </c>
      <c r="G223" s="16" t="s">
        <v>178</v>
      </c>
      <c r="H223" s="18" t="s">
        <v>39</v>
      </c>
      <c r="I223" s="43" t="s">
        <v>723</v>
      </c>
      <c r="J223" s="16" t="s">
        <v>724</v>
      </c>
      <c r="K223" s="16"/>
      <c r="L223" s="20"/>
      <c r="M223" s="20" t="s">
        <v>39</v>
      </c>
      <c r="N223" s="21">
        <v>676800</v>
      </c>
      <c r="O223" s="196">
        <v>0.1</v>
      </c>
      <c r="P223" s="188">
        <v>0.01</v>
      </c>
      <c r="Q223" s="188" t="s">
        <v>39</v>
      </c>
      <c r="R223" s="188">
        <v>0.04</v>
      </c>
      <c r="S223" s="188">
        <v>0.03</v>
      </c>
      <c r="T223" s="188">
        <v>0.01</v>
      </c>
      <c r="U223" s="188">
        <v>0.01</v>
      </c>
      <c r="V223" s="45" t="s">
        <v>1457</v>
      </c>
      <c r="W223" s="45" t="s">
        <v>1457</v>
      </c>
      <c r="X223" s="45" t="s">
        <v>1457</v>
      </c>
      <c r="Y223" s="45" t="s">
        <v>39</v>
      </c>
      <c r="Z223" s="45" t="s">
        <v>39</v>
      </c>
      <c r="AA223" s="45" t="s">
        <v>1457</v>
      </c>
      <c r="AB223" s="46" t="s">
        <v>39</v>
      </c>
      <c r="AC223" s="46" t="s">
        <v>39</v>
      </c>
      <c r="AD223" s="17" t="s">
        <v>643</v>
      </c>
      <c r="AE223" s="17" t="s">
        <v>644</v>
      </c>
    </row>
    <row r="224" s="2" customFormat="1" ht="24" hidden="1" customHeight="1" spans="1:31">
      <c r="A224" s="13">
        <v>222</v>
      </c>
      <c r="B224" s="187" t="s">
        <v>784</v>
      </c>
      <c r="C224" s="15" t="s">
        <v>443</v>
      </c>
      <c r="D224" s="15" t="s">
        <v>639</v>
      </c>
      <c r="E224" s="15" t="s">
        <v>640</v>
      </c>
      <c r="F224" s="13" t="s">
        <v>81</v>
      </c>
      <c r="G224" s="16" t="s">
        <v>178</v>
      </c>
      <c r="H224" s="18" t="s">
        <v>39</v>
      </c>
      <c r="I224" s="43" t="s">
        <v>726</v>
      </c>
      <c r="J224" s="16" t="s">
        <v>727</v>
      </c>
      <c r="K224" s="16"/>
      <c r="L224" s="20"/>
      <c r="M224" s="20" t="s">
        <v>39</v>
      </c>
      <c r="N224" s="21">
        <v>468000</v>
      </c>
      <c r="O224" s="194">
        <v>0.1</v>
      </c>
      <c r="P224" s="188">
        <v>0.01</v>
      </c>
      <c r="Q224" s="45" t="s">
        <v>39</v>
      </c>
      <c r="R224" s="188">
        <v>0.04</v>
      </c>
      <c r="S224" s="188">
        <v>0.03</v>
      </c>
      <c r="T224" s="188">
        <v>0.01</v>
      </c>
      <c r="U224" s="188">
        <v>0.01</v>
      </c>
      <c r="V224" s="45" t="s">
        <v>1457</v>
      </c>
      <c r="W224" s="45" t="s">
        <v>1457</v>
      </c>
      <c r="X224" s="45" t="s">
        <v>1457</v>
      </c>
      <c r="Y224" s="45" t="s">
        <v>39</v>
      </c>
      <c r="Z224" s="45" t="s">
        <v>39</v>
      </c>
      <c r="AA224" s="45" t="s">
        <v>1457</v>
      </c>
      <c r="AB224" s="46" t="s">
        <v>39</v>
      </c>
      <c r="AC224" s="46" t="s">
        <v>39</v>
      </c>
      <c r="AD224" s="17" t="s">
        <v>643</v>
      </c>
      <c r="AE224" s="17" t="s">
        <v>644</v>
      </c>
    </row>
    <row r="225" s="2" customFormat="1" ht="24" hidden="1" customHeight="1" spans="1:31">
      <c r="A225" s="13">
        <v>223</v>
      </c>
      <c r="B225" s="187" t="s">
        <v>787</v>
      </c>
      <c r="C225" s="15" t="s">
        <v>443</v>
      </c>
      <c r="D225" s="15" t="s">
        <v>639</v>
      </c>
      <c r="E225" s="15" t="s">
        <v>640</v>
      </c>
      <c r="F225" s="13" t="s">
        <v>81</v>
      </c>
      <c r="G225" s="16" t="s">
        <v>178</v>
      </c>
      <c r="H225" s="18" t="s">
        <v>39</v>
      </c>
      <c r="I225" s="43" t="s">
        <v>459</v>
      </c>
      <c r="J225" s="16" t="s">
        <v>729</v>
      </c>
      <c r="K225" s="16"/>
      <c r="L225" s="20"/>
      <c r="M225" s="20" t="s">
        <v>39</v>
      </c>
      <c r="N225" s="21">
        <v>460800</v>
      </c>
      <c r="O225" s="194">
        <v>0.1</v>
      </c>
      <c r="P225" s="188">
        <v>0.01</v>
      </c>
      <c r="Q225" s="45" t="s">
        <v>39</v>
      </c>
      <c r="R225" s="188">
        <v>0.04</v>
      </c>
      <c r="S225" s="188">
        <v>0.03</v>
      </c>
      <c r="T225" s="188">
        <v>0.01</v>
      </c>
      <c r="U225" s="188">
        <v>0.01</v>
      </c>
      <c r="V225" s="45" t="s">
        <v>1457</v>
      </c>
      <c r="W225" s="45" t="s">
        <v>1457</v>
      </c>
      <c r="X225" s="45" t="s">
        <v>1457</v>
      </c>
      <c r="Y225" s="45" t="s">
        <v>39</v>
      </c>
      <c r="Z225" s="45" t="s">
        <v>39</v>
      </c>
      <c r="AA225" s="45" t="s">
        <v>1457</v>
      </c>
      <c r="AB225" s="46" t="s">
        <v>39</v>
      </c>
      <c r="AC225" s="46" t="s">
        <v>39</v>
      </c>
      <c r="AD225" s="17" t="s">
        <v>643</v>
      </c>
      <c r="AE225" s="17" t="s">
        <v>644</v>
      </c>
    </row>
    <row r="226" s="2" customFormat="1" ht="24" hidden="1" customHeight="1" spans="1:31">
      <c r="A226" s="13">
        <v>224</v>
      </c>
      <c r="B226" s="187" t="s">
        <v>790</v>
      </c>
      <c r="C226" s="15" t="s">
        <v>443</v>
      </c>
      <c r="D226" s="15" t="s">
        <v>639</v>
      </c>
      <c r="E226" s="15" t="s">
        <v>640</v>
      </c>
      <c r="F226" s="13" t="s">
        <v>81</v>
      </c>
      <c r="G226" s="16" t="s">
        <v>178</v>
      </c>
      <c r="H226" s="18" t="s">
        <v>39</v>
      </c>
      <c r="I226" s="43" t="s">
        <v>731</v>
      </c>
      <c r="J226" s="16" t="s">
        <v>732</v>
      </c>
      <c r="K226" s="16"/>
      <c r="L226" s="20"/>
      <c r="M226" s="20" t="s">
        <v>39</v>
      </c>
      <c r="N226" s="21">
        <v>1363200</v>
      </c>
      <c r="O226" s="194">
        <v>0.06</v>
      </c>
      <c r="P226" s="188">
        <v>0.01</v>
      </c>
      <c r="Q226" s="45" t="s">
        <v>39</v>
      </c>
      <c r="R226" s="188">
        <v>0.04</v>
      </c>
      <c r="S226" s="188">
        <v>0.03</v>
      </c>
      <c r="T226" s="188">
        <v>0.01</v>
      </c>
      <c r="U226" s="188">
        <v>0.01</v>
      </c>
      <c r="V226" s="45" t="s">
        <v>1457</v>
      </c>
      <c r="W226" s="45" t="s">
        <v>1457</v>
      </c>
      <c r="X226" s="45" t="s">
        <v>1457</v>
      </c>
      <c r="Y226" s="45" t="s">
        <v>39</v>
      </c>
      <c r="Z226" s="45" t="s">
        <v>39</v>
      </c>
      <c r="AA226" s="45" t="s">
        <v>1457</v>
      </c>
      <c r="AB226" s="46" t="s">
        <v>39</v>
      </c>
      <c r="AC226" s="46" t="s">
        <v>39</v>
      </c>
      <c r="AD226" s="17" t="s">
        <v>643</v>
      </c>
      <c r="AE226" s="17" t="s">
        <v>644</v>
      </c>
    </row>
    <row r="227" s="2" customFormat="1" ht="12" hidden="1" customHeight="1" spans="1:31">
      <c r="A227" s="13">
        <v>225</v>
      </c>
      <c r="B227" s="187" t="s">
        <v>793</v>
      </c>
      <c r="C227" s="197" t="s">
        <v>443</v>
      </c>
      <c r="D227" s="197" t="s">
        <v>733</v>
      </c>
      <c r="E227" s="197" t="s">
        <v>734</v>
      </c>
      <c r="F227" s="198" t="s">
        <v>37</v>
      </c>
      <c r="G227" s="187" t="s">
        <v>178</v>
      </c>
      <c r="H227" s="45" t="s">
        <v>39</v>
      </c>
      <c r="I227" s="198" t="s">
        <v>39</v>
      </c>
      <c r="J227" s="187" t="s">
        <v>39</v>
      </c>
      <c r="K227" s="187"/>
      <c r="L227" s="188"/>
      <c r="M227" s="188" t="s">
        <v>39</v>
      </c>
      <c r="N227" s="21" t="s">
        <v>39</v>
      </c>
      <c r="O227" s="188" t="s">
        <v>39</v>
      </c>
      <c r="P227" s="188"/>
      <c r="Q227" s="188"/>
      <c r="R227" s="188"/>
      <c r="S227" s="188" t="s">
        <v>39</v>
      </c>
      <c r="T227" s="188" t="s">
        <v>39</v>
      </c>
      <c r="U227" s="188" t="s">
        <v>39</v>
      </c>
      <c r="V227" s="45"/>
      <c r="W227" s="190"/>
      <c r="X227" s="188" t="s">
        <v>39</v>
      </c>
      <c r="Y227" s="192"/>
      <c r="Z227" s="192"/>
      <c r="AA227" s="192" t="s">
        <v>39</v>
      </c>
      <c r="AB227" s="46">
        <v>0.045</v>
      </c>
      <c r="AC227" s="204" t="s">
        <v>39</v>
      </c>
      <c r="AD227" s="189" t="s">
        <v>104</v>
      </c>
      <c r="AE227" s="17"/>
    </row>
    <row r="228" s="2" customFormat="1" ht="24" hidden="1" customHeight="1" spans="1:31">
      <c r="A228" s="13">
        <v>226</v>
      </c>
      <c r="B228" s="187" t="s">
        <v>796</v>
      </c>
      <c r="C228" s="15" t="s">
        <v>443</v>
      </c>
      <c r="D228" s="15" t="s">
        <v>733</v>
      </c>
      <c r="E228" s="15" t="s">
        <v>734</v>
      </c>
      <c r="F228" s="13" t="s">
        <v>81</v>
      </c>
      <c r="G228" s="16" t="s">
        <v>178</v>
      </c>
      <c r="H228" s="16" t="s">
        <v>60</v>
      </c>
      <c r="I228" s="17" t="s">
        <v>736</v>
      </c>
      <c r="J228" s="18" t="s">
        <v>737</v>
      </c>
      <c r="K228" s="18"/>
      <c r="L228" s="20"/>
      <c r="M228" s="20" t="s">
        <v>39</v>
      </c>
      <c r="N228" s="21">
        <v>2400000</v>
      </c>
      <c r="O228" s="194">
        <v>0.03</v>
      </c>
      <c r="P228" s="194">
        <v>0.01</v>
      </c>
      <c r="Q228" s="194">
        <v>0.06</v>
      </c>
      <c r="R228" s="194">
        <v>0.02</v>
      </c>
      <c r="S228" s="194">
        <v>0.03</v>
      </c>
      <c r="T228" s="194">
        <v>0.01</v>
      </c>
      <c r="U228" s="194">
        <v>0.01</v>
      </c>
      <c r="V228" s="45" t="s">
        <v>1457</v>
      </c>
      <c r="W228" s="45" t="s">
        <v>1457</v>
      </c>
      <c r="X228" s="45" t="s">
        <v>1457</v>
      </c>
      <c r="Y228" s="45" t="s">
        <v>1725</v>
      </c>
      <c r="Z228" s="45" t="s">
        <v>39</v>
      </c>
      <c r="AA228" s="45" t="s">
        <v>1457</v>
      </c>
      <c r="AB228" s="46" t="s">
        <v>39</v>
      </c>
      <c r="AC228" s="46" t="s">
        <v>39</v>
      </c>
      <c r="AD228" s="17" t="s">
        <v>738</v>
      </c>
      <c r="AE228" s="17" t="s">
        <v>739</v>
      </c>
    </row>
    <row r="229" s="2" customFormat="1" ht="24" hidden="1" customHeight="1" spans="1:31">
      <c r="A229" s="13">
        <v>227</v>
      </c>
      <c r="B229" s="187" t="s">
        <v>799</v>
      </c>
      <c r="C229" s="15" t="s">
        <v>443</v>
      </c>
      <c r="D229" s="15" t="s">
        <v>733</v>
      </c>
      <c r="E229" s="15" t="s">
        <v>734</v>
      </c>
      <c r="F229" s="13" t="s">
        <v>81</v>
      </c>
      <c r="G229" s="16" t="s">
        <v>178</v>
      </c>
      <c r="H229" s="16" t="s">
        <v>66</v>
      </c>
      <c r="I229" s="17" t="s">
        <v>742</v>
      </c>
      <c r="J229" s="18" t="s">
        <v>743</v>
      </c>
      <c r="K229" s="18"/>
      <c r="L229" s="20"/>
      <c r="M229" s="20" t="s">
        <v>39</v>
      </c>
      <c r="N229" s="21">
        <v>640000</v>
      </c>
      <c r="O229" s="194">
        <v>0.03</v>
      </c>
      <c r="P229" s="194">
        <v>0.01</v>
      </c>
      <c r="Q229" s="194">
        <v>0.06</v>
      </c>
      <c r="R229" s="194">
        <v>0.02</v>
      </c>
      <c r="S229" s="194">
        <v>0.03</v>
      </c>
      <c r="T229" s="194">
        <v>0.01</v>
      </c>
      <c r="U229" s="194">
        <v>0.01</v>
      </c>
      <c r="V229" s="45" t="s">
        <v>1457</v>
      </c>
      <c r="W229" s="45" t="s">
        <v>1457</v>
      </c>
      <c r="X229" s="45" t="s">
        <v>1457</v>
      </c>
      <c r="Y229" s="45" t="s">
        <v>1725</v>
      </c>
      <c r="Z229" s="45" t="s">
        <v>39</v>
      </c>
      <c r="AA229" s="45" t="s">
        <v>1457</v>
      </c>
      <c r="AB229" s="46" t="s">
        <v>39</v>
      </c>
      <c r="AC229" s="46" t="s">
        <v>39</v>
      </c>
      <c r="AD229" s="17" t="s">
        <v>738</v>
      </c>
      <c r="AE229" s="17" t="s">
        <v>739</v>
      </c>
    </row>
    <row r="230" s="2" customFormat="1" ht="24" hidden="1" customHeight="1" spans="1:31">
      <c r="A230" s="13">
        <v>228</v>
      </c>
      <c r="B230" s="187" t="s">
        <v>801</v>
      </c>
      <c r="C230" s="15" t="s">
        <v>443</v>
      </c>
      <c r="D230" s="15" t="s">
        <v>733</v>
      </c>
      <c r="E230" s="15" t="s">
        <v>734</v>
      </c>
      <c r="F230" s="13" t="s">
        <v>81</v>
      </c>
      <c r="G230" s="16" t="s">
        <v>178</v>
      </c>
      <c r="H230" s="16" t="s">
        <v>70</v>
      </c>
      <c r="I230" s="17" t="s">
        <v>745</v>
      </c>
      <c r="J230" s="18" t="s">
        <v>746</v>
      </c>
      <c r="K230" s="18"/>
      <c r="L230" s="20"/>
      <c r="M230" s="20" t="s">
        <v>39</v>
      </c>
      <c r="N230" s="21">
        <v>640000</v>
      </c>
      <c r="O230" s="194">
        <v>0.03</v>
      </c>
      <c r="P230" s="194">
        <v>0.01</v>
      </c>
      <c r="Q230" s="194">
        <v>0.06</v>
      </c>
      <c r="R230" s="194">
        <v>0.02</v>
      </c>
      <c r="S230" s="194">
        <v>0.03</v>
      </c>
      <c r="T230" s="194">
        <v>0.01</v>
      </c>
      <c r="U230" s="194">
        <v>0.01</v>
      </c>
      <c r="V230" s="45" t="s">
        <v>1457</v>
      </c>
      <c r="W230" s="45" t="s">
        <v>1457</v>
      </c>
      <c r="X230" s="45" t="s">
        <v>1457</v>
      </c>
      <c r="Y230" s="45" t="s">
        <v>1725</v>
      </c>
      <c r="Z230" s="45" t="s">
        <v>39</v>
      </c>
      <c r="AA230" s="45" t="s">
        <v>1457</v>
      </c>
      <c r="AB230" s="46" t="s">
        <v>39</v>
      </c>
      <c r="AC230" s="46" t="s">
        <v>39</v>
      </c>
      <c r="AD230" s="17" t="s">
        <v>738</v>
      </c>
      <c r="AE230" s="17" t="s">
        <v>739</v>
      </c>
    </row>
    <row r="231" s="2" customFormat="1" ht="24" hidden="1" customHeight="1" spans="1:31">
      <c r="A231" s="13">
        <v>229</v>
      </c>
      <c r="B231" s="187" t="s">
        <v>806</v>
      </c>
      <c r="C231" s="15" t="s">
        <v>443</v>
      </c>
      <c r="D231" s="15" t="s">
        <v>733</v>
      </c>
      <c r="E231" s="15" t="s">
        <v>734</v>
      </c>
      <c r="F231" s="13" t="s">
        <v>81</v>
      </c>
      <c r="G231" s="16" t="s">
        <v>178</v>
      </c>
      <c r="H231" s="16" t="s">
        <v>74</v>
      </c>
      <c r="I231" s="17" t="s">
        <v>748</v>
      </c>
      <c r="J231" s="18" t="s">
        <v>749</v>
      </c>
      <c r="K231" s="18"/>
      <c r="L231" s="20"/>
      <c r="M231" s="20" t="s">
        <v>39</v>
      </c>
      <c r="N231" s="21">
        <v>640000</v>
      </c>
      <c r="O231" s="194">
        <v>0.03</v>
      </c>
      <c r="P231" s="194">
        <v>0.01</v>
      </c>
      <c r="Q231" s="194">
        <v>0.06</v>
      </c>
      <c r="R231" s="194">
        <v>0.02</v>
      </c>
      <c r="S231" s="194">
        <v>0.03</v>
      </c>
      <c r="T231" s="194">
        <v>0.01</v>
      </c>
      <c r="U231" s="194">
        <v>0.01</v>
      </c>
      <c r="V231" s="45" t="s">
        <v>1457</v>
      </c>
      <c r="W231" s="45" t="s">
        <v>1457</v>
      </c>
      <c r="X231" s="45" t="s">
        <v>1457</v>
      </c>
      <c r="Y231" s="45" t="s">
        <v>1725</v>
      </c>
      <c r="Z231" s="45" t="s">
        <v>39</v>
      </c>
      <c r="AA231" s="45" t="s">
        <v>1457</v>
      </c>
      <c r="AB231" s="46" t="s">
        <v>39</v>
      </c>
      <c r="AC231" s="46" t="s">
        <v>39</v>
      </c>
      <c r="AD231" s="17" t="s">
        <v>738</v>
      </c>
      <c r="AE231" s="17" t="s">
        <v>739</v>
      </c>
    </row>
    <row r="232" s="2" customFormat="1" ht="24" hidden="1" customHeight="1" spans="1:31">
      <c r="A232" s="13">
        <v>230</v>
      </c>
      <c r="B232" s="187" t="s">
        <v>812</v>
      </c>
      <c r="C232" s="15" t="s">
        <v>443</v>
      </c>
      <c r="D232" s="15" t="s">
        <v>733</v>
      </c>
      <c r="E232" s="15" t="s">
        <v>734</v>
      </c>
      <c r="F232" s="13" t="s">
        <v>81</v>
      </c>
      <c r="G232" s="16" t="s">
        <v>178</v>
      </c>
      <c r="H232" s="16" t="s">
        <v>265</v>
      </c>
      <c r="I232" s="17" t="s">
        <v>751</v>
      </c>
      <c r="J232" s="18" t="s">
        <v>752</v>
      </c>
      <c r="K232" s="18"/>
      <c r="L232" s="20"/>
      <c r="M232" s="20" t="s">
        <v>39</v>
      </c>
      <c r="N232" s="21">
        <v>640000</v>
      </c>
      <c r="O232" s="194">
        <v>0.03</v>
      </c>
      <c r="P232" s="194">
        <v>0.01</v>
      </c>
      <c r="Q232" s="194">
        <v>0.06</v>
      </c>
      <c r="R232" s="194">
        <v>0.02</v>
      </c>
      <c r="S232" s="194">
        <v>0.03</v>
      </c>
      <c r="T232" s="194">
        <v>0.01</v>
      </c>
      <c r="U232" s="194">
        <v>0.01</v>
      </c>
      <c r="V232" s="45" t="s">
        <v>1457</v>
      </c>
      <c r="W232" s="45" t="s">
        <v>1457</v>
      </c>
      <c r="X232" s="45" t="s">
        <v>1457</v>
      </c>
      <c r="Y232" s="45" t="s">
        <v>1725</v>
      </c>
      <c r="Z232" s="45" t="s">
        <v>39</v>
      </c>
      <c r="AA232" s="45" t="s">
        <v>1457</v>
      </c>
      <c r="AB232" s="46" t="s">
        <v>39</v>
      </c>
      <c r="AC232" s="46" t="s">
        <v>39</v>
      </c>
      <c r="AD232" s="17" t="s">
        <v>738</v>
      </c>
      <c r="AE232" s="189" t="s">
        <v>753</v>
      </c>
    </row>
    <row r="233" s="2" customFormat="1" ht="12" hidden="1" customHeight="1" spans="1:31">
      <c r="A233" s="13">
        <v>231</v>
      </c>
      <c r="B233" s="187" t="s">
        <v>817</v>
      </c>
      <c r="C233" s="197" t="s">
        <v>443</v>
      </c>
      <c r="D233" s="197" t="s">
        <v>754</v>
      </c>
      <c r="E233" s="197" t="s">
        <v>755</v>
      </c>
      <c r="F233" s="198" t="s">
        <v>37</v>
      </c>
      <c r="G233" s="187" t="s">
        <v>178</v>
      </c>
      <c r="H233" s="187" t="s">
        <v>39</v>
      </c>
      <c r="I233" s="45" t="s">
        <v>39</v>
      </c>
      <c r="J233" s="45" t="s">
        <v>39</v>
      </c>
      <c r="K233" s="45"/>
      <c r="L233" s="188"/>
      <c r="M233" s="188" t="s">
        <v>39</v>
      </c>
      <c r="N233" s="21" t="s">
        <v>39</v>
      </c>
      <c r="O233" s="190" t="s">
        <v>39</v>
      </c>
      <c r="P233" s="190" t="s">
        <v>39</v>
      </c>
      <c r="Q233" s="190" t="s">
        <v>39</v>
      </c>
      <c r="R233" s="194"/>
      <c r="S233" s="194" t="s">
        <v>39</v>
      </c>
      <c r="T233" s="190" t="s">
        <v>39</v>
      </c>
      <c r="U233" s="188" t="s">
        <v>39</v>
      </c>
      <c r="V233" s="45"/>
      <c r="W233" s="190"/>
      <c r="X233" s="188" t="s">
        <v>39</v>
      </c>
      <c r="Y233" s="188"/>
      <c r="Z233" s="188"/>
      <c r="AA233" s="188" t="s">
        <v>39</v>
      </c>
      <c r="AB233" s="187" t="s">
        <v>39</v>
      </c>
      <c r="AC233" s="204" t="s">
        <v>39</v>
      </c>
      <c r="AD233" s="189" t="s">
        <v>104</v>
      </c>
      <c r="AE233" s="189"/>
    </row>
    <row r="234" s="2" customFormat="1" ht="60" hidden="1" customHeight="1" spans="1:31">
      <c r="A234" s="13">
        <v>232</v>
      </c>
      <c r="B234" s="187" t="s">
        <v>820</v>
      </c>
      <c r="C234" s="15" t="s">
        <v>443</v>
      </c>
      <c r="D234" s="15" t="s">
        <v>754</v>
      </c>
      <c r="E234" s="15" t="s">
        <v>755</v>
      </c>
      <c r="F234" s="13" t="s">
        <v>81</v>
      </c>
      <c r="G234" s="16" t="s">
        <v>178</v>
      </c>
      <c r="H234" s="16" t="s">
        <v>60</v>
      </c>
      <c r="I234" s="17" t="s">
        <v>757</v>
      </c>
      <c r="J234" s="18" t="s">
        <v>758</v>
      </c>
      <c r="K234" s="18"/>
      <c r="L234" s="20"/>
      <c r="M234" s="20" t="s">
        <v>39</v>
      </c>
      <c r="N234" s="21">
        <v>1200000</v>
      </c>
      <c r="O234" s="188">
        <v>0</v>
      </c>
      <c r="P234" s="188">
        <v>0</v>
      </c>
      <c r="Q234" s="188">
        <v>0</v>
      </c>
      <c r="R234" s="188">
        <v>0</v>
      </c>
      <c r="S234" s="188">
        <v>0</v>
      </c>
      <c r="T234" s="188">
        <v>0</v>
      </c>
      <c r="U234" s="188">
        <v>0</v>
      </c>
      <c r="V234" s="45" t="s">
        <v>1515</v>
      </c>
      <c r="W234" s="45" t="s">
        <v>1515</v>
      </c>
      <c r="X234" s="45" t="s">
        <v>1457</v>
      </c>
      <c r="Y234" s="45" t="s">
        <v>1516</v>
      </c>
      <c r="Z234" s="45" t="s">
        <v>39</v>
      </c>
      <c r="AA234" s="45" t="s">
        <v>1457</v>
      </c>
      <c r="AB234" s="16" t="s">
        <v>39</v>
      </c>
      <c r="AC234" s="46" t="s">
        <v>39</v>
      </c>
      <c r="AD234" s="17" t="s">
        <v>759</v>
      </c>
      <c r="AE234" s="189" t="s">
        <v>760</v>
      </c>
    </row>
    <row r="235" s="2" customFormat="1" ht="12" hidden="1" customHeight="1" spans="1:31">
      <c r="A235" s="13">
        <v>233</v>
      </c>
      <c r="B235" s="187" t="s">
        <v>826</v>
      </c>
      <c r="C235" s="197" t="s">
        <v>443</v>
      </c>
      <c r="D235" s="197" t="s">
        <v>762</v>
      </c>
      <c r="E235" s="197" t="s">
        <v>763</v>
      </c>
      <c r="F235" s="198" t="s">
        <v>37</v>
      </c>
      <c r="G235" s="187" t="s">
        <v>178</v>
      </c>
      <c r="H235" s="45" t="s">
        <v>39</v>
      </c>
      <c r="I235" s="45" t="s">
        <v>39</v>
      </c>
      <c r="J235" s="45" t="s">
        <v>39</v>
      </c>
      <c r="K235" s="45"/>
      <c r="L235" s="188"/>
      <c r="M235" s="188" t="s">
        <v>39</v>
      </c>
      <c r="N235" s="21" t="s">
        <v>39</v>
      </c>
      <c r="O235" s="191" t="s">
        <v>39</v>
      </c>
      <c r="P235" s="194"/>
      <c r="Q235" s="194"/>
      <c r="R235" s="194"/>
      <c r="S235" s="194"/>
      <c r="T235" s="194"/>
      <c r="U235" s="188" t="s">
        <v>39</v>
      </c>
      <c r="V235" s="190"/>
      <c r="W235" s="190"/>
      <c r="X235" s="190"/>
      <c r="Y235" s="45"/>
      <c r="Z235" s="45"/>
      <c r="AA235" s="45"/>
      <c r="AB235" s="46">
        <v>0.05</v>
      </c>
      <c r="AC235" s="204" t="s">
        <v>39</v>
      </c>
      <c r="AD235" s="189" t="s">
        <v>104</v>
      </c>
      <c r="AE235" s="17"/>
    </row>
    <row r="236" s="2" customFormat="1" ht="84" hidden="1" customHeight="1" spans="1:31">
      <c r="A236" s="13">
        <v>234</v>
      </c>
      <c r="B236" s="187" t="s">
        <v>828</v>
      </c>
      <c r="C236" s="15" t="s">
        <v>443</v>
      </c>
      <c r="D236" s="15" t="s">
        <v>762</v>
      </c>
      <c r="E236" s="15" t="s">
        <v>763</v>
      </c>
      <c r="F236" s="13" t="s">
        <v>81</v>
      </c>
      <c r="G236" s="16" t="s">
        <v>178</v>
      </c>
      <c r="H236" s="18" t="s">
        <v>39</v>
      </c>
      <c r="I236" s="17" t="s">
        <v>765</v>
      </c>
      <c r="J236" s="18" t="s">
        <v>766</v>
      </c>
      <c r="K236" s="18"/>
      <c r="L236" s="20"/>
      <c r="M236" s="20" t="s">
        <v>39</v>
      </c>
      <c r="N236" s="21" t="s">
        <v>39</v>
      </c>
      <c r="O236" s="196">
        <v>0.23</v>
      </c>
      <c r="P236" s="188">
        <v>0</v>
      </c>
      <c r="Q236" s="188">
        <v>0</v>
      </c>
      <c r="R236" s="188">
        <v>0</v>
      </c>
      <c r="S236" s="188">
        <v>0</v>
      </c>
      <c r="T236" s="188">
        <v>0</v>
      </c>
      <c r="U236" s="188">
        <v>0</v>
      </c>
      <c r="V236" s="188">
        <v>0</v>
      </c>
      <c r="W236" s="188">
        <v>0</v>
      </c>
      <c r="X236" s="45" t="s">
        <v>1457</v>
      </c>
      <c r="Y236" s="45" t="s">
        <v>39</v>
      </c>
      <c r="Z236" s="45" t="s">
        <v>39</v>
      </c>
      <c r="AA236" s="45" t="s">
        <v>1457</v>
      </c>
      <c r="AB236" s="16" t="s">
        <v>39</v>
      </c>
      <c r="AC236" s="46" t="s">
        <v>39</v>
      </c>
      <c r="AD236" s="17" t="s">
        <v>767</v>
      </c>
      <c r="AE236" s="17" t="s">
        <v>768</v>
      </c>
    </row>
    <row r="237" s="2" customFormat="1" ht="24" hidden="1" customHeight="1" spans="1:31">
      <c r="A237" s="13">
        <v>235</v>
      </c>
      <c r="B237" s="187" t="s">
        <v>829</v>
      </c>
      <c r="C237" s="15" t="s">
        <v>443</v>
      </c>
      <c r="D237" s="15" t="s">
        <v>762</v>
      </c>
      <c r="E237" s="15" t="s">
        <v>763</v>
      </c>
      <c r="F237" s="13" t="s">
        <v>81</v>
      </c>
      <c r="G237" s="16" t="s">
        <v>178</v>
      </c>
      <c r="H237" s="18" t="s">
        <v>39</v>
      </c>
      <c r="I237" s="43" t="s">
        <v>771</v>
      </c>
      <c r="J237" s="16" t="s">
        <v>772</v>
      </c>
      <c r="K237" s="16"/>
      <c r="L237" s="20"/>
      <c r="M237" s="20" t="s">
        <v>39</v>
      </c>
      <c r="N237" s="21">
        <v>250000</v>
      </c>
      <c r="O237" s="196">
        <v>0.28</v>
      </c>
      <c r="P237" s="188">
        <v>0</v>
      </c>
      <c r="Q237" s="188">
        <v>0</v>
      </c>
      <c r="R237" s="188">
        <v>0</v>
      </c>
      <c r="S237" s="188">
        <v>0</v>
      </c>
      <c r="T237" s="188">
        <v>0</v>
      </c>
      <c r="U237" s="188">
        <v>0</v>
      </c>
      <c r="V237" s="188">
        <v>0</v>
      </c>
      <c r="W237" s="188">
        <v>0</v>
      </c>
      <c r="X237" s="45" t="s">
        <v>1457</v>
      </c>
      <c r="Y237" s="45" t="s">
        <v>39</v>
      </c>
      <c r="Z237" s="45" t="s">
        <v>39</v>
      </c>
      <c r="AA237" s="45" t="s">
        <v>1457</v>
      </c>
      <c r="AB237" s="16" t="s">
        <v>39</v>
      </c>
      <c r="AC237" s="46" t="s">
        <v>39</v>
      </c>
      <c r="AD237" s="206"/>
      <c r="AE237" s="17" t="s">
        <v>773</v>
      </c>
    </row>
    <row r="238" s="2" customFormat="1" ht="24" hidden="1" customHeight="1" spans="1:31">
      <c r="A238" s="13">
        <v>236</v>
      </c>
      <c r="B238" s="187" t="s">
        <v>832</v>
      </c>
      <c r="C238" s="15" t="s">
        <v>443</v>
      </c>
      <c r="D238" s="15" t="s">
        <v>762</v>
      </c>
      <c r="E238" s="15" t="s">
        <v>763</v>
      </c>
      <c r="F238" s="13" t="s">
        <v>81</v>
      </c>
      <c r="G238" s="16" t="s">
        <v>178</v>
      </c>
      <c r="H238" s="18" t="s">
        <v>39</v>
      </c>
      <c r="I238" s="43" t="s">
        <v>589</v>
      </c>
      <c r="J238" s="16" t="s">
        <v>642</v>
      </c>
      <c r="K238" s="16"/>
      <c r="L238" s="20"/>
      <c r="M238" s="20" t="s">
        <v>39</v>
      </c>
      <c r="N238" s="21">
        <v>530000</v>
      </c>
      <c r="O238" s="196">
        <v>0.27</v>
      </c>
      <c r="P238" s="188">
        <v>0</v>
      </c>
      <c r="Q238" s="188">
        <v>0</v>
      </c>
      <c r="R238" s="188">
        <v>0</v>
      </c>
      <c r="S238" s="188">
        <v>0</v>
      </c>
      <c r="T238" s="188">
        <v>0</v>
      </c>
      <c r="U238" s="188">
        <v>0</v>
      </c>
      <c r="V238" s="188">
        <v>0</v>
      </c>
      <c r="W238" s="188">
        <v>0</v>
      </c>
      <c r="X238" s="45" t="s">
        <v>1457</v>
      </c>
      <c r="Y238" s="45" t="s">
        <v>39</v>
      </c>
      <c r="Z238" s="45" t="s">
        <v>39</v>
      </c>
      <c r="AA238" s="45" t="s">
        <v>1457</v>
      </c>
      <c r="AB238" s="16" t="s">
        <v>39</v>
      </c>
      <c r="AC238" s="46" t="s">
        <v>39</v>
      </c>
      <c r="AD238" s="206"/>
      <c r="AE238" s="17" t="s">
        <v>773</v>
      </c>
    </row>
    <row r="239" s="2" customFormat="1" ht="108" hidden="1" customHeight="1" spans="1:31">
      <c r="A239" s="13">
        <v>237</v>
      </c>
      <c r="B239" s="187" t="s">
        <v>834</v>
      </c>
      <c r="C239" s="15" t="s">
        <v>443</v>
      </c>
      <c r="D239" s="15" t="s">
        <v>762</v>
      </c>
      <c r="E239" s="15" t="s">
        <v>763</v>
      </c>
      <c r="F239" s="13" t="s">
        <v>81</v>
      </c>
      <c r="G239" s="16" t="s">
        <v>178</v>
      </c>
      <c r="H239" s="18" t="s">
        <v>39</v>
      </c>
      <c r="I239" s="43" t="s">
        <v>240</v>
      </c>
      <c r="J239" s="16" t="s">
        <v>776</v>
      </c>
      <c r="K239" s="16"/>
      <c r="L239" s="20"/>
      <c r="M239" s="20" t="s">
        <v>39</v>
      </c>
      <c r="N239" s="21">
        <v>1240000</v>
      </c>
      <c r="O239" s="196" t="s">
        <v>1517</v>
      </c>
      <c r="P239" s="188">
        <v>0</v>
      </c>
      <c r="Q239" s="188">
        <v>0</v>
      </c>
      <c r="R239" s="188">
        <v>0</v>
      </c>
      <c r="S239" s="188">
        <v>0</v>
      </c>
      <c r="T239" s="188">
        <v>0</v>
      </c>
      <c r="U239" s="188">
        <v>0</v>
      </c>
      <c r="V239" s="188">
        <v>0</v>
      </c>
      <c r="W239" s="188">
        <v>0</v>
      </c>
      <c r="X239" s="45" t="s">
        <v>1457</v>
      </c>
      <c r="Y239" s="45" t="s">
        <v>39</v>
      </c>
      <c r="Z239" s="45" t="s">
        <v>39</v>
      </c>
      <c r="AA239" s="45" t="s">
        <v>1457</v>
      </c>
      <c r="AB239" s="16" t="s">
        <v>39</v>
      </c>
      <c r="AC239" s="46" t="s">
        <v>39</v>
      </c>
      <c r="AD239" s="206"/>
      <c r="AE239" s="17" t="s">
        <v>773</v>
      </c>
    </row>
    <row r="240" s="2" customFormat="1" ht="24" hidden="1" customHeight="1" spans="1:31">
      <c r="A240" s="13">
        <v>238</v>
      </c>
      <c r="B240" s="187" t="s">
        <v>836</v>
      </c>
      <c r="C240" s="15" t="s">
        <v>443</v>
      </c>
      <c r="D240" s="15" t="s">
        <v>762</v>
      </c>
      <c r="E240" s="15" t="s">
        <v>763</v>
      </c>
      <c r="F240" s="13" t="s">
        <v>81</v>
      </c>
      <c r="G240" s="16" t="s">
        <v>178</v>
      </c>
      <c r="H240" s="18" t="s">
        <v>39</v>
      </c>
      <c r="I240" s="43" t="s">
        <v>485</v>
      </c>
      <c r="J240" s="16" t="s">
        <v>772</v>
      </c>
      <c r="K240" s="16"/>
      <c r="L240" s="20"/>
      <c r="M240" s="20" t="s">
        <v>39</v>
      </c>
      <c r="N240" s="21">
        <v>700000</v>
      </c>
      <c r="O240" s="196">
        <v>0.28</v>
      </c>
      <c r="P240" s="188">
        <v>0</v>
      </c>
      <c r="Q240" s="188">
        <v>0</v>
      </c>
      <c r="R240" s="188">
        <v>0</v>
      </c>
      <c r="S240" s="188">
        <v>0</v>
      </c>
      <c r="T240" s="188">
        <v>0</v>
      </c>
      <c r="U240" s="188">
        <v>0</v>
      </c>
      <c r="V240" s="188">
        <v>0</v>
      </c>
      <c r="W240" s="188">
        <v>0</v>
      </c>
      <c r="X240" s="45" t="s">
        <v>1457</v>
      </c>
      <c r="Y240" s="45" t="s">
        <v>39</v>
      </c>
      <c r="Z240" s="45" t="s">
        <v>39</v>
      </c>
      <c r="AA240" s="45" t="s">
        <v>1457</v>
      </c>
      <c r="AB240" s="16" t="s">
        <v>39</v>
      </c>
      <c r="AC240" s="46" t="s">
        <v>39</v>
      </c>
      <c r="AD240" s="206"/>
      <c r="AE240" s="17" t="s">
        <v>773</v>
      </c>
    </row>
    <row r="241" s="2" customFormat="1" ht="24" hidden="1" customHeight="1" spans="1:31">
      <c r="A241" s="13">
        <v>239</v>
      </c>
      <c r="B241" s="187" t="s">
        <v>839</v>
      </c>
      <c r="C241" s="15" t="s">
        <v>443</v>
      </c>
      <c r="D241" s="15" t="s">
        <v>762</v>
      </c>
      <c r="E241" s="15" t="s">
        <v>763</v>
      </c>
      <c r="F241" s="13" t="s">
        <v>81</v>
      </c>
      <c r="G241" s="16" t="s">
        <v>178</v>
      </c>
      <c r="H241" s="18" t="s">
        <v>39</v>
      </c>
      <c r="I241" s="43" t="s">
        <v>779</v>
      </c>
      <c r="J241" s="16" t="s">
        <v>780</v>
      </c>
      <c r="K241" s="16"/>
      <c r="L241" s="20"/>
      <c r="M241" s="20" t="s">
        <v>39</v>
      </c>
      <c r="N241" s="21">
        <v>500000</v>
      </c>
      <c r="O241" s="196">
        <v>0.28</v>
      </c>
      <c r="P241" s="188">
        <v>0</v>
      </c>
      <c r="Q241" s="188">
        <v>0</v>
      </c>
      <c r="R241" s="188">
        <v>0</v>
      </c>
      <c r="S241" s="188">
        <v>0</v>
      </c>
      <c r="T241" s="188">
        <v>0</v>
      </c>
      <c r="U241" s="188">
        <v>0</v>
      </c>
      <c r="V241" s="188">
        <v>0</v>
      </c>
      <c r="W241" s="188">
        <v>0</v>
      </c>
      <c r="X241" s="45" t="s">
        <v>1457</v>
      </c>
      <c r="Y241" s="45" t="s">
        <v>39</v>
      </c>
      <c r="Z241" s="45" t="s">
        <v>39</v>
      </c>
      <c r="AA241" s="45" t="s">
        <v>1457</v>
      </c>
      <c r="AB241" s="16" t="s">
        <v>39</v>
      </c>
      <c r="AC241" s="46" t="s">
        <v>39</v>
      </c>
      <c r="AD241" s="206"/>
      <c r="AE241" s="17" t="s">
        <v>773</v>
      </c>
    </row>
    <row r="242" s="2" customFormat="1" ht="24" hidden="1" customHeight="1" spans="1:31">
      <c r="A242" s="13">
        <v>240</v>
      </c>
      <c r="B242" s="187" t="s">
        <v>842</v>
      </c>
      <c r="C242" s="15" t="s">
        <v>443</v>
      </c>
      <c r="D242" s="15" t="s">
        <v>762</v>
      </c>
      <c r="E242" s="15" t="s">
        <v>763</v>
      </c>
      <c r="F242" s="13" t="s">
        <v>81</v>
      </c>
      <c r="G242" s="16" t="s">
        <v>178</v>
      </c>
      <c r="H242" s="18" t="s">
        <v>39</v>
      </c>
      <c r="I242" s="43" t="s">
        <v>782</v>
      </c>
      <c r="J242" s="16" t="s">
        <v>783</v>
      </c>
      <c r="K242" s="16"/>
      <c r="L242" s="20"/>
      <c r="M242" s="20" t="s">
        <v>39</v>
      </c>
      <c r="N242" s="21">
        <v>540000</v>
      </c>
      <c r="O242" s="196">
        <v>0.28</v>
      </c>
      <c r="P242" s="188">
        <v>0</v>
      </c>
      <c r="Q242" s="188">
        <v>0</v>
      </c>
      <c r="R242" s="188">
        <v>0</v>
      </c>
      <c r="S242" s="188">
        <v>0</v>
      </c>
      <c r="T242" s="188">
        <v>0</v>
      </c>
      <c r="U242" s="188">
        <v>0</v>
      </c>
      <c r="V242" s="188">
        <v>0</v>
      </c>
      <c r="W242" s="188">
        <v>0</v>
      </c>
      <c r="X242" s="45" t="s">
        <v>1457</v>
      </c>
      <c r="Y242" s="45" t="s">
        <v>39</v>
      </c>
      <c r="Z242" s="45" t="s">
        <v>39</v>
      </c>
      <c r="AA242" s="45" t="s">
        <v>1457</v>
      </c>
      <c r="AB242" s="16" t="s">
        <v>39</v>
      </c>
      <c r="AC242" s="46" t="s">
        <v>39</v>
      </c>
      <c r="AD242" s="206"/>
      <c r="AE242" s="17" t="s">
        <v>773</v>
      </c>
    </row>
    <row r="243" s="2" customFormat="1" ht="24" hidden="1" customHeight="1" spans="1:31">
      <c r="A243" s="13">
        <v>241</v>
      </c>
      <c r="B243" s="187" t="s">
        <v>845</v>
      </c>
      <c r="C243" s="15" t="s">
        <v>443</v>
      </c>
      <c r="D243" s="15" t="s">
        <v>762</v>
      </c>
      <c r="E243" s="15" t="s">
        <v>763</v>
      </c>
      <c r="F243" s="13" t="s">
        <v>81</v>
      </c>
      <c r="G243" s="16" t="s">
        <v>178</v>
      </c>
      <c r="H243" s="18" t="s">
        <v>39</v>
      </c>
      <c r="I243" s="43" t="s">
        <v>785</v>
      </c>
      <c r="J243" s="16" t="s">
        <v>786</v>
      </c>
      <c r="K243" s="16"/>
      <c r="L243" s="20"/>
      <c r="M243" s="20" t="s">
        <v>39</v>
      </c>
      <c r="N243" s="21">
        <v>600000</v>
      </c>
      <c r="O243" s="196">
        <v>0.28</v>
      </c>
      <c r="P243" s="188">
        <v>0</v>
      </c>
      <c r="Q243" s="188">
        <v>0</v>
      </c>
      <c r="R243" s="188">
        <v>0</v>
      </c>
      <c r="S243" s="188">
        <v>0</v>
      </c>
      <c r="T243" s="188">
        <v>0</v>
      </c>
      <c r="U243" s="188">
        <v>0</v>
      </c>
      <c r="V243" s="188">
        <v>0</v>
      </c>
      <c r="W243" s="188">
        <v>0</v>
      </c>
      <c r="X243" s="45" t="s">
        <v>1457</v>
      </c>
      <c r="Y243" s="45" t="s">
        <v>39</v>
      </c>
      <c r="Z243" s="45" t="s">
        <v>39</v>
      </c>
      <c r="AA243" s="45" t="s">
        <v>1457</v>
      </c>
      <c r="AB243" s="16" t="s">
        <v>39</v>
      </c>
      <c r="AC243" s="46" t="s">
        <v>39</v>
      </c>
      <c r="AD243" s="206"/>
      <c r="AE243" s="17" t="s">
        <v>773</v>
      </c>
    </row>
    <row r="244" s="2" customFormat="1" ht="24" hidden="1" customHeight="1" spans="1:31">
      <c r="A244" s="13">
        <v>242</v>
      </c>
      <c r="B244" s="187" t="s">
        <v>848</v>
      </c>
      <c r="C244" s="15" t="s">
        <v>443</v>
      </c>
      <c r="D244" s="15" t="s">
        <v>762</v>
      </c>
      <c r="E244" s="15" t="s">
        <v>763</v>
      </c>
      <c r="F244" s="13" t="s">
        <v>81</v>
      </c>
      <c r="G244" s="16" t="s">
        <v>178</v>
      </c>
      <c r="H244" s="18" t="s">
        <v>39</v>
      </c>
      <c r="I244" s="43" t="s">
        <v>788</v>
      </c>
      <c r="J244" s="16" t="s">
        <v>789</v>
      </c>
      <c r="K244" s="16"/>
      <c r="L244" s="20"/>
      <c r="M244" s="20" t="s">
        <v>39</v>
      </c>
      <c r="N244" s="21">
        <v>370000</v>
      </c>
      <c r="O244" s="196">
        <v>0.22</v>
      </c>
      <c r="P244" s="188">
        <v>0</v>
      </c>
      <c r="Q244" s="188">
        <v>0</v>
      </c>
      <c r="R244" s="188">
        <v>0</v>
      </c>
      <c r="S244" s="188">
        <v>0</v>
      </c>
      <c r="T244" s="188">
        <v>0</v>
      </c>
      <c r="U244" s="188">
        <v>0</v>
      </c>
      <c r="V244" s="188">
        <v>0</v>
      </c>
      <c r="W244" s="188">
        <v>0</v>
      </c>
      <c r="X244" s="45" t="s">
        <v>1457</v>
      </c>
      <c r="Y244" s="45" t="s">
        <v>39</v>
      </c>
      <c r="Z244" s="45" t="s">
        <v>39</v>
      </c>
      <c r="AA244" s="45" t="s">
        <v>1457</v>
      </c>
      <c r="AB244" s="16" t="s">
        <v>39</v>
      </c>
      <c r="AC244" s="46" t="s">
        <v>39</v>
      </c>
      <c r="AD244" s="206"/>
      <c r="AE244" s="17" t="s">
        <v>773</v>
      </c>
    </row>
    <row r="245" s="2" customFormat="1" ht="24" hidden="1" customHeight="1" spans="1:31">
      <c r="A245" s="13">
        <v>243</v>
      </c>
      <c r="B245" s="187" t="s">
        <v>854</v>
      </c>
      <c r="C245" s="15" t="s">
        <v>443</v>
      </c>
      <c r="D245" s="15" t="s">
        <v>762</v>
      </c>
      <c r="E245" s="15" t="s">
        <v>763</v>
      </c>
      <c r="F245" s="13" t="s">
        <v>81</v>
      </c>
      <c r="G245" s="16" t="s">
        <v>178</v>
      </c>
      <c r="H245" s="18" t="s">
        <v>39</v>
      </c>
      <c r="I245" s="17" t="s">
        <v>791</v>
      </c>
      <c r="J245" s="16" t="s">
        <v>792</v>
      </c>
      <c r="K245" s="16"/>
      <c r="L245" s="20"/>
      <c r="M245" s="20" t="s">
        <v>39</v>
      </c>
      <c r="N245" s="21">
        <v>250000</v>
      </c>
      <c r="O245" s="196">
        <v>0.23</v>
      </c>
      <c r="P245" s="188">
        <v>0</v>
      </c>
      <c r="Q245" s="188">
        <v>0</v>
      </c>
      <c r="R245" s="188">
        <v>0</v>
      </c>
      <c r="S245" s="188">
        <v>0</v>
      </c>
      <c r="T245" s="188">
        <v>0</v>
      </c>
      <c r="U245" s="188">
        <v>0</v>
      </c>
      <c r="V245" s="188">
        <v>0</v>
      </c>
      <c r="W245" s="188">
        <v>0</v>
      </c>
      <c r="X245" s="45" t="s">
        <v>1457</v>
      </c>
      <c r="Y245" s="45" t="s">
        <v>39</v>
      </c>
      <c r="Z245" s="45" t="s">
        <v>39</v>
      </c>
      <c r="AA245" s="45" t="s">
        <v>1457</v>
      </c>
      <c r="AB245" s="16" t="s">
        <v>39</v>
      </c>
      <c r="AC245" s="46" t="s">
        <v>39</v>
      </c>
      <c r="AD245" s="206"/>
      <c r="AE245" s="17" t="s">
        <v>773</v>
      </c>
    </row>
    <row r="246" s="2" customFormat="1" ht="24" hidden="1" customHeight="1" spans="1:31">
      <c r="A246" s="13">
        <v>244</v>
      </c>
      <c r="B246" s="187" t="s">
        <v>859</v>
      </c>
      <c r="C246" s="15" t="s">
        <v>443</v>
      </c>
      <c r="D246" s="15" t="s">
        <v>762</v>
      </c>
      <c r="E246" s="15" t="s">
        <v>763</v>
      </c>
      <c r="F246" s="13" t="s">
        <v>81</v>
      </c>
      <c r="G246" s="16" t="s">
        <v>178</v>
      </c>
      <c r="H246" s="18" t="s">
        <v>39</v>
      </c>
      <c r="I246" s="43" t="s">
        <v>794</v>
      </c>
      <c r="J246" s="16" t="s">
        <v>795</v>
      </c>
      <c r="K246" s="16"/>
      <c r="L246" s="20"/>
      <c r="M246" s="20" t="s">
        <v>39</v>
      </c>
      <c r="N246" s="21">
        <v>300000</v>
      </c>
      <c r="O246" s="194">
        <v>0.24</v>
      </c>
      <c r="P246" s="188">
        <v>0</v>
      </c>
      <c r="Q246" s="188">
        <v>0</v>
      </c>
      <c r="R246" s="188">
        <v>0</v>
      </c>
      <c r="S246" s="188">
        <v>0</v>
      </c>
      <c r="T246" s="188">
        <v>0</v>
      </c>
      <c r="U246" s="188">
        <v>0</v>
      </c>
      <c r="V246" s="188">
        <v>0</v>
      </c>
      <c r="W246" s="188">
        <v>0</v>
      </c>
      <c r="X246" s="45" t="s">
        <v>1457</v>
      </c>
      <c r="Y246" s="45" t="s">
        <v>39</v>
      </c>
      <c r="Z246" s="45" t="s">
        <v>39</v>
      </c>
      <c r="AA246" s="45" t="s">
        <v>1457</v>
      </c>
      <c r="AB246" s="16" t="s">
        <v>39</v>
      </c>
      <c r="AC246" s="46" t="s">
        <v>39</v>
      </c>
      <c r="AD246" s="206"/>
      <c r="AE246" s="17" t="s">
        <v>773</v>
      </c>
    </row>
    <row r="247" s="2" customFormat="1" ht="24" hidden="1" customHeight="1" spans="1:31">
      <c r="A247" s="13">
        <v>245</v>
      </c>
      <c r="B247" s="187" t="s">
        <v>864</v>
      </c>
      <c r="C247" s="15" t="s">
        <v>443</v>
      </c>
      <c r="D247" s="15" t="s">
        <v>762</v>
      </c>
      <c r="E247" s="15" t="s">
        <v>763</v>
      </c>
      <c r="F247" s="13" t="s">
        <v>81</v>
      </c>
      <c r="G247" s="16" t="s">
        <v>178</v>
      </c>
      <c r="H247" s="18" t="s">
        <v>39</v>
      </c>
      <c r="I247" s="43" t="s">
        <v>797</v>
      </c>
      <c r="J247" s="16" t="s">
        <v>798</v>
      </c>
      <c r="K247" s="16"/>
      <c r="L247" s="20"/>
      <c r="M247" s="20" t="s">
        <v>39</v>
      </c>
      <c r="N247" s="21">
        <v>360000</v>
      </c>
      <c r="O247" s="194">
        <v>0.28</v>
      </c>
      <c r="P247" s="188">
        <v>0</v>
      </c>
      <c r="Q247" s="188">
        <v>0</v>
      </c>
      <c r="R247" s="188">
        <v>0</v>
      </c>
      <c r="S247" s="188">
        <v>0</v>
      </c>
      <c r="T247" s="188">
        <v>0</v>
      </c>
      <c r="U247" s="188">
        <v>0</v>
      </c>
      <c r="V247" s="188">
        <v>0</v>
      </c>
      <c r="W247" s="188">
        <v>0</v>
      </c>
      <c r="X247" s="45" t="s">
        <v>1457</v>
      </c>
      <c r="Y247" s="45" t="s">
        <v>39</v>
      </c>
      <c r="Z247" s="45" t="s">
        <v>39</v>
      </c>
      <c r="AA247" s="45" t="s">
        <v>1457</v>
      </c>
      <c r="AB247" s="16" t="s">
        <v>39</v>
      </c>
      <c r="AC247" s="46" t="s">
        <v>39</v>
      </c>
      <c r="AD247" s="206"/>
      <c r="AE247" s="17" t="s">
        <v>773</v>
      </c>
    </row>
    <row r="248" s="2" customFormat="1" ht="24" hidden="1" customHeight="1" spans="1:31">
      <c r="A248" s="13">
        <v>246</v>
      </c>
      <c r="B248" s="187" t="s">
        <v>869</v>
      </c>
      <c r="C248" s="15" t="s">
        <v>443</v>
      </c>
      <c r="D248" s="15" t="s">
        <v>762</v>
      </c>
      <c r="E248" s="15" t="s">
        <v>763</v>
      </c>
      <c r="F248" s="13" t="s">
        <v>81</v>
      </c>
      <c r="G248" s="16" t="s">
        <v>178</v>
      </c>
      <c r="H248" s="18" t="s">
        <v>39</v>
      </c>
      <c r="I248" s="43" t="s">
        <v>316</v>
      </c>
      <c r="J248" s="16" t="s">
        <v>800</v>
      </c>
      <c r="K248" s="16"/>
      <c r="L248" s="20"/>
      <c r="M248" s="20" t="s">
        <v>39</v>
      </c>
      <c r="N248" s="21">
        <v>250000</v>
      </c>
      <c r="O248" s="194">
        <v>0.28</v>
      </c>
      <c r="P248" s="188">
        <v>0</v>
      </c>
      <c r="Q248" s="188">
        <v>0</v>
      </c>
      <c r="R248" s="188">
        <v>0</v>
      </c>
      <c r="S248" s="188">
        <v>0</v>
      </c>
      <c r="T248" s="188">
        <v>0</v>
      </c>
      <c r="U248" s="188">
        <v>0</v>
      </c>
      <c r="V248" s="188">
        <v>0</v>
      </c>
      <c r="W248" s="188">
        <v>0</v>
      </c>
      <c r="X248" s="45" t="s">
        <v>1457</v>
      </c>
      <c r="Y248" s="45" t="s">
        <v>39</v>
      </c>
      <c r="Z248" s="45" t="s">
        <v>39</v>
      </c>
      <c r="AA248" s="45" t="s">
        <v>1457</v>
      </c>
      <c r="AB248" s="16" t="s">
        <v>39</v>
      </c>
      <c r="AC248" s="46" t="s">
        <v>39</v>
      </c>
      <c r="AD248" s="206"/>
      <c r="AE248" s="17" t="s">
        <v>773</v>
      </c>
    </row>
    <row r="249" s="2" customFormat="1" ht="72" hidden="1" customHeight="1" spans="1:31">
      <c r="A249" s="13">
        <v>247</v>
      </c>
      <c r="B249" s="187" t="s">
        <v>873</v>
      </c>
      <c r="C249" s="15" t="s">
        <v>443</v>
      </c>
      <c r="D249" s="15" t="s">
        <v>762</v>
      </c>
      <c r="E249" s="15" t="s">
        <v>763</v>
      </c>
      <c r="F249" s="13" t="s">
        <v>81</v>
      </c>
      <c r="G249" s="16" t="s">
        <v>178</v>
      </c>
      <c r="H249" s="18" t="s">
        <v>39</v>
      </c>
      <c r="I249" s="17" t="s">
        <v>802</v>
      </c>
      <c r="J249" s="16" t="s">
        <v>803</v>
      </c>
      <c r="K249" s="16"/>
      <c r="L249" s="20"/>
      <c r="M249" s="20" t="s">
        <v>39</v>
      </c>
      <c r="N249" s="21">
        <v>340000</v>
      </c>
      <c r="O249" s="45" t="s">
        <v>1518</v>
      </c>
      <c r="P249" s="188">
        <v>0</v>
      </c>
      <c r="Q249" s="188">
        <v>0</v>
      </c>
      <c r="R249" s="188">
        <v>0</v>
      </c>
      <c r="S249" s="188">
        <v>0</v>
      </c>
      <c r="T249" s="188">
        <v>0</v>
      </c>
      <c r="U249" s="188">
        <v>0</v>
      </c>
      <c r="V249" s="188">
        <v>0</v>
      </c>
      <c r="W249" s="45" t="s">
        <v>1457</v>
      </c>
      <c r="X249" s="45" t="s">
        <v>1457</v>
      </c>
      <c r="Y249" s="45" t="s">
        <v>39</v>
      </c>
      <c r="Z249" s="45" t="s">
        <v>39</v>
      </c>
      <c r="AA249" s="45" t="s">
        <v>1457</v>
      </c>
      <c r="AB249" s="16" t="s">
        <v>39</v>
      </c>
      <c r="AC249" s="46" t="s">
        <v>39</v>
      </c>
      <c r="AD249" s="17" t="s">
        <v>804</v>
      </c>
      <c r="AE249" s="17" t="s">
        <v>805</v>
      </c>
    </row>
    <row r="250" s="2" customFormat="1" ht="72" hidden="1" customHeight="1" spans="1:31">
      <c r="A250" s="13">
        <v>248</v>
      </c>
      <c r="B250" s="187" t="s">
        <v>877</v>
      </c>
      <c r="C250" s="15" t="s">
        <v>443</v>
      </c>
      <c r="D250" s="15" t="s">
        <v>762</v>
      </c>
      <c r="E250" s="15" t="s">
        <v>763</v>
      </c>
      <c r="F250" s="13" t="s">
        <v>81</v>
      </c>
      <c r="G250" s="16" t="s">
        <v>178</v>
      </c>
      <c r="H250" s="18" t="s">
        <v>39</v>
      </c>
      <c r="I250" s="17" t="s">
        <v>807</v>
      </c>
      <c r="J250" s="16" t="s">
        <v>808</v>
      </c>
      <c r="K250" s="16"/>
      <c r="L250" s="20"/>
      <c r="M250" s="20" t="s">
        <v>39</v>
      </c>
      <c r="N250" s="21">
        <v>320000</v>
      </c>
      <c r="O250" s="45" t="s">
        <v>1519</v>
      </c>
      <c r="P250" s="188">
        <v>0</v>
      </c>
      <c r="Q250" s="188">
        <v>0</v>
      </c>
      <c r="R250" s="188">
        <v>0</v>
      </c>
      <c r="S250" s="188">
        <v>0</v>
      </c>
      <c r="T250" s="188">
        <v>0</v>
      </c>
      <c r="U250" s="188">
        <v>0</v>
      </c>
      <c r="V250" s="188">
        <v>0</v>
      </c>
      <c r="W250" s="45" t="s">
        <v>1457</v>
      </c>
      <c r="X250" s="45" t="s">
        <v>1457</v>
      </c>
      <c r="Y250" s="45" t="s">
        <v>39</v>
      </c>
      <c r="Z250" s="45" t="s">
        <v>39</v>
      </c>
      <c r="AA250" s="45" t="s">
        <v>1457</v>
      </c>
      <c r="AB250" s="16" t="s">
        <v>39</v>
      </c>
      <c r="AC250" s="46" t="s">
        <v>39</v>
      </c>
      <c r="AD250" s="17" t="s">
        <v>804</v>
      </c>
      <c r="AE250" s="17" t="s">
        <v>809</v>
      </c>
    </row>
    <row r="251" s="2" customFormat="1" ht="12" hidden="1" customHeight="1" spans="1:31">
      <c r="A251" s="13">
        <v>249</v>
      </c>
      <c r="B251" s="187" t="s">
        <v>881</v>
      </c>
      <c r="C251" s="197" t="s">
        <v>443</v>
      </c>
      <c r="D251" s="197" t="s">
        <v>810</v>
      </c>
      <c r="E251" s="197" t="s">
        <v>811</v>
      </c>
      <c r="F251" s="198" t="s">
        <v>37</v>
      </c>
      <c r="G251" s="187" t="s">
        <v>178</v>
      </c>
      <c r="H251" s="45" t="s">
        <v>39</v>
      </c>
      <c r="I251" s="198" t="s">
        <v>39</v>
      </c>
      <c r="J251" s="198" t="s">
        <v>39</v>
      </c>
      <c r="K251" s="198"/>
      <c r="L251" s="188"/>
      <c r="M251" s="188" t="s">
        <v>39</v>
      </c>
      <c r="N251" s="21" t="s">
        <v>39</v>
      </c>
      <c r="O251" s="188" t="s">
        <v>39</v>
      </c>
      <c r="P251" s="188"/>
      <c r="Q251" s="188"/>
      <c r="R251" s="188"/>
      <c r="S251" s="188" t="s">
        <v>39</v>
      </c>
      <c r="T251" s="188"/>
      <c r="U251" s="188" t="s">
        <v>39</v>
      </c>
      <c r="V251" s="188"/>
      <c r="W251" s="188"/>
      <c r="X251" s="192"/>
      <c r="Y251" s="45"/>
      <c r="Z251" s="45"/>
      <c r="AA251" s="45"/>
      <c r="AB251" s="46">
        <v>0.05</v>
      </c>
      <c r="AC251" s="204" t="s">
        <v>39</v>
      </c>
      <c r="AD251" s="189" t="s">
        <v>104</v>
      </c>
      <c r="AE251" s="17"/>
    </row>
    <row r="252" s="2" customFormat="1" ht="36" hidden="1" customHeight="1" spans="1:31">
      <c r="A252" s="13">
        <v>250</v>
      </c>
      <c r="B252" s="187" t="s">
        <v>884</v>
      </c>
      <c r="C252" s="15" t="s">
        <v>443</v>
      </c>
      <c r="D252" s="15" t="s">
        <v>810</v>
      </c>
      <c r="E252" s="15" t="s">
        <v>811</v>
      </c>
      <c r="F252" s="13" t="s">
        <v>81</v>
      </c>
      <c r="G252" s="16" t="s">
        <v>178</v>
      </c>
      <c r="H252" s="18" t="s">
        <v>39</v>
      </c>
      <c r="I252" s="43" t="s">
        <v>813</v>
      </c>
      <c r="J252" s="13" t="s">
        <v>814</v>
      </c>
      <c r="K252" s="13"/>
      <c r="L252" s="20"/>
      <c r="M252" s="20" t="s">
        <v>39</v>
      </c>
      <c r="N252" s="21">
        <v>732000</v>
      </c>
      <c r="O252" s="194">
        <v>0.29</v>
      </c>
      <c r="P252" s="188">
        <v>0</v>
      </c>
      <c r="Q252" s="188">
        <v>0</v>
      </c>
      <c r="R252" s="188">
        <v>0</v>
      </c>
      <c r="S252" s="188">
        <v>0</v>
      </c>
      <c r="T252" s="188">
        <v>0</v>
      </c>
      <c r="U252" s="188">
        <v>0</v>
      </c>
      <c r="V252" s="188">
        <v>0</v>
      </c>
      <c r="W252" s="188">
        <v>0</v>
      </c>
      <c r="X252" s="45" t="s">
        <v>1457</v>
      </c>
      <c r="Y252" s="45" t="s">
        <v>1520</v>
      </c>
      <c r="Z252" s="45" t="s">
        <v>39</v>
      </c>
      <c r="AA252" s="45" t="s">
        <v>1457</v>
      </c>
      <c r="AB252" s="51" t="s">
        <v>39</v>
      </c>
      <c r="AC252" s="46" t="s">
        <v>39</v>
      </c>
      <c r="AD252" s="17"/>
      <c r="AE252" s="17" t="s">
        <v>815</v>
      </c>
    </row>
    <row r="253" s="2" customFormat="1" ht="36" hidden="1" customHeight="1" spans="1:31">
      <c r="A253" s="13">
        <v>251</v>
      </c>
      <c r="B253" s="187" t="s">
        <v>887</v>
      </c>
      <c r="C253" s="15" t="s">
        <v>443</v>
      </c>
      <c r="D253" s="15" t="s">
        <v>810</v>
      </c>
      <c r="E253" s="15" t="s">
        <v>811</v>
      </c>
      <c r="F253" s="13" t="s">
        <v>81</v>
      </c>
      <c r="G253" s="16" t="s">
        <v>178</v>
      </c>
      <c r="H253" s="18" t="s">
        <v>39</v>
      </c>
      <c r="I253" s="43" t="s">
        <v>818</v>
      </c>
      <c r="J253" s="13" t="s">
        <v>819</v>
      </c>
      <c r="K253" s="13"/>
      <c r="L253" s="20"/>
      <c r="M253" s="20" t="s">
        <v>39</v>
      </c>
      <c r="N253" s="21">
        <v>316800</v>
      </c>
      <c r="O253" s="194">
        <v>0.29</v>
      </c>
      <c r="P253" s="188">
        <v>0</v>
      </c>
      <c r="Q253" s="188">
        <v>0</v>
      </c>
      <c r="R253" s="188">
        <v>0</v>
      </c>
      <c r="S253" s="188">
        <v>0</v>
      </c>
      <c r="T253" s="188">
        <v>0</v>
      </c>
      <c r="U253" s="188">
        <v>0</v>
      </c>
      <c r="V253" s="188">
        <v>0</v>
      </c>
      <c r="W253" s="188">
        <v>0</v>
      </c>
      <c r="X253" s="45" t="s">
        <v>1457</v>
      </c>
      <c r="Y253" s="45" t="s">
        <v>1520</v>
      </c>
      <c r="Z253" s="45" t="s">
        <v>39</v>
      </c>
      <c r="AA253" s="45" t="s">
        <v>1457</v>
      </c>
      <c r="AB253" s="51" t="s">
        <v>39</v>
      </c>
      <c r="AC253" s="46" t="s">
        <v>39</v>
      </c>
      <c r="AD253" s="17"/>
      <c r="AE253" s="17" t="s">
        <v>815</v>
      </c>
    </row>
    <row r="254" s="2" customFormat="1" ht="108" hidden="1" customHeight="1" spans="1:31">
      <c r="A254" s="13">
        <v>252</v>
      </c>
      <c r="B254" s="187" t="s">
        <v>890</v>
      </c>
      <c r="C254" s="15" t="s">
        <v>443</v>
      </c>
      <c r="D254" s="15" t="s">
        <v>810</v>
      </c>
      <c r="E254" s="15" t="s">
        <v>811</v>
      </c>
      <c r="F254" s="13" t="s">
        <v>81</v>
      </c>
      <c r="G254" s="16" t="s">
        <v>178</v>
      </c>
      <c r="H254" s="18" t="s">
        <v>39</v>
      </c>
      <c r="I254" s="43" t="s">
        <v>821</v>
      </c>
      <c r="J254" s="13" t="s">
        <v>822</v>
      </c>
      <c r="K254" s="13"/>
      <c r="L254" s="20"/>
      <c r="M254" s="20" t="s">
        <v>39</v>
      </c>
      <c r="N254" s="21">
        <v>667200</v>
      </c>
      <c r="O254" s="188">
        <v>0</v>
      </c>
      <c r="P254" s="188">
        <v>0</v>
      </c>
      <c r="Q254" s="188">
        <v>0</v>
      </c>
      <c r="R254" s="188">
        <v>0</v>
      </c>
      <c r="S254" s="188">
        <v>0</v>
      </c>
      <c r="T254" s="188">
        <v>0</v>
      </c>
      <c r="U254" s="188">
        <v>0</v>
      </c>
      <c r="V254" s="188">
        <v>0</v>
      </c>
      <c r="W254" s="188">
        <v>0</v>
      </c>
      <c r="X254" s="45" t="s">
        <v>1457</v>
      </c>
      <c r="Y254" s="45" t="s">
        <v>1520</v>
      </c>
      <c r="Z254" s="45" t="s">
        <v>1521</v>
      </c>
      <c r="AA254" s="45" t="s">
        <v>1457</v>
      </c>
      <c r="AB254" s="51" t="s">
        <v>39</v>
      </c>
      <c r="AC254" s="46" t="s">
        <v>39</v>
      </c>
      <c r="AD254" s="17" t="s">
        <v>824</v>
      </c>
      <c r="AE254" s="17" t="s">
        <v>825</v>
      </c>
    </row>
    <row r="255" s="2" customFormat="1" ht="36" hidden="1" customHeight="1" spans="1:31">
      <c r="A255" s="13">
        <v>253</v>
      </c>
      <c r="B255" s="187" t="s">
        <v>893</v>
      </c>
      <c r="C255" s="15"/>
      <c r="D255" s="15"/>
      <c r="E255" s="15" t="s">
        <v>811</v>
      </c>
      <c r="F255" s="13" t="s">
        <v>81</v>
      </c>
      <c r="G255" s="16" t="s">
        <v>178</v>
      </c>
      <c r="H255" s="45" t="s">
        <v>39</v>
      </c>
      <c r="I255" s="43" t="s">
        <v>1522</v>
      </c>
      <c r="J255" s="13" t="s">
        <v>1523</v>
      </c>
      <c r="K255" s="13"/>
      <c r="L255" s="20"/>
      <c r="M255" s="20"/>
      <c r="N255" s="21"/>
      <c r="O255" s="196">
        <v>0.29</v>
      </c>
      <c r="P255" s="188">
        <v>0</v>
      </c>
      <c r="Q255" s="188">
        <v>0</v>
      </c>
      <c r="R255" s="188">
        <v>0</v>
      </c>
      <c r="S255" s="188">
        <v>0</v>
      </c>
      <c r="T255" s="188">
        <v>0</v>
      </c>
      <c r="U255" s="188">
        <v>0</v>
      </c>
      <c r="V255" s="188">
        <v>0</v>
      </c>
      <c r="W255" s="188">
        <v>0</v>
      </c>
      <c r="X255" s="45" t="s">
        <v>1457</v>
      </c>
      <c r="Y255" s="188" t="s">
        <v>1520</v>
      </c>
      <c r="Z255" s="45" t="s">
        <v>39</v>
      </c>
      <c r="AA255" s="45" t="s">
        <v>1457</v>
      </c>
      <c r="AB255" s="51"/>
      <c r="AC255" s="46"/>
      <c r="AD255" s="17"/>
      <c r="AE255" s="17"/>
    </row>
    <row r="256" s="2" customFormat="1" ht="36" hidden="1" customHeight="1" spans="1:31">
      <c r="A256" s="13">
        <v>254</v>
      </c>
      <c r="B256" s="187" t="s">
        <v>896</v>
      </c>
      <c r="C256" s="15" t="s">
        <v>443</v>
      </c>
      <c r="D256" s="15" t="s">
        <v>810</v>
      </c>
      <c r="E256" s="15" t="s">
        <v>811</v>
      </c>
      <c r="F256" s="13" t="s">
        <v>81</v>
      </c>
      <c r="G256" s="16" t="s">
        <v>178</v>
      </c>
      <c r="H256" s="18" t="s">
        <v>39</v>
      </c>
      <c r="I256" s="43" t="s">
        <v>240</v>
      </c>
      <c r="J256" s="13" t="s">
        <v>827</v>
      </c>
      <c r="K256" s="13"/>
      <c r="L256" s="20"/>
      <c r="M256" s="20" t="s">
        <v>39</v>
      </c>
      <c r="N256" s="21">
        <v>1519200</v>
      </c>
      <c r="O256" s="196">
        <v>0.22</v>
      </c>
      <c r="P256" s="188">
        <v>0</v>
      </c>
      <c r="Q256" s="188">
        <v>0</v>
      </c>
      <c r="R256" s="188">
        <v>0</v>
      </c>
      <c r="S256" s="188">
        <v>0</v>
      </c>
      <c r="T256" s="188">
        <v>0</v>
      </c>
      <c r="U256" s="188">
        <v>0</v>
      </c>
      <c r="V256" s="188">
        <v>0</v>
      </c>
      <c r="W256" s="188">
        <v>0</v>
      </c>
      <c r="X256" s="45" t="s">
        <v>1457</v>
      </c>
      <c r="Y256" s="188" t="s">
        <v>1520</v>
      </c>
      <c r="Z256" s="45" t="s">
        <v>39</v>
      </c>
      <c r="AA256" s="45" t="s">
        <v>1457</v>
      </c>
      <c r="AB256" s="51" t="s">
        <v>39</v>
      </c>
      <c r="AC256" s="46" t="s">
        <v>39</v>
      </c>
      <c r="AD256" s="17"/>
      <c r="AE256" s="17" t="s">
        <v>644</v>
      </c>
    </row>
    <row r="257" s="2" customFormat="1" ht="36" hidden="1" customHeight="1" spans="1:31">
      <c r="A257" s="13">
        <v>255</v>
      </c>
      <c r="B257" s="187" t="s">
        <v>899</v>
      </c>
      <c r="C257" s="15" t="s">
        <v>443</v>
      </c>
      <c r="D257" s="15" t="s">
        <v>810</v>
      </c>
      <c r="E257" s="15" t="s">
        <v>811</v>
      </c>
      <c r="F257" s="13" t="s">
        <v>81</v>
      </c>
      <c r="G257" s="16" t="s">
        <v>178</v>
      </c>
      <c r="H257" s="18" t="s">
        <v>39</v>
      </c>
      <c r="I257" s="43" t="s">
        <v>589</v>
      </c>
      <c r="J257" s="198" t="s">
        <v>1524</v>
      </c>
      <c r="K257" s="13"/>
      <c r="L257" s="20"/>
      <c r="M257" s="20" t="s">
        <v>39</v>
      </c>
      <c r="N257" s="21">
        <v>868800</v>
      </c>
      <c r="O257" s="196">
        <v>0.28</v>
      </c>
      <c r="P257" s="188">
        <v>0</v>
      </c>
      <c r="Q257" s="188">
        <v>0</v>
      </c>
      <c r="R257" s="188">
        <v>0</v>
      </c>
      <c r="S257" s="188">
        <v>0</v>
      </c>
      <c r="T257" s="188">
        <v>0</v>
      </c>
      <c r="U257" s="188">
        <v>0</v>
      </c>
      <c r="V257" s="188">
        <v>0</v>
      </c>
      <c r="W257" s="188">
        <v>0</v>
      </c>
      <c r="X257" s="45" t="s">
        <v>1457</v>
      </c>
      <c r="Y257" s="188" t="s">
        <v>1520</v>
      </c>
      <c r="Z257" s="45" t="s">
        <v>39</v>
      </c>
      <c r="AA257" s="45" t="s">
        <v>1457</v>
      </c>
      <c r="AB257" s="51" t="s">
        <v>39</v>
      </c>
      <c r="AC257" s="46" t="s">
        <v>39</v>
      </c>
      <c r="AD257" s="17"/>
      <c r="AE257" s="17" t="s">
        <v>644</v>
      </c>
    </row>
    <row r="258" s="2" customFormat="1" ht="36" hidden="1" customHeight="1" spans="1:31">
      <c r="A258" s="13">
        <v>256</v>
      </c>
      <c r="B258" s="187" t="s">
        <v>902</v>
      </c>
      <c r="C258" s="15" t="s">
        <v>443</v>
      </c>
      <c r="D258" s="15" t="s">
        <v>810</v>
      </c>
      <c r="E258" s="15" t="s">
        <v>811</v>
      </c>
      <c r="F258" s="13" t="s">
        <v>81</v>
      </c>
      <c r="G258" s="16" t="s">
        <v>178</v>
      </c>
      <c r="H258" s="18" t="s">
        <v>39</v>
      </c>
      <c r="I258" s="43" t="s">
        <v>830</v>
      </c>
      <c r="J258" s="13" t="s">
        <v>831</v>
      </c>
      <c r="K258" s="13"/>
      <c r="L258" s="20"/>
      <c r="M258" s="20" t="s">
        <v>39</v>
      </c>
      <c r="N258" s="21">
        <v>780000</v>
      </c>
      <c r="O258" s="196">
        <v>0.29</v>
      </c>
      <c r="P258" s="188">
        <v>0</v>
      </c>
      <c r="Q258" s="188">
        <v>0</v>
      </c>
      <c r="R258" s="188">
        <v>0</v>
      </c>
      <c r="S258" s="188">
        <v>0</v>
      </c>
      <c r="T258" s="188">
        <v>0</v>
      </c>
      <c r="U258" s="188">
        <v>0</v>
      </c>
      <c r="V258" s="188">
        <v>0</v>
      </c>
      <c r="W258" s="188">
        <v>0</v>
      </c>
      <c r="X258" s="45" t="s">
        <v>1457</v>
      </c>
      <c r="Y258" s="188" t="s">
        <v>1520</v>
      </c>
      <c r="Z258" s="45" t="s">
        <v>39</v>
      </c>
      <c r="AA258" s="45" t="s">
        <v>1457</v>
      </c>
      <c r="AB258" s="51" t="s">
        <v>39</v>
      </c>
      <c r="AC258" s="46" t="s">
        <v>39</v>
      </c>
      <c r="AD258" s="17"/>
      <c r="AE258" s="17" t="s">
        <v>815</v>
      </c>
    </row>
    <row r="259" s="2" customFormat="1" ht="36" hidden="1" customHeight="1" spans="1:31">
      <c r="A259" s="13">
        <v>257</v>
      </c>
      <c r="B259" s="187" t="s">
        <v>904</v>
      </c>
      <c r="C259" s="15" t="s">
        <v>443</v>
      </c>
      <c r="D259" s="15" t="s">
        <v>810</v>
      </c>
      <c r="E259" s="15" t="s">
        <v>811</v>
      </c>
      <c r="F259" s="13" t="s">
        <v>81</v>
      </c>
      <c r="G259" s="16" t="s">
        <v>178</v>
      </c>
      <c r="H259" s="18" t="s">
        <v>39</v>
      </c>
      <c r="I259" s="43" t="s">
        <v>673</v>
      </c>
      <c r="J259" s="13" t="s">
        <v>833</v>
      </c>
      <c r="K259" s="13"/>
      <c r="L259" s="20"/>
      <c r="M259" s="20" t="s">
        <v>39</v>
      </c>
      <c r="N259" s="21">
        <v>333600</v>
      </c>
      <c r="O259" s="196">
        <v>0.29</v>
      </c>
      <c r="P259" s="188">
        <v>0</v>
      </c>
      <c r="Q259" s="188">
        <v>0</v>
      </c>
      <c r="R259" s="188">
        <v>0</v>
      </c>
      <c r="S259" s="188">
        <v>0</v>
      </c>
      <c r="T259" s="188">
        <v>0</v>
      </c>
      <c r="U259" s="188">
        <v>0</v>
      </c>
      <c r="V259" s="188">
        <v>0</v>
      </c>
      <c r="W259" s="188">
        <v>0</v>
      </c>
      <c r="X259" s="45" t="s">
        <v>1457</v>
      </c>
      <c r="Y259" s="188" t="s">
        <v>1520</v>
      </c>
      <c r="Z259" s="45" t="s">
        <v>39</v>
      </c>
      <c r="AA259" s="45" t="s">
        <v>1457</v>
      </c>
      <c r="AB259" s="51" t="s">
        <v>39</v>
      </c>
      <c r="AC259" s="46" t="s">
        <v>39</v>
      </c>
      <c r="AD259" s="17"/>
      <c r="AE259" s="17" t="s">
        <v>644</v>
      </c>
    </row>
    <row r="260" s="2" customFormat="1" ht="36" hidden="1" customHeight="1" spans="1:31">
      <c r="A260" s="13">
        <v>258</v>
      </c>
      <c r="B260" s="187" t="s">
        <v>907</v>
      </c>
      <c r="C260" s="15" t="s">
        <v>443</v>
      </c>
      <c r="D260" s="15" t="s">
        <v>810</v>
      </c>
      <c r="E260" s="15" t="s">
        <v>811</v>
      </c>
      <c r="F260" s="13" t="s">
        <v>81</v>
      </c>
      <c r="G260" s="16" t="s">
        <v>178</v>
      </c>
      <c r="H260" s="18" t="s">
        <v>39</v>
      </c>
      <c r="I260" s="43" t="s">
        <v>91</v>
      </c>
      <c r="J260" s="13" t="s">
        <v>835</v>
      </c>
      <c r="K260" s="13"/>
      <c r="L260" s="20"/>
      <c r="M260" s="20" t="s">
        <v>39</v>
      </c>
      <c r="N260" s="21">
        <v>254400</v>
      </c>
      <c r="O260" s="196">
        <v>0.29</v>
      </c>
      <c r="P260" s="188">
        <v>0</v>
      </c>
      <c r="Q260" s="188">
        <v>0</v>
      </c>
      <c r="R260" s="188">
        <v>0</v>
      </c>
      <c r="S260" s="188">
        <v>0</v>
      </c>
      <c r="T260" s="188">
        <v>0</v>
      </c>
      <c r="U260" s="188">
        <v>0</v>
      </c>
      <c r="V260" s="188">
        <v>0</v>
      </c>
      <c r="W260" s="188">
        <v>0</v>
      </c>
      <c r="X260" s="45" t="s">
        <v>1457</v>
      </c>
      <c r="Y260" s="188" t="s">
        <v>1520</v>
      </c>
      <c r="Z260" s="45" t="s">
        <v>39</v>
      </c>
      <c r="AA260" s="45" t="s">
        <v>1457</v>
      </c>
      <c r="AB260" s="51" t="s">
        <v>39</v>
      </c>
      <c r="AC260" s="46" t="s">
        <v>39</v>
      </c>
      <c r="AD260" s="17"/>
      <c r="AE260" s="17" t="s">
        <v>644</v>
      </c>
    </row>
    <row r="261" s="2" customFormat="1" ht="36" hidden="1" customHeight="1" spans="1:31">
      <c r="A261" s="13">
        <v>259</v>
      </c>
      <c r="B261" s="187" t="s">
        <v>909</v>
      </c>
      <c r="C261" s="15" t="s">
        <v>443</v>
      </c>
      <c r="D261" s="15" t="s">
        <v>810</v>
      </c>
      <c r="E261" s="15" t="s">
        <v>811</v>
      </c>
      <c r="F261" s="13" t="s">
        <v>81</v>
      </c>
      <c r="G261" s="16" t="s">
        <v>178</v>
      </c>
      <c r="H261" s="18" t="s">
        <v>39</v>
      </c>
      <c r="I261" s="43" t="s">
        <v>837</v>
      </c>
      <c r="J261" s="13" t="s">
        <v>838</v>
      </c>
      <c r="K261" s="13"/>
      <c r="L261" s="20"/>
      <c r="M261" s="20" t="s">
        <v>39</v>
      </c>
      <c r="N261" s="21">
        <v>892800</v>
      </c>
      <c r="O261" s="196">
        <v>0.29</v>
      </c>
      <c r="P261" s="188">
        <v>0</v>
      </c>
      <c r="Q261" s="188">
        <v>0</v>
      </c>
      <c r="R261" s="188">
        <v>0</v>
      </c>
      <c r="S261" s="188">
        <v>0</v>
      </c>
      <c r="T261" s="188">
        <v>0</v>
      </c>
      <c r="U261" s="188">
        <v>0</v>
      </c>
      <c r="V261" s="188">
        <v>0</v>
      </c>
      <c r="W261" s="188">
        <v>0</v>
      </c>
      <c r="X261" s="45" t="s">
        <v>1457</v>
      </c>
      <c r="Y261" s="188" t="s">
        <v>1520</v>
      </c>
      <c r="Z261" s="45" t="s">
        <v>39</v>
      </c>
      <c r="AA261" s="45" t="s">
        <v>1457</v>
      </c>
      <c r="AB261" s="51" t="s">
        <v>39</v>
      </c>
      <c r="AC261" s="46" t="s">
        <v>39</v>
      </c>
      <c r="AD261" s="17"/>
      <c r="AE261" s="17" t="s">
        <v>644</v>
      </c>
    </row>
    <row r="262" s="2" customFormat="1" ht="36" hidden="1" customHeight="1" spans="1:31">
      <c r="A262" s="13">
        <v>260</v>
      </c>
      <c r="B262" s="187" t="s">
        <v>911</v>
      </c>
      <c r="C262" s="15" t="s">
        <v>443</v>
      </c>
      <c r="D262" s="15" t="s">
        <v>810</v>
      </c>
      <c r="E262" s="15" t="s">
        <v>811</v>
      </c>
      <c r="F262" s="13" t="s">
        <v>81</v>
      </c>
      <c r="G262" s="16" t="s">
        <v>178</v>
      </c>
      <c r="H262" s="18" t="s">
        <v>39</v>
      </c>
      <c r="I262" s="43" t="s">
        <v>840</v>
      </c>
      <c r="J262" s="13" t="s">
        <v>800</v>
      </c>
      <c r="K262" s="13"/>
      <c r="L262" s="20"/>
      <c r="M262" s="20" t="s">
        <v>39</v>
      </c>
      <c r="N262" s="21">
        <v>340800</v>
      </c>
      <c r="O262" s="196">
        <v>0.29</v>
      </c>
      <c r="P262" s="188">
        <v>0</v>
      </c>
      <c r="Q262" s="188">
        <v>0</v>
      </c>
      <c r="R262" s="188">
        <v>0</v>
      </c>
      <c r="S262" s="188">
        <v>0</v>
      </c>
      <c r="T262" s="188">
        <v>0</v>
      </c>
      <c r="U262" s="188">
        <v>0</v>
      </c>
      <c r="V262" s="188">
        <v>0</v>
      </c>
      <c r="W262" s="188">
        <v>0</v>
      </c>
      <c r="X262" s="45" t="s">
        <v>1457</v>
      </c>
      <c r="Y262" s="188" t="s">
        <v>1520</v>
      </c>
      <c r="Z262" s="45" t="s">
        <v>39</v>
      </c>
      <c r="AA262" s="45" t="s">
        <v>1457</v>
      </c>
      <c r="AB262" s="51" t="s">
        <v>39</v>
      </c>
      <c r="AC262" s="46" t="s">
        <v>39</v>
      </c>
      <c r="AD262" s="17"/>
      <c r="AE262" s="17" t="s">
        <v>644</v>
      </c>
    </row>
    <row r="263" s="2" customFormat="1" ht="36" hidden="1" customHeight="1" spans="1:31">
      <c r="A263" s="13">
        <v>261</v>
      </c>
      <c r="B263" s="187" t="s">
        <v>913</v>
      </c>
      <c r="C263" s="15" t="s">
        <v>443</v>
      </c>
      <c r="D263" s="15" t="s">
        <v>810</v>
      </c>
      <c r="E263" s="15" t="s">
        <v>811</v>
      </c>
      <c r="F263" s="13" t="s">
        <v>81</v>
      </c>
      <c r="G263" s="16" t="s">
        <v>178</v>
      </c>
      <c r="H263" s="18" t="s">
        <v>39</v>
      </c>
      <c r="I263" s="43" t="s">
        <v>843</v>
      </c>
      <c r="J263" s="13" t="s">
        <v>844</v>
      </c>
      <c r="K263" s="13"/>
      <c r="L263" s="20"/>
      <c r="M263" s="20" t="s">
        <v>39</v>
      </c>
      <c r="N263" s="21">
        <v>360000</v>
      </c>
      <c r="O263" s="196">
        <v>0.29</v>
      </c>
      <c r="P263" s="188">
        <v>0</v>
      </c>
      <c r="Q263" s="188">
        <v>0</v>
      </c>
      <c r="R263" s="188">
        <v>0</v>
      </c>
      <c r="S263" s="188">
        <v>0</v>
      </c>
      <c r="T263" s="188">
        <v>0</v>
      </c>
      <c r="U263" s="188">
        <v>0</v>
      </c>
      <c r="V263" s="188">
        <v>0</v>
      </c>
      <c r="W263" s="188">
        <v>0</v>
      </c>
      <c r="X263" s="45" t="s">
        <v>1457</v>
      </c>
      <c r="Y263" s="188" t="s">
        <v>1520</v>
      </c>
      <c r="Z263" s="45" t="s">
        <v>39</v>
      </c>
      <c r="AA263" s="45" t="s">
        <v>1457</v>
      </c>
      <c r="AB263" s="51" t="s">
        <v>39</v>
      </c>
      <c r="AC263" s="46" t="s">
        <v>39</v>
      </c>
      <c r="AD263" s="17"/>
      <c r="AE263" s="17" t="s">
        <v>644</v>
      </c>
    </row>
    <row r="264" s="2" customFormat="1" ht="36" hidden="1" customHeight="1" spans="1:31">
      <c r="A264" s="13">
        <v>262</v>
      </c>
      <c r="B264" s="187" t="s">
        <v>914</v>
      </c>
      <c r="C264" s="15" t="s">
        <v>443</v>
      </c>
      <c r="D264" s="15" t="s">
        <v>810</v>
      </c>
      <c r="E264" s="15" t="s">
        <v>811</v>
      </c>
      <c r="F264" s="13" t="s">
        <v>81</v>
      </c>
      <c r="G264" s="16" t="s">
        <v>178</v>
      </c>
      <c r="H264" s="18" t="s">
        <v>39</v>
      </c>
      <c r="I264" s="43" t="s">
        <v>846</v>
      </c>
      <c r="J264" s="13" t="s">
        <v>847</v>
      </c>
      <c r="K264" s="13"/>
      <c r="L264" s="20"/>
      <c r="M264" s="20" t="s">
        <v>39</v>
      </c>
      <c r="N264" s="21">
        <v>592800</v>
      </c>
      <c r="O264" s="196">
        <v>0.29</v>
      </c>
      <c r="P264" s="188">
        <v>0</v>
      </c>
      <c r="Q264" s="188">
        <v>0</v>
      </c>
      <c r="R264" s="188">
        <v>0</v>
      </c>
      <c r="S264" s="188">
        <v>0</v>
      </c>
      <c r="T264" s="188">
        <v>0</v>
      </c>
      <c r="U264" s="188">
        <v>0</v>
      </c>
      <c r="V264" s="188">
        <v>0</v>
      </c>
      <c r="W264" s="188">
        <v>0</v>
      </c>
      <c r="X264" s="45" t="s">
        <v>1457</v>
      </c>
      <c r="Y264" s="188" t="s">
        <v>1520</v>
      </c>
      <c r="Z264" s="45" t="s">
        <v>39</v>
      </c>
      <c r="AA264" s="45" t="s">
        <v>1457</v>
      </c>
      <c r="AB264" s="51" t="s">
        <v>39</v>
      </c>
      <c r="AC264" s="46" t="s">
        <v>39</v>
      </c>
      <c r="AD264" s="17"/>
      <c r="AE264" s="17" t="s">
        <v>644</v>
      </c>
    </row>
    <row r="265" s="2" customFormat="1" ht="84" hidden="1" customHeight="1" spans="1:31">
      <c r="A265" s="13">
        <v>263</v>
      </c>
      <c r="B265" s="187" t="s">
        <v>917</v>
      </c>
      <c r="C265" s="15" t="s">
        <v>443</v>
      </c>
      <c r="D265" s="15" t="s">
        <v>810</v>
      </c>
      <c r="E265" s="15" t="s">
        <v>811</v>
      </c>
      <c r="F265" s="13" t="s">
        <v>81</v>
      </c>
      <c r="G265" s="16" t="s">
        <v>178</v>
      </c>
      <c r="H265" s="13" t="s">
        <v>624</v>
      </c>
      <c r="I265" s="17" t="s">
        <v>849</v>
      </c>
      <c r="J265" s="13" t="s">
        <v>850</v>
      </c>
      <c r="K265" s="13"/>
      <c r="L265" s="20"/>
      <c r="M265" s="20" t="s">
        <v>39</v>
      </c>
      <c r="N265" s="21">
        <v>540000</v>
      </c>
      <c r="O265" s="188">
        <v>0</v>
      </c>
      <c r="P265" s="188" t="s">
        <v>39</v>
      </c>
      <c r="Q265" s="188" t="s">
        <v>39</v>
      </c>
      <c r="R265" s="188" t="s">
        <v>39</v>
      </c>
      <c r="S265" s="188" t="s">
        <v>39</v>
      </c>
      <c r="T265" s="188" t="s">
        <v>39</v>
      </c>
      <c r="U265" s="188" t="s">
        <v>39</v>
      </c>
      <c r="V265" s="188">
        <v>0</v>
      </c>
      <c r="W265" s="196" t="s">
        <v>1525</v>
      </c>
      <c r="X265" s="45" t="s">
        <v>1457</v>
      </c>
      <c r="Y265" s="45" t="s">
        <v>1526</v>
      </c>
      <c r="Z265" s="45" t="s">
        <v>39</v>
      </c>
      <c r="AA265" s="45" t="s">
        <v>1457</v>
      </c>
      <c r="AB265" s="51" t="s">
        <v>39</v>
      </c>
      <c r="AC265" s="46" t="s">
        <v>39</v>
      </c>
      <c r="AD265" s="17" t="s">
        <v>851</v>
      </c>
      <c r="AE265" s="17" t="s">
        <v>852</v>
      </c>
    </row>
    <row r="266" s="2" customFormat="1" ht="24" hidden="1" customHeight="1" spans="1:31">
      <c r="A266" s="13">
        <v>264</v>
      </c>
      <c r="B266" s="187" t="s">
        <v>920</v>
      </c>
      <c r="C266" s="15" t="s">
        <v>443</v>
      </c>
      <c r="D266" s="15" t="s">
        <v>810</v>
      </c>
      <c r="E266" s="15" t="s">
        <v>811</v>
      </c>
      <c r="F266" s="13" t="s">
        <v>81</v>
      </c>
      <c r="G266" s="16" t="s">
        <v>178</v>
      </c>
      <c r="H266" s="13" t="s">
        <v>628</v>
      </c>
      <c r="I266" s="17" t="s">
        <v>855</v>
      </c>
      <c r="J266" s="13" t="s">
        <v>856</v>
      </c>
      <c r="K266" s="13"/>
      <c r="L266" s="20"/>
      <c r="M266" s="20" t="s">
        <v>39</v>
      </c>
      <c r="N266" s="21">
        <v>780000</v>
      </c>
      <c r="O266" s="196">
        <v>0.2</v>
      </c>
      <c r="P266" s="188">
        <v>0</v>
      </c>
      <c r="Q266" s="188">
        <v>0</v>
      </c>
      <c r="R266" s="188">
        <v>0</v>
      </c>
      <c r="S266" s="188">
        <v>0</v>
      </c>
      <c r="T266" s="188">
        <v>0</v>
      </c>
      <c r="U266" s="188">
        <v>0</v>
      </c>
      <c r="V266" s="188">
        <v>0</v>
      </c>
      <c r="W266" s="188" t="s">
        <v>1525</v>
      </c>
      <c r="X266" s="45" t="s">
        <v>1457</v>
      </c>
      <c r="Y266" s="45" t="s">
        <v>39</v>
      </c>
      <c r="Z266" s="45" t="s">
        <v>39</v>
      </c>
      <c r="AA266" s="45" t="s">
        <v>1457</v>
      </c>
      <c r="AB266" s="51" t="s">
        <v>39</v>
      </c>
      <c r="AC266" s="46" t="s">
        <v>39</v>
      </c>
      <c r="AD266" s="207" t="s">
        <v>857</v>
      </c>
      <c r="AE266" s="17" t="s">
        <v>858</v>
      </c>
    </row>
    <row r="267" s="2" customFormat="1" ht="108" hidden="1" customHeight="1" spans="1:31">
      <c r="A267" s="13">
        <v>265</v>
      </c>
      <c r="B267" s="187" t="s">
        <v>925</v>
      </c>
      <c r="C267" s="15" t="s">
        <v>443</v>
      </c>
      <c r="D267" s="15" t="s">
        <v>810</v>
      </c>
      <c r="E267" s="15" t="s">
        <v>811</v>
      </c>
      <c r="F267" s="13" t="s">
        <v>81</v>
      </c>
      <c r="G267" s="16" t="s">
        <v>178</v>
      </c>
      <c r="H267" s="18" t="s">
        <v>39</v>
      </c>
      <c r="I267" s="43" t="s">
        <v>860</v>
      </c>
      <c r="J267" s="13" t="s">
        <v>861</v>
      </c>
      <c r="K267" s="13"/>
      <c r="L267" s="20"/>
      <c r="M267" s="20" t="s">
        <v>39</v>
      </c>
      <c r="N267" s="21">
        <v>1020000</v>
      </c>
      <c r="O267" s="188">
        <v>0</v>
      </c>
      <c r="P267" s="188">
        <v>0</v>
      </c>
      <c r="Q267" s="188">
        <v>0</v>
      </c>
      <c r="R267" s="188">
        <v>0</v>
      </c>
      <c r="S267" s="188">
        <v>0</v>
      </c>
      <c r="T267" s="188">
        <v>0</v>
      </c>
      <c r="U267" s="188">
        <v>0</v>
      </c>
      <c r="V267" s="188">
        <v>0</v>
      </c>
      <c r="W267" s="188">
        <v>0</v>
      </c>
      <c r="X267" s="45" t="s">
        <v>1457</v>
      </c>
      <c r="Y267" s="45" t="s">
        <v>1527</v>
      </c>
      <c r="Z267" s="45" t="s">
        <v>39</v>
      </c>
      <c r="AA267" s="45" t="s">
        <v>1457</v>
      </c>
      <c r="AB267" s="51" t="s">
        <v>39</v>
      </c>
      <c r="AC267" s="46" t="s">
        <v>39</v>
      </c>
      <c r="AD267" s="17" t="s">
        <v>862</v>
      </c>
      <c r="AE267" s="17" t="s">
        <v>863</v>
      </c>
    </row>
    <row r="268" s="2" customFormat="1" ht="96" hidden="1" customHeight="1" spans="1:31">
      <c r="A268" s="13">
        <v>266</v>
      </c>
      <c r="B268" s="187" t="s">
        <v>927</v>
      </c>
      <c r="C268" s="15" t="s">
        <v>443</v>
      </c>
      <c r="D268" s="15" t="s">
        <v>810</v>
      </c>
      <c r="E268" s="15" t="s">
        <v>811</v>
      </c>
      <c r="F268" s="13" t="s">
        <v>81</v>
      </c>
      <c r="G268" s="16" t="s">
        <v>178</v>
      </c>
      <c r="H268" s="18" t="s">
        <v>39</v>
      </c>
      <c r="I268" s="43" t="s">
        <v>865</v>
      </c>
      <c r="J268" s="13" t="s">
        <v>866</v>
      </c>
      <c r="K268" s="13"/>
      <c r="L268" s="20"/>
      <c r="M268" s="20" t="s">
        <v>39</v>
      </c>
      <c r="N268" s="21">
        <v>328800</v>
      </c>
      <c r="O268" s="188">
        <v>0</v>
      </c>
      <c r="P268" s="188">
        <v>0</v>
      </c>
      <c r="Q268" s="188">
        <v>0</v>
      </c>
      <c r="R268" s="188">
        <v>0</v>
      </c>
      <c r="S268" s="188">
        <v>0</v>
      </c>
      <c r="T268" s="188">
        <v>0</v>
      </c>
      <c r="U268" s="188">
        <v>0</v>
      </c>
      <c r="V268" s="188">
        <v>0</v>
      </c>
      <c r="W268" s="188" t="s">
        <v>1525</v>
      </c>
      <c r="X268" s="45" t="s">
        <v>1457</v>
      </c>
      <c r="Y268" s="45" t="s">
        <v>1528</v>
      </c>
      <c r="Z268" s="45" t="s">
        <v>39</v>
      </c>
      <c r="AA268" s="45" t="s">
        <v>1457</v>
      </c>
      <c r="AB268" s="51" t="s">
        <v>39</v>
      </c>
      <c r="AC268" s="46" t="s">
        <v>39</v>
      </c>
      <c r="AD268" s="17" t="s">
        <v>867</v>
      </c>
      <c r="AE268" s="17" t="s">
        <v>868</v>
      </c>
    </row>
    <row r="269" s="2" customFormat="1" ht="96" hidden="1" customHeight="1" spans="1:31">
      <c r="A269" s="13">
        <v>267</v>
      </c>
      <c r="B269" s="187" t="s">
        <v>929</v>
      </c>
      <c r="C269" s="15" t="s">
        <v>443</v>
      </c>
      <c r="D269" s="15" t="s">
        <v>810</v>
      </c>
      <c r="E269" s="15" t="s">
        <v>811</v>
      </c>
      <c r="F269" s="13" t="s">
        <v>81</v>
      </c>
      <c r="G269" s="16" t="s">
        <v>178</v>
      </c>
      <c r="H269" s="18" t="s">
        <v>39</v>
      </c>
      <c r="I269" s="43" t="s">
        <v>870</v>
      </c>
      <c r="J269" s="13" t="s">
        <v>871</v>
      </c>
      <c r="K269" s="13"/>
      <c r="L269" s="20"/>
      <c r="M269" s="20" t="s">
        <v>39</v>
      </c>
      <c r="N269" s="21">
        <v>285600</v>
      </c>
      <c r="O269" s="188">
        <v>0</v>
      </c>
      <c r="P269" s="188">
        <v>0</v>
      </c>
      <c r="Q269" s="188">
        <v>0</v>
      </c>
      <c r="R269" s="188">
        <v>0</v>
      </c>
      <c r="S269" s="188">
        <v>0</v>
      </c>
      <c r="T269" s="188">
        <v>0</v>
      </c>
      <c r="U269" s="188">
        <v>0</v>
      </c>
      <c r="V269" s="188">
        <v>0</v>
      </c>
      <c r="W269" s="188" t="s">
        <v>1525</v>
      </c>
      <c r="X269" s="45" t="s">
        <v>1457</v>
      </c>
      <c r="Y269" s="45" t="s">
        <v>1529</v>
      </c>
      <c r="Z269" s="45" t="s">
        <v>39</v>
      </c>
      <c r="AA269" s="45" t="s">
        <v>1457</v>
      </c>
      <c r="AB269" s="51" t="s">
        <v>39</v>
      </c>
      <c r="AC269" s="46" t="s">
        <v>39</v>
      </c>
      <c r="AD269" s="17" t="s">
        <v>867</v>
      </c>
      <c r="AE269" s="17" t="s">
        <v>872</v>
      </c>
    </row>
    <row r="270" s="2" customFormat="1" ht="36" hidden="1" customHeight="1" spans="1:31">
      <c r="A270" s="13">
        <v>268</v>
      </c>
      <c r="B270" s="187" t="s">
        <v>931</v>
      </c>
      <c r="C270" s="15"/>
      <c r="D270" s="15"/>
      <c r="E270" s="15" t="s">
        <v>811</v>
      </c>
      <c r="F270" s="13" t="s">
        <v>81</v>
      </c>
      <c r="G270" s="16" t="s">
        <v>178</v>
      </c>
      <c r="H270" s="18" t="s">
        <v>39</v>
      </c>
      <c r="I270" s="43" t="s">
        <v>709</v>
      </c>
      <c r="J270" s="13" t="s">
        <v>1530</v>
      </c>
      <c r="K270" s="13"/>
      <c r="L270" s="20"/>
      <c r="M270" s="20"/>
      <c r="N270" s="21"/>
      <c r="O270" s="188">
        <v>0.28</v>
      </c>
      <c r="P270" s="188">
        <v>0</v>
      </c>
      <c r="Q270" s="188">
        <v>0</v>
      </c>
      <c r="R270" s="188">
        <v>0</v>
      </c>
      <c r="S270" s="188">
        <v>0</v>
      </c>
      <c r="T270" s="188">
        <v>0</v>
      </c>
      <c r="U270" s="188">
        <v>0</v>
      </c>
      <c r="V270" s="188">
        <v>0</v>
      </c>
      <c r="W270" s="188">
        <v>0</v>
      </c>
      <c r="X270" s="45" t="s">
        <v>1457</v>
      </c>
      <c r="Y270" s="188" t="s">
        <v>1520</v>
      </c>
      <c r="Z270" s="45" t="s">
        <v>39</v>
      </c>
      <c r="AA270" s="45" t="s">
        <v>1457</v>
      </c>
      <c r="AB270" s="51"/>
      <c r="AC270" s="46"/>
      <c r="AD270" s="17"/>
      <c r="AE270" s="17"/>
    </row>
    <row r="271" s="2" customFormat="1" ht="12" hidden="1" customHeight="1" spans="1:31">
      <c r="A271" s="13">
        <v>269</v>
      </c>
      <c r="B271" s="187" t="s">
        <v>936</v>
      </c>
      <c r="C271" s="15" t="s">
        <v>874</v>
      </c>
      <c r="D271" s="15" t="s">
        <v>875</v>
      </c>
      <c r="E271" s="15" t="s">
        <v>876</v>
      </c>
      <c r="F271" s="13" t="s">
        <v>37</v>
      </c>
      <c r="G271" s="16" t="s">
        <v>48</v>
      </c>
      <c r="H271" s="16" t="s">
        <v>39</v>
      </c>
      <c r="I271" s="43" t="s">
        <v>39</v>
      </c>
      <c r="J271" s="16" t="s">
        <v>39</v>
      </c>
      <c r="K271" s="16"/>
      <c r="L271" s="20"/>
      <c r="M271" s="20" t="s">
        <v>39</v>
      </c>
      <c r="N271" s="21" t="s">
        <v>39</v>
      </c>
      <c r="O271" s="188" t="s">
        <v>39</v>
      </c>
      <c r="P271" s="188" t="s">
        <v>39</v>
      </c>
      <c r="Q271" s="188" t="s">
        <v>39</v>
      </c>
      <c r="R271" s="188" t="s">
        <v>39</v>
      </c>
      <c r="S271" s="188" t="s">
        <v>39</v>
      </c>
      <c r="T271" s="188" t="s">
        <v>39</v>
      </c>
      <c r="U271" s="188" t="s">
        <v>39</v>
      </c>
      <c r="V271" s="188" t="s">
        <v>39</v>
      </c>
      <c r="W271" s="188" t="s">
        <v>39</v>
      </c>
      <c r="X271" s="188" t="s">
        <v>39</v>
      </c>
      <c r="Y271" s="45"/>
      <c r="Z271" s="45"/>
      <c r="AA271" s="45"/>
      <c r="AB271" s="46">
        <v>0.045</v>
      </c>
      <c r="AC271" s="46" t="s">
        <v>39</v>
      </c>
      <c r="AD271" s="17"/>
      <c r="AE271" s="17"/>
    </row>
    <row r="272" s="2" customFormat="1" ht="72" hidden="1" customHeight="1" spans="1:31">
      <c r="A272" s="13">
        <v>270</v>
      </c>
      <c r="B272" s="187" t="s">
        <v>938</v>
      </c>
      <c r="C272" s="15" t="s">
        <v>874</v>
      </c>
      <c r="D272" s="15" t="s">
        <v>875</v>
      </c>
      <c r="E272" s="15" t="s">
        <v>876</v>
      </c>
      <c r="F272" s="13" t="s">
        <v>81</v>
      </c>
      <c r="G272" s="16" t="s">
        <v>48</v>
      </c>
      <c r="H272" s="18" t="s">
        <v>39</v>
      </c>
      <c r="I272" s="43" t="s">
        <v>316</v>
      </c>
      <c r="J272" s="18" t="s">
        <v>878</v>
      </c>
      <c r="K272" s="18"/>
      <c r="L272" s="20"/>
      <c r="M272" s="20" t="s">
        <v>39</v>
      </c>
      <c r="N272" s="21">
        <v>592800</v>
      </c>
      <c r="O272" s="191">
        <v>0.18</v>
      </c>
      <c r="P272" s="190" t="s">
        <v>39</v>
      </c>
      <c r="Q272" s="190" t="s">
        <v>39</v>
      </c>
      <c r="R272" s="190" t="s">
        <v>39</v>
      </c>
      <c r="S272" s="190" t="s">
        <v>39</v>
      </c>
      <c r="T272" s="190" t="s">
        <v>39</v>
      </c>
      <c r="U272" s="190" t="s">
        <v>39</v>
      </c>
      <c r="V272" s="188">
        <v>0.03</v>
      </c>
      <c r="W272" s="191">
        <v>0.03</v>
      </c>
      <c r="X272" s="190" t="s">
        <v>39</v>
      </c>
      <c r="Y272" s="45"/>
      <c r="Z272" s="45"/>
      <c r="AA272" s="45"/>
      <c r="AB272" s="51" t="s">
        <v>39</v>
      </c>
      <c r="AC272" s="46" t="s">
        <v>39</v>
      </c>
      <c r="AD272" s="189" t="s">
        <v>879</v>
      </c>
      <c r="AE272" s="17" t="s">
        <v>880</v>
      </c>
    </row>
    <row r="273" s="2" customFormat="1" ht="72" hidden="1" customHeight="1" spans="1:31">
      <c r="A273" s="13">
        <v>271</v>
      </c>
      <c r="B273" s="187" t="s">
        <v>941</v>
      </c>
      <c r="C273" s="15" t="s">
        <v>874</v>
      </c>
      <c r="D273" s="15" t="s">
        <v>875</v>
      </c>
      <c r="E273" s="15" t="s">
        <v>876</v>
      </c>
      <c r="F273" s="13" t="s">
        <v>81</v>
      </c>
      <c r="G273" s="16" t="s">
        <v>48</v>
      </c>
      <c r="H273" s="18" t="s">
        <v>39</v>
      </c>
      <c r="I273" s="43" t="s">
        <v>882</v>
      </c>
      <c r="J273" s="45" t="s">
        <v>1531</v>
      </c>
      <c r="K273" s="18"/>
      <c r="L273" s="20"/>
      <c r="M273" s="20" t="s">
        <v>39</v>
      </c>
      <c r="N273" s="21">
        <v>626400</v>
      </c>
      <c r="O273" s="191">
        <v>0.15</v>
      </c>
      <c r="P273" s="190" t="s">
        <v>39</v>
      </c>
      <c r="Q273" s="190" t="s">
        <v>39</v>
      </c>
      <c r="R273" s="190" t="s">
        <v>39</v>
      </c>
      <c r="S273" s="190" t="s">
        <v>39</v>
      </c>
      <c r="T273" s="190" t="s">
        <v>39</v>
      </c>
      <c r="U273" s="190" t="s">
        <v>39</v>
      </c>
      <c r="V273" s="194">
        <v>0.015</v>
      </c>
      <c r="W273" s="199">
        <v>0.015</v>
      </c>
      <c r="X273" s="190" t="s">
        <v>39</v>
      </c>
      <c r="Y273" s="45"/>
      <c r="Z273" s="45"/>
      <c r="AA273" s="45"/>
      <c r="AB273" s="51" t="s">
        <v>39</v>
      </c>
      <c r="AC273" s="46" t="s">
        <v>39</v>
      </c>
      <c r="AD273" s="189" t="s">
        <v>879</v>
      </c>
      <c r="AE273" s="17" t="s">
        <v>880</v>
      </c>
    </row>
    <row r="274" s="2" customFormat="1" ht="72" hidden="1" customHeight="1" spans="1:31">
      <c r="A274" s="13">
        <v>272</v>
      </c>
      <c r="B274" s="187" t="s">
        <v>944</v>
      </c>
      <c r="C274" s="15" t="s">
        <v>874</v>
      </c>
      <c r="D274" s="15" t="s">
        <v>875</v>
      </c>
      <c r="E274" s="15" t="s">
        <v>876</v>
      </c>
      <c r="F274" s="13" t="s">
        <v>81</v>
      </c>
      <c r="G274" s="16" t="s">
        <v>48</v>
      </c>
      <c r="H274" s="18" t="s">
        <v>39</v>
      </c>
      <c r="I274" s="43" t="s">
        <v>885</v>
      </c>
      <c r="J274" s="18" t="s">
        <v>886</v>
      </c>
      <c r="K274" s="18"/>
      <c r="L274" s="20"/>
      <c r="M274" s="20" t="s">
        <v>39</v>
      </c>
      <c r="N274" s="21">
        <v>343200</v>
      </c>
      <c r="O274" s="191">
        <v>0.2</v>
      </c>
      <c r="P274" s="190" t="s">
        <v>39</v>
      </c>
      <c r="Q274" s="190" t="s">
        <v>39</v>
      </c>
      <c r="R274" s="190" t="s">
        <v>39</v>
      </c>
      <c r="S274" s="190" t="s">
        <v>39</v>
      </c>
      <c r="T274" s="190" t="s">
        <v>39</v>
      </c>
      <c r="U274" s="190" t="s">
        <v>39</v>
      </c>
      <c r="V274" s="188">
        <v>0.03</v>
      </c>
      <c r="W274" s="191">
        <v>0.03</v>
      </c>
      <c r="X274" s="190" t="s">
        <v>39</v>
      </c>
      <c r="Y274" s="45"/>
      <c r="Z274" s="45"/>
      <c r="AA274" s="45"/>
      <c r="AB274" s="51" t="s">
        <v>39</v>
      </c>
      <c r="AC274" s="46" t="s">
        <v>39</v>
      </c>
      <c r="AD274" s="189" t="s">
        <v>879</v>
      </c>
      <c r="AE274" s="17" t="s">
        <v>880</v>
      </c>
    </row>
    <row r="275" s="2" customFormat="1" ht="72" hidden="1" customHeight="1" spans="1:31">
      <c r="A275" s="13">
        <v>273</v>
      </c>
      <c r="B275" s="187" t="s">
        <v>947</v>
      </c>
      <c r="C275" s="15" t="s">
        <v>874</v>
      </c>
      <c r="D275" s="15" t="s">
        <v>875</v>
      </c>
      <c r="E275" s="15" t="s">
        <v>876</v>
      </c>
      <c r="F275" s="13" t="s">
        <v>81</v>
      </c>
      <c r="G275" s="16" t="s">
        <v>48</v>
      </c>
      <c r="H275" s="18" t="s">
        <v>39</v>
      </c>
      <c r="I275" s="43" t="s">
        <v>888</v>
      </c>
      <c r="J275" s="18" t="s">
        <v>889</v>
      </c>
      <c r="K275" s="18"/>
      <c r="L275" s="20"/>
      <c r="M275" s="20" t="s">
        <v>39</v>
      </c>
      <c r="N275" s="21">
        <v>676800</v>
      </c>
      <c r="O275" s="191">
        <v>0.19</v>
      </c>
      <c r="P275" s="190" t="s">
        <v>39</v>
      </c>
      <c r="Q275" s="190" t="s">
        <v>39</v>
      </c>
      <c r="R275" s="190" t="s">
        <v>39</v>
      </c>
      <c r="S275" s="190" t="s">
        <v>39</v>
      </c>
      <c r="T275" s="190" t="s">
        <v>39</v>
      </c>
      <c r="U275" s="190" t="s">
        <v>39</v>
      </c>
      <c r="V275" s="188">
        <v>0.03</v>
      </c>
      <c r="W275" s="191">
        <v>0.03</v>
      </c>
      <c r="X275" s="190" t="s">
        <v>39</v>
      </c>
      <c r="Y275" s="45"/>
      <c r="Z275" s="45"/>
      <c r="AA275" s="45"/>
      <c r="AB275" s="51" t="s">
        <v>39</v>
      </c>
      <c r="AC275" s="46" t="s">
        <v>39</v>
      </c>
      <c r="AD275" s="189" t="s">
        <v>879</v>
      </c>
      <c r="AE275" s="17" t="s">
        <v>880</v>
      </c>
    </row>
    <row r="276" s="2" customFormat="1" ht="72" hidden="1" customHeight="1" spans="1:31">
      <c r="A276" s="13">
        <v>274</v>
      </c>
      <c r="B276" s="187" t="s">
        <v>951</v>
      </c>
      <c r="C276" s="15" t="s">
        <v>874</v>
      </c>
      <c r="D276" s="15" t="s">
        <v>875</v>
      </c>
      <c r="E276" s="15" t="s">
        <v>876</v>
      </c>
      <c r="F276" s="13" t="s">
        <v>81</v>
      </c>
      <c r="G276" s="16" t="s">
        <v>48</v>
      </c>
      <c r="H276" s="18" t="s">
        <v>39</v>
      </c>
      <c r="I276" s="43" t="s">
        <v>891</v>
      </c>
      <c r="J276" s="18" t="s">
        <v>892</v>
      </c>
      <c r="K276" s="18"/>
      <c r="L276" s="20"/>
      <c r="M276" s="20" t="s">
        <v>39</v>
      </c>
      <c r="N276" s="21">
        <v>408000</v>
      </c>
      <c r="O276" s="191">
        <v>0.2</v>
      </c>
      <c r="P276" s="190" t="s">
        <v>39</v>
      </c>
      <c r="Q276" s="190" t="s">
        <v>39</v>
      </c>
      <c r="R276" s="190" t="s">
        <v>39</v>
      </c>
      <c r="S276" s="190" t="s">
        <v>39</v>
      </c>
      <c r="T276" s="190" t="s">
        <v>39</v>
      </c>
      <c r="U276" s="190" t="s">
        <v>39</v>
      </c>
      <c r="V276" s="188">
        <v>0.03</v>
      </c>
      <c r="W276" s="191">
        <v>0.03</v>
      </c>
      <c r="X276" s="190" t="s">
        <v>39</v>
      </c>
      <c r="Y276" s="45"/>
      <c r="Z276" s="45"/>
      <c r="AA276" s="45"/>
      <c r="AB276" s="51" t="s">
        <v>39</v>
      </c>
      <c r="AC276" s="46" t="s">
        <v>39</v>
      </c>
      <c r="AD276" s="189" t="s">
        <v>879</v>
      </c>
      <c r="AE276" s="17" t="s">
        <v>880</v>
      </c>
    </row>
    <row r="277" s="2" customFormat="1" ht="72" hidden="1" customHeight="1" spans="1:31">
      <c r="A277" s="13">
        <v>275</v>
      </c>
      <c r="B277" s="187" t="s">
        <v>954</v>
      </c>
      <c r="C277" s="15" t="s">
        <v>874</v>
      </c>
      <c r="D277" s="15" t="s">
        <v>875</v>
      </c>
      <c r="E277" s="15" t="s">
        <v>876</v>
      </c>
      <c r="F277" s="13" t="s">
        <v>81</v>
      </c>
      <c r="G277" s="16" t="s">
        <v>48</v>
      </c>
      <c r="H277" s="18" t="s">
        <v>39</v>
      </c>
      <c r="I277" s="43" t="s">
        <v>894</v>
      </c>
      <c r="J277" s="18" t="s">
        <v>895</v>
      </c>
      <c r="K277" s="18"/>
      <c r="L277" s="20"/>
      <c r="M277" s="20" t="s">
        <v>39</v>
      </c>
      <c r="N277" s="21">
        <v>595200</v>
      </c>
      <c r="O277" s="191">
        <v>0.21</v>
      </c>
      <c r="P277" s="190" t="s">
        <v>39</v>
      </c>
      <c r="Q277" s="190" t="s">
        <v>39</v>
      </c>
      <c r="R277" s="190" t="s">
        <v>39</v>
      </c>
      <c r="S277" s="190" t="s">
        <v>39</v>
      </c>
      <c r="T277" s="190" t="s">
        <v>39</v>
      </c>
      <c r="U277" s="190" t="s">
        <v>39</v>
      </c>
      <c r="V277" s="188">
        <v>0.02</v>
      </c>
      <c r="W277" s="191">
        <v>0.02</v>
      </c>
      <c r="X277" s="190" t="s">
        <v>39</v>
      </c>
      <c r="Y277" s="45"/>
      <c r="Z277" s="45"/>
      <c r="AA277" s="45"/>
      <c r="AB277" s="51" t="s">
        <v>39</v>
      </c>
      <c r="AC277" s="46" t="s">
        <v>39</v>
      </c>
      <c r="AD277" s="189" t="s">
        <v>879</v>
      </c>
      <c r="AE277" s="17" t="s">
        <v>880</v>
      </c>
    </row>
    <row r="278" s="2" customFormat="1" ht="72" hidden="1" customHeight="1" spans="1:31">
      <c r="A278" s="13">
        <v>276</v>
      </c>
      <c r="B278" s="187" t="s">
        <v>957</v>
      </c>
      <c r="C278" s="15" t="s">
        <v>874</v>
      </c>
      <c r="D278" s="15" t="s">
        <v>875</v>
      </c>
      <c r="E278" s="15" t="s">
        <v>876</v>
      </c>
      <c r="F278" s="13" t="s">
        <v>81</v>
      </c>
      <c r="G278" s="16" t="s">
        <v>48</v>
      </c>
      <c r="H278" s="18" t="s">
        <v>39</v>
      </c>
      <c r="I278" s="43" t="s">
        <v>897</v>
      </c>
      <c r="J278" s="18" t="s">
        <v>898</v>
      </c>
      <c r="K278" s="18"/>
      <c r="L278" s="20"/>
      <c r="M278" s="20" t="s">
        <v>39</v>
      </c>
      <c r="N278" s="21">
        <v>595200</v>
      </c>
      <c r="O278" s="191">
        <v>0.2</v>
      </c>
      <c r="P278" s="190" t="s">
        <v>39</v>
      </c>
      <c r="Q278" s="190" t="s">
        <v>39</v>
      </c>
      <c r="R278" s="190" t="s">
        <v>39</v>
      </c>
      <c r="S278" s="190" t="s">
        <v>39</v>
      </c>
      <c r="T278" s="190" t="s">
        <v>39</v>
      </c>
      <c r="U278" s="190" t="s">
        <v>39</v>
      </c>
      <c r="V278" s="188">
        <v>0.03</v>
      </c>
      <c r="W278" s="191">
        <v>0.03</v>
      </c>
      <c r="X278" s="190" t="s">
        <v>39</v>
      </c>
      <c r="Y278" s="45"/>
      <c r="Z278" s="45"/>
      <c r="AA278" s="45"/>
      <c r="AB278" s="51" t="s">
        <v>39</v>
      </c>
      <c r="AC278" s="46" t="s">
        <v>39</v>
      </c>
      <c r="AD278" s="189" t="s">
        <v>879</v>
      </c>
      <c r="AE278" s="17" t="s">
        <v>880</v>
      </c>
    </row>
    <row r="279" s="2" customFormat="1" ht="72" hidden="1" customHeight="1" spans="1:31">
      <c r="A279" s="13">
        <v>277</v>
      </c>
      <c r="B279" s="187" t="s">
        <v>960</v>
      </c>
      <c r="C279" s="15" t="s">
        <v>874</v>
      </c>
      <c r="D279" s="15" t="s">
        <v>875</v>
      </c>
      <c r="E279" s="15" t="s">
        <v>876</v>
      </c>
      <c r="F279" s="13" t="s">
        <v>81</v>
      </c>
      <c r="G279" s="16" t="s">
        <v>48</v>
      </c>
      <c r="H279" s="18" t="s">
        <v>39</v>
      </c>
      <c r="I279" s="43" t="s">
        <v>900</v>
      </c>
      <c r="J279" s="18" t="s">
        <v>901</v>
      </c>
      <c r="K279" s="18"/>
      <c r="L279" s="20"/>
      <c r="M279" s="20" t="s">
        <v>39</v>
      </c>
      <c r="N279" s="21">
        <v>626400</v>
      </c>
      <c r="O279" s="191">
        <v>0.19</v>
      </c>
      <c r="P279" s="190" t="s">
        <v>39</v>
      </c>
      <c r="Q279" s="190" t="s">
        <v>39</v>
      </c>
      <c r="R279" s="190" t="s">
        <v>39</v>
      </c>
      <c r="S279" s="190" t="s">
        <v>39</v>
      </c>
      <c r="T279" s="190" t="s">
        <v>39</v>
      </c>
      <c r="U279" s="190" t="s">
        <v>39</v>
      </c>
      <c r="V279" s="188">
        <v>0.03</v>
      </c>
      <c r="W279" s="191">
        <v>0.03</v>
      </c>
      <c r="X279" s="190" t="s">
        <v>39</v>
      </c>
      <c r="Y279" s="45"/>
      <c r="Z279" s="45"/>
      <c r="AA279" s="45"/>
      <c r="AB279" s="51" t="s">
        <v>39</v>
      </c>
      <c r="AC279" s="46" t="s">
        <v>39</v>
      </c>
      <c r="AD279" s="189" t="s">
        <v>879</v>
      </c>
      <c r="AE279" s="17" t="s">
        <v>880</v>
      </c>
    </row>
    <row r="280" s="2" customFormat="1" ht="72" hidden="1" customHeight="1" spans="1:31">
      <c r="A280" s="13">
        <v>278</v>
      </c>
      <c r="B280" s="187" t="s">
        <v>962</v>
      </c>
      <c r="C280" s="15" t="s">
        <v>874</v>
      </c>
      <c r="D280" s="15" t="s">
        <v>875</v>
      </c>
      <c r="E280" s="15" t="s">
        <v>876</v>
      </c>
      <c r="F280" s="13" t="s">
        <v>81</v>
      </c>
      <c r="G280" s="16" t="s">
        <v>48</v>
      </c>
      <c r="H280" s="18" t="s">
        <v>39</v>
      </c>
      <c r="I280" s="43" t="s">
        <v>589</v>
      </c>
      <c r="J280" s="18" t="s">
        <v>903</v>
      </c>
      <c r="K280" s="18"/>
      <c r="L280" s="20"/>
      <c r="M280" s="20" t="s">
        <v>39</v>
      </c>
      <c r="N280" s="21">
        <v>984000</v>
      </c>
      <c r="O280" s="191">
        <v>0.2</v>
      </c>
      <c r="P280" s="190" t="s">
        <v>39</v>
      </c>
      <c r="Q280" s="190" t="s">
        <v>39</v>
      </c>
      <c r="R280" s="190" t="s">
        <v>39</v>
      </c>
      <c r="S280" s="190" t="s">
        <v>39</v>
      </c>
      <c r="T280" s="190" t="s">
        <v>39</v>
      </c>
      <c r="U280" s="190" t="s">
        <v>39</v>
      </c>
      <c r="V280" s="188">
        <v>0.03</v>
      </c>
      <c r="W280" s="191">
        <v>0.03</v>
      </c>
      <c r="X280" s="190" t="s">
        <v>39</v>
      </c>
      <c r="Y280" s="45"/>
      <c r="Z280" s="45"/>
      <c r="AA280" s="45"/>
      <c r="AB280" s="51" t="s">
        <v>39</v>
      </c>
      <c r="AC280" s="46" t="s">
        <v>39</v>
      </c>
      <c r="AD280" s="189" t="s">
        <v>879</v>
      </c>
      <c r="AE280" s="17" t="s">
        <v>880</v>
      </c>
    </row>
    <row r="281" s="2" customFormat="1" ht="72" hidden="1" customHeight="1" spans="1:31">
      <c r="A281" s="13">
        <v>279</v>
      </c>
      <c r="B281" s="187" t="s">
        <v>964</v>
      </c>
      <c r="C281" s="15" t="s">
        <v>874</v>
      </c>
      <c r="D281" s="15" t="s">
        <v>875</v>
      </c>
      <c r="E281" s="15" t="s">
        <v>876</v>
      </c>
      <c r="F281" s="13" t="s">
        <v>81</v>
      </c>
      <c r="G281" s="16" t="s">
        <v>48</v>
      </c>
      <c r="H281" s="18" t="s">
        <v>39</v>
      </c>
      <c r="I281" s="43" t="s">
        <v>905</v>
      </c>
      <c r="J281" s="18" t="s">
        <v>906</v>
      </c>
      <c r="K281" s="18"/>
      <c r="L281" s="20"/>
      <c r="M281" s="20" t="s">
        <v>39</v>
      </c>
      <c r="N281" s="21">
        <v>626400</v>
      </c>
      <c r="O281" s="191">
        <v>0.19</v>
      </c>
      <c r="P281" s="190" t="s">
        <v>39</v>
      </c>
      <c r="Q281" s="190" t="s">
        <v>39</v>
      </c>
      <c r="R281" s="190" t="s">
        <v>39</v>
      </c>
      <c r="S281" s="190" t="s">
        <v>39</v>
      </c>
      <c r="T281" s="190" t="s">
        <v>39</v>
      </c>
      <c r="U281" s="190" t="s">
        <v>39</v>
      </c>
      <c r="V281" s="188">
        <v>0.03</v>
      </c>
      <c r="W281" s="191">
        <v>0.03</v>
      </c>
      <c r="X281" s="190" t="s">
        <v>39</v>
      </c>
      <c r="Y281" s="45"/>
      <c r="Z281" s="45"/>
      <c r="AA281" s="45"/>
      <c r="AB281" s="51" t="s">
        <v>39</v>
      </c>
      <c r="AC281" s="46" t="s">
        <v>39</v>
      </c>
      <c r="AD281" s="189" t="s">
        <v>879</v>
      </c>
      <c r="AE281" s="17" t="s">
        <v>880</v>
      </c>
    </row>
    <row r="282" s="2" customFormat="1" ht="72" hidden="1" customHeight="1" spans="1:31">
      <c r="A282" s="13">
        <v>280</v>
      </c>
      <c r="B282" s="187" t="s">
        <v>967</v>
      </c>
      <c r="C282" s="15" t="s">
        <v>874</v>
      </c>
      <c r="D282" s="15" t="s">
        <v>875</v>
      </c>
      <c r="E282" s="15" t="s">
        <v>876</v>
      </c>
      <c r="F282" s="13" t="s">
        <v>81</v>
      </c>
      <c r="G282" s="16" t="s">
        <v>48</v>
      </c>
      <c r="H282" s="18" t="s">
        <v>39</v>
      </c>
      <c r="I282" s="43" t="s">
        <v>424</v>
      </c>
      <c r="J282" s="18" t="s">
        <v>908</v>
      </c>
      <c r="K282" s="18"/>
      <c r="L282" s="20"/>
      <c r="M282" s="20" t="s">
        <v>39</v>
      </c>
      <c r="N282" s="21">
        <v>626400</v>
      </c>
      <c r="O282" s="191">
        <v>0.2</v>
      </c>
      <c r="P282" s="190" t="s">
        <v>39</v>
      </c>
      <c r="Q282" s="190" t="s">
        <v>39</v>
      </c>
      <c r="R282" s="190" t="s">
        <v>39</v>
      </c>
      <c r="S282" s="190" t="s">
        <v>39</v>
      </c>
      <c r="T282" s="190" t="s">
        <v>39</v>
      </c>
      <c r="U282" s="190" t="s">
        <v>39</v>
      </c>
      <c r="V282" s="188">
        <v>0.03</v>
      </c>
      <c r="W282" s="191">
        <v>0.03</v>
      </c>
      <c r="X282" s="190" t="s">
        <v>39</v>
      </c>
      <c r="Y282" s="45"/>
      <c r="Z282" s="45"/>
      <c r="AA282" s="45"/>
      <c r="AB282" s="51" t="s">
        <v>39</v>
      </c>
      <c r="AC282" s="46" t="s">
        <v>39</v>
      </c>
      <c r="AD282" s="189" t="s">
        <v>879</v>
      </c>
      <c r="AE282" s="17" t="s">
        <v>880</v>
      </c>
    </row>
    <row r="283" s="2" customFormat="1" ht="72" hidden="1" customHeight="1" spans="1:31">
      <c r="A283" s="13">
        <v>281</v>
      </c>
      <c r="B283" s="187" t="s">
        <v>969</v>
      </c>
      <c r="C283" s="15" t="s">
        <v>874</v>
      </c>
      <c r="D283" s="15" t="s">
        <v>875</v>
      </c>
      <c r="E283" s="15" t="s">
        <v>876</v>
      </c>
      <c r="F283" s="13" t="s">
        <v>81</v>
      </c>
      <c r="G283" s="16" t="s">
        <v>48</v>
      </c>
      <c r="H283" s="18" t="s">
        <v>39</v>
      </c>
      <c r="I283" s="43" t="s">
        <v>223</v>
      </c>
      <c r="J283" s="18" t="s">
        <v>910</v>
      </c>
      <c r="K283" s="18"/>
      <c r="L283" s="20"/>
      <c r="M283" s="20" t="s">
        <v>39</v>
      </c>
      <c r="N283" s="21">
        <v>408000</v>
      </c>
      <c r="O283" s="191">
        <v>0.18</v>
      </c>
      <c r="P283" s="190" t="s">
        <v>39</v>
      </c>
      <c r="Q283" s="190" t="s">
        <v>39</v>
      </c>
      <c r="R283" s="190" t="s">
        <v>39</v>
      </c>
      <c r="S283" s="190" t="s">
        <v>39</v>
      </c>
      <c r="T283" s="190" t="s">
        <v>39</v>
      </c>
      <c r="U283" s="190" t="s">
        <v>39</v>
      </c>
      <c r="V283" s="188">
        <v>0.03</v>
      </c>
      <c r="W283" s="191">
        <v>0.03</v>
      </c>
      <c r="X283" s="190" t="s">
        <v>39</v>
      </c>
      <c r="Y283" s="45"/>
      <c r="Z283" s="45"/>
      <c r="AA283" s="45"/>
      <c r="AB283" s="51" t="s">
        <v>39</v>
      </c>
      <c r="AC283" s="46" t="s">
        <v>39</v>
      </c>
      <c r="AD283" s="189" t="s">
        <v>879</v>
      </c>
      <c r="AE283" s="17" t="s">
        <v>880</v>
      </c>
    </row>
    <row r="284" s="2" customFormat="1" ht="72" hidden="1" customHeight="1" spans="1:31">
      <c r="A284" s="13">
        <v>282</v>
      </c>
      <c r="B284" s="187" t="s">
        <v>971</v>
      </c>
      <c r="C284" s="15" t="s">
        <v>874</v>
      </c>
      <c r="D284" s="15" t="s">
        <v>875</v>
      </c>
      <c r="E284" s="15" t="s">
        <v>876</v>
      </c>
      <c r="F284" s="13" t="s">
        <v>81</v>
      </c>
      <c r="G284" s="16" t="s">
        <v>48</v>
      </c>
      <c r="H284" s="18" t="s">
        <v>39</v>
      </c>
      <c r="I284" s="43" t="s">
        <v>709</v>
      </c>
      <c r="J284" s="18" t="s">
        <v>912</v>
      </c>
      <c r="K284" s="18"/>
      <c r="L284" s="20"/>
      <c r="M284" s="20" t="s">
        <v>39</v>
      </c>
      <c r="N284" s="21">
        <v>626400</v>
      </c>
      <c r="O284" s="191">
        <v>0.2</v>
      </c>
      <c r="P284" s="190" t="s">
        <v>39</v>
      </c>
      <c r="Q284" s="190" t="s">
        <v>39</v>
      </c>
      <c r="R284" s="190" t="s">
        <v>39</v>
      </c>
      <c r="S284" s="190" t="s">
        <v>39</v>
      </c>
      <c r="T284" s="190" t="s">
        <v>39</v>
      </c>
      <c r="U284" s="190" t="s">
        <v>39</v>
      </c>
      <c r="V284" s="188">
        <v>0.03</v>
      </c>
      <c r="W284" s="191">
        <v>0.03</v>
      </c>
      <c r="X284" s="190" t="s">
        <v>39</v>
      </c>
      <c r="Y284" s="45"/>
      <c r="Z284" s="45"/>
      <c r="AA284" s="45"/>
      <c r="AB284" s="51" t="s">
        <v>39</v>
      </c>
      <c r="AC284" s="46" t="s">
        <v>39</v>
      </c>
      <c r="AD284" s="189" t="s">
        <v>879</v>
      </c>
      <c r="AE284" s="17" t="s">
        <v>880</v>
      </c>
    </row>
    <row r="285" s="2" customFormat="1" ht="72" hidden="1" customHeight="1" spans="1:31">
      <c r="A285" s="13">
        <v>283</v>
      </c>
      <c r="B285" s="187" t="s">
        <v>973</v>
      </c>
      <c r="C285" s="15" t="s">
        <v>874</v>
      </c>
      <c r="D285" s="15" t="s">
        <v>875</v>
      </c>
      <c r="E285" s="15" t="s">
        <v>876</v>
      </c>
      <c r="F285" s="13" t="s">
        <v>81</v>
      </c>
      <c r="G285" s="16" t="s">
        <v>48</v>
      </c>
      <c r="H285" s="18" t="s">
        <v>39</v>
      </c>
      <c r="I285" s="43" t="s">
        <v>791</v>
      </c>
      <c r="J285" s="18" t="s">
        <v>912</v>
      </c>
      <c r="K285" s="18"/>
      <c r="L285" s="20"/>
      <c r="M285" s="20" t="s">
        <v>39</v>
      </c>
      <c r="N285" s="21">
        <v>319200</v>
      </c>
      <c r="O285" s="191">
        <v>0.12</v>
      </c>
      <c r="P285" s="190" t="s">
        <v>39</v>
      </c>
      <c r="Q285" s="190" t="s">
        <v>39</v>
      </c>
      <c r="R285" s="190" t="s">
        <v>39</v>
      </c>
      <c r="S285" s="190" t="s">
        <v>39</v>
      </c>
      <c r="T285" s="190" t="s">
        <v>39</v>
      </c>
      <c r="U285" s="190" t="s">
        <v>39</v>
      </c>
      <c r="V285" s="190" t="s">
        <v>39</v>
      </c>
      <c r="W285" s="199" t="s">
        <v>39</v>
      </c>
      <c r="X285" s="190" t="s">
        <v>39</v>
      </c>
      <c r="Y285" s="45"/>
      <c r="Z285" s="45"/>
      <c r="AA285" s="45"/>
      <c r="AB285" s="51" t="s">
        <v>39</v>
      </c>
      <c r="AC285" s="46" t="s">
        <v>39</v>
      </c>
      <c r="AD285" s="189" t="s">
        <v>879</v>
      </c>
      <c r="AE285" s="17" t="s">
        <v>880</v>
      </c>
    </row>
    <row r="286" s="2" customFormat="1" ht="72" hidden="1" customHeight="1" spans="1:31">
      <c r="A286" s="13">
        <v>284</v>
      </c>
      <c r="B286" s="187" t="s">
        <v>975</v>
      </c>
      <c r="C286" s="15" t="s">
        <v>874</v>
      </c>
      <c r="D286" s="15" t="s">
        <v>875</v>
      </c>
      <c r="E286" s="15" t="s">
        <v>876</v>
      </c>
      <c r="F286" s="13" t="s">
        <v>81</v>
      </c>
      <c r="G286" s="16" t="s">
        <v>48</v>
      </c>
      <c r="H286" s="18" t="s">
        <v>39</v>
      </c>
      <c r="I286" s="43" t="s">
        <v>915</v>
      </c>
      <c r="J286" s="18" t="s">
        <v>916</v>
      </c>
      <c r="K286" s="18"/>
      <c r="L286" s="20"/>
      <c r="M286" s="20" t="s">
        <v>39</v>
      </c>
      <c r="N286" s="21">
        <v>592800</v>
      </c>
      <c r="O286" s="191">
        <v>0.18</v>
      </c>
      <c r="P286" s="190" t="s">
        <v>39</v>
      </c>
      <c r="Q286" s="190" t="s">
        <v>39</v>
      </c>
      <c r="R286" s="190" t="s">
        <v>39</v>
      </c>
      <c r="S286" s="190" t="s">
        <v>39</v>
      </c>
      <c r="T286" s="190" t="s">
        <v>39</v>
      </c>
      <c r="U286" s="190" t="s">
        <v>39</v>
      </c>
      <c r="V286" s="188">
        <v>0.03</v>
      </c>
      <c r="W286" s="191">
        <v>0.03</v>
      </c>
      <c r="X286" s="190" t="s">
        <v>39</v>
      </c>
      <c r="Y286" s="45"/>
      <c r="Z286" s="45"/>
      <c r="AA286" s="45"/>
      <c r="AB286" s="51" t="s">
        <v>39</v>
      </c>
      <c r="AC286" s="46" t="s">
        <v>39</v>
      </c>
      <c r="AD286" s="189" t="s">
        <v>879</v>
      </c>
      <c r="AE286" s="17" t="s">
        <v>880</v>
      </c>
    </row>
    <row r="287" s="2" customFormat="1" ht="12" hidden="1" customHeight="1" spans="1:31">
      <c r="A287" s="13">
        <v>285</v>
      </c>
      <c r="B287" s="187" t="s">
        <v>977</v>
      </c>
      <c r="C287" s="15"/>
      <c r="D287" s="15"/>
      <c r="E287" s="15" t="s">
        <v>876</v>
      </c>
      <c r="F287" s="13" t="s">
        <v>81</v>
      </c>
      <c r="G287" s="16" t="s">
        <v>48</v>
      </c>
      <c r="H287" s="198" t="s">
        <v>39</v>
      </c>
      <c r="I287" s="17" t="s">
        <v>882</v>
      </c>
      <c r="J287" s="18" t="s">
        <v>883</v>
      </c>
      <c r="K287" s="18"/>
      <c r="L287" s="20"/>
      <c r="M287" s="20"/>
      <c r="N287" s="21"/>
      <c r="O287" s="190"/>
      <c r="P287" s="190"/>
      <c r="Q287" s="190"/>
      <c r="R287" s="190"/>
      <c r="S287" s="190"/>
      <c r="T287" s="190"/>
      <c r="U287" s="190"/>
      <c r="V287" s="45"/>
      <c r="W287" s="190"/>
      <c r="X287" s="190"/>
      <c r="Y287" s="45"/>
      <c r="Z287" s="45"/>
      <c r="AA287" s="45"/>
      <c r="AB287" s="46"/>
      <c r="AC287" s="46"/>
      <c r="AD287" s="17"/>
      <c r="AE287" s="17"/>
    </row>
    <row r="288" s="2" customFormat="1" ht="12" hidden="1" customHeight="1" spans="1:31">
      <c r="A288" s="13">
        <v>286</v>
      </c>
      <c r="B288" s="187" t="s">
        <v>980</v>
      </c>
      <c r="C288" s="15" t="s">
        <v>874</v>
      </c>
      <c r="D288" s="15" t="s">
        <v>918</v>
      </c>
      <c r="E288" s="15" t="s">
        <v>919</v>
      </c>
      <c r="F288" s="13" t="s">
        <v>53</v>
      </c>
      <c r="G288" s="16" t="s">
        <v>48</v>
      </c>
      <c r="H288" s="13" t="s">
        <v>39</v>
      </c>
      <c r="I288" s="17" t="s">
        <v>39</v>
      </c>
      <c r="J288" s="18" t="s">
        <v>39</v>
      </c>
      <c r="K288" s="18"/>
      <c r="L288" s="20"/>
      <c r="M288" s="20" t="s">
        <v>39</v>
      </c>
      <c r="N288" s="21">
        <v>908000</v>
      </c>
      <c r="O288" s="190" t="s">
        <v>39</v>
      </c>
      <c r="P288" s="190" t="s">
        <v>39</v>
      </c>
      <c r="Q288" s="190" t="s">
        <v>39</v>
      </c>
      <c r="R288" s="190" t="s">
        <v>39</v>
      </c>
      <c r="S288" s="190" t="s">
        <v>39</v>
      </c>
      <c r="T288" s="190" t="s">
        <v>39</v>
      </c>
      <c r="U288" s="190" t="s">
        <v>39</v>
      </c>
      <c r="V288" s="45" t="s">
        <v>39</v>
      </c>
      <c r="W288" s="190" t="s">
        <v>39</v>
      </c>
      <c r="X288" s="190" t="s">
        <v>39</v>
      </c>
      <c r="Y288" s="45"/>
      <c r="Z288" s="45"/>
      <c r="AA288" s="45" t="s">
        <v>39</v>
      </c>
      <c r="AB288" s="46">
        <v>0.11</v>
      </c>
      <c r="AC288" s="46" t="s">
        <v>39</v>
      </c>
      <c r="AD288" s="17"/>
      <c r="AE288" s="17"/>
    </row>
    <row r="289" s="2" customFormat="1" ht="12" hidden="1" customHeight="1" spans="1:31">
      <c r="A289" s="13">
        <v>287</v>
      </c>
      <c r="B289" s="187" t="s">
        <v>983</v>
      </c>
      <c r="C289" s="15" t="s">
        <v>874</v>
      </c>
      <c r="D289" s="15" t="s">
        <v>921</v>
      </c>
      <c r="E289" s="15" t="s">
        <v>922</v>
      </c>
      <c r="F289" s="13" t="s">
        <v>47</v>
      </c>
      <c r="G289" s="16" t="s">
        <v>48</v>
      </c>
      <c r="H289" s="16" t="s">
        <v>39</v>
      </c>
      <c r="I289" s="17" t="s">
        <v>923</v>
      </c>
      <c r="J289" s="18" t="s">
        <v>924</v>
      </c>
      <c r="K289" s="18"/>
      <c r="L289" s="20"/>
      <c r="M289" s="20" t="s">
        <v>39</v>
      </c>
      <c r="N289" s="21" t="s">
        <v>39</v>
      </c>
      <c r="O289" s="190" t="s">
        <v>39</v>
      </c>
      <c r="P289" s="190" t="s">
        <v>39</v>
      </c>
      <c r="Q289" s="190" t="s">
        <v>39</v>
      </c>
      <c r="R289" s="190" t="s">
        <v>39</v>
      </c>
      <c r="S289" s="190" t="s">
        <v>39</v>
      </c>
      <c r="T289" s="190" t="s">
        <v>39</v>
      </c>
      <c r="U289" s="190" t="s">
        <v>39</v>
      </c>
      <c r="V289" s="45" t="s">
        <v>39</v>
      </c>
      <c r="W289" s="190" t="s">
        <v>39</v>
      </c>
      <c r="X289" s="190" t="s">
        <v>39</v>
      </c>
      <c r="Y289" s="45"/>
      <c r="Z289" s="45"/>
      <c r="AA289" s="45"/>
      <c r="AB289" s="46">
        <v>0.035</v>
      </c>
      <c r="AC289" s="46" t="s">
        <v>39</v>
      </c>
      <c r="AD289" s="17"/>
      <c r="AE289" s="17"/>
    </row>
    <row r="290" s="2" customFormat="1" ht="12" hidden="1" customHeight="1" spans="1:31">
      <c r="A290" s="13">
        <v>288</v>
      </c>
      <c r="B290" s="187" t="s">
        <v>986</v>
      </c>
      <c r="C290" s="15" t="s">
        <v>874</v>
      </c>
      <c r="D290" s="15" t="s">
        <v>921</v>
      </c>
      <c r="E290" s="15" t="s">
        <v>922</v>
      </c>
      <c r="F290" s="13" t="s">
        <v>47</v>
      </c>
      <c r="G290" s="16" t="s">
        <v>48</v>
      </c>
      <c r="H290" s="16" t="s">
        <v>39</v>
      </c>
      <c r="I290" s="17" t="s">
        <v>926</v>
      </c>
      <c r="J290" s="18" t="s">
        <v>924</v>
      </c>
      <c r="K290" s="18"/>
      <c r="L290" s="20"/>
      <c r="M290" s="20" t="s">
        <v>39</v>
      </c>
      <c r="N290" s="21" t="s">
        <v>39</v>
      </c>
      <c r="O290" s="190" t="s">
        <v>39</v>
      </c>
      <c r="P290" s="190" t="s">
        <v>39</v>
      </c>
      <c r="Q290" s="190" t="s">
        <v>39</v>
      </c>
      <c r="R290" s="190" t="s">
        <v>39</v>
      </c>
      <c r="S290" s="190" t="s">
        <v>39</v>
      </c>
      <c r="T290" s="190" t="s">
        <v>39</v>
      </c>
      <c r="U290" s="190" t="s">
        <v>39</v>
      </c>
      <c r="V290" s="45" t="s">
        <v>39</v>
      </c>
      <c r="W290" s="190" t="s">
        <v>39</v>
      </c>
      <c r="X290" s="190" t="s">
        <v>39</v>
      </c>
      <c r="Y290" s="45"/>
      <c r="Z290" s="45"/>
      <c r="AA290" s="45"/>
      <c r="AB290" s="46">
        <v>0.035</v>
      </c>
      <c r="AC290" s="46" t="s">
        <v>39</v>
      </c>
      <c r="AD290" s="17"/>
      <c r="AE290" s="17"/>
    </row>
    <row r="291" s="2" customFormat="1" ht="12" hidden="1" customHeight="1" spans="1:31">
      <c r="A291" s="13">
        <v>289</v>
      </c>
      <c r="B291" s="187" t="s">
        <v>990</v>
      </c>
      <c r="C291" s="15" t="s">
        <v>874</v>
      </c>
      <c r="D291" s="15" t="s">
        <v>921</v>
      </c>
      <c r="E291" s="15" t="s">
        <v>922</v>
      </c>
      <c r="F291" s="13" t="s">
        <v>47</v>
      </c>
      <c r="G291" s="16" t="s">
        <v>48</v>
      </c>
      <c r="H291" s="16" t="s">
        <v>39</v>
      </c>
      <c r="I291" s="17" t="s">
        <v>928</v>
      </c>
      <c r="J291" s="18" t="s">
        <v>924</v>
      </c>
      <c r="K291" s="18"/>
      <c r="L291" s="20"/>
      <c r="M291" s="20" t="s">
        <v>39</v>
      </c>
      <c r="N291" s="21" t="s">
        <v>39</v>
      </c>
      <c r="O291" s="190" t="s">
        <v>39</v>
      </c>
      <c r="P291" s="190" t="s">
        <v>39</v>
      </c>
      <c r="Q291" s="190" t="s">
        <v>39</v>
      </c>
      <c r="R291" s="190" t="s">
        <v>39</v>
      </c>
      <c r="S291" s="190" t="s">
        <v>39</v>
      </c>
      <c r="T291" s="190" t="s">
        <v>39</v>
      </c>
      <c r="U291" s="190" t="s">
        <v>39</v>
      </c>
      <c r="V291" s="45" t="s">
        <v>39</v>
      </c>
      <c r="W291" s="190" t="s">
        <v>39</v>
      </c>
      <c r="X291" s="190" t="s">
        <v>39</v>
      </c>
      <c r="Y291" s="45"/>
      <c r="Z291" s="45"/>
      <c r="AA291" s="45"/>
      <c r="AB291" s="46">
        <v>0.035</v>
      </c>
      <c r="AC291" s="46" t="s">
        <v>39</v>
      </c>
      <c r="AD291" s="17"/>
      <c r="AE291" s="17"/>
    </row>
    <row r="292" s="2" customFormat="1" ht="12" hidden="1" customHeight="1" spans="1:31">
      <c r="A292" s="13">
        <v>290</v>
      </c>
      <c r="B292" s="187" t="s">
        <v>993</v>
      </c>
      <c r="C292" s="15" t="s">
        <v>874</v>
      </c>
      <c r="D292" s="15" t="s">
        <v>921</v>
      </c>
      <c r="E292" s="15" t="s">
        <v>922</v>
      </c>
      <c r="F292" s="13" t="s">
        <v>47</v>
      </c>
      <c r="G292" s="16" t="s">
        <v>48</v>
      </c>
      <c r="H292" s="16" t="s">
        <v>39</v>
      </c>
      <c r="I292" s="17" t="s">
        <v>930</v>
      </c>
      <c r="J292" s="18" t="s">
        <v>924</v>
      </c>
      <c r="K292" s="18"/>
      <c r="L292" s="20"/>
      <c r="M292" s="20" t="s">
        <v>39</v>
      </c>
      <c r="N292" s="21" t="s">
        <v>39</v>
      </c>
      <c r="O292" s="190" t="s">
        <v>39</v>
      </c>
      <c r="P292" s="190" t="s">
        <v>39</v>
      </c>
      <c r="Q292" s="190" t="s">
        <v>39</v>
      </c>
      <c r="R292" s="190" t="s">
        <v>39</v>
      </c>
      <c r="S292" s="190" t="s">
        <v>39</v>
      </c>
      <c r="T292" s="190" t="s">
        <v>39</v>
      </c>
      <c r="U292" s="190" t="s">
        <v>39</v>
      </c>
      <c r="V292" s="45" t="s">
        <v>39</v>
      </c>
      <c r="W292" s="190" t="s">
        <v>39</v>
      </c>
      <c r="X292" s="190" t="s">
        <v>39</v>
      </c>
      <c r="Y292" s="45"/>
      <c r="Z292" s="45"/>
      <c r="AA292" s="45"/>
      <c r="AB292" s="46">
        <v>0.035</v>
      </c>
      <c r="AC292" s="46" t="s">
        <v>39</v>
      </c>
      <c r="AD292" s="17"/>
      <c r="AE292" s="17"/>
    </row>
    <row r="293" s="2" customFormat="1" ht="36" hidden="1" customHeight="1" spans="1:31">
      <c r="A293" s="13">
        <v>291</v>
      </c>
      <c r="B293" s="187" t="s">
        <v>995</v>
      </c>
      <c r="C293" s="15" t="s">
        <v>874</v>
      </c>
      <c r="D293" s="15" t="s">
        <v>921</v>
      </c>
      <c r="E293" s="15" t="s">
        <v>922</v>
      </c>
      <c r="F293" s="13" t="s">
        <v>47</v>
      </c>
      <c r="G293" s="16" t="s">
        <v>48</v>
      </c>
      <c r="H293" s="18" t="s">
        <v>60</v>
      </c>
      <c r="I293" s="43" t="s">
        <v>932</v>
      </c>
      <c r="J293" s="18" t="s">
        <v>933</v>
      </c>
      <c r="K293" s="18"/>
      <c r="L293" s="20"/>
      <c r="M293" s="20" t="s">
        <v>39</v>
      </c>
      <c r="N293" s="21">
        <v>1200000</v>
      </c>
      <c r="O293" s="191">
        <v>0.13</v>
      </c>
      <c r="P293" s="190" t="s">
        <v>39</v>
      </c>
      <c r="Q293" s="190" t="s">
        <v>39</v>
      </c>
      <c r="R293" s="190" t="s">
        <v>39</v>
      </c>
      <c r="S293" s="190" t="s">
        <v>39</v>
      </c>
      <c r="T293" s="190" t="s">
        <v>39</v>
      </c>
      <c r="U293" s="190" t="s">
        <v>39</v>
      </c>
      <c r="V293" s="45">
        <v>3000</v>
      </c>
      <c r="W293" s="190">
        <v>4000</v>
      </c>
      <c r="X293" s="190" t="s">
        <v>39</v>
      </c>
      <c r="Y293" s="45"/>
      <c r="Z293" s="45"/>
      <c r="AA293" s="45" t="s">
        <v>934</v>
      </c>
      <c r="AB293" s="51" t="s">
        <v>39</v>
      </c>
      <c r="AC293" s="46" t="s">
        <v>39</v>
      </c>
      <c r="AD293" s="17"/>
      <c r="AE293" s="17" t="s">
        <v>935</v>
      </c>
    </row>
    <row r="294" s="2" customFormat="1" ht="36" hidden="1" customHeight="1" spans="1:31">
      <c r="A294" s="13">
        <v>292</v>
      </c>
      <c r="B294" s="187" t="s">
        <v>997</v>
      </c>
      <c r="C294" s="15" t="s">
        <v>874</v>
      </c>
      <c r="D294" s="15" t="s">
        <v>921</v>
      </c>
      <c r="E294" s="15" t="s">
        <v>922</v>
      </c>
      <c r="F294" s="13" t="s">
        <v>47</v>
      </c>
      <c r="G294" s="16" t="s">
        <v>48</v>
      </c>
      <c r="H294" s="18" t="s">
        <v>66</v>
      </c>
      <c r="I294" s="43" t="s">
        <v>818</v>
      </c>
      <c r="J294" s="18" t="s">
        <v>937</v>
      </c>
      <c r="K294" s="18"/>
      <c r="L294" s="20"/>
      <c r="M294" s="20" t="s">
        <v>39</v>
      </c>
      <c r="N294" s="21">
        <v>540000</v>
      </c>
      <c r="O294" s="191">
        <v>0.23</v>
      </c>
      <c r="P294" s="190" t="s">
        <v>39</v>
      </c>
      <c r="Q294" s="190" t="s">
        <v>39</v>
      </c>
      <c r="R294" s="190" t="s">
        <v>39</v>
      </c>
      <c r="S294" s="190" t="s">
        <v>39</v>
      </c>
      <c r="T294" s="190" t="s">
        <v>39</v>
      </c>
      <c r="U294" s="190" t="s">
        <v>39</v>
      </c>
      <c r="V294" s="190" t="s">
        <v>39</v>
      </c>
      <c r="W294" s="190" t="s">
        <v>39</v>
      </c>
      <c r="X294" s="190" t="s">
        <v>39</v>
      </c>
      <c r="Y294" s="45"/>
      <c r="Z294" s="45"/>
      <c r="AA294" s="45" t="s">
        <v>934</v>
      </c>
      <c r="AB294" s="51" t="s">
        <v>39</v>
      </c>
      <c r="AC294" s="46" t="s">
        <v>39</v>
      </c>
      <c r="AD294" s="17"/>
      <c r="AE294" s="17" t="s">
        <v>935</v>
      </c>
    </row>
    <row r="295" s="2" customFormat="1" ht="36" hidden="1" customHeight="1" spans="1:31">
      <c r="A295" s="13">
        <v>293</v>
      </c>
      <c r="B295" s="187" t="s">
        <v>1000</v>
      </c>
      <c r="C295" s="15" t="s">
        <v>874</v>
      </c>
      <c r="D295" s="15" t="s">
        <v>921</v>
      </c>
      <c r="E295" s="15" t="s">
        <v>922</v>
      </c>
      <c r="F295" s="13" t="s">
        <v>47</v>
      </c>
      <c r="G295" s="16" t="s">
        <v>48</v>
      </c>
      <c r="H295" s="18" t="s">
        <v>70</v>
      </c>
      <c r="I295" s="43" t="s">
        <v>939</v>
      </c>
      <c r="J295" s="18" t="s">
        <v>940</v>
      </c>
      <c r="K295" s="18"/>
      <c r="L295" s="20"/>
      <c r="M295" s="20" t="s">
        <v>39</v>
      </c>
      <c r="N295" s="21">
        <v>720000</v>
      </c>
      <c r="O295" s="191">
        <v>0.05</v>
      </c>
      <c r="P295" s="190" t="s">
        <v>39</v>
      </c>
      <c r="Q295" s="190" t="s">
        <v>39</v>
      </c>
      <c r="R295" s="190" t="s">
        <v>39</v>
      </c>
      <c r="S295" s="190" t="s">
        <v>39</v>
      </c>
      <c r="T295" s="190" t="s">
        <v>39</v>
      </c>
      <c r="U295" s="190" t="s">
        <v>39</v>
      </c>
      <c r="V295" s="190" t="s">
        <v>39</v>
      </c>
      <c r="W295" s="190" t="s">
        <v>39</v>
      </c>
      <c r="X295" s="190" t="s">
        <v>39</v>
      </c>
      <c r="Y295" s="45"/>
      <c r="Z295" s="45"/>
      <c r="AA295" s="45" t="s">
        <v>934</v>
      </c>
      <c r="AB295" s="51" t="s">
        <v>39</v>
      </c>
      <c r="AC295" s="46" t="s">
        <v>39</v>
      </c>
      <c r="AD295" s="17"/>
      <c r="AE295" s="17" t="s">
        <v>935</v>
      </c>
    </row>
    <row r="296" s="2" customFormat="1" ht="36" hidden="1" customHeight="1" spans="1:31">
      <c r="A296" s="13">
        <v>294</v>
      </c>
      <c r="B296" s="187" t="s">
        <v>1003</v>
      </c>
      <c r="C296" s="15" t="s">
        <v>874</v>
      </c>
      <c r="D296" s="15" t="s">
        <v>921</v>
      </c>
      <c r="E296" s="15" t="s">
        <v>922</v>
      </c>
      <c r="F296" s="13" t="s">
        <v>47</v>
      </c>
      <c r="G296" s="16" t="s">
        <v>48</v>
      </c>
      <c r="H296" s="18" t="s">
        <v>74</v>
      </c>
      <c r="I296" s="43" t="s">
        <v>942</v>
      </c>
      <c r="J296" s="18" t="s">
        <v>943</v>
      </c>
      <c r="K296" s="18"/>
      <c r="L296" s="20"/>
      <c r="M296" s="20" t="s">
        <v>39</v>
      </c>
      <c r="N296" s="21">
        <v>360000</v>
      </c>
      <c r="O296" s="191">
        <v>0.1</v>
      </c>
      <c r="P296" s="190" t="s">
        <v>39</v>
      </c>
      <c r="Q296" s="190" t="s">
        <v>39</v>
      </c>
      <c r="R296" s="190" t="s">
        <v>39</v>
      </c>
      <c r="S296" s="190" t="s">
        <v>39</v>
      </c>
      <c r="T296" s="190" t="s">
        <v>39</v>
      </c>
      <c r="U296" s="190" t="s">
        <v>39</v>
      </c>
      <c r="V296" s="190" t="s">
        <v>39</v>
      </c>
      <c r="W296" s="190" t="s">
        <v>39</v>
      </c>
      <c r="X296" s="190" t="s">
        <v>39</v>
      </c>
      <c r="Y296" s="45"/>
      <c r="Z296" s="45"/>
      <c r="AA296" s="45" t="s">
        <v>934</v>
      </c>
      <c r="AB296" s="51" t="s">
        <v>39</v>
      </c>
      <c r="AC296" s="46" t="s">
        <v>39</v>
      </c>
      <c r="AD296" s="17"/>
      <c r="AE296" s="17" t="s">
        <v>935</v>
      </c>
    </row>
    <row r="297" s="2" customFormat="1" ht="12" hidden="1" customHeight="1" spans="1:31">
      <c r="A297" s="13">
        <v>295</v>
      </c>
      <c r="B297" s="187" t="s">
        <v>1006</v>
      </c>
      <c r="C297" s="15" t="s">
        <v>874</v>
      </c>
      <c r="D297" s="15" t="s">
        <v>945</v>
      </c>
      <c r="E297" s="15" t="s">
        <v>946</v>
      </c>
      <c r="F297" s="13" t="s">
        <v>37</v>
      </c>
      <c r="G297" s="16" t="s">
        <v>48</v>
      </c>
      <c r="H297" s="16" t="s">
        <v>39</v>
      </c>
      <c r="I297" s="43" t="s">
        <v>39</v>
      </c>
      <c r="J297" s="16" t="s">
        <v>39</v>
      </c>
      <c r="K297" s="16"/>
      <c r="L297" s="20"/>
      <c r="M297" s="20" t="s">
        <v>39</v>
      </c>
      <c r="N297" s="21" t="s">
        <v>39</v>
      </c>
      <c r="O297" s="188" t="s">
        <v>39</v>
      </c>
      <c r="P297" s="188" t="s">
        <v>39</v>
      </c>
      <c r="Q297" s="188" t="s">
        <v>39</v>
      </c>
      <c r="R297" s="188" t="s">
        <v>39</v>
      </c>
      <c r="S297" s="188" t="s">
        <v>39</v>
      </c>
      <c r="T297" s="188" t="s">
        <v>39</v>
      </c>
      <c r="U297" s="188" t="s">
        <v>39</v>
      </c>
      <c r="V297" s="188" t="s">
        <v>39</v>
      </c>
      <c r="W297" s="190" t="s">
        <v>39</v>
      </c>
      <c r="X297" s="188" t="s">
        <v>39</v>
      </c>
      <c r="Y297" s="208"/>
      <c r="Z297" s="208"/>
      <c r="AA297" s="208" t="s">
        <v>39</v>
      </c>
      <c r="AB297" s="46">
        <v>0.045</v>
      </c>
      <c r="AC297" s="46" t="s">
        <v>39</v>
      </c>
      <c r="AD297" s="17"/>
      <c r="AE297" s="17"/>
    </row>
    <row r="298" s="2" customFormat="1" ht="24" hidden="1" customHeight="1" spans="1:31">
      <c r="A298" s="13">
        <v>296</v>
      </c>
      <c r="B298" s="187" t="s">
        <v>1008</v>
      </c>
      <c r="C298" s="15" t="s">
        <v>874</v>
      </c>
      <c r="D298" s="15" t="s">
        <v>945</v>
      </c>
      <c r="E298" s="15" t="s">
        <v>946</v>
      </c>
      <c r="F298" s="13" t="s">
        <v>81</v>
      </c>
      <c r="G298" s="16" t="s">
        <v>48</v>
      </c>
      <c r="H298" s="18" t="s">
        <v>39</v>
      </c>
      <c r="I298" s="43" t="s">
        <v>240</v>
      </c>
      <c r="J298" s="18" t="s">
        <v>948</v>
      </c>
      <c r="K298" s="18"/>
      <c r="L298" s="20"/>
      <c r="M298" s="20" t="s">
        <v>39</v>
      </c>
      <c r="N298" s="21">
        <v>1488000</v>
      </c>
      <c r="O298" s="191">
        <v>0.11</v>
      </c>
      <c r="P298" s="191">
        <v>0.01</v>
      </c>
      <c r="Q298" s="190" t="s">
        <v>39</v>
      </c>
      <c r="R298" s="191">
        <v>0.02</v>
      </c>
      <c r="S298" s="191">
        <v>0.01</v>
      </c>
      <c r="T298" s="191">
        <v>0.01</v>
      </c>
      <c r="U298" s="190" t="s">
        <v>39</v>
      </c>
      <c r="V298" s="192"/>
      <c r="W298" s="192"/>
      <c r="X298" s="190" t="s">
        <v>39</v>
      </c>
      <c r="Y298" s="188"/>
      <c r="Z298" s="188"/>
      <c r="AA298" s="188">
        <v>0.5</v>
      </c>
      <c r="AB298" s="51" t="s">
        <v>39</v>
      </c>
      <c r="AC298" s="46" t="s">
        <v>39</v>
      </c>
      <c r="AD298" s="17"/>
      <c r="AE298" s="17" t="s">
        <v>949</v>
      </c>
    </row>
    <row r="299" s="2" customFormat="1" ht="24" hidden="1" customHeight="1" spans="1:31">
      <c r="A299" s="13">
        <v>297</v>
      </c>
      <c r="B299" s="187" t="s">
        <v>1010</v>
      </c>
      <c r="C299" s="15" t="s">
        <v>874</v>
      </c>
      <c r="D299" s="15" t="s">
        <v>945</v>
      </c>
      <c r="E299" s="15" t="s">
        <v>946</v>
      </c>
      <c r="F299" s="13" t="s">
        <v>81</v>
      </c>
      <c r="G299" s="16" t="s">
        <v>48</v>
      </c>
      <c r="H299" s="18" t="s">
        <v>39</v>
      </c>
      <c r="I299" s="43" t="s">
        <v>952</v>
      </c>
      <c r="J299" s="18" t="s">
        <v>953</v>
      </c>
      <c r="K299" s="18"/>
      <c r="L299" s="20"/>
      <c r="M299" s="20" t="s">
        <v>39</v>
      </c>
      <c r="N299" s="21">
        <v>510000</v>
      </c>
      <c r="O299" s="191">
        <v>0.13</v>
      </c>
      <c r="P299" s="191">
        <v>0.01</v>
      </c>
      <c r="Q299" s="190" t="s">
        <v>39</v>
      </c>
      <c r="R299" s="191">
        <v>0.02</v>
      </c>
      <c r="S299" s="191">
        <v>0.01</v>
      </c>
      <c r="T299" s="191">
        <v>0.01</v>
      </c>
      <c r="U299" s="190" t="s">
        <v>39</v>
      </c>
      <c r="V299" s="188">
        <v>0.04</v>
      </c>
      <c r="W299" s="191">
        <v>0.01</v>
      </c>
      <c r="X299" s="190" t="s">
        <v>39</v>
      </c>
      <c r="Y299" s="188"/>
      <c r="Z299" s="188"/>
      <c r="AA299" s="188">
        <v>0.5</v>
      </c>
      <c r="AB299" s="51" t="s">
        <v>39</v>
      </c>
      <c r="AC299" s="46" t="s">
        <v>39</v>
      </c>
      <c r="AD299" s="17"/>
      <c r="AE299" s="17" t="s">
        <v>949</v>
      </c>
    </row>
    <row r="300" s="2" customFormat="1" ht="24" hidden="1" customHeight="1" spans="1:31">
      <c r="A300" s="13">
        <v>298</v>
      </c>
      <c r="B300" s="187" t="s">
        <v>1014</v>
      </c>
      <c r="C300" s="15" t="s">
        <v>874</v>
      </c>
      <c r="D300" s="15" t="s">
        <v>945</v>
      </c>
      <c r="E300" s="15" t="s">
        <v>946</v>
      </c>
      <c r="F300" s="13" t="s">
        <v>81</v>
      </c>
      <c r="G300" s="16" t="s">
        <v>48</v>
      </c>
      <c r="H300" s="18" t="s">
        <v>39</v>
      </c>
      <c r="I300" s="43" t="s">
        <v>955</v>
      </c>
      <c r="J300" s="18" t="s">
        <v>956</v>
      </c>
      <c r="K300" s="18"/>
      <c r="L300" s="20"/>
      <c r="M300" s="20" t="s">
        <v>39</v>
      </c>
      <c r="N300" s="21">
        <v>510000</v>
      </c>
      <c r="O300" s="191">
        <v>0.11</v>
      </c>
      <c r="P300" s="191">
        <v>0.01</v>
      </c>
      <c r="Q300" s="190" t="s">
        <v>39</v>
      </c>
      <c r="R300" s="191">
        <v>0.02</v>
      </c>
      <c r="S300" s="191">
        <v>0.01</v>
      </c>
      <c r="T300" s="191">
        <v>0.01</v>
      </c>
      <c r="U300" s="190" t="s">
        <v>39</v>
      </c>
      <c r="V300" s="192"/>
      <c r="W300" s="192"/>
      <c r="X300" s="190" t="s">
        <v>39</v>
      </c>
      <c r="Y300" s="188"/>
      <c r="Z300" s="188"/>
      <c r="AA300" s="188">
        <v>0.5</v>
      </c>
      <c r="AB300" s="51" t="s">
        <v>39</v>
      </c>
      <c r="AC300" s="46" t="s">
        <v>39</v>
      </c>
      <c r="AD300" s="17"/>
      <c r="AE300" s="17" t="s">
        <v>949</v>
      </c>
    </row>
    <row r="301" s="2" customFormat="1" ht="24" hidden="1" customHeight="1" spans="1:31">
      <c r="A301" s="13">
        <v>299</v>
      </c>
      <c r="B301" s="187" t="s">
        <v>1017</v>
      </c>
      <c r="C301" s="15" t="s">
        <v>874</v>
      </c>
      <c r="D301" s="15" t="s">
        <v>945</v>
      </c>
      <c r="E301" s="15" t="s">
        <v>946</v>
      </c>
      <c r="F301" s="13" t="s">
        <v>81</v>
      </c>
      <c r="G301" s="16" t="s">
        <v>48</v>
      </c>
      <c r="H301" s="18" t="s">
        <v>39</v>
      </c>
      <c r="I301" s="43" t="s">
        <v>958</v>
      </c>
      <c r="J301" s="18" t="s">
        <v>959</v>
      </c>
      <c r="K301" s="18"/>
      <c r="L301" s="20"/>
      <c r="M301" s="20" t="s">
        <v>39</v>
      </c>
      <c r="N301" s="21">
        <v>759428.571428571</v>
      </c>
      <c r="O301" s="191">
        <v>0.13</v>
      </c>
      <c r="P301" s="191">
        <v>0.01</v>
      </c>
      <c r="Q301" s="190" t="s">
        <v>39</v>
      </c>
      <c r="R301" s="191">
        <v>0.02</v>
      </c>
      <c r="S301" s="191">
        <v>0.01</v>
      </c>
      <c r="T301" s="191">
        <v>0.01</v>
      </c>
      <c r="U301" s="190" t="s">
        <v>39</v>
      </c>
      <c r="V301" s="192"/>
      <c r="W301" s="192"/>
      <c r="X301" s="190" t="s">
        <v>39</v>
      </c>
      <c r="Y301" s="188"/>
      <c r="Z301" s="188"/>
      <c r="AA301" s="188">
        <v>0.5</v>
      </c>
      <c r="AB301" s="51" t="s">
        <v>39</v>
      </c>
      <c r="AC301" s="46" t="s">
        <v>39</v>
      </c>
      <c r="AD301" s="17"/>
      <c r="AE301" s="17" t="s">
        <v>949</v>
      </c>
    </row>
    <row r="302" s="2" customFormat="1" ht="24" hidden="1" customHeight="1" spans="1:31">
      <c r="A302" s="13">
        <v>300</v>
      </c>
      <c r="B302" s="187" t="s">
        <v>1019</v>
      </c>
      <c r="C302" s="15" t="s">
        <v>874</v>
      </c>
      <c r="D302" s="15" t="s">
        <v>945</v>
      </c>
      <c r="E302" s="15" t="s">
        <v>946</v>
      </c>
      <c r="F302" s="13" t="s">
        <v>81</v>
      </c>
      <c r="G302" s="16" t="s">
        <v>48</v>
      </c>
      <c r="H302" s="18" t="s">
        <v>39</v>
      </c>
      <c r="I302" s="43" t="s">
        <v>522</v>
      </c>
      <c r="J302" s="18" t="s">
        <v>961</v>
      </c>
      <c r="K302" s="18"/>
      <c r="L302" s="20"/>
      <c r="M302" s="20" t="s">
        <v>39</v>
      </c>
      <c r="N302" s="21">
        <v>807428.571428571</v>
      </c>
      <c r="O302" s="191">
        <v>0.13</v>
      </c>
      <c r="P302" s="191">
        <v>0.01</v>
      </c>
      <c r="Q302" s="190" t="s">
        <v>39</v>
      </c>
      <c r="R302" s="191">
        <v>0.02</v>
      </c>
      <c r="S302" s="191">
        <v>0.01</v>
      </c>
      <c r="T302" s="191">
        <v>0.01</v>
      </c>
      <c r="U302" s="190" t="s">
        <v>39</v>
      </c>
      <c r="V302" s="192"/>
      <c r="W302" s="192"/>
      <c r="X302" s="190" t="s">
        <v>39</v>
      </c>
      <c r="Y302" s="188"/>
      <c r="Z302" s="188"/>
      <c r="AA302" s="188">
        <v>0.5</v>
      </c>
      <c r="AB302" s="51" t="s">
        <v>39</v>
      </c>
      <c r="AC302" s="46" t="s">
        <v>39</v>
      </c>
      <c r="AD302" s="17"/>
      <c r="AE302" s="17" t="s">
        <v>949</v>
      </c>
    </row>
    <row r="303" s="2" customFormat="1" ht="24" hidden="1" customHeight="1" spans="1:31">
      <c r="A303" s="13">
        <v>301</v>
      </c>
      <c r="B303" s="187" t="s">
        <v>1021</v>
      </c>
      <c r="C303" s="15" t="s">
        <v>874</v>
      </c>
      <c r="D303" s="15" t="s">
        <v>945</v>
      </c>
      <c r="E303" s="15" t="s">
        <v>946</v>
      </c>
      <c r="F303" s="13" t="s">
        <v>81</v>
      </c>
      <c r="G303" s="16" t="s">
        <v>48</v>
      </c>
      <c r="H303" s="18" t="s">
        <v>39</v>
      </c>
      <c r="I303" s="43" t="s">
        <v>186</v>
      </c>
      <c r="J303" s="18" t="s">
        <v>963</v>
      </c>
      <c r="K303" s="18"/>
      <c r="L303" s="20"/>
      <c r="M303" s="20" t="s">
        <v>39</v>
      </c>
      <c r="N303" s="21">
        <v>1014857.14285714</v>
      </c>
      <c r="O303" s="191">
        <v>0.12</v>
      </c>
      <c r="P303" s="191">
        <v>0.01</v>
      </c>
      <c r="Q303" s="190" t="s">
        <v>39</v>
      </c>
      <c r="R303" s="191">
        <v>0.02</v>
      </c>
      <c r="S303" s="191">
        <v>0.01</v>
      </c>
      <c r="T303" s="191">
        <v>0.01</v>
      </c>
      <c r="U303" s="190" t="s">
        <v>39</v>
      </c>
      <c r="V303" s="192"/>
      <c r="W303" s="192"/>
      <c r="X303" s="190" t="s">
        <v>39</v>
      </c>
      <c r="Y303" s="188"/>
      <c r="Z303" s="188"/>
      <c r="AA303" s="188">
        <v>0.5</v>
      </c>
      <c r="AB303" s="51" t="s">
        <v>39</v>
      </c>
      <c r="AC303" s="46" t="s">
        <v>39</v>
      </c>
      <c r="AD303" s="17"/>
      <c r="AE303" s="17" t="s">
        <v>949</v>
      </c>
    </row>
    <row r="304" s="2" customFormat="1" ht="24" hidden="1" customHeight="1" spans="1:31">
      <c r="A304" s="13">
        <v>302</v>
      </c>
      <c r="B304" s="187" t="s">
        <v>1024</v>
      </c>
      <c r="C304" s="15" t="s">
        <v>874</v>
      </c>
      <c r="D304" s="15" t="s">
        <v>945</v>
      </c>
      <c r="E304" s="15" t="s">
        <v>946</v>
      </c>
      <c r="F304" s="13" t="s">
        <v>81</v>
      </c>
      <c r="G304" s="16" t="s">
        <v>48</v>
      </c>
      <c r="H304" s="18" t="s">
        <v>39</v>
      </c>
      <c r="I304" s="43" t="s">
        <v>965</v>
      </c>
      <c r="J304" s="18" t="s">
        <v>966</v>
      </c>
      <c r="K304" s="18"/>
      <c r="L304" s="20"/>
      <c r="M304" s="20" t="s">
        <v>39</v>
      </c>
      <c r="N304" s="21">
        <v>750857.142857143</v>
      </c>
      <c r="O304" s="191">
        <v>0.15</v>
      </c>
      <c r="P304" s="191">
        <v>0.01</v>
      </c>
      <c r="Q304" s="190" t="s">
        <v>39</v>
      </c>
      <c r="R304" s="191">
        <v>0.02</v>
      </c>
      <c r="S304" s="191">
        <v>0.01</v>
      </c>
      <c r="T304" s="191">
        <v>0.01</v>
      </c>
      <c r="U304" s="190" t="s">
        <v>39</v>
      </c>
      <c r="V304" s="192"/>
      <c r="W304" s="192"/>
      <c r="X304" s="190" t="s">
        <v>39</v>
      </c>
      <c r="Y304" s="188"/>
      <c r="Z304" s="188"/>
      <c r="AA304" s="188">
        <v>0.5</v>
      </c>
      <c r="AB304" s="51" t="s">
        <v>39</v>
      </c>
      <c r="AC304" s="46" t="s">
        <v>39</v>
      </c>
      <c r="AD304" s="17"/>
      <c r="AE304" s="17" t="s">
        <v>949</v>
      </c>
    </row>
    <row r="305" s="2" customFormat="1" ht="24" hidden="1" customHeight="1" spans="1:31">
      <c r="A305" s="13">
        <v>303</v>
      </c>
      <c r="B305" s="187" t="s">
        <v>1028</v>
      </c>
      <c r="C305" s="15" t="s">
        <v>874</v>
      </c>
      <c r="D305" s="15" t="s">
        <v>945</v>
      </c>
      <c r="E305" s="15" t="s">
        <v>946</v>
      </c>
      <c r="F305" s="13" t="s">
        <v>81</v>
      </c>
      <c r="G305" s="16" t="s">
        <v>48</v>
      </c>
      <c r="H305" s="18" t="s">
        <v>39</v>
      </c>
      <c r="I305" s="43" t="s">
        <v>485</v>
      </c>
      <c r="J305" s="18" t="s">
        <v>968</v>
      </c>
      <c r="K305" s="18"/>
      <c r="L305" s="20"/>
      <c r="M305" s="20" t="s">
        <v>39</v>
      </c>
      <c r="N305" s="21">
        <v>992571.428571428</v>
      </c>
      <c r="O305" s="191">
        <v>0.11</v>
      </c>
      <c r="P305" s="191">
        <v>0.01</v>
      </c>
      <c r="Q305" s="190" t="s">
        <v>39</v>
      </c>
      <c r="R305" s="191">
        <v>0.02</v>
      </c>
      <c r="S305" s="191">
        <v>0.01</v>
      </c>
      <c r="T305" s="191">
        <v>0.01</v>
      </c>
      <c r="U305" s="190" t="s">
        <v>39</v>
      </c>
      <c r="V305" s="192"/>
      <c r="W305" s="192"/>
      <c r="X305" s="190" t="s">
        <v>39</v>
      </c>
      <c r="Y305" s="188"/>
      <c r="Z305" s="188"/>
      <c r="AA305" s="188">
        <v>0.5</v>
      </c>
      <c r="AB305" s="51" t="s">
        <v>39</v>
      </c>
      <c r="AC305" s="46" t="s">
        <v>39</v>
      </c>
      <c r="AD305" s="17"/>
      <c r="AE305" s="17" t="s">
        <v>949</v>
      </c>
    </row>
    <row r="306" s="2" customFormat="1" ht="24" hidden="1" customHeight="1" spans="1:31">
      <c r="A306" s="13">
        <v>304</v>
      </c>
      <c r="B306" s="187" t="s">
        <v>1033</v>
      </c>
      <c r="C306" s="15" t="s">
        <v>874</v>
      </c>
      <c r="D306" s="15" t="s">
        <v>945</v>
      </c>
      <c r="E306" s="15" t="s">
        <v>946</v>
      </c>
      <c r="F306" s="13" t="s">
        <v>81</v>
      </c>
      <c r="G306" s="16" t="s">
        <v>48</v>
      </c>
      <c r="H306" s="18" t="s">
        <v>39</v>
      </c>
      <c r="I306" s="43" t="s">
        <v>240</v>
      </c>
      <c r="J306" s="18" t="s">
        <v>970</v>
      </c>
      <c r="K306" s="18"/>
      <c r="L306" s="20"/>
      <c r="M306" s="20" t="s">
        <v>39</v>
      </c>
      <c r="N306" s="21">
        <v>480000</v>
      </c>
      <c r="O306" s="191">
        <v>0.06</v>
      </c>
      <c r="P306" s="191">
        <v>0.01</v>
      </c>
      <c r="Q306" s="190" t="s">
        <v>39</v>
      </c>
      <c r="R306" s="191">
        <v>0.02</v>
      </c>
      <c r="S306" s="191">
        <v>0.01</v>
      </c>
      <c r="T306" s="191">
        <v>0.01</v>
      </c>
      <c r="U306" s="190" t="s">
        <v>39</v>
      </c>
      <c r="V306" s="188">
        <v>0.04</v>
      </c>
      <c r="W306" s="191">
        <v>0.01</v>
      </c>
      <c r="X306" s="190" t="s">
        <v>39</v>
      </c>
      <c r="Y306" s="188"/>
      <c r="Z306" s="188"/>
      <c r="AA306" s="188">
        <v>0.5</v>
      </c>
      <c r="AB306" s="51" t="s">
        <v>39</v>
      </c>
      <c r="AC306" s="46" t="s">
        <v>39</v>
      </c>
      <c r="AD306" s="17"/>
      <c r="AE306" s="17" t="s">
        <v>949</v>
      </c>
    </row>
    <row r="307" s="2" customFormat="1" ht="24" hidden="1" customHeight="1" spans="1:31">
      <c r="A307" s="13">
        <v>305</v>
      </c>
      <c r="B307" s="187" t="s">
        <v>1035</v>
      </c>
      <c r="C307" s="15" t="s">
        <v>874</v>
      </c>
      <c r="D307" s="15" t="s">
        <v>945</v>
      </c>
      <c r="E307" s="15" t="s">
        <v>946</v>
      </c>
      <c r="F307" s="13" t="s">
        <v>81</v>
      </c>
      <c r="G307" s="16" t="s">
        <v>48</v>
      </c>
      <c r="H307" s="18" t="s">
        <v>39</v>
      </c>
      <c r="I307" s="43" t="s">
        <v>818</v>
      </c>
      <c r="J307" s="18" t="s">
        <v>972</v>
      </c>
      <c r="K307" s="18"/>
      <c r="L307" s="20"/>
      <c r="M307" s="20" t="s">
        <v>39</v>
      </c>
      <c r="N307" s="21">
        <v>510000</v>
      </c>
      <c r="O307" s="191">
        <v>0.14</v>
      </c>
      <c r="P307" s="191">
        <v>0.01</v>
      </c>
      <c r="Q307" s="190" t="s">
        <v>39</v>
      </c>
      <c r="R307" s="191">
        <v>0.02</v>
      </c>
      <c r="S307" s="191">
        <v>0.01</v>
      </c>
      <c r="T307" s="191">
        <v>0.01</v>
      </c>
      <c r="U307" s="190" t="s">
        <v>39</v>
      </c>
      <c r="V307" s="192"/>
      <c r="W307" s="192"/>
      <c r="X307" s="190" t="s">
        <v>39</v>
      </c>
      <c r="Y307" s="188"/>
      <c r="Z307" s="188"/>
      <c r="AA307" s="188">
        <v>0.5</v>
      </c>
      <c r="AB307" s="51" t="s">
        <v>39</v>
      </c>
      <c r="AC307" s="46" t="s">
        <v>39</v>
      </c>
      <c r="AD307" s="17"/>
      <c r="AE307" s="17" t="s">
        <v>949</v>
      </c>
    </row>
    <row r="308" s="2" customFormat="1" ht="24" hidden="1" customHeight="1" spans="1:31">
      <c r="A308" s="13">
        <v>306</v>
      </c>
      <c r="B308" s="187" t="s">
        <v>1038</v>
      </c>
      <c r="C308" s="15" t="s">
        <v>874</v>
      </c>
      <c r="D308" s="15" t="s">
        <v>945</v>
      </c>
      <c r="E308" s="15" t="s">
        <v>946</v>
      </c>
      <c r="F308" s="13" t="s">
        <v>81</v>
      </c>
      <c r="G308" s="16" t="s">
        <v>48</v>
      </c>
      <c r="H308" s="18" t="s">
        <v>39</v>
      </c>
      <c r="I308" s="43" t="s">
        <v>888</v>
      </c>
      <c r="J308" s="18" t="s">
        <v>974</v>
      </c>
      <c r="K308" s="18"/>
      <c r="L308" s="20"/>
      <c r="M308" s="20" t="s">
        <v>39</v>
      </c>
      <c r="N308" s="21">
        <v>396000</v>
      </c>
      <c r="O308" s="191">
        <v>0.15</v>
      </c>
      <c r="P308" s="191">
        <v>0.01</v>
      </c>
      <c r="Q308" s="190" t="s">
        <v>39</v>
      </c>
      <c r="R308" s="191">
        <v>0.02</v>
      </c>
      <c r="S308" s="191">
        <v>0.01</v>
      </c>
      <c r="T308" s="191">
        <v>0.01</v>
      </c>
      <c r="U308" s="190" t="s">
        <v>39</v>
      </c>
      <c r="V308" s="192"/>
      <c r="W308" s="192"/>
      <c r="X308" s="190" t="s">
        <v>39</v>
      </c>
      <c r="Y308" s="188"/>
      <c r="Z308" s="188"/>
      <c r="AA308" s="188">
        <v>0.5</v>
      </c>
      <c r="AB308" s="51" t="s">
        <v>39</v>
      </c>
      <c r="AC308" s="46" t="s">
        <v>39</v>
      </c>
      <c r="AD308" s="17"/>
      <c r="AE308" s="17" t="s">
        <v>949</v>
      </c>
    </row>
    <row r="309" s="2" customFormat="1" ht="24" hidden="1" customHeight="1" spans="1:31">
      <c r="A309" s="13">
        <v>307</v>
      </c>
      <c r="B309" s="187" t="s">
        <v>1041</v>
      </c>
      <c r="C309" s="15" t="s">
        <v>874</v>
      </c>
      <c r="D309" s="15" t="s">
        <v>945</v>
      </c>
      <c r="E309" s="15" t="s">
        <v>946</v>
      </c>
      <c r="F309" s="13" t="s">
        <v>81</v>
      </c>
      <c r="G309" s="16" t="s">
        <v>48</v>
      </c>
      <c r="H309" s="18" t="s">
        <v>39</v>
      </c>
      <c r="I309" s="43" t="s">
        <v>709</v>
      </c>
      <c r="J309" s="18" t="s">
        <v>976</v>
      </c>
      <c r="K309" s="18"/>
      <c r="L309" s="20"/>
      <c r="M309" s="20" t="s">
        <v>39</v>
      </c>
      <c r="N309" s="21">
        <v>466285.714285714</v>
      </c>
      <c r="O309" s="191">
        <v>0.15</v>
      </c>
      <c r="P309" s="191">
        <v>0.01</v>
      </c>
      <c r="Q309" s="190" t="s">
        <v>39</v>
      </c>
      <c r="R309" s="191">
        <v>0.02</v>
      </c>
      <c r="S309" s="191">
        <v>0.01</v>
      </c>
      <c r="T309" s="191">
        <v>0.01</v>
      </c>
      <c r="U309" s="190" t="s">
        <v>39</v>
      </c>
      <c r="V309" s="192"/>
      <c r="W309" s="192"/>
      <c r="X309" s="190" t="s">
        <v>39</v>
      </c>
      <c r="Y309" s="188"/>
      <c r="Z309" s="188"/>
      <c r="AA309" s="188">
        <v>0.5</v>
      </c>
      <c r="AB309" s="51" t="s">
        <v>39</v>
      </c>
      <c r="AC309" s="46" t="s">
        <v>39</v>
      </c>
      <c r="AD309" s="17"/>
      <c r="AE309" s="17" t="s">
        <v>949</v>
      </c>
    </row>
    <row r="310" s="2" customFormat="1" ht="24" hidden="1" customHeight="1" spans="1:31">
      <c r="A310" s="13">
        <v>308</v>
      </c>
      <c r="B310" s="187" t="s">
        <v>1044</v>
      </c>
      <c r="C310" s="15" t="s">
        <v>874</v>
      </c>
      <c r="D310" s="15" t="s">
        <v>945</v>
      </c>
      <c r="E310" s="15" t="s">
        <v>946</v>
      </c>
      <c r="F310" s="13" t="s">
        <v>81</v>
      </c>
      <c r="G310" s="16" t="s">
        <v>48</v>
      </c>
      <c r="H310" s="18" t="s">
        <v>39</v>
      </c>
      <c r="I310" s="43" t="s">
        <v>978</v>
      </c>
      <c r="J310" s="18" t="s">
        <v>979</v>
      </c>
      <c r="K310" s="18"/>
      <c r="L310" s="20"/>
      <c r="M310" s="20" t="s">
        <v>39</v>
      </c>
      <c r="N310" s="21">
        <v>690857.142857143</v>
      </c>
      <c r="O310" s="191">
        <v>0.13</v>
      </c>
      <c r="P310" s="191">
        <v>0.01</v>
      </c>
      <c r="Q310" s="190" t="s">
        <v>39</v>
      </c>
      <c r="R310" s="191">
        <v>0.02</v>
      </c>
      <c r="S310" s="191">
        <v>0.01</v>
      </c>
      <c r="T310" s="191">
        <v>0.01</v>
      </c>
      <c r="U310" s="190" t="s">
        <v>39</v>
      </c>
      <c r="V310" s="192"/>
      <c r="W310" s="192"/>
      <c r="X310" s="190" t="s">
        <v>39</v>
      </c>
      <c r="Y310" s="188"/>
      <c r="Z310" s="188"/>
      <c r="AA310" s="188">
        <v>0.5</v>
      </c>
      <c r="AB310" s="51" t="s">
        <v>39</v>
      </c>
      <c r="AC310" s="46" t="s">
        <v>39</v>
      </c>
      <c r="AD310" s="17"/>
      <c r="AE310" s="17" t="s">
        <v>949</v>
      </c>
    </row>
    <row r="311" s="2" customFormat="1" ht="24" hidden="1" customHeight="1" spans="1:31">
      <c r="A311" s="13">
        <v>309</v>
      </c>
      <c r="B311" s="187" t="s">
        <v>1047</v>
      </c>
      <c r="C311" s="15" t="s">
        <v>874</v>
      </c>
      <c r="D311" s="15" t="s">
        <v>945</v>
      </c>
      <c r="E311" s="15" t="s">
        <v>946</v>
      </c>
      <c r="F311" s="13" t="s">
        <v>81</v>
      </c>
      <c r="G311" s="16" t="s">
        <v>48</v>
      </c>
      <c r="H311" s="18" t="s">
        <v>39</v>
      </c>
      <c r="I311" s="43" t="s">
        <v>488</v>
      </c>
      <c r="J311" s="18" t="s">
        <v>981</v>
      </c>
      <c r="K311" s="18"/>
      <c r="L311" s="20"/>
      <c r="M311" s="20" t="s">
        <v>39</v>
      </c>
      <c r="N311" s="21">
        <v>459428.571428571</v>
      </c>
      <c r="O311" s="191">
        <v>0.07</v>
      </c>
      <c r="P311" s="191">
        <v>0.01</v>
      </c>
      <c r="Q311" s="190" t="s">
        <v>39</v>
      </c>
      <c r="R311" s="190" t="s">
        <v>39</v>
      </c>
      <c r="S311" s="191">
        <v>0.01</v>
      </c>
      <c r="T311" s="191">
        <v>0.01</v>
      </c>
      <c r="U311" s="190" t="s">
        <v>39</v>
      </c>
      <c r="V311" s="192"/>
      <c r="W311" s="192"/>
      <c r="X311" s="190" t="s">
        <v>39</v>
      </c>
      <c r="Y311" s="188"/>
      <c r="Z311" s="188"/>
      <c r="AA311" s="188">
        <v>0.5</v>
      </c>
      <c r="AB311" s="51" t="s">
        <v>39</v>
      </c>
      <c r="AC311" s="46" t="s">
        <v>39</v>
      </c>
      <c r="AD311" s="17"/>
      <c r="AE311" s="17" t="s">
        <v>949</v>
      </c>
    </row>
    <row r="312" s="2" customFormat="1" ht="12" hidden="1" customHeight="1" spans="1:31">
      <c r="A312" s="13">
        <v>310</v>
      </c>
      <c r="B312" s="187" t="s">
        <v>1051</v>
      </c>
      <c r="C312" s="15" t="s">
        <v>874</v>
      </c>
      <c r="D312" s="15" t="s">
        <v>984</v>
      </c>
      <c r="E312" s="15" t="s">
        <v>985</v>
      </c>
      <c r="F312" s="13" t="s">
        <v>37</v>
      </c>
      <c r="G312" s="16" t="s">
        <v>48</v>
      </c>
      <c r="H312" s="16" t="s">
        <v>39</v>
      </c>
      <c r="I312" s="43" t="s">
        <v>39</v>
      </c>
      <c r="J312" s="16" t="s">
        <v>39</v>
      </c>
      <c r="K312" s="16"/>
      <c r="L312" s="20"/>
      <c r="M312" s="20" t="s">
        <v>39</v>
      </c>
      <c r="N312" s="21" t="s">
        <v>39</v>
      </c>
      <c r="O312" s="188" t="s">
        <v>39</v>
      </c>
      <c r="P312" s="188" t="s">
        <v>39</v>
      </c>
      <c r="Q312" s="188" t="s">
        <v>39</v>
      </c>
      <c r="R312" s="188" t="s">
        <v>39</v>
      </c>
      <c r="S312" s="188" t="s">
        <v>39</v>
      </c>
      <c r="T312" s="188" t="s">
        <v>39</v>
      </c>
      <c r="U312" s="188" t="s">
        <v>39</v>
      </c>
      <c r="V312" s="188" t="s">
        <v>39</v>
      </c>
      <c r="W312" s="45" t="s">
        <v>39</v>
      </c>
      <c r="X312" s="188" t="s">
        <v>39</v>
      </c>
      <c r="Y312" s="45"/>
      <c r="Z312" s="45"/>
      <c r="AA312" s="45" t="s">
        <v>39</v>
      </c>
      <c r="AB312" s="46">
        <v>0.045</v>
      </c>
      <c r="AC312" s="46" t="s">
        <v>39</v>
      </c>
      <c r="AD312" s="17"/>
      <c r="AE312" s="17"/>
    </row>
    <row r="313" s="2" customFormat="1" ht="24" hidden="1" customHeight="1" spans="1:31">
      <c r="A313" s="13">
        <v>311</v>
      </c>
      <c r="B313" s="187" t="s">
        <v>1054</v>
      </c>
      <c r="C313" s="15" t="s">
        <v>874</v>
      </c>
      <c r="D313" s="15" t="s">
        <v>984</v>
      </c>
      <c r="E313" s="15" t="s">
        <v>985</v>
      </c>
      <c r="F313" s="13" t="s">
        <v>81</v>
      </c>
      <c r="G313" s="16" t="s">
        <v>48</v>
      </c>
      <c r="H313" s="18" t="s">
        <v>39</v>
      </c>
      <c r="I313" s="43" t="s">
        <v>987</v>
      </c>
      <c r="J313" s="18" t="s">
        <v>988</v>
      </c>
      <c r="K313" s="18"/>
      <c r="L313" s="20"/>
      <c r="M313" s="20" t="s">
        <v>39</v>
      </c>
      <c r="N313" s="21">
        <v>1140000</v>
      </c>
      <c r="O313" s="191">
        <v>0.17</v>
      </c>
      <c r="P313" s="190" t="s">
        <v>39</v>
      </c>
      <c r="Q313" s="190" t="s">
        <v>39</v>
      </c>
      <c r="R313" s="190" t="s">
        <v>39</v>
      </c>
      <c r="S313" s="190" t="s">
        <v>39</v>
      </c>
      <c r="T313" s="190" t="s">
        <v>39</v>
      </c>
      <c r="U313" s="190" t="s">
        <v>39</v>
      </c>
      <c r="V313" s="192"/>
      <c r="W313" s="192"/>
      <c r="X313" s="190" t="s">
        <v>39</v>
      </c>
      <c r="Y313" s="188"/>
      <c r="Z313" s="188"/>
      <c r="AA313" s="188">
        <v>0.4</v>
      </c>
      <c r="AB313" s="51" t="s">
        <v>39</v>
      </c>
      <c r="AC313" s="46" t="s">
        <v>39</v>
      </c>
      <c r="AD313" s="17"/>
      <c r="AE313" s="17" t="s">
        <v>949</v>
      </c>
    </row>
    <row r="314" s="2" customFormat="1" ht="24" hidden="1" customHeight="1" spans="1:31">
      <c r="A314" s="13">
        <v>312</v>
      </c>
      <c r="B314" s="187" t="s">
        <v>1057</v>
      </c>
      <c r="C314" s="15" t="s">
        <v>874</v>
      </c>
      <c r="D314" s="15" t="s">
        <v>984</v>
      </c>
      <c r="E314" s="15" t="s">
        <v>985</v>
      </c>
      <c r="F314" s="13" t="s">
        <v>81</v>
      </c>
      <c r="G314" s="16" t="s">
        <v>48</v>
      </c>
      <c r="H314" s="18" t="s">
        <v>39</v>
      </c>
      <c r="I314" s="43" t="s">
        <v>991</v>
      </c>
      <c r="J314" s="18" t="s">
        <v>992</v>
      </c>
      <c r="K314" s="18"/>
      <c r="L314" s="20"/>
      <c r="M314" s="20" t="s">
        <v>39</v>
      </c>
      <c r="N314" s="21">
        <v>1106000</v>
      </c>
      <c r="O314" s="191">
        <v>0.17</v>
      </c>
      <c r="P314" s="190" t="s">
        <v>39</v>
      </c>
      <c r="Q314" s="190" t="s">
        <v>39</v>
      </c>
      <c r="R314" s="190" t="s">
        <v>39</v>
      </c>
      <c r="S314" s="190" t="s">
        <v>39</v>
      </c>
      <c r="T314" s="190" t="s">
        <v>39</v>
      </c>
      <c r="U314" s="190" t="s">
        <v>39</v>
      </c>
      <c r="V314" s="192"/>
      <c r="W314" s="192"/>
      <c r="X314" s="190" t="s">
        <v>39</v>
      </c>
      <c r="Y314" s="188"/>
      <c r="Z314" s="188"/>
      <c r="AA314" s="188">
        <v>0.4</v>
      </c>
      <c r="AB314" s="51" t="s">
        <v>39</v>
      </c>
      <c r="AC314" s="46" t="s">
        <v>39</v>
      </c>
      <c r="AD314" s="17"/>
      <c r="AE314" s="17" t="s">
        <v>949</v>
      </c>
    </row>
    <row r="315" s="2" customFormat="1" ht="24" hidden="1" customHeight="1" spans="1:31">
      <c r="A315" s="13">
        <v>313</v>
      </c>
      <c r="B315" s="187" t="s">
        <v>1060</v>
      </c>
      <c r="C315" s="15" t="s">
        <v>874</v>
      </c>
      <c r="D315" s="15" t="s">
        <v>984</v>
      </c>
      <c r="E315" s="15" t="s">
        <v>985</v>
      </c>
      <c r="F315" s="13" t="s">
        <v>81</v>
      </c>
      <c r="G315" s="16" t="s">
        <v>48</v>
      </c>
      <c r="H315" s="18" t="s">
        <v>39</v>
      </c>
      <c r="I315" s="43" t="s">
        <v>888</v>
      </c>
      <c r="J315" s="18" t="s">
        <v>994</v>
      </c>
      <c r="K315" s="18"/>
      <c r="L315" s="20"/>
      <c r="M315" s="20" t="s">
        <v>39</v>
      </c>
      <c r="N315" s="21">
        <v>680000</v>
      </c>
      <c r="O315" s="191">
        <v>0.2</v>
      </c>
      <c r="P315" s="190" t="s">
        <v>39</v>
      </c>
      <c r="Q315" s="190" t="s">
        <v>39</v>
      </c>
      <c r="R315" s="190" t="s">
        <v>39</v>
      </c>
      <c r="S315" s="190" t="s">
        <v>39</v>
      </c>
      <c r="T315" s="190" t="s">
        <v>39</v>
      </c>
      <c r="U315" s="190" t="s">
        <v>39</v>
      </c>
      <c r="V315" s="192"/>
      <c r="W315" s="192"/>
      <c r="X315" s="190" t="s">
        <v>39</v>
      </c>
      <c r="Y315" s="188"/>
      <c r="Z315" s="188"/>
      <c r="AA315" s="188">
        <v>0.4</v>
      </c>
      <c r="AB315" s="51" t="s">
        <v>39</v>
      </c>
      <c r="AC315" s="46" t="s">
        <v>39</v>
      </c>
      <c r="AD315" s="17"/>
      <c r="AE315" s="17" t="s">
        <v>949</v>
      </c>
    </row>
    <row r="316" s="2" customFormat="1" ht="24" hidden="1" customHeight="1" spans="1:31">
      <c r="A316" s="13">
        <v>314</v>
      </c>
      <c r="B316" s="187" t="s">
        <v>1064</v>
      </c>
      <c r="C316" s="15" t="s">
        <v>874</v>
      </c>
      <c r="D316" s="15" t="s">
        <v>984</v>
      </c>
      <c r="E316" s="15" t="s">
        <v>985</v>
      </c>
      <c r="F316" s="13" t="s">
        <v>81</v>
      </c>
      <c r="G316" s="16" t="s">
        <v>48</v>
      </c>
      <c r="H316" s="18" t="s">
        <v>39</v>
      </c>
      <c r="I316" s="43" t="s">
        <v>319</v>
      </c>
      <c r="J316" s="18" t="s">
        <v>996</v>
      </c>
      <c r="K316" s="18"/>
      <c r="L316" s="20"/>
      <c r="M316" s="20" t="s">
        <v>39</v>
      </c>
      <c r="N316" s="21">
        <v>780000</v>
      </c>
      <c r="O316" s="191">
        <v>0.2</v>
      </c>
      <c r="P316" s="190" t="s">
        <v>39</v>
      </c>
      <c r="Q316" s="190" t="s">
        <v>39</v>
      </c>
      <c r="R316" s="190" t="s">
        <v>39</v>
      </c>
      <c r="S316" s="190" t="s">
        <v>39</v>
      </c>
      <c r="T316" s="190" t="s">
        <v>39</v>
      </c>
      <c r="U316" s="190" t="s">
        <v>39</v>
      </c>
      <c r="V316" s="192"/>
      <c r="W316" s="192"/>
      <c r="X316" s="190" t="s">
        <v>39</v>
      </c>
      <c r="Y316" s="188"/>
      <c r="Z316" s="188"/>
      <c r="AA316" s="188">
        <v>0.4</v>
      </c>
      <c r="AB316" s="51" t="s">
        <v>39</v>
      </c>
      <c r="AC316" s="46" t="s">
        <v>39</v>
      </c>
      <c r="AD316" s="17"/>
      <c r="AE316" s="17" t="s">
        <v>949</v>
      </c>
    </row>
    <row r="317" s="2" customFormat="1" ht="24" hidden="1" customHeight="1" spans="1:31">
      <c r="A317" s="13">
        <v>315</v>
      </c>
      <c r="B317" s="187" t="s">
        <v>1066</v>
      </c>
      <c r="C317" s="15" t="s">
        <v>874</v>
      </c>
      <c r="D317" s="15" t="s">
        <v>984</v>
      </c>
      <c r="E317" s="15" t="s">
        <v>985</v>
      </c>
      <c r="F317" s="13" t="s">
        <v>81</v>
      </c>
      <c r="G317" s="16" t="s">
        <v>48</v>
      </c>
      <c r="H317" s="18" t="s">
        <v>39</v>
      </c>
      <c r="I317" s="43" t="s">
        <v>998</v>
      </c>
      <c r="J317" s="18" t="s">
        <v>999</v>
      </c>
      <c r="K317" s="18"/>
      <c r="L317" s="20"/>
      <c r="M317" s="20" t="s">
        <v>39</v>
      </c>
      <c r="N317" s="21">
        <v>700000</v>
      </c>
      <c r="O317" s="191">
        <v>0.2</v>
      </c>
      <c r="P317" s="190" t="s">
        <v>39</v>
      </c>
      <c r="Q317" s="190" t="s">
        <v>39</v>
      </c>
      <c r="R317" s="190" t="s">
        <v>39</v>
      </c>
      <c r="S317" s="190" t="s">
        <v>39</v>
      </c>
      <c r="T317" s="190" t="s">
        <v>39</v>
      </c>
      <c r="U317" s="190" t="s">
        <v>39</v>
      </c>
      <c r="V317" s="192"/>
      <c r="W317" s="192"/>
      <c r="X317" s="190" t="s">
        <v>39</v>
      </c>
      <c r="Y317" s="188"/>
      <c r="Z317" s="188"/>
      <c r="AA317" s="188">
        <v>0.4</v>
      </c>
      <c r="AB317" s="51" t="s">
        <v>39</v>
      </c>
      <c r="AC317" s="46" t="s">
        <v>39</v>
      </c>
      <c r="AD317" s="17"/>
      <c r="AE317" s="17" t="s">
        <v>949</v>
      </c>
    </row>
    <row r="318" s="2" customFormat="1" ht="24" hidden="1" customHeight="1" spans="1:31">
      <c r="A318" s="13">
        <v>316</v>
      </c>
      <c r="B318" s="187" t="s">
        <v>1068</v>
      </c>
      <c r="C318" s="15" t="s">
        <v>874</v>
      </c>
      <c r="D318" s="15" t="s">
        <v>984</v>
      </c>
      <c r="E318" s="15" t="s">
        <v>985</v>
      </c>
      <c r="F318" s="13" t="s">
        <v>81</v>
      </c>
      <c r="G318" s="16" t="s">
        <v>48</v>
      </c>
      <c r="H318" s="18" t="s">
        <v>39</v>
      </c>
      <c r="I318" s="43" t="s">
        <v>1001</v>
      </c>
      <c r="J318" s="18" t="s">
        <v>1002</v>
      </c>
      <c r="K318" s="18"/>
      <c r="L318" s="20"/>
      <c r="M318" s="20" t="s">
        <v>39</v>
      </c>
      <c r="N318" s="21">
        <v>620000</v>
      </c>
      <c r="O318" s="191">
        <v>0.17</v>
      </c>
      <c r="P318" s="190" t="s">
        <v>39</v>
      </c>
      <c r="Q318" s="190" t="s">
        <v>39</v>
      </c>
      <c r="R318" s="190" t="s">
        <v>39</v>
      </c>
      <c r="S318" s="190" t="s">
        <v>39</v>
      </c>
      <c r="T318" s="190" t="s">
        <v>39</v>
      </c>
      <c r="U318" s="190" t="s">
        <v>39</v>
      </c>
      <c r="V318" s="192"/>
      <c r="W318" s="192"/>
      <c r="X318" s="190" t="s">
        <v>39</v>
      </c>
      <c r="Y318" s="188"/>
      <c r="Z318" s="188"/>
      <c r="AA318" s="188">
        <v>0.4</v>
      </c>
      <c r="AB318" s="51" t="s">
        <v>39</v>
      </c>
      <c r="AC318" s="46" t="s">
        <v>39</v>
      </c>
      <c r="AD318" s="17"/>
      <c r="AE318" s="17" t="s">
        <v>949</v>
      </c>
    </row>
    <row r="319" s="2" customFormat="1" ht="24" hidden="1" customHeight="1" spans="1:31">
      <c r="A319" s="13">
        <v>317</v>
      </c>
      <c r="B319" s="187" t="s">
        <v>1070</v>
      </c>
      <c r="C319" s="15" t="s">
        <v>874</v>
      </c>
      <c r="D319" s="15" t="s">
        <v>984</v>
      </c>
      <c r="E319" s="15" t="s">
        <v>985</v>
      </c>
      <c r="F319" s="13" t="s">
        <v>81</v>
      </c>
      <c r="G319" s="16" t="s">
        <v>48</v>
      </c>
      <c r="H319" s="18" t="s">
        <v>39</v>
      </c>
      <c r="I319" s="43" t="s">
        <v>1004</v>
      </c>
      <c r="J319" s="18" t="s">
        <v>1005</v>
      </c>
      <c r="K319" s="18"/>
      <c r="L319" s="20"/>
      <c r="M319" s="20" t="s">
        <v>39</v>
      </c>
      <c r="N319" s="21">
        <v>620000</v>
      </c>
      <c r="O319" s="191">
        <v>0.19</v>
      </c>
      <c r="P319" s="190" t="s">
        <v>39</v>
      </c>
      <c r="Q319" s="190" t="s">
        <v>39</v>
      </c>
      <c r="R319" s="190" t="s">
        <v>39</v>
      </c>
      <c r="S319" s="190" t="s">
        <v>39</v>
      </c>
      <c r="T319" s="190" t="s">
        <v>39</v>
      </c>
      <c r="U319" s="190" t="s">
        <v>39</v>
      </c>
      <c r="V319" s="192"/>
      <c r="W319" s="192"/>
      <c r="X319" s="190" t="s">
        <v>39</v>
      </c>
      <c r="Y319" s="188"/>
      <c r="Z319" s="188"/>
      <c r="AA319" s="188">
        <v>0.4</v>
      </c>
      <c r="AB319" s="51" t="s">
        <v>39</v>
      </c>
      <c r="AC319" s="46" t="s">
        <v>39</v>
      </c>
      <c r="AD319" s="17"/>
      <c r="AE319" s="17" t="s">
        <v>949</v>
      </c>
    </row>
    <row r="320" s="2" customFormat="1" ht="24" hidden="1" customHeight="1" spans="1:31">
      <c r="A320" s="13">
        <v>318</v>
      </c>
      <c r="B320" s="187" t="s">
        <v>1073</v>
      </c>
      <c r="C320" s="15" t="s">
        <v>874</v>
      </c>
      <c r="D320" s="15" t="s">
        <v>984</v>
      </c>
      <c r="E320" s="15" t="s">
        <v>985</v>
      </c>
      <c r="F320" s="13" t="s">
        <v>81</v>
      </c>
      <c r="G320" s="16" t="s">
        <v>48</v>
      </c>
      <c r="H320" s="18" t="s">
        <v>39</v>
      </c>
      <c r="I320" s="43" t="s">
        <v>1007</v>
      </c>
      <c r="J320" s="18" t="s">
        <v>1005</v>
      </c>
      <c r="K320" s="18"/>
      <c r="L320" s="20"/>
      <c r="M320" s="20" t="s">
        <v>39</v>
      </c>
      <c r="N320" s="21">
        <v>640000</v>
      </c>
      <c r="O320" s="191">
        <v>0.19</v>
      </c>
      <c r="P320" s="190" t="s">
        <v>39</v>
      </c>
      <c r="Q320" s="190" t="s">
        <v>39</v>
      </c>
      <c r="R320" s="190" t="s">
        <v>39</v>
      </c>
      <c r="S320" s="190" t="s">
        <v>39</v>
      </c>
      <c r="T320" s="190" t="s">
        <v>39</v>
      </c>
      <c r="U320" s="190" t="s">
        <v>39</v>
      </c>
      <c r="V320" s="192"/>
      <c r="W320" s="192"/>
      <c r="X320" s="190" t="s">
        <v>39</v>
      </c>
      <c r="Y320" s="188"/>
      <c r="Z320" s="188"/>
      <c r="AA320" s="188">
        <v>0.4</v>
      </c>
      <c r="AB320" s="51" t="s">
        <v>39</v>
      </c>
      <c r="AC320" s="46" t="s">
        <v>39</v>
      </c>
      <c r="AD320" s="17"/>
      <c r="AE320" s="17" t="s">
        <v>949</v>
      </c>
    </row>
    <row r="321" s="2" customFormat="1" ht="24" hidden="1" customHeight="1" spans="1:31">
      <c r="A321" s="13">
        <v>319</v>
      </c>
      <c r="B321" s="187" t="s">
        <v>1075</v>
      </c>
      <c r="C321" s="15" t="s">
        <v>874</v>
      </c>
      <c r="D321" s="15" t="s">
        <v>984</v>
      </c>
      <c r="E321" s="15" t="s">
        <v>985</v>
      </c>
      <c r="F321" s="13" t="s">
        <v>81</v>
      </c>
      <c r="G321" s="16" t="s">
        <v>48</v>
      </c>
      <c r="H321" s="18" t="s">
        <v>39</v>
      </c>
      <c r="I321" s="43" t="s">
        <v>1009</v>
      </c>
      <c r="J321" s="18" t="s">
        <v>966</v>
      </c>
      <c r="K321" s="18"/>
      <c r="L321" s="20"/>
      <c r="M321" s="20" t="s">
        <v>39</v>
      </c>
      <c r="N321" s="21">
        <v>560000</v>
      </c>
      <c r="O321" s="191">
        <v>0.2</v>
      </c>
      <c r="P321" s="190" t="s">
        <v>39</v>
      </c>
      <c r="Q321" s="190" t="s">
        <v>39</v>
      </c>
      <c r="R321" s="190" t="s">
        <v>39</v>
      </c>
      <c r="S321" s="190" t="s">
        <v>39</v>
      </c>
      <c r="T321" s="190" t="s">
        <v>39</v>
      </c>
      <c r="U321" s="190" t="s">
        <v>39</v>
      </c>
      <c r="V321" s="192"/>
      <c r="W321" s="192"/>
      <c r="X321" s="190" t="s">
        <v>39</v>
      </c>
      <c r="Y321" s="188"/>
      <c r="Z321" s="188"/>
      <c r="AA321" s="188">
        <v>0.4</v>
      </c>
      <c r="AB321" s="51" t="s">
        <v>39</v>
      </c>
      <c r="AC321" s="46" t="s">
        <v>39</v>
      </c>
      <c r="AD321" s="17"/>
      <c r="AE321" s="17" t="s">
        <v>949</v>
      </c>
    </row>
    <row r="322" s="2" customFormat="1" ht="24" hidden="1" customHeight="1" spans="1:31">
      <c r="A322" s="13">
        <v>320</v>
      </c>
      <c r="B322" s="187" t="s">
        <v>1078</v>
      </c>
      <c r="C322" s="15" t="s">
        <v>874</v>
      </c>
      <c r="D322" s="15" t="s">
        <v>984</v>
      </c>
      <c r="E322" s="15" t="s">
        <v>985</v>
      </c>
      <c r="F322" s="13" t="s">
        <v>81</v>
      </c>
      <c r="G322" s="16" t="s">
        <v>48</v>
      </c>
      <c r="H322" s="18" t="s">
        <v>39</v>
      </c>
      <c r="I322" s="43" t="s">
        <v>1011</v>
      </c>
      <c r="J322" s="18" t="s">
        <v>1012</v>
      </c>
      <c r="K322" s="18"/>
      <c r="L322" s="20"/>
      <c r="M322" s="20" t="s">
        <v>39</v>
      </c>
      <c r="N322" s="21">
        <v>360000</v>
      </c>
      <c r="O322" s="190">
        <v>120000</v>
      </c>
      <c r="P322" s="190" t="s">
        <v>39</v>
      </c>
      <c r="Q322" s="190" t="s">
        <v>39</v>
      </c>
      <c r="R322" s="199">
        <v>0.045</v>
      </c>
      <c r="S322" s="190" t="s">
        <v>39</v>
      </c>
      <c r="T322" s="190" t="s">
        <v>39</v>
      </c>
      <c r="U322" s="190" t="s">
        <v>39</v>
      </c>
      <c r="V322" s="192" t="s">
        <v>39</v>
      </c>
      <c r="W322" s="192"/>
      <c r="X322" s="190" t="s">
        <v>39</v>
      </c>
      <c r="Y322" s="188"/>
      <c r="Z322" s="188"/>
      <c r="AA322" s="188">
        <v>0.4</v>
      </c>
      <c r="AB322" s="51" t="s">
        <v>39</v>
      </c>
      <c r="AC322" s="46" t="s">
        <v>39</v>
      </c>
      <c r="AD322" s="189" t="s">
        <v>1013</v>
      </c>
      <c r="AE322" s="17" t="s">
        <v>949</v>
      </c>
    </row>
    <row r="323" s="2" customFormat="1" ht="24" hidden="1" customHeight="1" spans="1:31">
      <c r="A323" s="13">
        <v>321</v>
      </c>
      <c r="B323" s="187" t="s">
        <v>1082</v>
      </c>
      <c r="C323" s="15" t="s">
        <v>874</v>
      </c>
      <c r="D323" s="15" t="s">
        <v>984</v>
      </c>
      <c r="E323" s="15" t="s">
        <v>985</v>
      </c>
      <c r="F323" s="13" t="s">
        <v>81</v>
      </c>
      <c r="G323" s="16" t="s">
        <v>48</v>
      </c>
      <c r="H323" s="18" t="s">
        <v>39</v>
      </c>
      <c r="I323" s="43" t="s">
        <v>1015</v>
      </c>
      <c r="J323" s="18" t="s">
        <v>1016</v>
      </c>
      <c r="K323" s="18"/>
      <c r="L323" s="20"/>
      <c r="M323" s="20" t="s">
        <v>39</v>
      </c>
      <c r="N323" s="21">
        <v>920000</v>
      </c>
      <c r="O323" s="191">
        <v>0.2</v>
      </c>
      <c r="P323" s="190" t="s">
        <v>39</v>
      </c>
      <c r="Q323" s="190" t="s">
        <v>39</v>
      </c>
      <c r="R323" s="190" t="s">
        <v>39</v>
      </c>
      <c r="S323" s="190" t="s">
        <v>39</v>
      </c>
      <c r="T323" s="190" t="s">
        <v>39</v>
      </c>
      <c r="U323" s="190" t="s">
        <v>39</v>
      </c>
      <c r="V323" s="192"/>
      <c r="W323" s="192"/>
      <c r="X323" s="190" t="s">
        <v>39</v>
      </c>
      <c r="Y323" s="188"/>
      <c r="Z323" s="188"/>
      <c r="AA323" s="188">
        <v>0.4</v>
      </c>
      <c r="AB323" s="51" t="s">
        <v>39</v>
      </c>
      <c r="AC323" s="46" t="s">
        <v>39</v>
      </c>
      <c r="AD323" s="17"/>
      <c r="AE323" s="17" t="s">
        <v>949</v>
      </c>
    </row>
    <row r="324" s="2" customFormat="1" ht="24" hidden="1" customHeight="1" spans="1:31">
      <c r="A324" s="13">
        <v>322</v>
      </c>
      <c r="B324" s="187" t="s">
        <v>1085</v>
      </c>
      <c r="C324" s="15" t="s">
        <v>874</v>
      </c>
      <c r="D324" s="15" t="s">
        <v>984</v>
      </c>
      <c r="E324" s="15" t="s">
        <v>985</v>
      </c>
      <c r="F324" s="13" t="s">
        <v>81</v>
      </c>
      <c r="G324" s="16" t="s">
        <v>48</v>
      </c>
      <c r="H324" s="18" t="s">
        <v>39</v>
      </c>
      <c r="I324" s="43" t="s">
        <v>1018</v>
      </c>
      <c r="J324" s="18" t="s">
        <v>1016</v>
      </c>
      <c r="K324" s="18"/>
      <c r="L324" s="20"/>
      <c r="M324" s="20" t="s">
        <v>39</v>
      </c>
      <c r="N324" s="21">
        <v>700000</v>
      </c>
      <c r="O324" s="191">
        <v>0.1</v>
      </c>
      <c r="P324" s="190" t="s">
        <v>39</v>
      </c>
      <c r="Q324" s="190" t="s">
        <v>39</v>
      </c>
      <c r="R324" s="190" t="s">
        <v>39</v>
      </c>
      <c r="S324" s="190" t="s">
        <v>39</v>
      </c>
      <c r="T324" s="190" t="s">
        <v>39</v>
      </c>
      <c r="U324" s="190" t="s">
        <v>39</v>
      </c>
      <c r="V324" s="192"/>
      <c r="W324" s="192"/>
      <c r="X324" s="190" t="s">
        <v>39</v>
      </c>
      <c r="Y324" s="188"/>
      <c r="Z324" s="188"/>
      <c r="AA324" s="188">
        <v>0.4</v>
      </c>
      <c r="AB324" s="51" t="s">
        <v>39</v>
      </c>
      <c r="AC324" s="46" t="s">
        <v>39</v>
      </c>
      <c r="AD324" s="17"/>
      <c r="AE324" s="17" t="s">
        <v>949</v>
      </c>
    </row>
    <row r="325" s="2" customFormat="1" ht="24" hidden="1" customHeight="1" spans="1:31">
      <c r="A325" s="13">
        <v>323</v>
      </c>
      <c r="B325" s="187" t="s">
        <v>1089</v>
      </c>
      <c r="C325" s="15" t="s">
        <v>874</v>
      </c>
      <c r="D325" s="15" t="s">
        <v>984</v>
      </c>
      <c r="E325" s="15" t="s">
        <v>985</v>
      </c>
      <c r="F325" s="13" t="s">
        <v>81</v>
      </c>
      <c r="G325" s="16" t="s">
        <v>48</v>
      </c>
      <c r="H325" s="18" t="s">
        <v>39</v>
      </c>
      <c r="I325" s="43" t="s">
        <v>459</v>
      </c>
      <c r="J325" s="18" t="s">
        <v>1020</v>
      </c>
      <c r="K325" s="18"/>
      <c r="L325" s="20"/>
      <c r="M325" s="20" t="s">
        <v>39</v>
      </c>
      <c r="N325" s="21">
        <v>230000</v>
      </c>
      <c r="O325" s="191">
        <v>0.18</v>
      </c>
      <c r="P325" s="190" t="s">
        <v>39</v>
      </c>
      <c r="Q325" s="190" t="s">
        <v>39</v>
      </c>
      <c r="R325" s="190" t="s">
        <v>39</v>
      </c>
      <c r="S325" s="190" t="s">
        <v>39</v>
      </c>
      <c r="T325" s="190" t="s">
        <v>39</v>
      </c>
      <c r="U325" s="190" t="s">
        <v>39</v>
      </c>
      <c r="V325" s="192"/>
      <c r="W325" s="192"/>
      <c r="X325" s="190" t="s">
        <v>39</v>
      </c>
      <c r="Y325" s="188"/>
      <c r="Z325" s="188"/>
      <c r="AA325" s="188">
        <v>0.4</v>
      </c>
      <c r="AB325" s="51" t="s">
        <v>39</v>
      </c>
      <c r="AC325" s="46" t="s">
        <v>39</v>
      </c>
      <c r="AD325" s="17"/>
      <c r="AE325" s="17" t="s">
        <v>949</v>
      </c>
    </row>
    <row r="326" s="2" customFormat="1" ht="24" hidden="1" customHeight="1" spans="1:31">
      <c r="A326" s="13">
        <v>324</v>
      </c>
      <c r="B326" s="187" t="s">
        <v>1091</v>
      </c>
      <c r="C326" s="15" t="s">
        <v>874</v>
      </c>
      <c r="D326" s="15" t="s">
        <v>984</v>
      </c>
      <c r="E326" s="15" t="s">
        <v>985</v>
      </c>
      <c r="F326" s="13" t="s">
        <v>81</v>
      </c>
      <c r="G326" s="16" t="s">
        <v>48</v>
      </c>
      <c r="H326" s="18" t="s">
        <v>39</v>
      </c>
      <c r="I326" s="43" t="s">
        <v>87</v>
      </c>
      <c r="J326" s="18" t="s">
        <v>912</v>
      </c>
      <c r="K326" s="18"/>
      <c r="L326" s="20"/>
      <c r="M326" s="20" t="s">
        <v>39</v>
      </c>
      <c r="N326" s="21">
        <v>520000</v>
      </c>
      <c r="O326" s="190">
        <v>200000</v>
      </c>
      <c r="P326" s="190" t="s">
        <v>39</v>
      </c>
      <c r="Q326" s="190" t="s">
        <v>39</v>
      </c>
      <c r="R326" s="190" t="s">
        <v>39</v>
      </c>
      <c r="S326" s="190" t="s">
        <v>39</v>
      </c>
      <c r="T326" s="190" t="s">
        <v>39</v>
      </c>
      <c r="U326" s="190" t="s">
        <v>39</v>
      </c>
      <c r="V326" s="45" t="s">
        <v>39</v>
      </c>
      <c r="W326" s="45"/>
      <c r="X326" s="190" t="s">
        <v>39</v>
      </c>
      <c r="Y326" s="45"/>
      <c r="Z326" s="45"/>
      <c r="AA326" s="45" t="s">
        <v>39</v>
      </c>
      <c r="AB326" s="51" t="s">
        <v>39</v>
      </c>
      <c r="AC326" s="46" t="s">
        <v>39</v>
      </c>
      <c r="AD326" s="189" t="s">
        <v>1022</v>
      </c>
      <c r="AE326" s="17" t="s">
        <v>1023</v>
      </c>
    </row>
    <row r="327" s="2" customFormat="1" ht="12" hidden="1" customHeight="1" spans="1:31">
      <c r="A327" s="13">
        <v>325</v>
      </c>
      <c r="B327" s="187" t="s">
        <v>1094</v>
      </c>
      <c r="C327" s="15" t="s">
        <v>874</v>
      </c>
      <c r="D327" s="15" t="s">
        <v>1025</v>
      </c>
      <c r="E327" s="15" t="s">
        <v>1026</v>
      </c>
      <c r="F327" s="13" t="s">
        <v>37</v>
      </c>
      <c r="G327" s="16" t="s">
        <v>38</v>
      </c>
      <c r="H327" s="18" t="s">
        <v>39</v>
      </c>
      <c r="I327" s="43" t="s">
        <v>39</v>
      </c>
      <c r="J327" s="16" t="s">
        <v>39</v>
      </c>
      <c r="K327" s="16"/>
      <c r="L327" s="20"/>
      <c r="M327" s="20" t="s">
        <v>39</v>
      </c>
      <c r="N327" s="21" t="s">
        <v>39</v>
      </c>
      <c r="O327" s="188" t="s">
        <v>39</v>
      </c>
      <c r="P327" s="188" t="s">
        <v>39</v>
      </c>
      <c r="Q327" s="188" t="s">
        <v>39</v>
      </c>
      <c r="R327" s="188" t="s">
        <v>39</v>
      </c>
      <c r="S327" s="188" t="s">
        <v>39</v>
      </c>
      <c r="T327" s="188" t="s">
        <v>39</v>
      </c>
      <c r="U327" s="188" t="s">
        <v>39</v>
      </c>
      <c r="V327" s="188" t="s">
        <v>39</v>
      </c>
      <c r="W327" s="188" t="s">
        <v>39</v>
      </c>
      <c r="X327" s="188" t="s">
        <v>39</v>
      </c>
      <c r="Y327" s="188"/>
      <c r="Z327" s="188"/>
      <c r="AA327" s="188">
        <v>0.52</v>
      </c>
      <c r="AB327" s="46">
        <v>0.06</v>
      </c>
      <c r="AC327" s="46">
        <v>0.005</v>
      </c>
      <c r="AD327" s="17" t="s">
        <v>1027</v>
      </c>
      <c r="AE327" s="17"/>
    </row>
    <row r="328" s="2" customFormat="1" ht="36" hidden="1" customHeight="1" spans="1:31">
      <c r="A328" s="13">
        <v>326</v>
      </c>
      <c r="B328" s="187" t="s">
        <v>1098</v>
      </c>
      <c r="C328" s="15" t="s">
        <v>874</v>
      </c>
      <c r="D328" s="15" t="s">
        <v>1025</v>
      </c>
      <c r="E328" s="15" t="s">
        <v>1026</v>
      </c>
      <c r="F328" s="13" t="s">
        <v>81</v>
      </c>
      <c r="G328" s="16" t="s">
        <v>38</v>
      </c>
      <c r="H328" s="18" t="s">
        <v>39</v>
      </c>
      <c r="I328" s="43" t="s">
        <v>1029</v>
      </c>
      <c r="J328" s="18" t="s">
        <v>1030</v>
      </c>
      <c r="K328" s="18"/>
      <c r="L328" s="20"/>
      <c r="M328" s="20" t="s">
        <v>39</v>
      </c>
      <c r="N328" s="21">
        <v>1080000</v>
      </c>
      <c r="O328" s="188">
        <v>0.14</v>
      </c>
      <c r="P328" s="188" t="s">
        <v>39</v>
      </c>
      <c r="Q328" s="188">
        <v>0.02</v>
      </c>
      <c r="R328" s="188" t="s">
        <v>39</v>
      </c>
      <c r="S328" s="188" t="s">
        <v>39</v>
      </c>
      <c r="T328" s="188" t="s">
        <v>39</v>
      </c>
      <c r="U328" s="188" t="s">
        <v>39</v>
      </c>
      <c r="V328" s="188">
        <v>0.02</v>
      </c>
      <c r="W328" s="188">
        <v>0.07</v>
      </c>
      <c r="X328" s="188" t="s">
        <v>1457</v>
      </c>
      <c r="Y328" s="188" t="s">
        <v>39</v>
      </c>
      <c r="Z328" s="188" t="s">
        <v>39</v>
      </c>
      <c r="AA328" s="188" t="s">
        <v>1457</v>
      </c>
      <c r="AB328" s="52" t="s">
        <v>39</v>
      </c>
      <c r="AC328" s="52" t="s">
        <v>39</v>
      </c>
      <c r="AD328" s="189" t="s">
        <v>1031</v>
      </c>
      <c r="AE328" s="17" t="s">
        <v>1032</v>
      </c>
    </row>
    <row r="329" s="2" customFormat="1" ht="36" hidden="1" customHeight="1" spans="1:31">
      <c r="A329" s="13">
        <v>327</v>
      </c>
      <c r="B329" s="187" t="s">
        <v>1101</v>
      </c>
      <c r="C329" s="15" t="s">
        <v>874</v>
      </c>
      <c r="D329" s="15" t="s">
        <v>1025</v>
      </c>
      <c r="E329" s="15" t="s">
        <v>1026</v>
      </c>
      <c r="F329" s="13" t="s">
        <v>81</v>
      </c>
      <c r="G329" s="16" t="s">
        <v>38</v>
      </c>
      <c r="H329" s="18" t="s">
        <v>39</v>
      </c>
      <c r="I329" s="43" t="s">
        <v>130</v>
      </c>
      <c r="J329" s="16" t="s">
        <v>1034</v>
      </c>
      <c r="K329" s="16"/>
      <c r="L329" s="20"/>
      <c r="M329" s="20" t="s">
        <v>39</v>
      </c>
      <c r="N329" s="21">
        <v>800000</v>
      </c>
      <c r="O329" s="188">
        <v>0.15</v>
      </c>
      <c r="P329" s="188" t="s">
        <v>39</v>
      </c>
      <c r="Q329" s="188">
        <v>0.02</v>
      </c>
      <c r="R329" s="188" t="s">
        <v>39</v>
      </c>
      <c r="S329" s="188" t="s">
        <v>39</v>
      </c>
      <c r="T329" s="188" t="s">
        <v>39</v>
      </c>
      <c r="U329" s="188" t="s">
        <v>39</v>
      </c>
      <c r="V329" s="188">
        <v>0.02</v>
      </c>
      <c r="W329" s="188">
        <v>0.07</v>
      </c>
      <c r="X329" s="188" t="s">
        <v>1457</v>
      </c>
      <c r="Y329" s="188" t="s">
        <v>39</v>
      </c>
      <c r="Z329" s="188" t="s">
        <v>39</v>
      </c>
      <c r="AA329" s="188" t="s">
        <v>1457</v>
      </c>
      <c r="AB329" s="52" t="s">
        <v>39</v>
      </c>
      <c r="AC329" s="52" t="s">
        <v>39</v>
      </c>
      <c r="AD329" s="189" t="s">
        <v>1031</v>
      </c>
      <c r="AE329" s="17" t="s">
        <v>1032</v>
      </c>
    </row>
    <row r="330" s="2" customFormat="1" ht="36" hidden="1" customHeight="1" spans="1:31">
      <c r="A330" s="13">
        <v>328</v>
      </c>
      <c r="B330" s="187" t="s">
        <v>1104</v>
      </c>
      <c r="C330" s="15" t="s">
        <v>874</v>
      </c>
      <c r="D330" s="15" t="s">
        <v>1025</v>
      </c>
      <c r="E330" s="15" t="s">
        <v>1026</v>
      </c>
      <c r="F330" s="13" t="s">
        <v>81</v>
      </c>
      <c r="G330" s="16" t="s">
        <v>38</v>
      </c>
      <c r="H330" s="18" t="s">
        <v>39</v>
      </c>
      <c r="I330" s="43" t="s">
        <v>1036</v>
      </c>
      <c r="J330" s="16" t="s">
        <v>1037</v>
      </c>
      <c r="K330" s="16"/>
      <c r="L330" s="20"/>
      <c r="M330" s="20" t="s">
        <v>39</v>
      </c>
      <c r="N330" s="21">
        <v>800000</v>
      </c>
      <c r="O330" s="188">
        <v>0.15</v>
      </c>
      <c r="P330" s="188" t="s">
        <v>39</v>
      </c>
      <c r="Q330" s="188">
        <v>0.02</v>
      </c>
      <c r="R330" s="188" t="s">
        <v>39</v>
      </c>
      <c r="S330" s="188" t="s">
        <v>39</v>
      </c>
      <c r="T330" s="188" t="s">
        <v>39</v>
      </c>
      <c r="U330" s="188" t="s">
        <v>39</v>
      </c>
      <c r="V330" s="188">
        <v>0.02</v>
      </c>
      <c r="W330" s="188">
        <v>0.07</v>
      </c>
      <c r="X330" s="188" t="s">
        <v>1457</v>
      </c>
      <c r="Y330" s="188" t="s">
        <v>39</v>
      </c>
      <c r="Z330" s="188" t="s">
        <v>39</v>
      </c>
      <c r="AA330" s="188" t="s">
        <v>1457</v>
      </c>
      <c r="AB330" s="52" t="s">
        <v>39</v>
      </c>
      <c r="AC330" s="52" t="s">
        <v>39</v>
      </c>
      <c r="AD330" s="189" t="s">
        <v>1031</v>
      </c>
      <c r="AE330" s="17" t="s">
        <v>1032</v>
      </c>
    </row>
    <row r="331" s="2" customFormat="1" ht="36" hidden="1" customHeight="1" spans="1:31">
      <c r="A331" s="13">
        <v>329</v>
      </c>
      <c r="B331" s="187" t="s">
        <v>1107</v>
      </c>
      <c r="C331" s="15" t="s">
        <v>874</v>
      </c>
      <c r="D331" s="15" t="s">
        <v>1025</v>
      </c>
      <c r="E331" s="15" t="s">
        <v>1026</v>
      </c>
      <c r="F331" s="13" t="s">
        <v>81</v>
      </c>
      <c r="G331" s="16" t="s">
        <v>38</v>
      </c>
      <c r="H331" s="18" t="s">
        <v>39</v>
      </c>
      <c r="I331" s="43" t="s">
        <v>1039</v>
      </c>
      <c r="J331" s="16" t="s">
        <v>1040</v>
      </c>
      <c r="K331" s="16"/>
      <c r="L331" s="20"/>
      <c r="M331" s="20" t="s">
        <v>39</v>
      </c>
      <c r="N331" s="21">
        <v>560000</v>
      </c>
      <c r="O331" s="188">
        <v>0.15</v>
      </c>
      <c r="P331" s="188" t="s">
        <v>39</v>
      </c>
      <c r="Q331" s="188">
        <v>0.02</v>
      </c>
      <c r="R331" s="188" t="s">
        <v>39</v>
      </c>
      <c r="S331" s="188" t="s">
        <v>39</v>
      </c>
      <c r="T331" s="188" t="s">
        <v>39</v>
      </c>
      <c r="U331" s="188" t="s">
        <v>39</v>
      </c>
      <c r="V331" s="188">
        <v>0.02</v>
      </c>
      <c r="W331" s="188">
        <v>0.07</v>
      </c>
      <c r="X331" s="188" t="s">
        <v>1457</v>
      </c>
      <c r="Y331" s="188" t="s">
        <v>39</v>
      </c>
      <c r="Z331" s="188" t="s">
        <v>39</v>
      </c>
      <c r="AA331" s="188" t="s">
        <v>1457</v>
      </c>
      <c r="AB331" s="52" t="s">
        <v>39</v>
      </c>
      <c r="AC331" s="52" t="s">
        <v>39</v>
      </c>
      <c r="AD331" s="189" t="s">
        <v>1031</v>
      </c>
      <c r="AE331" s="17" t="s">
        <v>1032</v>
      </c>
    </row>
    <row r="332" s="2" customFormat="1" ht="36" hidden="1" customHeight="1" spans="1:31">
      <c r="A332" s="13">
        <v>330</v>
      </c>
      <c r="B332" s="187" t="s">
        <v>1109</v>
      </c>
      <c r="C332" s="15" t="s">
        <v>874</v>
      </c>
      <c r="D332" s="15" t="s">
        <v>1025</v>
      </c>
      <c r="E332" s="15" t="s">
        <v>1026</v>
      </c>
      <c r="F332" s="13" t="s">
        <v>81</v>
      </c>
      <c r="G332" s="16" t="s">
        <v>38</v>
      </c>
      <c r="H332" s="18" t="s">
        <v>39</v>
      </c>
      <c r="I332" s="43" t="s">
        <v>1042</v>
      </c>
      <c r="J332" s="16" t="s">
        <v>1043</v>
      </c>
      <c r="K332" s="16"/>
      <c r="L332" s="20"/>
      <c r="M332" s="20" t="s">
        <v>39</v>
      </c>
      <c r="N332" s="21">
        <v>2760000</v>
      </c>
      <c r="O332" s="188">
        <v>0.15</v>
      </c>
      <c r="P332" s="188" t="s">
        <v>39</v>
      </c>
      <c r="Q332" s="188">
        <v>0.02</v>
      </c>
      <c r="R332" s="188" t="s">
        <v>39</v>
      </c>
      <c r="S332" s="188" t="s">
        <v>39</v>
      </c>
      <c r="T332" s="188" t="s">
        <v>39</v>
      </c>
      <c r="U332" s="188" t="s">
        <v>39</v>
      </c>
      <c r="V332" s="188">
        <v>0.02</v>
      </c>
      <c r="W332" s="188">
        <v>0.07</v>
      </c>
      <c r="X332" s="188" t="s">
        <v>1457</v>
      </c>
      <c r="Y332" s="188" t="s">
        <v>39</v>
      </c>
      <c r="Z332" s="188" t="s">
        <v>39</v>
      </c>
      <c r="AA332" s="188" t="s">
        <v>1457</v>
      </c>
      <c r="AB332" s="52" t="s">
        <v>39</v>
      </c>
      <c r="AC332" s="52" t="s">
        <v>39</v>
      </c>
      <c r="AD332" s="189" t="s">
        <v>1031</v>
      </c>
      <c r="AE332" s="17" t="s">
        <v>1032</v>
      </c>
    </row>
    <row r="333" s="2" customFormat="1" ht="36" hidden="1" customHeight="1" spans="1:31">
      <c r="A333" s="13">
        <v>331</v>
      </c>
      <c r="B333" s="187" t="s">
        <v>1113</v>
      </c>
      <c r="C333" s="15" t="s">
        <v>874</v>
      </c>
      <c r="D333" s="15" t="s">
        <v>1025</v>
      </c>
      <c r="E333" s="15" t="s">
        <v>1026</v>
      </c>
      <c r="F333" s="13" t="s">
        <v>81</v>
      </c>
      <c r="G333" s="16" t="s">
        <v>38</v>
      </c>
      <c r="H333" s="18" t="s">
        <v>39</v>
      </c>
      <c r="I333" s="43" t="s">
        <v>1045</v>
      </c>
      <c r="J333" s="16" t="s">
        <v>1046</v>
      </c>
      <c r="K333" s="16"/>
      <c r="L333" s="20"/>
      <c r="M333" s="20" t="s">
        <v>39</v>
      </c>
      <c r="N333" s="21">
        <v>580000</v>
      </c>
      <c r="O333" s="188">
        <v>0.15</v>
      </c>
      <c r="P333" s="188" t="s">
        <v>39</v>
      </c>
      <c r="Q333" s="188">
        <v>0.02</v>
      </c>
      <c r="R333" s="188" t="s">
        <v>39</v>
      </c>
      <c r="S333" s="188" t="s">
        <v>39</v>
      </c>
      <c r="T333" s="188" t="s">
        <v>39</v>
      </c>
      <c r="U333" s="188" t="s">
        <v>39</v>
      </c>
      <c r="V333" s="188">
        <v>0.02</v>
      </c>
      <c r="W333" s="188">
        <v>0.07</v>
      </c>
      <c r="X333" s="188" t="s">
        <v>1457</v>
      </c>
      <c r="Y333" s="188" t="s">
        <v>39</v>
      </c>
      <c r="Z333" s="188" t="s">
        <v>39</v>
      </c>
      <c r="AA333" s="188" t="s">
        <v>1457</v>
      </c>
      <c r="AB333" s="52" t="s">
        <v>39</v>
      </c>
      <c r="AC333" s="52" t="s">
        <v>39</v>
      </c>
      <c r="AD333" s="189" t="s">
        <v>1031</v>
      </c>
      <c r="AE333" s="17" t="s">
        <v>1032</v>
      </c>
    </row>
    <row r="334" s="2" customFormat="1" ht="36" hidden="1" customHeight="1" spans="1:31">
      <c r="A334" s="13">
        <v>332</v>
      </c>
      <c r="B334" s="187" t="s">
        <v>1117</v>
      </c>
      <c r="C334" s="15" t="s">
        <v>874</v>
      </c>
      <c r="D334" s="15" t="s">
        <v>1025</v>
      </c>
      <c r="E334" s="15" t="s">
        <v>1026</v>
      </c>
      <c r="F334" s="13" t="s">
        <v>81</v>
      </c>
      <c r="G334" s="16" t="s">
        <v>38</v>
      </c>
      <c r="H334" s="18" t="s">
        <v>39</v>
      </c>
      <c r="I334" s="43" t="s">
        <v>1048</v>
      </c>
      <c r="J334" s="16" t="s">
        <v>1049</v>
      </c>
      <c r="K334" s="16"/>
      <c r="L334" s="20"/>
      <c r="M334" s="20" t="s">
        <v>39</v>
      </c>
      <c r="N334" s="21">
        <v>640000</v>
      </c>
      <c r="O334" s="188">
        <v>0.12</v>
      </c>
      <c r="P334" s="188" t="s">
        <v>39</v>
      </c>
      <c r="Q334" s="188">
        <v>0.02</v>
      </c>
      <c r="R334" s="188" t="s">
        <v>39</v>
      </c>
      <c r="S334" s="188" t="s">
        <v>39</v>
      </c>
      <c r="T334" s="188" t="s">
        <v>39</v>
      </c>
      <c r="U334" s="188" t="s">
        <v>39</v>
      </c>
      <c r="V334" s="188">
        <v>0.02</v>
      </c>
      <c r="W334" s="188">
        <v>0.07</v>
      </c>
      <c r="X334" s="188" t="s">
        <v>1457</v>
      </c>
      <c r="Y334" s="188" t="s">
        <v>39</v>
      </c>
      <c r="Z334" s="188" t="s">
        <v>39</v>
      </c>
      <c r="AA334" s="188" t="s">
        <v>1457</v>
      </c>
      <c r="AB334" s="52" t="s">
        <v>39</v>
      </c>
      <c r="AC334" s="52" t="s">
        <v>39</v>
      </c>
      <c r="AD334" s="189" t="s">
        <v>1031</v>
      </c>
      <c r="AE334" s="17" t="s">
        <v>1032</v>
      </c>
    </row>
    <row r="335" s="2" customFormat="1" ht="36" hidden="1" customHeight="1" spans="1:31">
      <c r="A335" s="13">
        <v>333</v>
      </c>
      <c r="B335" s="187" t="s">
        <v>1119</v>
      </c>
      <c r="C335" s="15" t="s">
        <v>874</v>
      </c>
      <c r="D335" s="15" t="s">
        <v>1025</v>
      </c>
      <c r="E335" s="15" t="s">
        <v>1026</v>
      </c>
      <c r="F335" s="13" t="s">
        <v>81</v>
      </c>
      <c r="G335" s="16" t="s">
        <v>38</v>
      </c>
      <c r="H335" s="18" t="s">
        <v>39</v>
      </c>
      <c r="I335" s="43" t="s">
        <v>1052</v>
      </c>
      <c r="J335" s="16" t="s">
        <v>1053</v>
      </c>
      <c r="K335" s="16"/>
      <c r="L335" s="20"/>
      <c r="M335" s="20" t="s">
        <v>39</v>
      </c>
      <c r="N335" s="21">
        <v>300000</v>
      </c>
      <c r="O335" s="188">
        <v>0.1</v>
      </c>
      <c r="P335" s="188" t="s">
        <v>39</v>
      </c>
      <c r="Q335" s="188">
        <v>0.02</v>
      </c>
      <c r="R335" s="188" t="s">
        <v>39</v>
      </c>
      <c r="S335" s="188" t="s">
        <v>39</v>
      </c>
      <c r="T335" s="188" t="s">
        <v>39</v>
      </c>
      <c r="U335" s="188" t="s">
        <v>39</v>
      </c>
      <c r="V335" s="188">
        <v>0.02</v>
      </c>
      <c r="W335" s="188">
        <v>0.07</v>
      </c>
      <c r="X335" s="188" t="s">
        <v>1457</v>
      </c>
      <c r="Y335" s="188" t="s">
        <v>39</v>
      </c>
      <c r="Z335" s="188" t="s">
        <v>39</v>
      </c>
      <c r="AA335" s="188" t="s">
        <v>1457</v>
      </c>
      <c r="AB335" s="52" t="s">
        <v>39</v>
      </c>
      <c r="AC335" s="52" t="s">
        <v>39</v>
      </c>
      <c r="AD335" s="189" t="s">
        <v>1031</v>
      </c>
      <c r="AE335" s="17" t="s">
        <v>1032</v>
      </c>
    </row>
    <row r="336" s="2" customFormat="1" ht="36" hidden="1" customHeight="1" spans="1:31">
      <c r="A336" s="13">
        <v>334</v>
      </c>
      <c r="B336" s="187" t="s">
        <v>1122</v>
      </c>
      <c r="C336" s="15" t="s">
        <v>874</v>
      </c>
      <c r="D336" s="15" t="s">
        <v>1025</v>
      </c>
      <c r="E336" s="15" t="s">
        <v>1026</v>
      </c>
      <c r="F336" s="13" t="s">
        <v>81</v>
      </c>
      <c r="G336" s="16" t="s">
        <v>38</v>
      </c>
      <c r="H336" s="18" t="s">
        <v>39</v>
      </c>
      <c r="I336" s="43" t="s">
        <v>1055</v>
      </c>
      <c r="J336" s="16" t="s">
        <v>1056</v>
      </c>
      <c r="K336" s="16"/>
      <c r="L336" s="20"/>
      <c r="M336" s="20" t="s">
        <v>39</v>
      </c>
      <c r="N336" s="21">
        <v>640000</v>
      </c>
      <c r="O336" s="188">
        <v>0.09</v>
      </c>
      <c r="P336" s="188" t="s">
        <v>39</v>
      </c>
      <c r="Q336" s="188">
        <v>0.02</v>
      </c>
      <c r="R336" s="188" t="s">
        <v>39</v>
      </c>
      <c r="S336" s="188" t="s">
        <v>39</v>
      </c>
      <c r="T336" s="188" t="s">
        <v>39</v>
      </c>
      <c r="U336" s="188" t="s">
        <v>39</v>
      </c>
      <c r="V336" s="188">
        <v>0.02</v>
      </c>
      <c r="W336" s="188">
        <v>0.07</v>
      </c>
      <c r="X336" s="188" t="s">
        <v>1457</v>
      </c>
      <c r="Y336" s="188" t="s">
        <v>39</v>
      </c>
      <c r="Z336" s="188" t="s">
        <v>39</v>
      </c>
      <c r="AA336" s="188" t="s">
        <v>1457</v>
      </c>
      <c r="AB336" s="52" t="s">
        <v>39</v>
      </c>
      <c r="AC336" s="52" t="s">
        <v>39</v>
      </c>
      <c r="AD336" s="189" t="s">
        <v>1031</v>
      </c>
      <c r="AE336" s="17" t="s">
        <v>1032</v>
      </c>
    </row>
    <row r="337" s="2" customFormat="1" ht="12" hidden="1" customHeight="1" spans="1:31">
      <c r="A337" s="13">
        <v>335</v>
      </c>
      <c r="B337" s="187" t="s">
        <v>1125</v>
      </c>
      <c r="C337" s="15" t="s">
        <v>874</v>
      </c>
      <c r="D337" s="15" t="s">
        <v>1058</v>
      </c>
      <c r="E337" s="15" t="s">
        <v>1059</v>
      </c>
      <c r="F337" s="13" t="s">
        <v>37</v>
      </c>
      <c r="G337" s="16" t="s">
        <v>38</v>
      </c>
      <c r="H337" s="18" t="s">
        <v>39</v>
      </c>
      <c r="I337" s="43" t="s">
        <v>39</v>
      </c>
      <c r="J337" s="16" t="s">
        <v>39</v>
      </c>
      <c r="K337" s="16"/>
      <c r="L337" s="20"/>
      <c r="M337" s="20" t="s">
        <v>39</v>
      </c>
      <c r="N337" s="21" t="s">
        <v>39</v>
      </c>
      <c r="O337" s="188" t="s">
        <v>39</v>
      </c>
      <c r="P337" s="188" t="s">
        <v>39</v>
      </c>
      <c r="Q337" s="188" t="s">
        <v>39</v>
      </c>
      <c r="R337" s="188" t="s">
        <v>39</v>
      </c>
      <c r="S337" s="188" t="s">
        <v>39</v>
      </c>
      <c r="T337" s="188" t="s">
        <v>39</v>
      </c>
      <c r="U337" s="188" t="s">
        <v>39</v>
      </c>
      <c r="V337" s="188" t="s">
        <v>39</v>
      </c>
      <c r="W337" s="188" t="s">
        <v>39</v>
      </c>
      <c r="X337" s="188" t="s">
        <v>39</v>
      </c>
      <c r="Y337" s="188"/>
      <c r="Z337" s="188"/>
      <c r="AA337" s="188">
        <v>0.52</v>
      </c>
      <c r="AB337" s="46">
        <v>0.06</v>
      </c>
      <c r="AC337" s="46">
        <v>0.005</v>
      </c>
      <c r="AD337" s="17" t="s">
        <v>1027</v>
      </c>
      <c r="AE337" s="17"/>
    </row>
    <row r="338" s="2" customFormat="1" ht="48" hidden="1" customHeight="1" spans="1:31">
      <c r="A338" s="13">
        <v>336</v>
      </c>
      <c r="B338" s="187" t="s">
        <v>1128</v>
      </c>
      <c r="C338" s="15" t="s">
        <v>874</v>
      </c>
      <c r="D338" s="15" t="s">
        <v>1058</v>
      </c>
      <c r="E338" s="15" t="s">
        <v>1059</v>
      </c>
      <c r="F338" s="13" t="s">
        <v>81</v>
      </c>
      <c r="G338" s="16" t="s">
        <v>38</v>
      </c>
      <c r="H338" s="18" t="s">
        <v>39</v>
      </c>
      <c r="I338" s="43" t="s">
        <v>240</v>
      </c>
      <c r="J338" s="16" t="s">
        <v>1061</v>
      </c>
      <c r="K338" s="16"/>
      <c r="L338" s="20"/>
      <c r="M338" s="20" t="s">
        <v>39</v>
      </c>
      <c r="N338" s="21">
        <v>1940000</v>
      </c>
      <c r="O338" s="188">
        <v>0.11</v>
      </c>
      <c r="P338" s="188">
        <v>0.01</v>
      </c>
      <c r="Q338" s="188">
        <v>0</v>
      </c>
      <c r="R338" s="188">
        <v>0.01</v>
      </c>
      <c r="S338" s="188">
        <v>0.01</v>
      </c>
      <c r="T338" s="188">
        <v>0</v>
      </c>
      <c r="U338" s="188">
        <v>0</v>
      </c>
      <c r="V338" s="45" t="s">
        <v>1532</v>
      </c>
      <c r="W338" s="188">
        <v>0.07</v>
      </c>
      <c r="X338" s="188" t="s">
        <v>1457</v>
      </c>
      <c r="Y338" s="188" t="s">
        <v>39</v>
      </c>
      <c r="Z338" s="188" t="s">
        <v>39</v>
      </c>
      <c r="AA338" s="188" t="s">
        <v>1457</v>
      </c>
      <c r="AB338" s="52" t="s">
        <v>39</v>
      </c>
      <c r="AC338" s="52" t="s">
        <v>39</v>
      </c>
      <c r="AD338" s="189" t="s">
        <v>1062</v>
      </c>
      <c r="AE338" s="17" t="s">
        <v>1063</v>
      </c>
    </row>
    <row r="339" s="2" customFormat="1" ht="48" hidden="1" customHeight="1" spans="1:31">
      <c r="A339" s="13">
        <v>337</v>
      </c>
      <c r="B339" s="187" t="s">
        <v>1131</v>
      </c>
      <c r="C339" s="15" t="s">
        <v>874</v>
      </c>
      <c r="D339" s="15" t="s">
        <v>1058</v>
      </c>
      <c r="E339" s="15" t="s">
        <v>1059</v>
      </c>
      <c r="F339" s="13" t="s">
        <v>81</v>
      </c>
      <c r="G339" s="16" t="s">
        <v>38</v>
      </c>
      <c r="H339" s="18" t="s">
        <v>39</v>
      </c>
      <c r="I339" s="43" t="s">
        <v>846</v>
      </c>
      <c r="J339" s="16" t="s">
        <v>1065</v>
      </c>
      <c r="K339" s="16"/>
      <c r="L339" s="20"/>
      <c r="M339" s="20" t="s">
        <v>39</v>
      </c>
      <c r="N339" s="21">
        <v>420000</v>
      </c>
      <c r="O339" s="188">
        <v>0.14</v>
      </c>
      <c r="P339" s="188">
        <v>0.01</v>
      </c>
      <c r="Q339" s="188">
        <v>0</v>
      </c>
      <c r="R339" s="188">
        <v>0.01</v>
      </c>
      <c r="S339" s="188">
        <v>0.01</v>
      </c>
      <c r="T339" s="188">
        <v>0</v>
      </c>
      <c r="U339" s="188">
        <v>0</v>
      </c>
      <c r="V339" s="45" t="s">
        <v>1532</v>
      </c>
      <c r="W339" s="188">
        <v>0.07</v>
      </c>
      <c r="X339" s="188" t="s">
        <v>1457</v>
      </c>
      <c r="Y339" s="188" t="s">
        <v>39</v>
      </c>
      <c r="Z339" s="188" t="s">
        <v>39</v>
      </c>
      <c r="AA339" s="188" t="s">
        <v>1457</v>
      </c>
      <c r="AB339" s="52" t="s">
        <v>39</v>
      </c>
      <c r="AC339" s="52" t="s">
        <v>39</v>
      </c>
      <c r="AD339" s="189" t="s">
        <v>1062</v>
      </c>
      <c r="AE339" s="17" t="s">
        <v>1063</v>
      </c>
    </row>
    <row r="340" s="2" customFormat="1" ht="48" hidden="1" customHeight="1" spans="1:31">
      <c r="A340" s="13">
        <v>338</v>
      </c>
      <c r="B340" s="187" t="s">
        <v>1133</v>
      </c>
      <c r="C340" s="15" t="s">
        <v>874</v>
      </c>
      <c r="D340" s="15" t="s">
        <v>1058</v>
      </c>
      <c r="E340" s="15" t="s">
        <v>1059</v>
      </c>
      <c r="F340" s="13" t="s">
        <v>81</v>
      </c>
      <c r="G340" s="16" t="s">
        <v>38</v>
      </c>
      <c r="H340" s="18" t="s">
        <v>39</v>
      </c>
      <c r="I340" s="43" t="s">
        <v>419</v>
      </c>
      <c r="J340" s="16" t="s">
        <v>1067</v>
      </c>
      <c r="K340" s="16"/>
      <c r="L340" s="20"/>
      <c r="M340" s="20" t="s">
        <v>39</v>
      </c>
      <c r="N340" s="21">
        <v>420000</v>
      </c>
      <c r="O340" s="188">
        <v>0.14</v>
      </c>
      <c r="P340" s="188">
        <v>0.01</v>
      </c>
      <c r="Q340" s="188">
        <v>0</v>
      </c>
      <c r="R340" s="188">
        <v>0.01</v>
      </c>
      <c r="S340" s="188">
        <v>0.01</v>
      </c>
      <c r="T340" s="188">
        <v>0</v>
      </c>
      <c r="U340" s="188">
        <v>0</v>
      </c>
      <c r="V340" s="45" t="s">
        <v>1532</v>
      </c>
      <c r="W340" s="188">
        <v>0.07</v>
      </c>
      <c r="X340" s="188" t="s">
        <v>1457</v>
      </c>
      <c r="Y340" s="188" t="s">
        <v>39</v>
      </c>
      <c r="Z340" s="188" t="s">
        <v>39</v>
      </c>
      <c r="AA340" s="188" t="s">
        <v>1457</v>
      </c>
      <c r="AB340" s="52" t="s">
        <v>39</v>
      </c>
      <c r="AC340" s="52" t="s">
        <v>39</v>
      </c>
      <c r="AD340" s="189" t="s">
        <v>1062</v>
      </c>
      <c r="AE340" s="17" t="s">
        <v>1063</v>
      </c>
    </row>
    <row r="341" s="2" customFormat="1" ht="48" hidden="1" customHeight="1" spans="1:31">
      <c r="A341" s="13">
        <v>339</v>
      </c>
      <c r="B341" s="187" t="s">
        <v>1135</v>
      </c>
      <c r="C341" s="15" t="s">
        <v>874</v>
      </c>
      <c r="D341" s="15" t="s">
        <v>1058</v>
      </c>
      <c r="E341" s="15" t="s">
        <v>1059</v>
      </c>
      <c r="F341" s="13" t="s">
        <v>81</v>
      </c>
      <c r="G341" s="16" t="s">
        <v>38</v>
      </c>
      <c r="H341" s="18" t="s">
        <v>39</v>
      </c>
      <c r="I341" s="43" t="s">
        <v>1069</v>
      </c>
      <c r="J341" s="16" t="s">
        <v>1061</v>
      </c>
      <c r="K341" s="16"/>
      <c r="L341" s="20"/>
      <c r="M341" s="20" t="s">
        <v>39</v>
      </c>
      <c r="N341" s="21">
        <v>780000</v>
      </c>
      <c r="O341" s="188">
        <v>0.16</v>
      </c>
      <c r="P341" s="188">
        <v>0.01</v>
      </c>
      <c r="Q341" s="188">
        <v>0</v>
      </c>
      <c r="R341" s="188">
        <v>0.01</v>
      </c>
      <c r="S341" s="188">
        <v>0.01</v>
      </c>
      <c r="T341" s="188">
        <v>0</v>
      </c>
      <c r="U341" s="188">
        <v>0</v>
      </c>
      <c r="V341" s="45" t="s">
        <v>1532</v>
      </c>
      <c r="W341" s="188">
        <v>0.07</v>
      </c>
      <c r="X341" s="188" t="s">
        <v>1457</v>
      </c>
      <c r="Y341" s="188" t="s">
        <v>39</v>
      </c>
      <c r="Z341" s="188" t="s">
        <v>39</v>
      </c>
      <c r="AA341" s="188" t="s">
        <v>1457</v>
      </c>
      <c r="AB341" s="52" t="s">
        <v>39</v>
      </c>
      <c r="AC341" s="52" t="s">
        <v>39</v>
      </c>
      <c r="AD341" s="189" t="s">
        <v>1062</v>
      </c>
      <c r="AE341" s="17" t="s">
        <v>1063</v>
      </c>
    </row>
    <row r="342" s="2" customFormat="1" ht="48" hidden="1" customHeight="1" spans="1:31">
      <c r="A342" s="13">
        <v>340</v>
      </c>
      <c r="B342" s="187" t="s">
        <v>1138</v>
      </c>
      <c r="C342" s="15" t="s">
        <v>874</v>
      </c>
      <c r="D342" s="15" t="s">
        <v>1058</v>
      </c>
      <c r="E342" s="15" t="s">
        <v>1059</v>
      </c>
      <c r="F342" s="13" t="s">
        <v>81</v>
      </c>
      <c r="G342" s="16" t="s">
        <v>38</v>
      </c>
      <c r="H342" s="18" t="s">
        <v>39</v>
      </c>
      <c r="I342" s="43" t="s">
        <v>1071</v>
      </c>
      <c r="J342" s="16" t="s">
        <v>1072</v>
      </c>
      <c r="K342" s="16"/>
      <c r="L342" s="20"/>
      <c r="M342" s="20" t="s">
        <v>39</v>
      </c>
      <c r="N342" s="21">
        <v>420000</v>
      </c>
      <c r="O342" s="188">
        <v>0.16</v>
      </c>
      <c r="P342" s="188">
        <v>0.01</v>
      </c>
      <c r="Q342" s="188">
        <v>0</v>
      </c>
      <c r="R342" s="188">
        <v>0.01</v>
      </c>
      <c r="S342" s="188">
        <v>0.01</v>
      </c>
      <c r="T342" s="188">
        <v>0</v>
      </c>
      <c r="U342" s="188">
        <v>0</v>
      </c>
      <c r="V342" s="45" t="s">
        <v>1532</v>
      </c>
      <c r="W342" s="188">
        <v>0.07</v>
      </c>
      <c r="X342" s="188" t="s">
        <v>1457</v>
      </c>
      <c r="Y342" s="188" t="s">
        <v>39</v>
      </c>
      <c r="Z342" s="188" t="s">
        <v>39</v>
      </c>
      <c r="AA342" s="188" t="s">
        <v>1457</v>
      </c>
      <c r="AB342" s="52" t="s">
        <v>39</v>
      </c>
      <c r="AC342" s="52" t="s">
        <v>39</v>
      </c>
      <c r="AD342" s="189" t="s">
        <v>1062</v>
      </c>
      <c r="AE342" s="17" t="s">
        <v>1063</v>
      </c>
    </row>
    <row r="343" s="2" customFormat="1" ht="36" hidden="1" customHeight="1" spans="1:31">
      <c r="A343" s="13">
        <v>341</v>
      </c>
      <c r="B343" s="187" t="s">
        <v>1141</v>
      </c>
      <c r="C343" s="15" t="s">
        <v>874</v>
      </c>
      <c r="D343" s="15" t="s">
        <v>1058</v>
      </c>
      <c r="E343" s="15" t="s">
        <v>1059</v>
      </c>
      <c r="F343" s="13" t="s">
        <v>81</v>
      </c>
      <c r="G343" s="16" t="s">
        <v>38</v>
      </c>
      <c r="H343" s="18" t="s">
        <v>39</v>
      </c>
      <c r="I343" s="43" t="s">
        <v>843</v>
      </c>
      <c r="J343" s="16" t="s">
        <v>1074</v>
      </c>
      <c r="K343" s="16"/>
      <c r="L343" s="20"/>
      <c r="M343" s="20" t="s">
        <v>39</v>
      </c>
      <c r="N343" s="21">
        <v>200000</v>
      </c>
      <c r="O343" s="188">
        <v>0.12</v>
      </c>
      <c r="P343" s="188">
        <v>0.01</v>
      </c>
      <c r="Q343" s="188">
        <v>0</v>
      </c>
      <c r="R343" s="188">
        <v>0.01</v>
      </c>
      <c r="S343" s="188">
        <v>0.01</v>
      </c>
      <c r="T343" s="188">
        <v>0</v>
      </c>
      <c r="U343" s="188">
        <v>0</v>
      </c>
      <c r="V343" s="45" t="s">
        <v>1533</v>
      </c>
      <c r="W343" s="188">
        <v>0.07</v>
      </c>
      <c r="X343" s="188" t="s">
        <v>1457</v>
      </c>
      <c r="Y343" s="188" t="s">
        <v>39</v>
      </c>
      <c r="Z343" s="188" t="s">
        <v>39</v>
      </c>
      <c r="AA343" s="188" t="s">
        <v>1457</v>
      </c>
      <c r="AB343" s="52" t="s">
        <v>39</v>
      </c>
      <c r="AC343" s="52" t="s">
        <v>39</v>
      </c>
      <c r="AD343" s="189" t="s">
        <v>1062</v>
      </c>
      <c r="AE343" s="17" t="s">
        <v>1063</v>
      </c>
    </row>
    <row r="344" s="2" customFormat="1" ht="36" hidden="1" customHeight="1" spans="1:31">
      <c r="A344" s="13">
        <v>342</v>
      </c>
      <c r="B344" s="187" t="s">
        <v>1145</v>
      </c>
      <c r="C344" s="15" t="s">
        <v>874</v>
      </c>
      <c r="D344" s="15" t="s">
        <v>1058</v>
      </c>
      <c r="E344" s="15" t="s">
        <v>1059</v>
      </c>
      <c r="F344" s="13" t="s">
        <v>81</v>
      </c>
      <c r="G344" s="16" t="s">
        <v>38</v>
      </c>
      <c r="H344" s="18" t="s">
        <v>39</v>
      </c>
      <c r="I344" s="43" t="s">
        <v>488</v>
      </c>
      <c r="J344" s="16" t="s">
        <v>1076</v>
      </c>
      <c r="K344" s="16"/>
      <c r="L344" s="20"/>
      <c r="M344" s="20" t="s">
        <v>39</v>
      </c>
      <c r="N344" s="21">
        <v>380000</v>
      </c>
      <c r="O344" s="188">
        <v>0.11</v>
      </c>
      <c r="P344" s="188">
        <v>0.01</v>
      </c>
      <c r="Q344" s="188">
        <v>0</v>
      </c>
      <c r="R344" s="188">
        <v>0.01</v>
      </c>
      <c r="S344" s="188">
        <v>0.01</v>
      </c>
      <c r="T344" s="188">
        <v>0</v>
      </c>
      <c r="U344" s="188">
        <v>0</v>
      </c>
      <c r="V344" s="45" t="s">
        <v>1533</v>
      </c>
      <c r="W344" s="188">
        <v>0.07</v>
      </c>
      <c r="X344" s="188" t="s">
        <v>1457</v>
      </c>
      <c r="Y344" s="45" t="s">
        <v>39</v>
      </c>
      <c r="Z344" s="45" t="s">
        <v>39</v>
      </c>
      <c r="AA344" s="45" t="s">
        <v>1457</v>
      </c>
      <c r="AB344" s="52" t="s">
        <v>39</v>
      </c>
      <c r="AC344" s="52" t="s">
        <v>39</v>
      </c>
      <c r="AD344" s="189" t="s">
        <v>1062</v>
      </c>
      <c r="AE344" s="17" t="s">
        <v>1063</v>
      </c>
    </row>
    <row r="345" s="2" customFormat="1" ht="12" hidden="1" customHeight="1" spans="1:31">
      <c r="A345" s="13">
        <v>343</v>
      </c>
      <c r="B345" s="187" t="s">
        <v>1151</v>
      </c>
      <c r="C345" s="15" t="s">
        <v>874</v>
      </c>
      <c r="D345" s="15" t="s">
        <v>1079</v>
      </c>
      <c r="E345" s="15" t="s">
        <v>1080</v>
      </c>
      <c r="F345" s="13" t="s">
        <v>47</v>
      </c>
      <c r="G345" s="16" t="s">
        <v>38</v>
      </c>
      <c r="H345" s="16" t="s">
        <v>39</v>
      </c>
      <c r="I345" s="17" t="s">
        <v>39</v>
      </c>
      <c r="J345" s="16" t="s">
        <v>1081</v>
      </c>
      <c r="K345" s="16"/>
      <c r="L345" s="20"/>
      <c r="M345" s="20" t="s">
        <v>39</v>
      </c>
      <c r="N345" s="21">
        <v>8000000</v>
      </c>
      <c r="O345" s="188" t="s">
        <v>39</v>
      </c>
      <c r="P345" s="188" t="s">
        <v>39</v>
      </c>
      <c r="Q345" s="188" t="s">
        <v>39</v>
      </c>
      <c r="R345" s="188">
        <v>0.02</v>
      </c>
      <c r="S345" s="188" t="s">
        <v>39</v>
      </c>
      <c r="T345" s="188" t="s">
        <v>39</v>
      </c>
      <c r="U345" s="188" t="s">
        <v>39</v>
      </c>
      <c r="V345" s="188" t="s">
        <v>39</v>
      </c>
      <c r="W345" s="188" t="s">
        <v>39</v>
      </c>
      <c r="X345" s="188" t="s">
        <v>39</v>
      </c>
      <c r="Y345" s="188"/>
      <c r="Z345" s="188"/>
      <c r="AA345" s="188">
        <v>0.52</v>
      </c>
      <c r="AB345" s="46">
        <v>0.05</v>
      </c>
      <c r="AC345" s="46">
        <v>0.005</v>
      </c>
      <c r="AD345" s="17" t="s">
        <v>1027</v>
      </c>
      <c r="AE345" s="17"/>
    </row>
    <row r="346" s="2" customFormat="1" ht="12" hidden="1" customHeight="1" spans="1:31">
      <c r="A346" s="13">
        <v>344</v>
      </c>
      <c r="B346" s="187" t="s">
        <v>1153</v>
      </c>
      <c r="C346" s="15" t="s">
        <v>874</v>
      </c>
      <c r="D346" s="15" t="s">
        <v>1083</v>
      </c>
      <c r="E346" s="15" t="s">
        <v>1084</v>
      </c>
      <c r="F346" s="16" t="s">
        <v>53</v>
      </c>
      <c r="G346" s="16" t="s">
        <v>38</v>
      </c>
      <c r="H346" s="16" t="s">
        <v>39</v>
      </c>
      <c r="I346" s="43" t="s">
        <v>39</v>
      </c>
      <c r="J346" s="16" t="s">
        <v>39</v>
      </c>
      <c r="K346" s="16"/>
      <c r="L346" s="20"/>
      <c r="M346" s="20" t="s">
        <v>39</v>
      </c>
      <c r="N346" s="21">
        <v>612000</v>
      </c>
      <c r="O346" s="188" t="s">
        <v>39</v>
      </c>
      <c r="P346" s="188" t="s">
        <v>39</v>
      </c>
      <c r="Q346" s="188" t="s">
        <v>39</v>
      </c>
      <c r="R346" s="188" t="s">
        <v>39</v>
      </c>
      <c r="S346" s="188" t="s">
        <v>39</v>
      </c>
      <c r="T346" s="188" t="s">
        <v>39</v>
      </c>
      <c r="U346" s="188" t="s">
        <v>39</v>
      </c>
      <c r="V346" s="188" t="s">
        <v>39</v>
      </c>
      <c r="W346" s="188" t="s">
        <v>39</v>
      </c>
      <c r="X346" s="188" t="s">
        <v>39</v>
      </c>
      <c r="Y346" s="45"/>
      <c r="Z346" s="45"/>
      <c r="AA346" s="45" t="s">
        <v>39</v>
      </c>
      <c r="AB346" s="52" t="s">
        <v>39</v>
      </c>
      <c r="AC346" s="52" t="s">
        <v>39</v>
      </c>
      <c r="AD346" s="17"/>
      <c r="AE346" s="17"/>
    </row>
    <row r="347" s="2" customFormat="1" ht="12" hidden="1" customHeight="1" spans="1:31">
      <c r="A347" s="13">
        <v>345</v>
      </c>
      <c r="B347" s="187" t="s">
        <v>1155</v>
      </c>
      <c r="C347" s="15" t="s">
        <v>874</v>
      </c>
      <c r="D347" s="15" t="s">
        <v>1086</v>
      </c>
      <c r="E347" s="15" t="s">
        <v>1087</v>
      </c>
      <c r="F347" s="13" t="s">
        <v>47</v>
      </c>
      <c r="G347" s="16" t="s">
        <v>178</v>
      </c>
      <c r="H347" s="16" t="s">
        <v>39</v>
      </c>
      <c r="I347" s="17" t="s">
        <v>39</v>
      </c>
      <c r="J347" s="16" t="s">
        <v>1088</v>
      </c>
      <c r="K347" s="16"/>
      <c r="L347" s="20"/>
      <c r="M347" s="20" t="s">
        <v>39</v>
      </c>
      <c r="N347" s="21" t="s">
        <v>39</v>
      </c>
      <c r="O347" s="190" t="s">
        <v>39</v>
      </c>
      <c r="P347" s="190" t="s">
        <v>39</v>
      </c>
      <c r="Q347" s="190" t="s">
        <v>39</v>
      </c>
      <c r="R347" s="190" t="s">
        <v>39</v>
      </c>
      <c r="S347" s="190" t="s">
        <v>39</v>
      </c>
      <c r="T347" s="190" t="s">
        <v>39</v>
      </c>
      <c r="U347" s="190" t="s">
        <v>39</v>
      </c>
      <c r="V347" s="45"/>
      <c r="W347" s="190"/>
      <c r="X347" s="190" t="s">
        <v>39</v>
      </c>
      <c r="Y347" s="188"/>
      <c r="Z347" s="188"/>
      <c r="AA347" s="188">
        <v>0.52</v>
      </c>
      <c r="AB347" s="46">
        <v>0.06</v>
      </c>
      <c r="AC347" s="46" t="s">
        <v>39</v>
      </c>
      <c r="AD347" s="189" t="s">
        <v>1027</v>
      </c>
      <c r="AE347" s="17"/>
    </row>
    <row r="348" s="2" customFormat="1" ht="24" hidden="1" customHeight="1" spans="1:31">
      <c r="A348" s="13">
        <v>346</v>
      </c>
      <c r="B348" s="187" t="s">
        <v>1159</v>
      </c>
      <c r="C348" s="15" t="s">
        <v>874</v>
      </c>
      <c r="D348" s="15" t="s">
        <v>1086</v>
      </c>
      <c r="E348" s="15" t="s">
        <v>1087</v>
      </c>
      <c r="F348" s="13" t="s">
        <v>47</v>
      </c>
      <c r="G348" s="16" t="s">
        <v>178</v>
      </c>
      <c r="H348" s="18" t="s">
        <v>39</v>
      </c>
      <c r="I348" s="43" t="s">
        <v>130</v>
      </c>
      <c r="J348" s="16" t="s">
        <v>1090</v>
      </c>
      <c r="K348" s="16"/>
      <c r="L348" s="20"/>
      <c r="M348" s="20" t="s">
        <v>39</v>
      </c>
      <c r="N348" s="21">
        <v>3830000</v>
      </c>
      <c r="O348" s="196">
        <v>0.18</v>
      </c>
      <c r="P348" s="188">
        <v>0</v>
      </c>
      <c r="Q348" s="188">
        <v>0</v>
      </c>
      <c r="R348" s="188">
        <v>0</v>
      </c>
      <c r="S348" s="188">
        <v>0</v>
      </c>
      <c r="T348" s="188">
        <v>0</v>
      </c>
      <c r="U348" s="188">
        <v>0</v>
      </c>
      <c r="V348" s="188">
        <v>0</v>
      </c>
      <c r="W348" s="188" t="s">
        <v>1457</v>
      </c>
      <c r="X348" s="45" t="s">
        <v>1515</v>
      </c>
      <c r="Y348" s="194" t="s">
        <v>39</v>
      </c>
      <c r="Z348" s="194" t="s">
        <v>39</v>
      </c>
      <c r="AA348" s="45" t="s">
        <v>1515</v>
      </c>
      <c r="AB348" s="51" t="s">
        <v>39</v>
      </c>
      <c r="AC348" s="46" t="s">
        <v>39</v>
      </c>
      <c r="AD348" s="60"/>
      <c r="AE348" s="17" t="s">
        <v>244</v>
      </c>
    </row>
    <row r="349" s="2" customFormat="1" ht="24" hidden="1" customHeight="1" spans="1:31">
      <c r="A349" s="13">
        <v>347</v>
      </c>
      <c r="B349" s="187" t="s">
        <v>1161</v>
      </c>
      <c r="C349" s="15" t="s">
        <v>874</v>
      </c>
      <c r="D349" s="15" t="s">
        <v>1086</v>
      </c>
      <c r="E349" s="15" t="s">
        <v>1087</v>
      </c>
      <c r="F349" s="13" t="s">
        <v>47</v>
      </c>
      <c r="G349" s="16" t="s">
        <v>178</v>
      </c>
      <c r="H349" s="18" t="s">
        <v>39</v>
      </c>
      <c r="I349" s="43" t="s">
        <v>1092</v>
      </c>
      <c r="J349" s="16" t="s">
        <v>1093</v>
      </c>
      <c r="K349" s="16"/>
      <c r="L349" s="20"/>
      <c r="M349" s="20" t="s">
        <v>39</v>
      </c>
      <c r="N349" s="21">
        <v>930000</v>
      </c>
      <c r="O349" s="196">
        <v>0.19</v>
      </c>
      <c r="P349" s="188">
        <v>0</v>
      </c>
      <c r="Q349" s="188">
        <v>0</v>
      </c>
      <c r="R349" s="188">
        <v>0</v>
      </c>
      <c r="S349" s="188">
        <v>0</v>
      </c>
      <c r="T349" s="188">
        <v>0</v>
      </c>
      <c r="U349" s="188">
        <v>0</v>
      </c>
      <c r="V349" s="188">
        <v>0</v>
      </c>
      <c r="W349" s="188" t="s">
        <v>1457</v>
      </c>
      <c r="X349" s="45" t="s">
        <v>1515</v>
      </c>
      <c r="Y349" s="194" t="s">
        <v>39</v>
      </c>
      <c r="Z349" s="194" t="s">
        <v>39</v>
      </c>
      <c r="AA349" s="45" t="s">
        <v>1515</v>
      </c>
      <c r="AB349" s="51" t="s">
        <v>39</v>
      </c>
      <c r="AC349" s="46" t="s">
        <v>39</v>
      </c>
      <c r="AD349" s="60"/>
      <c r="AE349" s="17" t="s">
        <v>244</v>
      </c>
    </row>
    <row r="350" s="2" customFormat="1" ht="36" hidden="1" customHeight="1" spans="1:31">
      <c r="A350" s="13">
        <v>348</v>
      </c>
      <c r="B350" s="187" t="s">
        <v>1163</v>
      </c>
      <c r="C350" s="15" t="s">
        <v>874</v>
      </c>
      <c r="D350" s="15" t="s">
        <v>1095</v>
      </c>
      <c r="E350" s="15" t="s">
        <v>1096</v>
      </c>
      <c r="F350" s="13" t="s">
        <v>47</v>
      </c>
      <c r="G350" s="16" t="s">
        <v>178</v>
      </c>
      <c r="H350" s="16" t="s">
        <v>39</v>
      </c>
      <c r="I350" s="17" t="s">
        <v>39</v>
      </c>
      <c r="J350" s="16" t="s">
        <v>1088</v>
      </c>
      <c r="K350" s="16"/>
      <c r="L350" s="20"/>
      <c r="M350" s="20" t="s">
        <v>39</v>
      </c>
      <c r="N350" s="21" t="s">
        <v>39</v>
      </c>
      <c r="O350" s="190" t="s">
        <v>39</v>
      </c>
      <c r="P350" s="190" t="s">
        <v>39</v>
      </c>
      <c r="Q350" s="190" t="s">
        <v>39</v>
      </c>
      <c r="R350" s="190" t="s">
        <v>39</v>
      </c>
      <c r="S350" s="190" t="s">
        <v>39</v>
      </c>
      <c r="T350" s="190" t="s">
        <v>39</v>
      </c>
      <c r="U350" s="190" t="s">
        <v>39</v>
      </c>
      <c r="V350" s="45"/>
      <c r="W350" s="190"/>
      <c r="X350" s="190" t="s">
        <v>39</v>
      </c>
      <c r="Y350" s="188"/>
      <c r="Z350" s="188"/>
      <c r="AA350" s="188">
        <v>0.52</v>
      </c>
      <c r="AB350" s="46">
        <v>0.05</v>
      </c>
      <c r="AC350" s="46">
        <v>0.005</v>
      </c>
      <c r="AD350" s="189" t="s">
        <v>1097</v>
      </c>
      <c r="AE350" s="17"/>
    </row>
    <row r="351" s="2" customFormat="1" ht="24" hidden="1" customHeight="1" spans="1:31">
      <c r="A351" s="13">
        <v>349</v>
      </c>
      <c r="B351" s="187" t="s">
        <v>1167</v>
      </c>
      <c r="C351" s="15" t="s">
        <v>874</v>
      </c>
      <c r="D351" s="15" t="s">
        <v>1095</v>
      </c>
      <c r="E351" s="15" t="s">
        <v>1096</v>
      </c>
      <c r="F351" s="13" t="s">
        <v>47</v>
      </c>
      <c r="G351" s="16" t="s">
        <v>178</v>
      </c>
      <c r="H351" s="18" t="s">
        <v>39</v>
      </c>
      <c r="I351" s="43" t="s">
        <v>1099</v>
      </c>
      <c r="J351" s="16" t="s">
        <v>1100</v>
      </c>
      <c r="K351" s="16"/>
      <c r="L351" s="20"/>
      <c r="M351" s="20" t="s">
        <v>39</v>
      </c>
      <c r="N351" s="21">
        <v>1280000</v>
      </c>
      <c r="O351" s="196">
        <v>0.1</v>
      </c>
      <c r="P351" s="188">
        <v>0</v>
      </c>
      <c r="Q351" s="188">
        <v>0</v>
      </c>
      <c r="R351" s="188">
        <v>0</v>
      </c>
      <c r="S351" s="188">
        <v>0</v>
      </c>
      <c r="T351" s="188">
        <v>0</v>
      </c>
      <c r="U351" s="188">
        <v>0</v>
      </c>
      <c r="V351" s="188">
        <v>0</v>
      </c>
      <c r="W351" s="45" t="s">
        <v>1457</v>
      </c>
      <c r="X351" s="45" t="s">
        <v>1515</v>
      </c>
      <c r="Y351" s="194" t="s">
        <v>39</v>
      </c>
      <c r="Z351" s="194" t="s">
        <v>39</v>
      </c>
      <c r="AA351" s="45" t="s">
        <v>1515</v>
      </c>
      <c r="AB351" s="51" t="s">
        <v>39</v>
      </c>
      <c r="AC351" s="46" t="s">
        <v>39</v>
      </c>
      <c r="AD351" s="17"/>
      <c r="AE351" s="17" t="s">
        <v>244</v>
      </c>
    </row>
    <row r="352" s="2" customFormat="1" ht="12" hidden="1" customHeight="1" spans="1:31">
      <c r="A352" s="13">
        <v>350</v>
      </c>
      <c r="B352" s="187" t="s">
        <v>1169</v>
      </c>
      <c r="C352" s="15" t="s">
        <v>874</v>
      </c>
      <c r="D352" s="15" t="s">
        <v>1095</v>
      </c>
      <c r="E352" s="15" t="s">
        <v>1102</v>
      </c>
      <c r="F352" s="13" t="s">
        <v>47</v>
      </c>
      <c r="G352" s="16" t="s">
        <v>178</v>
      </c>
      <c r="H352" s="16" t="s">
        <v>39</v>
      </c>
      <c r="I352" s="17" t="s">
        <v>39</v>
      </c>
      <c r="J352" s="16" t="s">
        <v>1103</v>
      </c>
      <c r="K352" s="16"/>
      <c r="L352" s="20"/>
      <c r="M352" s="20" t="s">
        <v>39</v>
      </c>
      <c r="N352" s="21" t="s">
        <v>39</v>
      </c>
      <c r="O352" s="190" t="s">
        <v>39</v>
      </c>
      <c r="P352" s="190" t="s">
        <v>39</v>
      </c>
      <c r="Q352" s="190" t="s">
        <v>39</v>
      </c>
      <c r="R352" s="190" t="s">
        <v>39</v>
      </c>
      <c r="S352" s="190" t="s">
        <v>39</v>
      </c>
      <c r="T352" s="190" t="s">
        <v>39</v>
      </c>
      <c r="U352" s="190" t="s">
        <v>39</v>
      </c>
      <c r="V352" s="45" t="s">
        <v>39</v>
      </c>
      <c r="W352" s="190"/>
      <c r="X352" s="190" t="s">
        <v>39</v>
      </c>
      <c r="Y352" s="188"/>
      <c r="Z352" s="188"/>
      <c r="AA352" s="188">
        <v>0.52</v>
      </c>
      <c r="AB352" s="46">
        <v>0.06</v>
      </c>
      <c r="AC352" s="46">
        <v>0.005</v>
      </c>
      <c r="AD352" s="17"/>
      <c r="AE352" s="17"/>
    </row>
    <row r="353" s="2" customFormat="1" ht="24" hidden="1" customHeight="1" spans="1:31">
      <c r="A353" s="13">
        <v>351</v>
      </c>
      <c r="B353" s="187" t="s">
        <v>1175</v>
      </c>
      <c r="C353" s="15" t="s">
        <v>874</v>
      </c>
      <c r="D353" s="15" t="s">
        <v>1095</v>
      </c>
      <c r="E353" s="15" t="s">
        <v>1102</v>
      </c>
      <c r="F353" s="13" t="s">
        <v>47</v>
      </c>
      <c r="G353" s="16" t="s">
        <v>178</v>
      </c>
      <c r="H353" s="18" t="s">
        <v>39</v>
      </c>
      <c r="I353" s="43" t="s">
        <v>1105</v>
      </c>
      <c r="J353" s="16" t="s">
        <v>1106</v>
      </c>
      <c r="K353" s="16"/>
      <c r="L353" s="20"/>
      <c r="M353" s="20" t="s">
        <v>39</v>
      </c>
      <c r="N353" s="21">
        <v>730000</v>
      </c>
      <c r="O353" s="194">
        <v>0.25</v>
      </c>
      <c r="P353" s="188">
        <v>0</v>
      </c>
      <c r="Q353" s="188">
        <v>0</v>
      </c>
      <c r="R353" s="188">
        <v>0</v>
      </c>
      <c r="S353" s="188">
        <v>0</v>
      </c>
      <c r="T353" s="188">
        <v>0</v>
      </c>
      <c r="U353" s="188">
        <v>0</v>
      </c>
      <c r="V353" s="188">
        <v>0</v>
      </c>
      <c r="W353" s="188">
        <v>0</v>
      </c>
      <c r="X353" s="45" t="s">
        <v>1515</v>
      </c>
      <c r="Y353" s="45" t="s">
        <v>39</v>
      </c>
      <c r="Z353" s="45" t="s">
        <v>39</v>
      </c>
      <c r="AA353" s="45" t="s">
        <v>1515</v>
      </c>
      <c r="AB353" s="51" t="s">
        <v>39</v>
      </c>
      <c r="AC353" s="46" t="s">
        <v>39</v>
      </c>
      <c r="AD353" s="17"/>
      <c r="AE353" s="17" t="s">
        <v>244</v>
      </c>
    </row>
    <row r="354" s="2" customFormat="1" ht="24" hidden="1" customHeight="1" spans="1:31">
      <c r="A354" s="13">
        <v>352</v>
      </c>
      <c r="B354" s="187" t="s">
        <v>1180</v>
      </c>
      <c r="C354" s="15" t="s">
        <v>874</v>
      </c>
      <c r="D354" s="15" t="s">
        <v>1095</v>
      </c>
      <c r="E354" s="15" t="s">
        <v>1102</v>
      </c>
      <c r="F354" s="13" t="s">
        <v>47</v>
      </c>
      <c r="G354" s="16" t="s">
        <v>178</v>
      </c>
      <c r="H354" s="18" t="s">
        <v>39</v>
      </c>
      <c r="I354" s="43" t="s">
        <v>448</v>
      </c>
      <c r="J354" s="16" t="s">
        <v>1108</v>
      </c>
      <c r="K354" s="16"/>
      <c r="L354" s="20"/>
      <c r="M354" s="20" t="s">
        <v>39</v>
      </c>
      <c r="N354" s="21">
        <v>1250000</v>
      </c>
      <c r="O354" s="194">
        <v>0.25</v>
      </c>
      <c r="P354" s="188">
        <v>0</v>
      </c>
      <c r="Q354" s="188">
        <v>0</v>
      </c>
      <c r="R354" s="188">
        <v>0</v>
      </c>
      <c r="S354" s="188">
        <v>0</v>
      </c>
      <c r="T354" s="188">
        <v>0</v>
      </c>
      <c r="U354" s="188">
        <v>0</v>
      </c>
      <c r="V354" s="188">
        <v>0</v>
      </c>
      <c r="W354" s="188">
        <v>0</v>
      </c>
      <c r="X354" s="45" t="s">
        <v>1515</v>
      </c>
      <c r="Y354" s="45" t="s">
        <v>39</v>
      </c>
      <c r="Z354" s="45" t="s">
        <v>39</v>
      </c>
      <c r="AA354" s="45" t="s">
        <v>1515</v>
      </c>
      <c r="AB354" s="51" t="s">
        <v>39</v>
      </c>
      <c r="AC354" s="46" t="s">
        <v>39</v>
      </c>
      <c r="AD354" s="17"/>
      <c r="AE354" s="17" t="s">
        <v>244</v>
      </c>
    </row>
    <row r="355" s="2" customFormat="1" ht="24" hidden="1" customHeight="1" spans="1:31">
      <c r="A355" s="13">
        <v>353</v>
      </c>
      <c r="B355" s="187" t="s">
        <v>1183</v>
      </c>
      <c r="C355" s="15" t="s">
        <v>874</v>
      </c>
      <c r="D355" s="15" t="s">
        <v>1095</v>
      </c>
      <c r="E355" s="15" t="s">
        <v>1102</v>
      </c>
      <c r="F355" s="13" t="s">
        <v>47</v>
      </c>
      <c r="G355" s="16" t="s">
        <v>178</v>
      </c>
      <c r="H355" s="18" t="s">
        <v>39</v>
      </c>
      <c r="I355" s="43" t="s">
        <v>217</v>
      </c>
      <c r="J355" s="16" t="s">
        <v>1110</v>
      </c>
      <c r="K355" s="16"/>
      <c r="L355" s="20"/>
      <c r="M355" s="20" t="s">
        <v>39</v>
      </c>
      <c r="N355" s="21">
        <v>890000</v>
      </c>
      <c r="O355" s="194">
        <v>0.25</v>
      </c>
      <c r="P355" s="188">
        <v>0</v>
      </c>
      <c r="Q355" s="188">
        <v>0</v>
      </c>
      <c r="R355" s="188">
        <v>0</v>
      </c>
      <c r="S355" s="188">
        <v>0</v>
      </c>
      <c r="T355" s="188">
        <v>0</v>
      </c>
      <c r="U355" s="188">
        <v>0</v>
      </c>
      <c r="V355" s="188">
        <v>0</v>
      </c>
      <c r="W355" s="188">
        <v>0</v>
      </c>
      <c r="X355" s="45" t="s">
        <v>1515</v>
      </c>
      <c r="Y355" s="45" t="s">
        <v>39</v>
      </c>
      <c r="Z355" s="45" t="s">
        <v>39</v>
      </c>
      <c r="AA355" s="45" t="s">
        <v>1515</v>
      </c>
      <c r="AB355" s="51" t="s">
        <v>39</v>
      </c>
      <c r="AC355" s="46" t="s">
        <v>39</v>
      </c>
      <c r="AD355" s="17"/>
      <c r="AE355" s="17" t="s">
        <v>244</v>
      </c>
    </row>
    <row r="356" s="2" customFormat="1" ht="12" hidden="1" customHeight="1" spans="1:31">
      <c r="A356" s="13">
        <v>354</v>
      </c>
      <c r="B356" s="187" t="s">
        <v>1186</v>
      </c>
      <c r="C356" s="197" t="s">
        <v>874</v>
      </c>
      <c r="D356" s="197" t="s">
        <v>1111</v>
      </c>
      <c r="E356" s="197" t="s">
        <v>1112</v>
      </c>
      <c r="F356" s="198" t="s">
        <v>37</v>
      </c>
      <c r="G356" s="187" t="s">
        <v>178</v>
      </c>
      <c r="H356" s="45" t="s">
        <v>39</v>
      </c>
      <c r="I356" s="198" t="s">
        <v>39</v>
      </c>
      <c r="J356" s="187" t="s">
        <v>39</v>
      </c>
      <c r="K356" s="187"/>
      <c r="L356" s="188"/>
      <c r="M356" s="188" t="s">
        <v>39</v>
      </c>
      <c r="N356" s="21" t="s">
        <v>39</v>
      </c>
      <c r="O356" s="188" t="s">
        <v>39</v>
      </c>
      <c r="P356" s="188"/>
      <c r="Q356" s="188" t="s">
        <v>39</v>
      </c>
      <c r="R356" s="188"/>
      <c r="S356" s="188" t="s">
        <v>39</v>
      </c>
      <c r="T356" s="188" t="s">
        <v>39</v>
      </c>
      <c r="U356" s="188" t="s">
        <v>39</v>
      </c>
      <c r="V356" s="188"/>
      <c r="W356" s="188"/>
      <c r="X356" s="45" t="s">
        <v>39</v>
      </c>
      <c r="Y356" s="188"/>
      <c r="Z356" s="188"/>
      <c r="AA356" s="188" t="s">
        <v>39</v>
      </c>
      <c r="AB356" s="46">
        <v>0.06</v>
      </c>
      <c r="AC356" s="46">
        <v>0.005</v>
      </c>
      <c r="AD356" s="189" t="s">
        <v>104</v>
      </c>
      <c r="AE356" s="17"/>
    </row>
    <row r="357" s="2" customFormat="1" ht="48" hidden="1" customHeight="1" spans="1:31">
      <c r="A357" s="13">
        <v>355</v>
      </c>
      <c r="B357" s="187" t="s">
        <v>1189</v>
      </c>
      <c r="C357" s="15" t="s">
        <v>874</v>
      </c>
      <c r="D357" s="15" t="s">
        <v>1111</v>
      </c>
      <c r="E357" s="15" t="s">
        <v>1112</v>
      </c>
      <c r="F357" s="13" t="s">
        <v>81</v>
      </c>
      <c r="G357" s="16" t="s">
        <v>178</v>
      </c>
      <c r="H357" s="18" t="s">
        <v>39</v>
      </c>
      <c r="I357" s="43" t="s">
        <v>240</v>
      </c>
      <c r="J357" s="16" t="s">
        <v>210</v>
      </c>
      <c r="K357" s="16"/>
      <c r="L357" s="20"/>
      <c r="M357" s="20" t="s">
        <v>39</v>
      </c>
      <c r="N357" s="21">
        <v>1720000</v>
      </c>
      <c r="O357" s="196">
        <v>0.12</v>
      </c>
      <c r="P357" s="194" t="s">
        <v>39</v>
      </c>
      <c r="Q357" s="194" t="s">
        <v>39</v>
      </c>
      <c r="R357" s="194" t="s">
        <v>39</v>
      </c>
      <c r="S357" s="194" t="s">
        <v>39</v>
      </c>
      <c r="T357" s="194" t="s">
        <v>39</v>
      </c>
      <c r="U357" s="194" t="s">
        <v>39</v>
      </c>
      <c r="V357" s="188" t="s">
        <v>1457</v>
      </c>
      <c r="W357" s="188">
        <v>0.05</v>
      </c>
      <c r="X357" s="188" t="s">
        <v>1457</v>
      </c>
      <c r="Y357" s="194" t="s">
        <v>39</v>
      </c>
      <c r="Z357" s="194" t="s">
        <v>39</v>
      </c>
      <c r="AA357" s="188" t="s">
        <v>1457</v>
      </c>
      <c r="AB357" s="51" t="s">
        <v>39</v>
      </c>
      <c r="AC357" s="46" t="s">
        <v>39</v>
      </c>
      <c r="AD357" s="17" t="s">
        <v>1114</v>
      </c>
      <c r="AE357" s="17" t="s">
        <v>1115</v>
      </c>
    </row>
    <row r="358" s="2" customFormat="1" ht="48" hidden="1" customHeight="1" spans="1:31">
      <c r="A358" s="13">
        <v>356</v>
      </c>
      <c r="B358" s="187" t="s">
        <v>1192</v>
      </c>
      <c r="C358" s="15" t="s">
        <v>874</v>
      </c>
      <c r="D358" s="15" t="s">
        <v>1111</v>
      </c>
      <c r="E358" s="15" t="s">
        <v>1112</v>
      </c>
      <c r="F358" s="13" t="s">
        <v>81</v>
      </c>
      <c r="G358" s="16" t="s">
        <v>178</v>
      </c>
      <c r="H358" s="18" t="s">
        <v>39</v>
      </c>
      <c r="I358" s="43" t="s">
        <v>266</v>
      </c>
      <c r="J358" s="16" t="s">
        <v>1118</v>
      </c>
      <c r="K358" s="16"/>
      <c r="L358" s="20"/>
      <c r="M358" s="20" t="s">
        <v>39</v>
      </c>
      <c r="N358" s="21">
        <v>820000</v>
      </c>
      <c r="O358" s="196">
        <v>0.15</v>
      </c>
      <c r="P358" s="194" t="s">
        <v>39</v>
      </c>
      <c r="Q358" s="194" t="s">
        <v>39</v>
      </c>
      <c r="R358" s="194" t="s">
        <v>39</v>
      </c>
      <c r="S358" s="194" t="s">
        <v>39</v>
      </c>
      <c r="T358" s="194" t="s">
        <v>39</v>
      </c>
      <c r="U358" s="194" t="s">
        <v>39</v>
      </c>
      <c r="V358" s="188" t="s">
        <v>1457</v>
      </c>
      <c r="W358" s="188">
        <v>0.03</v>
      </c>
      <c r="X358" s="188" t="s">
        <v>1457</v>
      </c>
      <c r="Y358" s="194" t="s">
        <v>39</v>
      </c>
      <c r="Z358" s="194" t="s">
        <v>39</v>
      </c>
      <c r="AA358" s="188" t="s">
        <v>1457</v>
      </c>
      <c r="AB358" s="51" t="s">
        <v>39</v>
      </c>
      <c r="AC358" s="46" t="s">
        <v>39</v>
      </c>
      <c r="AD358" s="17" t="s">
        <v>1114</v>
      </c>
      <c r="AE358" s="17" t="s">
        <v>1115</v>
      </c>
    </row>
    <row r="359" s="2" customFormat="1" ht="48" hidden="1" customHeight="1" spans="1:31">
      <c r="A359" s="13">
        <v>357</v>
      </c>
      <c r="B359" s="187" t="s">
        <v>1195</v>
      </c>
      <c r="C359" s="15" t="s">
        <v>874</v>
      </c>
      <c r="D359" s="15" t="s">
        <v>1111</v>
      </c>
      <c r="E359" s="15" t="s">
        <v>1112</v>
      </c>
      <c r="F359" s="13" t="s">
        <v>81</v>
      </c>
      <c r="G359" s="16" t="s">
        <v>178</v>
      </c>
      <c r="H359" s="18" t="s">
        <v>39</v>
      </c>
      <c r="I359" s="43" t="s">
        <v>1120</v>
      </c>
      <c r="J359" s="16" t="s">
        <v>1121</v>
      </c>
      <c r="K359" s="16"/>
      <c r="L359" s="20"/>
      <c r="M359" s="20" t="s">
        <v>39</v>
      </c>
      <c r="N359" s="21">
        <v>730000</v>
      </c>
      <c r="O359" s="196">
        <v>0.18</v>
      </c>
      <c r="P359" s="194" t="s">
        <v>39</v>
      </c>
      <c r="Q359" s="194" t="s">
        <v>39</v>
      </c>
      <c r="R359" s="194" t="s">
        <v>39</v>
      </c>
      <c r="S359" s="194" t="s">
        <v>39</v>
      </c>
      <c r="T359" s="194" t="s">
        <v>39</v>
      </c>
      <c r="U359" s="194" t="s">
        <v>39</v>
      </c>
      <c r="V359" s="188" t="s">
        <v>1457</v>
      </c>
      <c r="W359" s="188">
        <v>0.04</v>
      </c>
      <c r="X359" s="188" t="s">
        <v>1457</v>
      </c>
      <c r="Y359" s="194" t="s">
        <v>39</v>
      </c>
      <c r="Z359" s="194" t="s">
        <v>39</v>
      </c>
      <c r="AA359" s="188" t="s">
        <v>1457</v>
      </c>
      <c r="AB359" s="51" t="s">
        <v>39</v>
      </c>
      <c r="AC359" s="46" t="s">
        <v>39</v>
      </c>
      <c r="AD359" s="17" t="s">
        <v>1114</v>
      </c>
      <c r="AE359" s="17" t="s">
        <v>1115</v>
      </c>
    </row>
    <row r="360" s="2" customFormat="1" ht="12" hidden="1" customHeight="1" spans="1:31">
      <c r="A360" s="13">
        <v>358</v>
      </c>
      <c r="B360" s="187" t="s">
        <v>1198</v>
      </c>
      <c r="C360" s="15"/>
      <c r="D360" s="15"/>
      <c r="E360" s="15" t="s">
        <v>1112</v>
      </c>
      <c r="F360" s="13" t="s">
        <v>81</v>
      </c>
      <c r="G360" s="16" t="s">
        <v>178</v>
      </c>
      <c r="H360" s="45" t="s">
        <v>39</v>
      </c>
      <c r="I360" s="43" t="s">
        <v>1534</v>
      </c>
      <c r="J360" s="16" t="s">
        <v>1535</v>
      </c>
      <c r="K360" s="16"/>
      <c r="L360" s="20"/>
      <c r="M360" s="20"/>
      <c r="N360" s="21"/>
      <c r="O360" s="196">
        <v>0.18</v>
      </c>
      <c r="P360" s="194" t="s">
        <v>39</v>
      </c>
      <c r="Q360" s="194" t="s">
        <v>39</v>
      </c>
      <c r="R360" s="194" t="s">
        <v>39</v>
      </c>
      <c r="S360" s="194" t="s">
        <v>39</v>
      </c>
      <c r="T360" s="194" t="s">
        <v>39</v>
      </c>
      <c r="U360" s="194" t="s">
        <v>39</v>
      </c>
      <c r="V360" s="188" t="s">
        <v>1457</v>
      </c>
      <c r="W360" s="188">
        <v>0.03</v>
      </c>
      <c r="X360" s="188" t="s">
        <v>1457</v>
      </c>
      <c r="Y360" s="194" t="s">
        <v>39</v>
      </c>
      <c r="Z360" s="194" t="s">
        <v>39</v>
      </c>
      <c r="AA360" s="188" t="s">
        <v>1457</v>
      </c>
      <c r="AB360" s="51"/>
      <c r="AC360" s="46"/>
      <c r="AD360" s="17"/>
      <c r="AE360" s="17"/>
    </row>
    <row r="361" s="2" customFormat="1" ht="48" hidden="1" customHeight="1" spans="1:31">
      <c r="A361" s="13">
        <v>359</v>
      </c>
      <c r="B361" s="187" t="s">
        <v>1200</v>
      </c>
      <c r="C361" s="15" t="s">
        <v>874</v>
      </c>
      <c r="D361" s="15" t="s">
        <v>1111</v>
      </c>
      <c r="E361" s="15" t="s">
        <v>1112</v>
      </c>
      <c r="F361" s="13" t="s">
        <v>81</v>
      </c>
      <c r="G361" s="16" t="s">
        <v>178</v>
      </c>
      <c r="H361" s="18" t="s">
        <v>39</v>
      </c>
      <c r="I361" s="43" t="s">
        <v>1123</v>
      </c>
      <c r="J361" s="16" t="s">
        <v>1124</v>
      </c>
      <c r="K361" s="16"/>
      <c r="L361" s="20"/>
      <c r="M361" s="20" t="s">
        <v>39</v>
      </c>
      <c r="N361" s="21">
        <v>670000</v>
      </c>
      <c r="O361" s="196">
        <v>0.18</v>
      </c>
      <c r="P361" s="194" t="s">
        <v>39</v>
      </c>
      <c r="Q361" s="194" t="s">
        <v>39</v>
      </c>
      <c r="R361" s="194" t="s">
        <v>39</v>
      </c>
      <c r="S361" s="194" t="s">
        <v>39</v>
      </c>
      <c r="T361" s="194" t="s">
        <v>39</v>
      </c>
      <c r="U361" s="194" t="s">
        <v>39</v>
      </c>
      <c r="V361" s="188" t="s">
        <v>1457</v>
      </c>
      <c r="W361" s="188">
        <v>0.05</v>
      </c>
      <c r="X361" s="188" t="s">
        <v>1457</v>
      </c>
      <c r="Y361" s="194" t="s">
        <v>39</v>
      </c>
      <c r="Z361" s="194" t="s">
        <v>39</v>
      </c>
      <c r="AA361" s="188" t="s">
        <v>1457</v>
      </c>
      <c r="AB361" s="51" t="s">
        <v>39</v>
      </c>
      <c r="AC361" s="46" t="s">
        <v>39</v>
      </c>
      <c r="AD361" s="17" t="s">
        <v>1114</v>
      </c>
      <c r="AE361" s="17" t="s">
        <v>1115</v>
      </c>
    </row>
    <row r="362" s="2" customFormat="1" ht="48" hidden="1" customHeight="1" spans="1:31">
      <c r="A362" s="13">
        <v>360</v>
      </c>
      <c r="B362" s="187" t="s">
        <v>1203</v>
      </c>
      <c r="C362" s="15" t="s">
        <v>874</v>
      </c>
      <c r="D362" s="15" t="s">
        <v>1111</v>
      </c>
      <c r="E362" s="15" t="s">
        <v>1112</v>
      </c>
      <c r="F362" s="13" t="s">
        <v>81</v>
      </c>
      <c r="G362" s="16" t="s">
        <v>178</v>
      </c>
      <c r="H362" s="18" t="s">
        <v>39</v>
      </c>
      <c r="I362" s="43" t="s">
        <v>1126</v>
      </c>
      <c r="J362" s="16" t="s">
        <v>1127</v>
      </c>
      <c r="K362" s="16"/>
      <c r="L362" s="20"/>
      <c r="M362" s="20" t="s">
        <v>39</v>
      </c>
      <c r="N362" s="21">
        <v>770000</v>
      </c>
      <c r="O362" s="196">
        <v>0.18</v>
      </c>
      <c r="P362" s="194" t="s">
        <v>39</v>
      </c>
      <c r="Q362" s="194" t="s">
        <v>39</v>
      </c>
      <c r="R362" s="194" t="s">
        <v>39</v>
      </c>
      <c r="S362" s="194" t="s">
        <v>39</v>
      </c>
      <c r="T362" s="194" t="s">
        <v>39</v>
      </c>
      <c r="U362" s="194" t="s">
        <v>39</v>
      </c>
      <c r="V362" s="188" t="s">
        <v>1457</v>
      </c>
      <c r="W362" s="188">
        <v>0.05</v>
      </c>
      <c r="X362" s="188" t="s">
        <v>1457</v>
      </c>
      <c r="Y362" s="194" t="s">
        <v>39</v>
      </c>
      <c r="Z362" s="194" t="s">
        <v>39</v>
      </c>
      <c r="AA362" s="188" t="s">
        <v>1457</v>
      </c>
      <c r="AB362" s="51" t="s">
        <v>39</v>
      </c>
      <c r="AC362" s="46" t="s">
        <v>39</v>
      </c>
      <c r="AD362" s="17" t="s">
        <v>1114</v>
      </c>
      <c r="AE362" s="17" t="s">
        <v>1115</v>
      </c>
    </row>
    <row r="363" s="2" customFormat="1" ht="48" hidden="1" customHeight="1" spans="1:31">
      <c r="A363" s="13">
        <v>361</v>
      </c>
      <c r="B363" s="187" t="s">
        <v>1206</v>
      </c>
      <c r="C363" s="15" t="s">
        <v>874</v>
      </c>
      <c r="D363" s="15" t="s">
        <v>1111</v>
      </c>
      <c r="E363" s="15" t="s">
        <v>1112</v>
      </c>
      <c r="F363" s="13" t="s">
        <v>81</v>
      </c>
      <c r="G363" s="16" t="s">
        <v>178</v>
      </c>
      <c r="H363" s="18" t="s">
        <v>39</v>
      </c>
      <c r="I363" s="43" t="s">
        <v>1129</v>
      </c>
      <c r="J363" s="16" t="s">
        <v>1130</v>
      </c>
      <c r="K363" s="16"/>
      <c r="L363" s="20"/>
      <c r="M363" s="20" t="s">
        <v>39</v>
      </c>
      <c r="N363" s="21">
        <v>1480000</v>
      </c>
      <c r="O363" s="196">
        <v>0.18</v>
      </c>
      <c r="P363" s="194" t="s">
        <v>39</v>
      </c>
      <c r="Q363" s="194" t="s">
        <v>39</v>
      </c>
      <c r="R363" s="194" t="s">
        <v>39</v>
      </c>
      <c r="S363" s="194" t="s">
        <v>39</v>
      </c>
      <c r="T363" s="194" t="s">
        <v>39</v>
      </c>
      <c r="U363" s="194" t="s">
        <v>39</v>
      </c>
      <c r="V363" s="188" t="s">
        <v>1457</v>
      </c>
      <c r="W363" s="188">
        <v>0.05</v>
      </c>
      <c r="X363" s="188" t="s">
        <v>1457</v>
      </c>
      <c r="Y363" s="194" t="s">
        <v>39</v>
      </c>
      <c r="Z363" s="194" t="s">
        <v>39</v>
      </c>
      <c r="AA363" s="188" t="s">
        <v>1457</v>
      </c>
      <c r="AB363" s="51" t="s">
        <v>39</v>
      </c>
      <c r="AC363" s="46" t="s">
        <v>39</v>
      </c>
      <c r="AD363" s="17" t="s">
        <v>1114</v>
      </c>
      <c r="AE363" s="17" t="s">
        <v>1115</v>
      </c>
    </row>
    <row r="364" s="2" customFormat="1" ht="48" hidden="1" customHeight="1" spans="1:31">
      <c r="A364" s="13">
        <v>362</v>
      </c>
      <c r="B364" s="187" t="s">
        <v>1209</v>
      </c>
      <c r="C364" s="15" t="s">
        <v>874</v>
      </c>
      <c r="D364" s="15" t="s">
        <v>1111</v>
      </c>
      <c r="E364" s="15" t="s">
        <v>1112</v>
      </c>
      <c r="F364" s="13" t="s">
        <v>81</v>
      </c>
      <c r="G364" s="16" t="s">
        <v>178</v>
      </c>
      <c r="H364" s="18" t="s">
        <v>39</v>
      </c>
      <c r="I364" s="43" t="s">
        <v>530</v>
      </c>
      <c r="J364" s="16" t="s">
        <v>1132</v>
      </c>
      <c r="K364" s="16"/>
      <c r="L364" s="20"/>
      <c r="M364" s="20" t="s">
        <v>39</v>
      </c>
      <c r="N364" s="21">
        <v>680000</v>
      </c>
      <c r="O364" s="196">
        <v>0.18</v>
      </c>
      <c r="P364" s="194" t="s">
        <v>39</v>
      </c>
      <c r="Q364" s="194" t="s">
        <v>39</v>
      </c>
      <c r="R364" s="194" t="s">
        <v>39</v>
      </c>
      <c r="S364" s="194" t="s">
        <v>39</v>
      </c>
      <c r="T364" s="194" t="s">
        <v>39</v>
      </c>
      <c r="U364" s="194" t="s">
        <v>39</v>
      </c>
      <c r="V364" s="188" t="s">
        <v>1457</v>
      </c>
      <c r="W364" s="188">
        <v>0.05</v>
      </c>
      <c r="X364" s="188" t="s">
        <v>1457</v>
      </c>
      <c r="Y364" s="194" t="s">
        <v>39</v>
      </c>
      <c r="Z364" s="194" t="s">
        <v>39</v>
      </c>
      <c r="AA364" s="188" t="s">
        <v>1457</v>
      </c>
      <c r="AB364" s="51" t="s">
        <v>39</v>
      </c>
      <c r="AC364" s="46" t="s">
        <v>39</v>
      </c>
      <c r="AD364" s="17" t="s">
        <v>1114</v>
      </c>
      <c r="AE364" s="17" t="s">
        <v>1115</v>
      </c>
    </row>
    <row r="365" s="2" customFormat="1" ht="48" hidden="1" customHeight="1" spans="1:31">
      <c r="A365" s="13">
        <v>363</v>
      </c>
      <c r="B365" s="187" t="s">
        <v>1215</v>
      </c>
      <c r="C365" s="15" t="s">
        <v>874</v>
      </c>
      <c r="D365" s="15" t="s">
        <v>1111</v>
      </c>
      <c r="E365" s="15" t="s">
        <v>1112</v>
      </c>
      <c r="F365" s="13" t="s">
        <v>81</v>
      </c>
      <c r="G365" s="16" t="s">
        <v>178</v>
      </c>
      <c r="H365" s="18" t="s">
        <v>39</v>
      </c>
      <c r="I365" s="43" t="s">
        <v>214</v>
      </c>
      <c r="J365" s="16" t="s">
        <v>1134</v>
      </c>
      <c r="K365" s="16"/>
      <c r="L365" s="20"/>
      <c r="M365" s="20" t="s">
        <v>39</v>
      </c>
      <c r="N365" s="21">
        <v>780000</v>
      </c>
      <c r="O365" s="196">
        <v>0.18</v>
      </c>
      <c r="P365" s="194" t="s">
        <v>39</v>
      </c>
      <c r="Q365" s="194" t="s">
        <v>39</v>
      </c>
      <c r="R365" s="194" t="s">
        <v>39</v>
      </c>
      <c r="S365" s="194" t="s">
        <v>39</v>
      </c>
      <c r="T365" s="194" t="s">
        <v>39</v>
      </c>
      <c r="U365" s="194" t="s">
        <v>39</v>
      </c>
      <c r="V365" s="188" t="s">
        <v>1457</v>
      </c>
      <c r="W365" s="188">
        <v>0.04</v>
      </c>
      <c r="X365" s="188" t="s">
        <v>1457</v>
      </c>
      <c r="Y365" s="194" t="s">
        <v>39</v>
      </c>
      <c r="Z365" s="194" t="s">
        <v>39</v>
      </c>
      <c r="AA365" s="188" t="s">
        <v>1457</v>
      </c>
      <c r="AB365" s="51" t="s">
        <v>39</v>
      </c>
      <c r="AC365" s="46" t="s">
        <v>39</v>
      </c>
      <c r="AD365" s="17" t="s">
        <v>1114</v>
      </c>
      <c r="AE365" s="17" t="s">
        <v>1115</v>
      </c>
    </row>
    <row r="366" s="2" customFormat="1" ht="48" hidden="1" customHeight="1" spans="1:31">
      <c r="A366" s="13">
        <v>364</v>
      </c>
      <c r="B366" s="187" t="s">
        <v>1217</v>
      </c>
      <c r="C366" s="15" t="s">
        <v>874</v>
      </c>
      <c r="D366" s="15" t="s">
        <v>1111</v>
      </c>
      <c r="E366" s="15" t="s">
        <v>1112</v>
      </c>
      <c r="F366" s="13" t="s">
        <v>81</v>
      </c>
      <c r="G366" s="16" t="s">
        <v>178</v>
      </c>
      <c r="H366" s="18" t="s">
        <v>39</v>
      </c>
      <c r="I366" s="43" t="s">
        <v>1136</v>
      </c>
      <c r="J366" s="16" t="s">
        <v>1137</v>
      </c>
      <c r="K366" s="16"/>
      <c r="L366" s="20"/>
      <c r="M366" s="20" t="s">
        <v>39</v>
      </c>
      <c r="N366" s="21">
        <v>720000</v>
      </c>
      <c r="O366" s="196">
        <v>0.18</v>
      </c>
      <c r="P366" s="194" t="s">
        <v>39</v>
      </c>
      <c r="Q366" s="194" t="s">
        <v>39</v>
      </c>
      <c r="R366" s="194" t="s">
        <v>39</v>
      </c>
      <c r="S366" s="194" t="s">
        <v>39</v>
      </c>
      <c r="T366" s="194" t="s">
        <v>39</v>
      </c>
      <c r="U366" s="194" t="s">
        <v>39</v>
      </c>
      <c r="V366" s="188" t="s">
        <v>1457</v>
      </c>
      <c r="W366" s="188">
        <v>0.05</v>
      </c>
      <c r="X366" s="188" t="s">
        <v>1457</v>
      </c>
      <c r="Y366" s="194" t="s">
        <v>39</v>
      </c>
      <c r="Z366" s="194" t="s">
        <v>39</v>
      </c>
      <c r="AA366" s="188" t="s">
        <v>1457</v>
      </c>
      <c r="AB366" s="51" t="s">
        <v>39</v>
      </c>
      <c r="AC366" s="46" t="s">
        <v>39</v>
      </c>
      <c r="AD366" s="17" t="s">
        <v>1114</v>
      </c>
      <c r="AE366" s="17" t="s">
        <v>1115</v>
      </c>
    </row>
    <row r="367" s="2" customFormat="1" ht="48" hidden="1" customHeight="1" spans="1:31">
      <c r="A367" s="13">
        <v>365</v>
      </c>
      <c r="B367" s="187" t="s">
        <v>1220</v>
      </c>
      <c r="C367" s="15" t="s">
        <v>874</v>
      </c>
      <c r="D367" s="15" t="s">
        <v>1111</v>
      </c>
      <c r="E367" s="15" t="s">
        <v>1112</v>
      </c>
      <c r="F367" s="13" t="s">
        <v>81</v>
      </c>
      <c r="G367" s="16" t="s">
        <v>178</v>
      </c>
      <c r="H367" s="18" t="s">
        <v>39</v>
      </c>
      <c r="I367" s="43" t="s">
        <v>1139</v>
      </c>
      <c r="J367" s="16" t="s">
        <v>1140</v>
      </c>
      <c r="K367" s="16"/>
      <c r="L367" s="20"/>
      <c r="M367" s="20" t="s">
        <v>39</v>
      </c>
      <c r="N367" s="21">
        <v>1100000</v>
      </c>
      <c r="O367" s="196">
        <v>0.1</v>
      </c>
      <c r="P367" s="194" t="s">
        <v>39</v>
      </c>
      <c r="Q367" s="194" t="s">
        <v>39</v>
      </c>
      <c r="R367" s="194" t="s">
        <v>39</v>
      </c>
      <c r="S367" s="194" t="s">
        <v>39</v>
      </c>
      <c r="T367" s="194" t="s">
        <v>39</v>
      </c>
      <c r="U367" s="194" t="s">
        <v>39</v>
      </c>
      <c r="V367" s="188" t="s">
        <v>1457</v>
      </c>
      <c r="W367" s="188">
        <v>0.03</v>
      </c>
      <c r="X367" s="188" t="s">
        <v>1457</v>
      </c>
      <c r="Y367" s="194" t="s">
        <v>39</v>
      </c>
      <c r="Z367" s="194" t="s">
        <v>39</v>
      </c>
      <c r="AA367" s="188" t="s">
        <v>1457</v>
      </c>
      <c r="AB367" s="51" t="s">
        <v>39</v>
      </c>
      <c r="AC367" s="46" t="s">
        <v>39</v>
      </c>
      <c r="AD367" s="17" t="s">
        <v>1114</v>
      </c>
      <c r="AE367" s="17" t="s">
        <v>1115</v>
      </c>
    </row>
    <row r="368" s="2" customFormat="1" ht="12" hidden="1" customHeight="1" spans="1:31">
      <c r="A368" s="13">
        <v>366</v>
      </c>
      <c r="B368" s="187" t="s">
        <v>1222</v>
      </c>
      <c r="C368" s="15" t="s">
        <v>1142</v>
      </c>
      <c r="D368" s="15" t="s">
        <v>1143</v>
      </c>
      <c r="E368" s="15" t="s">
        <v>1144</v>
      </c>
      <c r="F368" s="13" t="s">
        <v>37</v>
      </c>
      <c r="G368" s="16" t="s">
        <v>178</v>
      </c>
      <c r="H368" s="16" t="s">
        <v>39</v>
      </c>
      <c r="I368" s="43" t="s">
        <v>39</v>
      </c>
      <c r="J368" s="16" t="s">
        <v>39</v>
      </c>
      <c r="K368" s="16"/>
      <c r="L368" s="20"/>
      <c r="M368" s="20" t="s">
        <v>39</v>
      </c>
      <c r="N368" s="21" t="s">
        <v>39</v>
      </c>
      <c r="O368" s="188" t="s">
        <v>39</v>
      </c>
      <c r="P368" s="188"/>
      <c r="Q368" s="188" t="s">
        <v>39</v>
      </c>
      <c r="R368" s="188"/>
      <c r="S368" s="188" t="s">
        <v>39</v>
      </c>
      <c r="T368" s="188" t="s">
        <v>39</v>
      </c>
      <c r="U368" s="188" t="s">
        <v>39</v>
      </c>
      <c r="V368" s="188"/>
      <c r="W368" s="188"/>
      <c r="X368" s="188" t="s">
        <v>39</v>
      </c>
      <c r="Y368" s="45"/>
      <c r="Z368" s="45"/>
      <c r="AA368" s="45"/>
      <c r="AB368" s="46">
        <v>0.045</v>
      </c>
      <c r="AC368" s="46" t="s">
        <v>39</v>
      </c>
      <c r="AD368" s="17"/>
      <c r="AE368" s="17"/>
    </row>
    <row r="369" s="2" customFormat="1" ht="48" hidden="1" customHeight="1" spans="1:31">
      <c r="A369" s="13">
        <v>367</v>
      </c>
      <c r="B369" s="187" t="s">
        <v>1225</v>
      </c>
      <c r="C369" s="15" t="s">
        <v>1142</v>
      </c>
      <c r="D369" s="15" t="s">
        <v>1143</v>
      </c>
      <c r="E369" s="15" t="s">
        <v>1144</v>
      </c>
      <c r="F369" s="13" t="s">
        <v>81</v>
      </c>
      <c r="G369" s="16" t="s">
        <v>178</v>
      </c>
      <c r="H369" s="13" t="s">
        <v>66</v>
      </c>
      <c r="I369" s="43" t="s">
        <v>1146</v>
      </c>
      <c r="J369" s="13" t="s">
        <v>1147</v>
      </c>
      <c r="K369" s="13"/>
      <c r="L369" s="20"/>
      <c r="M369" s="20" t="s">
        <v>39</v>
      </c>
      <c r="N369" s="21">
        <v>375000</v>
      </c>
      <c r="O369" s="196">
        <v>0.19</v>
      </c>
      <c r="P369" s="188">
        <v>0</v>
      </c>
      <c r="Q369" s="188">
        <v>0</v>
      </c>
      <c r="R369" s="188">
        <v>0</v>
      </c>
      <c r="S369" s="188">
        <v>0</v>
      </c>
      <c r="T369" s="188">
        <v>0</v>
      </c>
      <c r="U369" s="188">
        <v>0</v>
      </c>
      <c r="V369" s="196">
        <v>0.035</v>
      </c>
      <c r="W369" s="196">
        <v>0.055</v>
      </c>
      <c r="X369" s="188" t="s">
        <v>1457</v>
      </c>
      <c r="Y369" s="45" t="s">
        <v>39</v>
      </c>
      <c r="Z369" s="45" t="s">
        <v>39</v>
      </c>
      <c r="AA369" s="188" t="s">
        <v>1457</v>
      </c>
      <c r="AB369" s="46" t="s">
        <v>39</v>
      </c>
      <c r="AC369" s="46" t="s">
        <v>39</v>
      </c>
      <c r="AD369" s="17" t="s">
        <v>1148</v>
      </c>
      <c r="AE369" s="17" t="s">
        <v>1149</v>
      </c>
    </row>
    <row r="370" s="2" customFormat="1" ht="48" hidden="1" customHeight="1" spans="1:31">
      <c r="A370" s="13">
        <v>368</v>
      </c>
      <c r="B370" s="187" t="s">
        <v>1228</v>
      </c>
      <c r="C370" s="15" t="s">
        <v>1142</v>
      </c>
      <c r="D370" s="15" t="s">
        <v>1143</v>
      </c>
      <c r="E370" s="15" t="s">
        <v>1144</v>
      </c>
      <c r="F370" s="13" t="s">
        <v>81</v>
      </c>
      <c r="G370" s="16" t="s">
        <v>178</v>
      </c>
      <c r="H370" s="13" t="s">
        <v>70</v>
      </c>
      <c r="I370" s="43" t="s">
        <v>1152</v>
      </c>
      <c r="J370" s="13" t="s">
        <v>642</v>
      </c>
      <c r="K370" s="13"/>
      <c r="L370" s="20"/>
      <c r="M370" s="20" t="s">
        <v>39</v>
      </c>
      <c r="N370" s="21">
        <v>395000</v>
      </c>
      <c r="O370" s="196">
        <v>0.19</v>
      </c>
      <c r="P370" s="188">
        <v>0</v>
      </c>
      <c r="Q370" s="188">
        <v>0</v>
      </c>
      <c r="R370" s="188">
        <v>0</v>
      </c>
      <c r="S370" s="188">
        <v>0</v>
      </c>
      <c r="T370" s="188">
        <v>0</v>
      </c>
      <c r="U370" s="188">
        <v>0</v>
      </c>
      <c r="V370" s="196">
        <v>0.035</v>
      </c>
      <c r="W370" s="196">
        <v>0.055</v>
      </c>
      <c r="X370" s="188" t="s">
        <v>1457</v>
      </c>
      <c r="Y370" s="45" t="s">
        <v>39</v>
      </c>
      <c r="Z370" s="45" t="s">
        <v>39</v>
      </c>
      <c r="AA370" s="188" t="s">
        <v>1457</v>
      </c>
      <c r="AB370" s="46" t="s">
        <v>39</v>
      </c>
      <c r="AC370" s="46" t="s">
        <v>39</v>
      </c>
      <c r="AD370" s="17" t="s">
        <v>1148</v>
      </c>
      <c r="AE370" s="17" t="s">
        <v>1149</v>
      </c>
    </row>
    <row r="371" s="2" customFormat="1" ht="48" hidden="1" customHeight="1" spans="1:31">
      <c r="A371" s="13">
        <v>369</v>
      </c>
      <c r="B371" s="187" t="s">
        <v>1230</v>
      </c>
      <c r="C371" s="15" t="s">
        <v>1142</v>
      </c>
      <c r="D371" s="15" t="s">
        <v>1143</v>
      </c>
      <c r="E371" s="15" t="s">
        <v>1144</v>
      </c>
      <c r="F371" s="13" t="s">
        <v>81</v>
      </c>
      <c r="G371" s="16" t="s">
        <v>178</v>
      </c>
      <c r="H371" s="13" t="s">
        <v>272</v>
      </c>
      <c r="I371" s="43" t="s">
        <v>98</v>
      </c>
      <c r="J371" s="13" t="s">
        <v>642</v>
      </c>
      <c r="K371" s="13"/>
      <c r="L371" s="20"/>
      <c r="M371" s="20" t="s">
        <v>39</v>
      </c>
      <c r="N371" s="21">
        <v>968000</v>
      </c>
      <c r="O371" s="196">
        <v>0.19</v>
      </c>
      <c r="P371" s="188">
        <v>0</v>
      </c>
      <c r="Q371" s="188">
        <v>0</v>
      </c>
      <c r="R371" s="188">
        <v>0</v>
      </c>
      <c r="S371" s="188">
        <v>0</v>
      </c>
      <c r="T371" s="188">
        <v>0</v>
      </c>
      <c r="U371" s="188">
        <v>0</v>
      </c>
      <c r="V371" s="196">
        <v>0.025</v>
      </c>
      <c r="W371" s="196">
        <v>0.055</v>
      </c>
      <c r="X371" s="188" t="s">
        <v>1457</v>
      </c>
      <c r="Y371" s="45" t="s">
        <v>39</v>
      </c>
      <c r="Z371" s="45" t="s">
        <v>39</v>
      </c>
      <c r="AA371" s="188" t="s">
        <v>1457</v>
      </c>
      <c r="AB371" s="46" t="s">
        <v>39</v>
      </c>
      <c r="AC371" s="46" t="s">
        <v>39</v>
      </c>
      <c r="AD371" s="17" t="s">
        <v>1154</v>
      </c>
      <c r="AE371" s="17" t="s">
        <v>1149</v>
      </c>
    </row>
    <row r="372" s="2" customFormat="1" ht="48" hidden="1" customHeight="1" spans="1:31">
      <c r="A372" s="13">
        <v>370</v>
      </c>
      <c r="B372" s="187" t="s">
        <v>1233</v>
      </c>
      <c r="C372" s="15" t="s">
        <v>1142</v>
      </c>
      <c r="D372" s="15" t="s">
        <v>1143</v>
      </c>
      <c r="E372" s="15" t="s">
        <v>1144</v>
      </c>
      <c r="F372" s="13" t="s">
        <v>81</v>
      </c>
      <c r="G372" s="16" t="s">
        <v>178</v>
      </c>
      <c r="H372" s="13" t="s">
        <v>60</v>
      </c>
      <c r="I372" s="43" t="s">
        <v>1156</v>
      </c>
      <c r="J372" s="13" t="s">
        <v>1147</v>
      </c>
      <c r="K372" s="13"/>
      <c r="L372" s="20"/>
      <c r="M372" s="20" t="s">
        <v>39</v>
      </c>
      <c r="N372" s="21">
        <v>810000</v>
      </c>
      <c r="O372" s="196">
        <v>0.19</v>
      </c>
      <c r="P372" s="188">
        <v>0</v>
      </c>
      <c r="Q372" s="188">
        <v>0</v>
      </c>
      <c r="R372" s="188">
        <v>0</v>
      </c>
      <c r="S372" s="188">
        <v>0</v>
      </c>
      <c r="T372" s="188">
        <v>0</v>
      </c>
      <c r="U372" s="188">
        <v>0</v>
      </c>
      <c r="V372" s="188" t="s">
        <v>1457</v>
      </c>
      <c r="W372" s="188" t="s">
        <v>1457</v>
      </c>
      <c r="X372" s="188" t="s">
        <v>1457</v>
      </c>
      <c r="Y372" s="45" t="s">
        <v>39</v>
      </c>
      <c r="Z372" s="45" t="s">
        <v>39</v>
      </c>
      <c r="AA372" s="188" t="s">
        <v>1457</v>
      </c>
      <c r="AB372" s="46" t="s">
        <v>39</v>
      </c>
      <c r="AC372" s="46" t="s">
        <v>39</v>
      </c>
      <c r="AD372" s="17" t="s">
        <v>1148</v>
      </c>
      <c r="AE372" s="17" t="s">
        <v>1157</v>
      </c>
    </row>
    <row r="373" s="2" customFormat="1" ht="48" hidden="1" customHeight="1" spans="1:31">
      <c r="A373" s="13">
        <v>371</v>
      </c>
      <c r="B373" s="187" t="s">
        <v>1236</v>
      </c>
      <c r="C373" s="15" t="s">
        <v>1142</v>
      </c>
      <c r="D373" s="15" t="s">
        <v>1143</v>
      </c>
      <c r="E373" s="15" t="s">
        <v>1144</v>
      </c>
      <c r="F373" s="13" t="s">
        <v>81</v>
      </c>
      <c r="G373" s="16" t="s">
        <v>178</v>
      </c>
      <c r="H373" s="13" t="s">
        <v>265</v>
      </c>
      <c r="I373" s="43" t="s">
        <v>771</v>
      </c>
      <c r="J373" s="13" t="s">
        <v>1160</v>
      </c>
      <c r="K373" s="13"/>
      <c r="L373" s="20"/>
      <c r="M373" s="20" t="s">
        <v>39</v>
      </c>
      <c r="N373" s="21">
        <v>745000</v>
      </c>
      <c r="O373" s="196">
        <v>0.19</v>
      </c>
      <c r="P373" s="188">
        <v>0</v>
      </c>
      <c r="Q373" s="188">
        <v>0</v>
      </c>
      <c r="R373" s="188">
        <v>0</v>
      </c>
      <c r="S373" s="188">
        <v>0</v>
      </c>
      <c r="T373" s="188">
        <v>0</v>
      </c>
      <c r="U373" s="188">
        <v>0</v>
      </c>
      <c r="V373" s="188" t="s">
        <v>1457</v>
      </c>
      <c r="W373" s="188" t="s">
        <v>1457</v>
      </c>
      <c r="X373" s="188" t="s">
        <v>1457</v>
      </c>
      <c r="Y373" s="45" t="s">
        <v>39</v>
      </c>
      <c r="Z373" s="45" t="s">
        <v>39</v>
      </c>
      <c r="AA373" s="188" t="s">
        <v>1457</v>
      </c>
      <c r="AB373" s="46" t="s">
        <v>39</v>
      </c>
      <c r="AC373" s="46" t="s">
        <v>39</v>
      </c>
      <c r="AD373" s="17" t="s">
        <v>1148</v>
      </c>
      <c r="AE373" s="17" t="s">
        <v>1157</v>
      </c>
    </row>
    <row r="374" s="2" customFormat="1" ht="48" hidden="1" customHeight="1" spans="1:31">
      <c r="A374" s="13">
        <v>372</v>
      </c>
      <c r="B374" s="187" t="s">
        <v>1242</v>
      </c>
      <c r="C374" s="15" t="s">
        <v>1142</v>
      </c>
      <c r="D374" s="15" t="s">
        <v>1143</v>
      </c>
      <c r="E374" s="15" t="s">
        <v>1144</v>
      </c>
      <c r="F374" s="13" t="s">
        <v>81</v>
      </c>
      <c r="G374" s="16" t="s">
        <v>178</v>
      </c>
      <c r="H374" s="13" t="s">
        <v>86</v>
      </c>
      <c r="I374" s="43" t="s">
        <v>1162</v>
      </c>
      <c r="J374" s="13" t="s">
        <v>1160</v>
      </c>
      <c r="K374" s="13"/>
      <c r="L374" s="20"/>
      <c r="M374" s="20" t="s">
        <v>39</v>
      </c>
      <c r="N374" s="21">
        <v>770000</v>
      </c>
      <c r="O374" s="196">
        <v>0.19</v>
      </c>
      <c r="P374" s="188">
        <v>0</v>
      </c>
      <c r="Q374" s="188">
        <v>0</v>
      </c>
      <c r="R374" s="188">
        <v>0</v>
      </c>
      <c r="S374" s="188">
        <v>0</v>
      </c>
      <c r="T374" s="188">
        <v>0</v>
      </c>
      <c r="U374" s="188">
        <v>0</v>
      </c>
      <c r="V374" s="188" t="s">
        <v>1457</v>
      </c>
      <c r="W374" s="188" t="s">
        <v>1457</v>
      </c>
      <c r="X374" s="188" t="s">
        <v>1457</v>
      </c>
      <c r="Y374" s="45" t="s">
        <v>39</v>
      </c>
      <c r="Z374" s="45" t="s">
        <v>39</v>
      </c>
      <c r="AA374" s="188" t="s">
        <v>1457</v>
      </c>
      <c r="AB374" s="46" t="s">
        <v>39</v>
      </c>
      <c r="AC374" s="46" t="s">
        <v>39</v>
      </c>
      <c r="AD374" s="17" t="s">
        <v>1148</v>
      </c>
      <c r="AE374" s="17" t="s">
        <v>1157</v>
      </c>
    </row>
    <row r="375" s="2" customFormat="1" ht="60" hidden="1" customHeight="1" spans="1:31">
      <c r="A375" s="13">
        <v>373</v>
      </c>
      <c r="B375" s="187" t="s">
        <v>1246</v>
      </c>
      <c r="C375" s="15" t="s">
        <v>1142</v>
      </c>
      <c r="D375" s="15" t="s">
        <v>1143</v>
      </c>
      <c r="E375" s="15" t="s">
        <v>1144</v>
      </c>
      <c r="F375" s="13" t="s">
        <v>81</v>
      </c>
      <c r="G375" s="16" t="s">
        <v>178</v>
      </c>
      <c r="H375" s="13" t="s">
        <v>276</v>
      </c>
      <c r="I375" s="43" t="s">
        <v>1164</v>
      </c>
      <c r="J375" s="13" t="s">
        <v>1165</v>
      </c>
      <c r="K375" s="13"/>
      <c r="L375" s="20"/>
      <c r="M375" s="20" t="s">
        <v>39</v>
      </c>
      <c r="N375" s="21">
        <v>745000</v>
      </c>
      <c r="O375" s="196">
        <v>0.14</v>
      </c>
      <c r="P375" s="188">
        <v>0</v>
      </c>
      <c r="Q375" s="188">
        <v>0</v>
      </c>
      <c r="R375" s="188">
        <v>0</v>
      </c>
      <c r="S375" s="188">
        <v>0</v>
      </c>
      <c r="T375" s="188">
        <v>0</v>
      </c>
      <c r="U375" s="188">
        <v>0</v>
      </c>
      <c r="V375" s="188">
        <v>0</v>
      </c>
      <c r="W375" s="188" t="s">
        <v>1457</v>
      </c>
      <c r="X375" s="188" t="s">
        <v>1457</v>
      </c>
      <c r="Y375" s="45" t="s">
        <v>39</v>
      </c>
      <c r="Z375" s="45" t="s">
        <v>39</v>
      </c>
      <c r="AA375" s="188" t="s">
        <v>1457</v>
      </c>
      <c r="AB375" s="46" t="s">
        <v>39</v>
      </c>
      <c r="AC375" s="46" t="s">
        <v>39</v>
      </c>
      <c r="AD375" s="17" t="s">
        <v>1166</v>
      </c>
      <c r="AE375" s="17" t="s">
        <v>1157</v>
      </c>
    </row>
    <row r="376" s="2" customFormat="1" ht="60" hidden="1" customHeight="1" spans="1:31">
      <c r="A376" s="13">
        <v>374</v>
      </c>
      <c r="B376" s="187" t="s">
        <v>1249</v>
      </c>
      <c r="C376" s="15" t="s">
        <v>1142</v>
      </c>
      <c r="D376" s="15" t="s">
        <v>1143</v>
      </c>
      <c r="E376" s="15" t="s">
        <v>1144</v>
      </c>
      <c r="F376" s="13" t="s">
        <v>81</v>
      </c>
      <c r="G376" s="16" t="s">
        <v>178</v>
      </c>
      <c r="H376" s="13" t="s">
        <v>280</v>
      </c>
      <c r="I376" s="43" t="s">
        <v>1168</v>
      </c>
      <c r="J376" s="13" t="s">
        <v>1165</v>
      </c>
      <c r="K376" s="13"/>
      <c r="L376" s="20"/>
      <c r="M376" s="20" t="s">
        <v>39</v>
      </c>
      <c r="N376" s="21">
        <v>820000</v>
      </c>
      <c r="O376" s="196">
        <v>0.14</v>
      </c>
      <c r="P376" s="188">
        <v>0</v>
      </c>
      <c r="Q376" s="188">
        <v>0</v>
      </c>
      <c r="R376" s="188">
        <v>0</v>
      </c>
      <c r="S376" s="188">
        <v>0</v>
      </c>
      <c r="T376" s="188">
        <v>0</v>
      </c>
      <c r="U376" s="188">
        <v>0</v>
      </c>
      <c r="V376" s="188">
        <v>0</v>
      </c>
      <c r="W376" s="45" t="s">
        <v>1457</v>
      </c>
      <c r="X376" s="188" t="s">
        <v>1457</v>
      </c>
      <c r="Y376" s="45" t="s">
        <v>39</v>
      </c>
      <c r="Z376" s="45" t="s">
        <v>39</v>
      </c>
      <c r="AA376" s="188" t="s">
        <v>1457</v>
      </c>
      <c r="AB376" s="46" t="s">
        <v>39</v>
      </c>
      <c r="AC376" s="46" t="s">
        <v>39</v>
      </c>
      <c r="AD376" s="17" t="s">
        <v>1166</v>
      </c>
      <c r="AE376" s="17" t="s">
        <v>1157</v>
      </c>
    </row>
    <row r="377" s="2" customFormat="1" ht="48" hidden="1" customHeight="1" spans="1:31">
      <c r="A377" s="13">
        <v>375</v>
      </c>
      <c r="B377" s="187" t="s">
        <v>1255</v>
      </c>
      <c r="C377" s="15" t="s">
        <v>1142</v>
      </c>
      <c r="D377" s="15" t="s">
        <v>1143</v>
      </c>
      <c r="E377" s="15" t="s">
        <v>1144</v>
      </c>
      <c r="F377" s="13" t="s">
        <v>81</v>
      </c>
      <c r="G377" s="16" t="s">
        <v>178</v>
      </c>
      <c r="H377" s="13" t="s">
        <v>74</v>
      </c>
      <c r="I377" s="43" t="s">
        <v>1170</v>
      </c>
      <c r="J377" s="13" t="s">
        <v>1171</v>
      </c>
      <c r="K377" s="13"/>
      <c r="L377" s="20"/>
      <c r="M377" s="20" t="s">
        <v>39</v>
      </c>
      <c r="N377" s="21">
        <v>480000</v>
      </c>
      <c r="O377" s="196">
        <v>0.19</v>
      </c>
      <c r="P377" s="188">
        <v>0</v>
      </c>
      <c r="Q377" s="188">
        <v>0</v>
      </c>
      <c r="R377" s="188">
        <v>0</v>
      </c>
      <c r="S377" s="188">
        <v>0</v>
      </c>
      <c r="T377" s="188">
        <v>0</v>
      </c>
      <c r="U377" s="188">
        <v>0</v>
      </c>
      <c r="V377" s="196">
        <v>0.035</v>
      </c>
      <c r="W377" s="196">
        <v>0.055</v>
      </c>
      <c r="X377" s="188" t="s">
        <v>1457</v>
      </c>
      <c r="Y377" s="45" t="s">
        <v>39</v>
      </c>
      <c r="Z377" s="45" t="s">
        <v>39</v>
      </c>
      <c r="AA377" s="188" t="s">
        <v>1457</v>
      </c>
      <c r="AB377" s="46" t="s">
        <v>39</v>
      </c>
      <c r="AC377" s="46" t="s">
        <v>39</v>
      </c>
      <c r="AD377" s="17" t="s">
        <v>1148</v>
      </c>
      <c r="AE377" s="17" t="s">
        <v>1172</v>
      </c>
    </row>
    <row r="378" s="2" customFormat="1" ht="12" hidden="1" customHeight="1" spans="1:31">
      <c r="A378" s="13">
        <v>376</v>
      </c>
      <c r="B378" s="187" t="s">
        <v>1259</v>
      </c>
      <c r="C378" s="15" t="s">
        <v>1142</v>
      </c>
      <c r="D378" s="15" t="s">
        <v>1173</v>
      </c>
      <c r="E378" s="15" t="s">
        <v>1174</v>
      </c>
      <c r="F378" s="198" t="s">
        <v>37</v>
      </c>
      <c r="G378" s="16" t="s">
        <v>178</v>
      </c>
      <c r="H378" s="18" t="s">
        <v>39</v>
      </c>
      <c r="I378" s="198" t="s">
        <v>39</v>
      </c>
      <c r="J378" s="198" t="s">
        <v>39</v>
      </c>
      <c r="K378" s="198"/>
      <c r="L378" s="188"/>
      <c r="M378" s="188" t="s">
        <v>39</v>
      </c>
      <c r="N378" s="21" t="s">
        <v>39</v>
      </c>
      <c r="O378" s="188" t="s">
        <v>39</v>
      </c>
      <c r="P378" s="188"/>
      <c r="Q378" s="188" t="s">
        <v>39</v>
      </c>
      <c r="R378" s="194"/>
      <c r="S378" s="194" t="s">
        <v>39</v>
      </c>
      <c r="T378" s="194" t="s">
        <v>39</v>
      </c>
      <c r="U378" s="188" t="s">
        <v>39</v>
      </c>
      <c r="V378" s="190"/>
      <c r="W378" s="190"/>
      <c r="X378" s="188" t="s">
        <v>39</v>
      </c>
      <c r="Y378" s="45"/>
      <c r="Z378" s="45"/>
      <c r="AA378" s="45" t="s">
        <v>39</v>
      </c>
      <c r="AB378" s="46">
        <v>0.05</v>
      </c>
      <c r="AC378" s="46">
        <v>0.005</v>
      </c>
      <c r="AD378" s="189" t="s">
        <v>104</v>
      </c>
      <c r="AE378" s="17"/>
    </row>
    <row r="379" s="2" customFormat="1" ht="48" hidden="1" customHeight="1" spans="1:31">
      <c r="A379" s="13">
        <v>377</v>
      </c>
      <c r="B379" s="187" t="s">
        <v>1262</v>
      </c>
      <c r="C379" s="15" t="s">
        <v>1142</v>
      </c>
      <c r="D379" s="15" t="s">
        <v>1173</v>
      </c>
      <c r="E379" s="15" t="s">
        <v>1174</v>
      </c>
      <c r="F379" s="13" t="s">
        <v>81</v>
      </c>
      <c r="G379" s="16" t="s">
        <v>178</v>
      </c>
      <c r="H379" s="18" t="s">
        <v>39</v>
      </c>
      <c r="I379" s="43" t="s">
        <v>1176</v>
      </c>
      <c r="J379" s="13" t="s">
        <v>1177</v>
      </c>
      <c r="K379" s="13"/>
      <c r="L379" s="20"/>
      <c r="M379" s="20" t="s">
        <v>39</v>
      </c>
      <c r="N379" s="21" t="s">
        <v>39</v>
      </c>
      <c r="O379" s="196">
        <v>0.28</v>
      </c>
      <c r="P379" s="188" t="s">
        <v>39</v>
      </c>
      <c r="Q379" s="188" t="s">
        <v>39</v>
      </c>
      <c r="R379" s="188" t="s">
        <v>39</v>
      </c>
      <c r="S379" s="188" t="s">
        <v>39</v>
      </c>
      <c r="T379" s="188" t="s">
        <v>39</v>
      </c>
      <c r="U379" s="188" t="s">
        <v>39</v>
      </c>
      <c r="V379" s="188" t="s">
        <v>39</v>
      </c>
      <c r="W379" s="188" t="s">
        <v>39</v>
      </c>
      <c r="X379" s="45" t="s">
        <v>1457</v>
      </c>
      <c r="Y379" s="188" t="s">
        <v>39</v>
      </c>
      <c r="Z379" s="188" t="s">
        <v>39</v>
      </c>
      <c r="AA379" s="45" t="s">
        <v>1457</v>
      </c>
      <c r="AB379" s="51" t="s">
        <v>39</v>
      </c>
      <c r="AC379" s="46" t="s">
        <v>39</v>
      </c>
      <c r="AD379" s="17" t="s">
        <v>1178</v>
      </c>
      <c r="AE379" s="17"/>
    </row>
    <row r="380" s="2" customFormat="1" ht="48" hidden="1" customHeight="1" spans="1:31">
      <c r="A380" s="13">
        <v>378</v>
      </c>
      <c r="B380" s="187" t="s">
        <v>1266</v>
      </c>
      <c r="C380" s="15" t="s">
        <v>1142</v>
      </c>
      <c r="D380" s="15" t="s">
        <v>1173</v>
      </c>
      <c r="E380" s="15" t="s">
        <v>1174</v>
      </c>
      <c r="F380" s="13" t="s">
        <v>81</v>
      </c>
      <c r="G380" s="16" t="s">
        <v>178</v>
      </c>
      <c r="H380" s="18" t="s">
        <v>39</v>
      </c>
      <c r="I380" s="43" t="s">
        <v>1181</v>
      </c>
      <c r="J380" s="13" t="s">
        <v>1182</v>
      </c>
      <c r="K380" s="13"/>
      <c r="L380" s="20"/>
      <c r="M380" s="20" t="s">
        <v>39</v>
      </c>
      <c r="N380" s="21" t="s">
        <v>39</v>
      </c>
      <c r="O380" s="196">
        <v>0.28</v>
      </c>
      <c r="P380" s="188" t="s">
        <v>39</v>
      </c>
      <c r="Q380" s="188" t="s">
        <v>39</v>
      </c>
      <c r="R380" s="188" t="s">
        <v>39</v>
      </c>
      <c r="S380" s="188" t="s">
        <v>39</v>
      </c>
      <c r="T380" s="188" t="s">
        <v>39</v>
      </c>
      <c r="U380" s="188" t="s">
        <v>39</v>
      </c>
      <c r="V380" s="188" t="s">
        <v>39</v>
      </c>
      <c r="W380" s="188" t="s">
        <v>39</v>
      </c>
      <c r="X380" s="45" t="s">
        <v>1457</v>
      </c>
      <c r="Y380" s="188" t="s">
        <v>39</v>
      </c>
      <c r="Z380" s="188" t="s">
        <v>39</v>
      </c>
      <c r="AA380" s="45" t="s">
        <v>1457</v>
      </c>
      <c r="AB380" s="51" t="s">
        <v>39</v>
      </c>
      <c r="AC380" s="46" t="s">
        <v>39</v>
      </c>
      <c r="AD380" s="17" t="s">
        <v>1178</v>
      </c>
      <c r="AE380" s="17"/>
    </row>
    <row r="381" s="2" customFormat="1" ht="48" hidden="1" customHeight="1" spans="1:31">
      <c r="A381" s="13">
        <v>379</v>
      </c>
      <c r="B381" s="187" t="s">
        <v>1269</v>
      </c>
      <c r="C381" s="15" t="s">
        <v>1142</v>
      </c>
      <c r="D381" s="15" t="s">
        <v>1173</v>
      </c>
      <c r="E381" s="15" t="s">
        <v>1174</v>
      </c>
      <c r="F381" s="13" t="s">
        <v>81</v>
      </c>
      <c r="G381" s="16" t="s">
        <v>178</v>
      </c>
      <c r="H381" s="18" t="s">
        <v>39</v>
      </c>
      <c r="I381" s="43" t="s">
        <v>1184</v>
      </c>
      <c r="J381" s="13" t="s">
        <v>1185</v>
      </c>
      <c r="K381" s="13"/>
      <c r="L381" s="20"/>
      <c r="M381" s="20" t="s">
        <v>39</v>
      </c>
      <c r="N381" s="21" t="s">
        <v>39</v>
      </c>
      <c r="O381" s="196">
        <v>0.28</v>
      </c>
      <c r="P381" s="188" t="s">
        <v>39</v>
      </c>
      <c r="Q381" s="188" t="s">
        <v>39</v>
      </c>
      <c r="R381" s="188" t="s">
        <v>39</v>
      </c>
      <c r="S381" s="188" t="s">
        <v>39</v>
      </c>
      <c r="T381" s="188" t="s">
        <v>39</v>
      </c>
      <c r="U381" s="188" t="s">
        <v>39</v>
      </c>
      <c r="V381" s="188" t="s">
        <v>39</v>
      </c>
      <c r="W381" s="188" t="s">
        <v>39</v>
      </c>
      <c r="X381" s="45" t="s">
        <v>1457</v>
      </c>
      <c r="Y381" s="188" t="s">
        <v>39</v>
      </c>
      <c r="Z381" s="188" t="s">
        <v>39</v>
      </c>
      <c r="AA381" s="45" t="s">
        <v>1457</v>
      </c>
      <c r="AB381" s="51" t="s">
        <v>39</v>
      </c>
      <c r="AC381" s="46" t="s">
        <v>39</v>
      </c>
      <c r="AD381" s="17" t="s">
        <v>1178</v>
      </c>
      <c r="AE381" s="17"/>
    </row>
    <row r="382" s="2" customFormat="1" ht="48" hidden="1" customHeight="1" spans="1:31">
      <c r="A382" s="13">
        <v>380</v>
      </c>
      <c r="B382" s="187" t="s">
        <v>1272</v>
      </c>
      <c r="C382" s="15" t="s">
        <v>1142</v>
      </c>
      <c r="D382" s="15" t="s">
        <v>1173</v>
      </c>
      <c r="E382" s="15" t="s">
        <v>1174</v>
      </c>
      <c r="F382" s="13" t="s">
        <v>81</v>
      </c>
      <c r="G382" s="16" t="s">
        <v>178</v>
      </c>
      <c r="H382" s="18" t="s">
        <v>39</v>
      </c>
      <c r="I382" s="43" t="s">
        <v>1187</v>
      </c>
      <c r="J382" s="13" t="s">
        <v>1188</v>
      </c>
      <c r="K382" s="13"/>
      <c r="L382" s="20"/>
      <c r="M382" s="20" t="s">
        <v>39</v>
      </c>
      <c r="N382" s="21" t="s">
        <v>39</v>
      </c>
      <c r="O382" s="196">
        <v>0.28</v>
      </c>
      <c r="P382" s="188" t="s">
        <v>39</v>
      </c>
      <c r="Q382" s="188" t="s">
        <v>39</v>
      </c>
      <c r="R382" s="188" t="s">
        <v>39</v>
      </c>
      <c r="S382" s="188" t="s">
        <v>39</v>
      </c>
      <c r="T382" s="188" t="s">
        <v>39</v>
      </c>
      <c r="U382" s="188" t="s">
        <v>39</v>
      </c>
      <c r="V382" s="188" t="s">
        <v>39</v>
      </c>
      <c r="W382" s="188" t="s">
        <v>39</v>
      </c>
      <c r="X382" s="45" t="s">
        <v>1457</v>
      </c>
      <c r="Y382" s="188" t="s">
        <v>39</v>
      </c>
      <c r="Z382" s="188" t="s">
        <v>39</v>
      </c>
      <c r="AA382" s="45" t="s">
        <v>1457</v>
      </c>
      <c r="AB382" s="51" t="s">
        <v>39</v>
      </c>
      <c r="AC382" s="46" t="s">
        <v>39</v>
      </c>
      <c r="AD382" s="17" t="s">
        <v>1178</v>
      </c>
      <c r="AE382" s="17"/>
    </row>
    <row r="383" s="2" customFormat="1" ht="48" hidden="1" customHeight="1" spans="1:31">
      <c r="A383" s="13">
        <v>381</v>
      </c>
      <c r="B383" s="187" t="s">
        <v>1275</v>
      </c>
      <c r="C383" s="15" t="s">
        <v>1142</v>
      </c>
      <c r="D383" s="15" t="s">
        <v>1173</v>
      </c>
      <c r="E383" s="15" t="s">
        <v>1174</v>
      </c>
      <c r="F383" s="13" t="s">
        <v>81</v>
      </c>
      <c r="G383" s="16" t="s">
        <v>178</v>
      </c>
      <c r="H383" s="18" t="s">
        <v>39</v>
      </c>
      <c r="I383" s="43" t="s">
        <v>1190</v>
      </c>
      <c r="J383" s="13" t="s">
        <v>1191</v>
      </c>
      <c r="K383" s="13"/>
      <c r="L383" s="20"/>
      <c r="M383" s="20" t="s">
        <v>39</v>
      </c>
      <c r="N383" s="21" t="s">
        <v>39</v>
      </c>
      <c r="O383" s="196">
        <v>0.28</v>
      </c>
      <c r="P383" s="188">
        <v>0</v>
      </c>
      <c r="Q383" s="188">
        <v>0</v>
      </c>
      <c r="R383" s="188">
        <v>0</v>
      </c>
      <c r="S383" s="188">
        <v>0</v>
      </c>
      <c r="T383" s="188">
        <v>0</v>
      </c>
      <c r="U383" s="188">
        <v>0</v>
      </c>
      <c r="V383" s="188">
        <v>0</v>
      </c>
      <c r="W383" s="188">
        <v>0</v>
      </c>
      <c r="X383" s="45" t="s">
        <v>1457</v>
      </c>
      <c r="Y383" s="188" t="s">
        <v>39</v>
      </c>
      <c r="Z383" s="188" t="s">
        <v>39</v>
      </c>
      <c r="AA383" s="45" t="s">
        <v>1457</v>
      </c>
      <c r="AB383" s="51" t="s">
        <v>39</v>
      </c>
      <c r="AC383" s="46" t="s">
        <v>39</v>
      </c>
      <c r="AD383" s="17" t="s">
        <v>1178</v>
      </c>
      <c r="AE383" s="17"/>
    </row>
    <row r="384" s="2" customFormat="1" ht="48" hidden="1" customHeight="1" spans="1:31">
      <c r="A384" s="13">
        <v>382</v>
      </c>
      <c r="B384" s="187" t="s">
        <v>1277</v>
      </c>
      <c r="C384" s="15" t="s">
        <v>1142</v>
      </c>
      <c r="D384" s="15" t="s">
        <v>1173</v>
      </c>
      <c r="E384" s="15" t="s">
        <v>1174</v>
      </c>
      <c r="F384" s="13" t="s">
        <v>81</v>
      </c>
      <c r="G384" s="16" t="s">
        <v>178</v>
      </c>
      <c r="H384" s="18" t="s">
        <v>39</v>
      </c>
      <c r="I384" s="43" t="s">
        <v>1193</v>
      </c>
      <c r="J384" s="13" t="s">
        <v>1194</v>
      </c>
      <c r="K384" s="13"/>
      <c r="L384" s="20"/>
      <c r="M384" s="20" t="s">
        <v>39</v>
      </c>
      <c r="N384" s="21" t="s">
        <v>39</v>
      </c>
      <c r="O384" s="196">
        <v>0.28</v>
      </c>
      <c r="P384" s="188">
        <v>0</v>
      </c>
      <c r="Q384" s="188">
        <v>0</v>
      </c>
      <c r="R384" s="188">
        <v>0</v>
      </c>
      <c r="S384" s="188">
        <v>0</v>
      </c>
      <c r="T384" s="188">
        <v>0</v>
      </c>
      <c r="U384" s="188">
        <v>0</v>
      </c>
      <c r="V384" s="188">
        <v>0</v>
      </c>
      <c r="W384" s="188">
        <v>0</v>
      </c>
      <c r="X384" s="45" t="s">
        <v>1457</v>
      </c>
      <c r="Y384" s="188" t="s">
        <v>39</v>
      </c>
      <c r="Z384" s="188" t="s">
        <v>39</v>
      </c>
      <c r="AA384" s="45" t="s">
        <v>1457</v>
      </c>
      <c r="AB384" s="51" t="s">
        <v>39</v>
      </c>
      <c r="AC384" s="46" t="s">
        <v>39</v>
      </c>
      <c r="AD384" s="17" t="s">
        <v>1178</v>
      </c>
      <c r="AE384" s="17"/>
    </row>
    <row r="385" s="2" customFormat="1" ht="48" hidden="1" customHeight="1" spans="1:31">
      <c r="A385" s="13">
        <v>383</v>
      </c>
      <c r="B385" s="187" t="s">
        <v>1280</v>
      </c>
      <c r="C385" s="15" t="s">
        <v>1142</v>
      </c>
      <c r="D385" s="15" t="s">
        <v>1173</v>
      </c>
      <c r="E385" s="15" t="s">
        <v>1174</v>
      </c>
      <c r="F385" s="13" t="s">
        <v>81</v>
      </c>
      <c r="G385" s="16" t="s">
        <v>178</v>
      </c>
      <c r="H385" s="18" t="s">
        <v>39</v>
      </c>
      <c r="I385" s="43" t="s">
        <v>1196</v>
      </c>
      <c r="J385" s="13" t="s">
        <v>1197</v>
      </c>
      <c r="K385" s="13"/>
      <c r="L385" s="20"/>
      <c r="M385" s="20" t="s">
        <v>39</v>
      </c>
      <c r="N385" s="21" t="s">
        <v>39</v>
      </c>
      <c r="O385" s="196">
        <v>0.28</v>
      </c>
      <c r="P385" s="188">
        <v>0</v>
      </c>
      <c r="Q385" s="188">
        <v>0</v>
      </c>
      <c r="R385" s="188">
        <v>0</v>
      </c>
      <c r="S385" s="188">
        <v>0</v>
      </c>
      <c r="T385" s="188">
        <v>0</v>
      </c>
      <c r="U385" s="188">
        <v>0</v>
      </c>
      <c r="V385" s="188">
        <v>0</v>
      </c>
      <c r="W385" s="188">
        <v>0</v>
      </c>
      <c r="X385" s="45" t="s">
        <v>1457</v>
      </c>
      <c r="Y385" s="188" t="s">
        <v>39</v>
      </c>
      <c r="Z385" s="188" t="s">
        <v>39</v>
      </c>
      <c r="AA385" s="45" t="s">
        <v>1457</v>
      </c>
      <c r="AB385" s="51" t="s">
        <v>39</v>
      </c>
      <c r="AC385" s="46" t="s">
        <v>39</v>
      </c>
      <c r="AD385" s="17" t="s">
        <v>1178</v>
      </c>
      <c r="AE385" s="17"/>
    </row>
    <row r="386" s="2" customFormat="1" ht="48" hidden="1" customHeight="1" spans="1:31">
      <c r="A386" s="13">
        <v>384</v>
      </c>
      <c r="B386" s="187" t="s">
        <v>1282</v>
      </c>
      <c r="C386" s="15" t="s">
        <v>1142</v>
      </c>
      <c r="D386" s="15" t="s">
        <v>1173</v>
      </c>
      <c r="E386" s="15" t="s">
        <v>1174</v>
      </c>
      <c r="F386" s="13" t="s">
        <v>81</v>
      </c>
      <c r="G386" s="16" t="s">
        <v>178</v>
      </c>
      <c r="H386" s="18" t="s">
        <v>39</v>
      </c>
      <c r="I386" s="43" t="s">
        <v>673</v>
      </c>
      <c r="J386" s="13" t="s">
        <v>1199</v>
      </c>
      <c r="K386" s="13"/>
      <c r="L386" s="20"/>
      <c r="M386" s="20" t="s">
        <v>39</v>
      </c>
      <c r="N386" s="21" t="s">
        <v>39</v>
      </c>
      <c r="O386" s="196">
        <v>0.28</v>
      </c>
      <c r="P386" s="188">
        <v>0</v>
      </c>
      <c r="Q386" s="188">
        <v>0</v>
      </c>
      <c r="R386" s="188">
        <v>0</v>
      </c>
      <c r="S386" s="188">
        <v>0</v>
      </c>
      <c r="T386" s="188">
        <v>0</v>
      </c>
      <c r="U386" s="188">
        <v>0</v>
      </c>
      <c r="V386" s="188">
        <v>0</v>
      </c>
      <c r="W386" s="188">
        <v>0</v>
      </c>
      <c r="X386" s="45" t="s">
        <v>1457</v>
      </c>
      <c r="Y386" s="188" t="s">
        <v>39</v>
      </c>
      <c r="Z386" s="188" t="s">
        <v>39</v>
      </c>
      <c r="AA386" s="45" t="s">
        <v>1457</v>
      </c>
      <c r="AB386" s="51" t="s">
        <v>39</v>
      </c>
      <c r="AC386" s="46" t="s">
        <v>39</v>
      </c>
      <c r="AD386" s="17" t="s">
        <v>1178</v>
      </c>
      <c r="AE386" s="17"/>
    </row>
    <row r="387" s="2" customFormat="1" ht="48" hidden="1" customHeight="1" spans="1:31">
      <c r="A387" s="13">
        <v>385</v>
      </c>
      <c r="B387" s="187" t="s">
        <v>1285</v>
      </c>
      <c r="C387" s="15" t="s">
        <v>1142</v>
      </c>
      <c r="D387" s="15" t="s">
        <v>1173</v>
      </c>
      <c r="E387" s="15" t="s">
        <v>1174</v>
      </c>
      <c r="F387" s="13" t="s">
        <v>81</v>
      </c>
      <c r="G387" s="16" t="s">
        <v>178</v>
      </c>
      <c r="H387" s="18" t="s">
        <v>39</v>
      </c>
      <c r="I387" s="43" t="s">
        <v>1201</v>
      </c>
      <c r="J387" s="13" t="s">
        <v>1202</v>
      </c>
      <c r="K387" s="13"/>
      <c r="L387" s="20"/>
      <c r="M387" s="20" t="s">
        <v>39</v>
      </c>
      <c r="N387" s="21" t="s">
        <v>39</v>
      </c>
      <c r="O387" s="196">
        <v>0.24</v>
      </c>
      <c r="P387" s="188">
        <v>0</v>
      </c>
      <c r="Q387" s="188">
        <v>0</v>
      </c>
      <c r="R387" s="188">
        <v>0</v>
      </c>
      <c r="S387" s="188">
        <v>0</v>
      </c>
      <c r="T387" s="188">
        <v>0</v>
      </c>
      <c r="U387" s="188">
        <v>0</v>
      </c>
      <c r="V387" s="188">
        <v>0</v>
      </c>
      <c r="W387" s="188">
        <v>0</v>
      </c>
      <c r="X387" s="45" t="s">
        <v>1457</v>
      </c>
      <c r="Y387" s="188" t="s">
        <v>39</v>
      </c>
      <c r="Z387" s="188" t="s">
        <v>39</v>
      </c>
      <c r="AA387" s="45" t="s">
        <v>1457</v>
      </c>
      <c r="AB387" s="51" t="s">
        <v>39</v>
      </c>
      <c r="AC387" s="46" t="s">
        <v>39</v>
      </c>
      <c r="AD387" s="17" t="s">
        <v>1178</v>
      </c>
      <c r="AE387" s="17"/>
    </row>
    <row r="388" s="2" customFormat="1" ht="48" hidden="1" customHeight="1" spans="1:31">
      <c r="A388" s="13">
        <v>386</v>
      </c>
      <c r="B388" s="187" t="s">
        <v>1289</v>
      </c>
      <c r="C388" s="15" t="s">
        <v>1142</v>
      </c>
      <c r="D388" s="15" t="s">
        <v>1173</v>
      </c>
      <c r="E388" s="15" t="s">
        <v>1174</v>
      </c>
      <c r="F388" s="13" t="s">
        <v>81</v>
      </c>
      <c r="G388" s="16" t="s">
        <v>178</v>
      </c>
      <c r="H388" s="18" t="s">
        <v>39</v>
      </c>
      <c r="I388" s="43" t="s">
        <v>1204</v>
      </c>
      <c r="J388" s="13" t="s">
        <v>1205</v>
      </c>
      <c r="K388" s="13"/>
      <c r="L388" s="20"/>
      <c r="M388" s="20" t="s">
        <v>39</v>
      </c>
      <c r="N388" s="21" t="s">
        <v>39</v>
      </c>
      <c r="O388" s="196">
        <v>0.22</v>
      </c>
      <c r="P388" s="188">
        <v>0</v>
      </c>
      <c r="Q388" s="188">
        <v>0</v>
      </c>
      <c r="R388" s="188">
        <v>0</v>
      </c>
      <c r="S388" s="188">
        <v>0</v>
      </c>
      <c r="T388" s="188">
        <v>0</v>
      </c>
      <c r="U388" s="188">
        <v>0</v>
      </c>
      <c r="V388" s="188">
        <v>0</v>
      </c>
      <c r="W388" s="188">
        <v>0</v>
      </c>
      <c r="X388" s="45" t="s">
        <v>1457</v>
      </c>
      <c r="Y388" s="188" t="s">
        <v>39</v>
      </c>
      <c r="Z388" s="188" t="s">
        <v>39</v>
      </c>
      <c r="AA388" s="45" t="s">
        <v>1457</v>
      </c>
      <c r="AB388" s="51" t="s">
        <v>39</v>
      </c>
      <c r="AC388" s="46" t="s">
        <v>39</v>
      </c>
      <c r="AD388" s="17" t="s">
        <v>1178</v>
      </c>
      <c r="AE388" s="17"/>
    </row>
    <row r="389" s="2" customFormat="1" ht="48" hidden="1" customHeight="1" spans="1:31">
      <c r="A389" s="13">
        <v>387</v>
      </c>
      <c r="B389" s="187" t="s">
        <v>1292</v>
      </c>
      <c r="C389" s="15" t="s">
        <v>1142</v>
      </c>
      <c r="D389" s="15" t="s">
        <v>1173</v>
      </c>
      <c r="E389" s="15" t="s">
        <v>1174</v>
      </c>
      <c r="F389" s="13" t="s">
        <v>81</v>
      </c>
      <c r="G389" s="16" t="s">
        <v>178</v>
      </c>
      <c r="H389" s="18" t="s">
        <v>39</v>
      </c>
      <c r="I389" s="43" t="s">
        <v>98</v>
      </c>
      <c r="J389" s="13" t="s">
        <v>1205</v>
      </c>
      <c r="K389" s="13"/>
      <c r="L389" s="20"/>
      <c r="M389" s="20" t="s">
        <v>39</v>
      </c>
      <c r="N389" s="21" t="s">
        <v>39</v>
      </c>
      <c r="O389" s="196">
        <v>0.16</v>
      </c>
      <c r="P389" s="188">
        <v>0</v>
      </c>
      <c r="Q389" s="188">
        <v>0</v>
      </c>
      <c r="R389" s="188">
        <v>0</v>
      </c>
      <c r="S389" s="188">
        <v>0</v>
      </c>
      <c r="T389" s="188">
        <v>0</v>
      </c>
      <c r="U389" s="188">
        <v>0</v>
      </c>
      <c r="V389" s="188">
        <v>0</v>
      </c>
      <c r="W389" s="188">
        <v>0</v>
      </c>
      <c r="X389" s="45" t="s">
        <v>1457</v>
      </c>
      <c r="Y389" s="188" t="s">
        <v>39</v>
      </c>
      <c r="Z389" s="188" t="s">
        <v>39</v>
      </c>
      <c r="AA389" s="45" t="s">
        <v>1457</v>
      </c>
      <c r="AB389" s="51" t="s">
        <v>39</v>
      </c>
      <c r="AC389" s="46" t="s">
        <v>39</v>
      </c>
      <c r="AD389" s="17" t="s">
        <v>1178</v>
      </c>
      <c r="AE389" s="17"/>
    </row>
    <row r="390" s="2" customFormat="1" ht="12" hidden="1" customHeight="1" spans="1:31">
      <c r="A390" s="13">
        <v>388</v>
      </c>
      <c r="B390" s="187" t="s">
        <v>1295</v>
      </c>
      <c r="C390" s="15" t="s">
        <v>1142</v>
      </c>
      <c r="D390" s="15" t="s">
        <v>1207</v>
      </c>
      <c r="E390" s="15" t="s">
        <v>1208</v>
      </c>
      <c r="F390" s="13" t="s">
        <v>53</v>
      </c>
      <c r="G390" s="16" t="s">
        <v>178</v>
      </c>
      <c r="H390" s="45" t="s">
        <v>39</v>
      </c>
      <c r="I390" s="198" t="s">
        <v>39</v>
      </c>
      <c r="J390" s="198" t="s">
        <v>39</v>
      </c>
      <c r="K390" s="198"/>
      <c r="L390" s="188"/>
      <c r="M390" s="188" t="s">
        <v>39</v>
      </c>
      <c r="N390" s="21" t="s">
        <v>39</v>
      </c>
      <c r="O390" s="188" t="s">
        <v>39</v>
      </c>
      <c r="P390" s="188" t="s">
        <v>39</v>
      </c>
      <c r="Q390" s="188" t="s">
        <v>39</v>
      </c>
      <c r="R390" s="188" t="s">
        <v>39</v>
      </c>
      <c r="S390" s="188" t="s">
        <v>39</v>
      </c>
      <c r="T390" s="188" t="s">
        <v>39</v>
      </c>
      <c r="U390" s="188" t="s">
        <v>39</v>
      </c>
      <c r="V390" s="190"/>
      <c r="W390" s="190" t="s">
        <v>39</v>
      </c>
      <c r="X390" s="188" t="s">
        <v>39</v>
      </c>
      <c r="Y390" s="45"/>
      <c r="Z390" s="45"/>
      <c r="AA390" s="45" t="s">
        <v>39</v>
      </c>
      <c r="AB390" s="46">
        <v>0.11</v>
      </c>
      <c r="AC390" s="204" t="s">
        <v>39</v>
      </c>
      <c r="AD390" s="189" t="s">
        <v>104</v>
      </c>
      <c r="AE390" s="17"/>
    </row>
    <row r="391" s="2" customFormat="1" ht="48" hidden="1" customHeight="1" spans="1:31">
      <c r="A391" s="13">
        <v>389</v>
      </c>
      <c r="B391" s="187" t="s">
        <v>1298</v>
      </c>
      <c r="C391" s="15" t="s">
        <v>1142</v>
      </c>
      <c r="D391" s="15" t="s">
        <v>1207</v>
      </c>
      <c r="E391" s="15" t="s">
        <v>1208</v>
      </c>
      <c r="F391" s="13" t="s">
        <v>53</v>
      </c>
      <c r="G391" s="16" t="s">
        <v>178</v>
      </c>
      <c r="H391" s="13" t="s">
        <v>60</v>
      </c>
      <c r="I391" s="43" t="s">
        <v>1210</v>
      </c>
      <c r="J391" s="13" t="s">
        <v>1211</v>
      </c>
      <c r="K391" s="13"/>
      <c r="L391" s="20"/>
      <c r="M391" s="20" t="s">
        <v>39</v>
      </c>
      <c r="N391" s="21">
        <v>1668000</v>
      </c>
      <c r="O391" s="196">
        <v>0.085</v>
      </c>
      <c r="P391" s="188">
        <v>0</v>
      </c>
      <c r="Q391" s="188">
        <v>0</v>
      </c>
      <c r="R391" s="188">
        <v>0</v>
      </c>
      <c r="S391" s="188">
        <v>0</v>
      </c>
      <c r="T391" s="188">
        <v>0</v>
      </c>
      <c r="U391" s="188">
        <v>0</v>
      </c>
      <c r="V391" s="188">
        <v>0</v>
      </c>
      <c r="W391" s="188">
        <v>0</v>
      </c>
      <c r="X391" s="188" t="s">
        <v>1457</v>
      </c>
      <c r="Y391" s="45" t="s">
        <v>39</v>
      </c>
      <c r="Z391" s="45" t="s">
        <v>39</v>
      </c>
      <c r="AA391" s="188" t="s">
        <v>1457</v>
      </c>
      <c r="AB391" s="51" t="s">
        <v>39</v>
      </c>
      <c r="AC391" s="46" t="s">
        <v>39</v>
      </c>
      <c r="AD391" s="17" t="s">
        <v>1212</v>
      </c>
      <c r="AE391" s="17" t="s">
        <v>1213</v>
      </c>
    </row>
    <row r="392" s="2" customFormat="1" ht="48" hidden="1" customHeight="1" spans="1:31">
      <c r="A392" s="13">
        <v>390</v>
      </c>
      <c r="B392" s="187" t="s">
        <v>1302</v>
      </c>
      <c r="C392" s="15" t="s">
        <v>1142</v>
      </c>
      <c r="D392" s="15" t="s">
        <v>1207</v>
      </c>
      <c r="E392" s="15" t="s">
        <v>1208</v>
      </c>
      <c r="F392" s="13" t="s">
        <v>53</v>
      </c>
      <c r="G392" s="16" t="s">
        <v>178</v>
      </c>
      <c r="H392" s="13" t="s">
        <v>66</v>
      </c>
      <c r="I392" s="43" t="s">
        <v>319</v>
      </c>
      <c r="J392" s="13" t="s">
        <v>1216</v>
      </c>
      <c r="K392" s="13"/>
      <c r="L392" s="20"/>
      <c r="M392" s="20" t="s">
        <v>39</v>
      </c>
      <c r="N392" s="21">
        <v>984000</v>
      </c>
      <c r="O392" s="196">
        <v>0.085</v>
      </c>
      <c r="P392" s="188">
        <v>0</v>
      </c>
      <c r="Q392" s="188">
        <v>0</v>
      </c>
      <c r="R392" s="188">
        <v>0</v>
      </c>
      <c r="S392" s="188">
        <v>0</v>
      </c>
      <c r="T392" s="188">
        <v>0</v>
      </c>
      <c r="U392" s="188">
        <v>0</v>
      </c>
      <c r="V392" s="188">
        <v>0</v>
      </c>
      <c r="W392" s="188">
        <v>0</v>
      </c>
      <c r="X392" s="188" t="s">
        <v>1457</v>
      </c>
      <c r="Y392" s="45" t="s">
        <v>39</v>
      </c>
      <c r="Z392" s="45" t="s">
        <v>39</v>
      </c>
      <c r="AA392" s="188" t="s">
        <v>1457</v>
      </c>
      <c r="AB392" s="51" t="s">
        <v>39</v>
      </c>
      <c r="AC392" s="46" t="s">
        <v>39</v>
      </c>
      <c r="AD392" s="17" t="s">
        <v>1212</v>
      </c>
      <c r="AE392" s="17" t="s">
        <v>1213</v>
      </c>
    </row>
    <row r="393" s="2" customFormat="1" ht="48" hidden="1" customHeight="1" spans="1:31">
      <c r="A393" s="13">
        <v>391</v>
      </c>
      <c r="B393" s="187" t="s">
        <v>1308</v>
      </c>
      <c r="C393" s="15" t="s">
        <v>1142</v>
      </c>
      <c r="D393" s="15" t="s">
        <v>1207</v>
      </c>
      <c r="E393" s="15" t="s">
        <v>1208</v>
      </c>
      <c r="F393" s="13" t="s">
        <v>53</v>
      </c>
      <c r="G393" s="16" t="s">
        <v>178</v>
      </c>
      <c r="H393" s="13" t="s">
        <v>70</v>
      </c>
      <c r="I393" s="43" t="s">
        <v>1218</v>
      </c>
      <c r="J393" s="13" t="s">
        <v>1219</v>
      </c>
      <c r="K393" s="13"/>
      <c r="L393" s="20"/>
      <c r="M393" s="20" t="s">
        <v>39</v>
      </c>
      <c r="N393" s="21">
        <v>662400</v>
      </c>
      <c r="O393" s="196">
        <v>0.085</v>
      </c>
      <c r="P393" s="188">
        <v>0</v>
      </c>
      <c r="Q393" s="188">
        <v>0</v>
      </c>
      <c r="R393" s="188">
        <v>0</v>
      </c>
      <c r="S393" s="188">
        <v>0</v>
      </c>
      <c r="T393" s="188">
        <v>0</v>
      </c>
      <c r="U393" s="188">
        <v>0</v>
      </c>
      <c r="V393" s="188">
        <v>0</v>
      </c>
      <c r="W393" s="188">
        <v>0</v>
      </c>
      <c r="X393" s="188" t="s">
        <v>1457</v>
      </c>
      <c r="Y393" s="45" t="s">
        <v>39</v>
      </c>
      <c r="Z393" s="45" t="s">
        <v>39</v>
      </c>
      <c r="AA393" s="188" t="s">
        <v>1457</v>
      </c>
      <c r="AB393" s="51" t="s">
        <v>39</v>
      </c>
      <c r="AC393" s="46" t="s">
        <v>39</v>
      </c>
      <c r="AD393" s="17" t="s">
        <v>1212</v>
      </c>
      <c r="AE393" s="17" t="s">
        <v>1213</v>
      </c>
    </row>
    <row r="394" s="2" customFormat="1" ht="48" hidden="1" customHeight="1" spans="1:31">
      <c r="A394" s="13">
        <v>392</v>
      </c>
      <c r="B394" s="187" t="s">
        <v>1312</v>
      </c>
      <c r="C394" s="15" t="s">
        <v>1142</v>
      </c>
      <c r="D394" s="15" t="s">
        <v>1207</v>
      </c>
      <c r="E394" s="15" t="s">
        <v>1208</v>
      </c>
      <c r="F394" s="13" t="s">
        <v>53</v>
      </c>
      <c r="G394" s="16" t="s">
        <v>178</v>
      </c>
      <c r="H394" s="13" t="s">
        <v>74</v>
      </c>
      <c r="I394" s="43" t="s">
        <v>618</v>
      </c>
      <c r="J394" s="13" t="s">
        <v>1221</v>
      </c>
      <c r="K394" s="13"/>
      <c r="L394" s="20"/>
      <c r="M394" s="20" t="s">
        <v>39</v>
      </c>
      <c r="N394" s="21">
        <v>367200</v>
      </c>
      <c r="O394" s="196">
        <v>0.085</v>
      </c>
      <c r="P394" s="188">
        <v>0</v>
      </c>
      <c r="Q394" s="188">
        <v>0</v>
      </c>
      <c r="R394" s="188">
        <v>0</v>
      </c>
      <c r="S394" s="188">
        <v>0</v>
      </c>
      <c r="T394" s="188">
        <v>0</v>
      </c>
      <c r="U394" s="188">
        <v>0</v>
      </c>
      <c r="V394" s="188">
        <v>0</v>
      </c>
      <c r="W394" s="188">
        <v>0</v>
      </c>
      <c r="X394" s="188" t="s">
        <v>1457</v>
      </c>
      <c r="Y394" s="45" t="s">
        <v>39</v>
      </c>
      <c r="Z394" s="45" t="s">
        <v>39</v>
      </c>
      <c r="AA394" s="188" t="s">
        <v>1457</v>
      </c>
      <c r="AB394" s="51" t="s">
        <v>39</v>
      </c>
      <c r="AC394" s="46" t="s">
        <v>39</v>
      </c>
      <c r="AD394" s="17" t="s">
        <v>1212</v>
      </c>
      <c r="AE394" s="17" t="s">
        <v>1213</v>
      </c>
    </row>
    <row r="395" s="2" customFormat="1" ht="48" hidden="1" customHeight="1" spans="1:31">
      <c r="A395" s="13">
        <v>393</v>
      </c>
      <c r="B395" s="187" t="s">
        <v>1315</v>
      </c>
      <c r="C395" s="15" t="s">
        <v>1142</v>
      </c>
      <c r="D395" s="15" t="s">
        <v>1207</v>
      </c>
      <c r="E395" s="15" t="s">
        <v>1208</v>
      </c>
      <c r="F395" s="13" t="s">
        <v>53</v>
      </c>
      <c r="G395" s="16" t="s">
        <v>178</v>
      </c>
      <c r="H395" s="13" t="s">
        <v>265</v>
      </c>
      <c r="I395" s="43" t="s">
        <v>1223</v>
      </c>
      <c r="J395" s="13" t="s">
        <v>1224</v>
      </c>
      <c r="K395" s="13"/>
      <c r="L395" s="20"/>
      <c r="M395" s="20" t="s">
        <v>39</v>
      </c>
      <c r="N395" s="21">
        <v>316800</v>
      </c>
      <c r="O395" s="196">
        <v>0.085</v>
      </c>
      <c r="P395" s="188">
        <v>0</v>
      </c>
      <c r="Q395" s="188">
        <v>0</v>
      </c>
      <c r="R395" s="188">
        <v>0</v>
      </c>
      <c r="S395" s="188">
        <v>0</v>
      </c>
      <c r="T395" s="188">
        <v>0</v>
      </c>
      <c r="U395" s="188">
        <v>0</v>
      </c>
      <c r="V395" s="188">
        <v>0</v>
      </c>
      <c r="W395" s="188">
        <v>0</v>
      </c>
      <c r="X395" s="188" t="s">
        <v>1457</v>
      </c>
      <c r="Y395" s="45" t="s">
        <v>39</v>
      </c>
      <c r="Z395" s="45" t="s">
        <v>39</v>
      </c>
      <c r="AA395" s="188" t="s">
        <v>1457</v>
      </c>
      <c r="AB395" s="51" t="s">
        <v>39</v>
      </c>
      <c r="AC395" s="46" t="s">
        <v>39</v>
      </c>
      <c r="AD395" s="17" t="s">
        <v>1212</v>
      </c>
      <c r="AE395" s="17" t="s">
        <v>1213</v>
      </c>
    </row>
    <row r="396" s="2" customFormat="1" ht="48" hidden="1" customHeight="1" spans="1:31">
      <c r="A396" s="13">
        <v>394</v>
      </c>
      <c r="B396" s="187" t="s">
        <v>1317</v>
      </c>
      <c r="C396" s="15" t="s">
        <v>1142</v>
      </c>
      <c r="D396" s="15" t="s">
        <v>1207</v>
      </c>
      <c r="E396" s="15" t="s">
        <v>1208</v>
      </c>
      <c r="F396" s="13" t="s">
        <v>53</v>
      </c>
      <c r="G396" s="16" t="s">
        <v>178</v>
      </c>
      <c r="H396" s="13" t="s">
        <v>86</v>
      </c>
      <c r="I396" s="43" t="s">
        <v>1226</v>
      </c>
      <c r="J396" s="13" t="s">
        <v>1227</v>
      </c>
      <c r="K396" s="13"/>
      <c r="L396" s="20"/>
      <c r="M396" s="20" t="s">
        <v>39</v>
      </c>
      <c r="N396" s="21">
        <v>2232000</v>
      </c>
      <c r="O396" s="196">
        <v>0.085</v>
      </c>
      <c r="P396" s="188">
        <v>0</v>
      </c>
      <c r="Q396" s="188">
        <v>0</v>
      </c>
      <c r="R396" s="188">
        <v>0</v>
      </c>
      <c r="S396" s="188">
        <v>0</v>
      </c>
      <c r="T396" s="188">
        <v>0</v>
      </c>
      <c r="U396" s="188">
        <v>0</v>
      </c>
      <c r="V396" s="188">
        <v>0</v>
      </c>
      <c r="W396" s="188">
        <v>0</v>
      </c>
      <c r="X396" s="188" t="s">
        <v>1457</v>
      </c>
      <c r="Y396" s="45" t="s">
        <v>39</v>
      </c>
      <c r="Z396" s="45" t="s">
        <v>39</v>
      </c>
      <c r="AA396" s="188" t="s">
        <v>1457</v>
      </c>
      <c r="AB396" s="51" t="s">
        <v>39</v>
      </c>
      <c r="AC396" s="46" t="s">
        <v>39</v>
      </c>
      <c r="AD396" s="17" t="s">
        <v>1212</v>
      </c>
      <c r="AE396" s="17" t="s">
        <v>1213</v>
      </c>
    </row>
    <row r="397" s="2" customFormat="1" ht="48" hidden="1" customHeight="1" spans="1:31">
      <c r="A397" s="13">
        <v>395</v>
      </c>
      <c r="B397" s="187" t="s">
        <v>1319</v>
      </c>
      <c r="C397" s="15" t="s">
        <v>1142</v>
      </c>
      <c r="D397" s="15" t="s">
        <v>1207</v>
      </c>
      <c r="E397" s="15" t="s">
        <v>1208</v>
      </c>
      <c r="F397" s="13" t="s">
        <v>53</v>
      </c>
      <c r="G397" s="16" t="s">
        <v>178</v>
      </c>
      <c r="H397" s="13" t="s">
        <v>272</v>
      </c>
      <c r="I397" s="43" t="s">
        <v>217</v>
      </c>
      <c r="J397" s="13" t="s">
        <v>1229</v>
      </c>
      <c r="K397" s="13"/>
      <c r="L397" s="20"/>
      <c r="M397" s="20" t="s">
        <v>39</v>
      </c>
      <c r="N397" s="21">
        <v>655200</v>
      </c>
      <c r="O397" s="196">
        <v>0.085</v>
      </c>
      <c r="P397" s="188">
        <v>0</v>
      </c>
      <c r="Q397" s="188">
        <v>0</v>
      </c>
      <c r="R397" s="188">
        <v>0</v>
      </c>
      <c r="S397" s="188">
        <v>0</v>
      </c>
      <c r="T397" s="188">
        <v>0</v>
      </c>
      <c r="U397" s="188">
        <v>0</v>
      </c>
      <c r="V397" s="188">
        <v>0</v>
      </c>
      <c r="W397" s="188">
        <v>0</v>
      </c>
      <c r="X397" s="188" t="s">
        <v>1457</v>
      </c>
      <c r="Y397" s="45" t="s">
        <v>39</v>
      </c>
      <c r="Z397" s="45" t="s">
        <v>39</v>
      </c>
      <c r="AA397" s="188" t="s">
        <v>1457</v>
      </c>
      <c r="AB397" s="51" t="s">
        <v>39</v>
      </c>
      <c r="AC397" s="46" t="s">
        <v>39</v>
      </c>
      <c r="AD397" s="17" t="s">
        <v>1212</v>
      </c>
      <c r="AE397" s="17" t="s">
        <v>1213</v>
      </c>
    </row>
    <row r="398" s="2" customFormat="1" ht="24" hidden="1" customHeight="1" spans="1:31">
      <c r="A398" s="13">
        <v>396</v>
      </c>
      <c r="B398" s="187" t="s">
        <v>1321</v>
      </c>
      <c r="C398" s="15" t="s">
        <v>1142</v>
      </c>
      <c r="D398" s="15" t="s">
        <v>1207</v>
      </c>
      <c r="E398" s="15" t="s">
        <v>1208</v>
      </c>
      <c r="F398" s="13" t="s">
        <v>53</v>
      </c>
      <c r="G398" s="16" t="s">
        <v>178</v>
      </c>
      <c r="H398" s="13" t="s">
        <v>276</v>
      </c>
      <c r="I398" s="43" t="s">
        <v>1231</v>
      </c>
      <c r="J398" s="13" t="s">
        <v>1232</v>
      </c>
      <c r="K398" s="13"/>
      <c r="L398" s="20"/>
      <c r="M398" s="20" t="s">
        <v>39</v>
      </c>
      <c r="N398" s="21">
        <v>662400</v>
      </c>
      <c r="O398" s="196">
        <v>0.085</v>
      </c>
      <c r="P398" s="188">
        <v>0</v>
      </c>
      <c r="Q398" s="188">
        <v>0</v>
      </c>
      <c r="R398" s="188">
        <v>0</v>
      </c>
      <c r="S398" s="188">
        <v>0</v>
      </c>
      <c r="T398" s="188">
        <v>0</v>
      </c>
      <c r="U398" s="188">
        <v>0</v>
      </c>
      <c r="V398" s="188">
        <v>0</v>
      </c>
      <c r="W398" s="188">
        <v>0</v>
      </c>
      <c r="X398" s="188" t="s">
        <v>1457</v>
      </c>
      <c r="Y398" s="45" t="s">
        <v>39</v>
      </c>
      <c r="Z398" s="45" t="s">
        <v>39</v>
      </c>
      <c r="AA398" s="188" t="s">
        <v>1457</v>
      </c>
      <c r="AB398" s="51" t="s">
        <v>39</v>
      </c>
      <c r="AC398" s="46" t="s">
        <v>39</v>
      </c>
      <c r="AD398" s="17" t="s">
        <v>1212</v>
      </c>
      <c r="AE398" s="17" t="s">
        <v>644</v>
      </c>
    </row>
    <row r="399" s="2" customFormat="1" ht="12" customHeight="1" spans="1:31">
      <c r="A399" s="13">
        <v>397</v>
      </c>
      <c r="B399" s="187" t="s">
        <v>1324</v>
      </c>
      <c r="C399" s="15" t="s">
        <v>1142</v>
      </c>
      <c r="D399" s="15" t="s">
        <v>1234</v>
      </c>
      <c r="E399" s="15" t="s">
        <v>1235</v>
      </c>
      <c r="F399" s="13" t="s">
        <v>37</v>
      </c>
      <c r="G399" s="16" t="s">
        <v>103</v>
      </c>
      <c r="H399" s="16" t="s">
        <v>39</v>
      </c>
      <c r="I399" s="43" t="s">
        <v>39</v>
      </c>
      <c r="J399" s="16" t="s">
        <v>39</v>
      </c>
      <c r="K399" s="16"/>
      <c r="L399" s="20"/>
      <c r="M399" s="20" t="s">
        <v>39</v>
      </c>
      <c r="N399" s="21" t="s">
        <v>39</v>
      </c>
      <c r="O399" s="188" t="s">
        <v>39</v>
      </c>
      <c r="P399" s="188" t="s">
        <v>39</v>
      </c>
      <c r="Q399" s="188">
        <v>0.02</v>
      </c>
      <c r="R399" s="188" t="s">
        <v>39</v>
      </c>
      <c r="S399" s="188" t="s">
        <v>39</v>
      </c>
      <c r="T399" s="188" t="s">
        <v>39</v>
      </c>
      <c r="U399" s="188" t="s">
        <v>39</v>
      </c>
      <c r="V399" s="188" t="s">
        <v>39</v>
      </c>
      <c r="W399" s="188" t="s">
        <v>39</v>
      </c>
      <c r="X399" s="188" t="s">
        <v>39</v>
      </c>
      <c r="Y399" s="188"/>
      <c r="Z399" s="188"/>
      <c r="AA399" s="188"/>
      <c r="AB399" s="22">
        <v>0.07</v>
      </c>
      <c r="AC399" s="18" t="s">
        <v>39</v>
      </c>
      <c r="AD399" s="189" t="s">
        <v>1726</v>
      </c>
      <c r="AE399" s="17"/>
    </row>
    <row r="400" s="2" customFormat="1" ht="36" customHeight="1" spans="1:31">
      <c r="A400" s="13">
        <v>398</v>
      </c>
      <c r="B400" s="187" t="s">
        <v>1327</v>
      </c>
      <c r="C400" s="15" t="s">
        <v>1142</v>
      </c>
      <c r="D400" s="15" t="s">
        <v>1234</v>
      </c>
      <c r="E400" s="15" t="s">
        <v>1235</v>
      </c>
      <c r="F400" s="13" t="s">
        <v>81</v>
      </c>
      <c r="G400" s="16" t="s">
        <v>103</v>
      </c>
      <c r="H400" s="16" t="s">
        <v>60</v>
      </c>
      <c r="I400" s="43" t="s">
        <v>1237</v>
      </c>
      <c r="J400" s="16" t="s">
        <v>1238</v>
      </c>
      <c r="K400" s="16"/>
      <c r="L400" s="20"/>
      <c r="M400" s="20" t="s">
        <v>39</v>
      </c>
      <c r="N400" s="21">
        <v>621000</v>
      </c>
      <c r="O400" s="194">
        <v>0.12</v>
      </c>
      <c r="P400" s="188">
        <v>0.01</v>
      </c>
      <c r="Q400" s="188">
        <v>0</v>
      </c>
      <c r="R400" s="188">
        <v>0</v>
      </c>
      <c r="S400" s="194">
        <v>0</v>
      </c>
      <c r="T400" s="194">
        <v>0</v>
      </c>
      <c r="U400" s="188">
        <v>0</v>
      </c>
      <c r="V400" s="194">
        <v>0.03</v>
      </c>
      <c r="W400" s="194">
        <v>0.08</v>
      </c>
      <c r="X400" s="203" t="s">
        <v>1537</v>
      </c>
      <c r="Y400" s="188" t="s">
        <v>1538</v>
      </c>
      <c r="Z400" s="188" t="s">
        <v>39</v>
      </c>
      <c r="AA400" s="188" t="s">
        <v>1515</v>
      </c>
      <c r="AB400" s="22" t="s">
        <v>39</v>
      </c>
      <c r="AC400" s="18" t="s">
        <v>39</v>
      </c>
      <c r="AD400" s="195" t="s">
        <v>1239</v>
      </c>
      <c r="AE400" s="17" t="s">
        <v>1240</v>
      </c>
    </row>
    <row r="401" s="2" customFormat="1" ht="36" customHeight="1" spans="1:31">
      <c r="A401" s="13">
        <v>399</v>
      </c>
      <c r="B401" s="187" t="s">
        <v>1330</v>
      </c>
      <c r="C401" s="15" t="s">
        <v>1142</v>
      </c>
      <c r="D401" s="15" t="s">
        <v>1234</v>
      </c>
      <c r="E401" s="15" t="s">
        <v>1235</v>
      </c>
      <c r="F401" s="13" t="s">
        <v>81</v>
      </c>
      <c r="G401" s="16" t="s">
        <v>103</v>
      </c>
      <c r="H401" s="16" t="s">
        <v>66</v>
      </c>
      <c r="I401" s="43" t="s">
        <v>1243</v>
      </c>
      <c r="J401" s="16" t="s">
        <v>1244</v>
      </c>
      <c r="K401" s="16"/>
      <c r="L401" s="20"/>
      <c r="M401" s="20" t="s">
        <v>39</v>
      </c>
      <c r="N401" s="21">
        <v>610000</v>
      </c>
      <c r="O401" s="194">
        <v>0.12</v>
      </c>
      <c r="P401" s="188">
        <v>0.01</v>
      </c>
      <c r="Q401" s="188">
        <v>0</v>
      </c>
      <c r="R401" s="188">
        <v>0</v>
      </c>
      <c r="S401" s="194">
        <v>0</v>
      </c>
      <c r="T401" s="194">
        <v>0</v>
      </c>
      <c r="U401" s="188">
        <v>0</v>
      </c>
      <c r="V401" s="194">
        <v>0.03</v>
      </c>
      <c r="W401" s="194">
        <v>0.08</v>
      </c>
      <c r="X401" s="203" t="s">
        <v>1537</v>
      </c>
      <c r="Y401" s="188" t="s">
        <v>1538</v>
      </c>
      <c r="Z401" s="188" t="s">
        <v>39</v>
      </c>
      <c r="AA401" s="188" t="s">
        <v>1515</v>
      </c>
      <c r="AB401" s="22" t="s">
        <v>39</v>
      </c>
      <c r="AC401" s="18" t="s">
        <v>39</v>
      </c>
      <c r="AD401" s="195" t="s">
        <v>1245</v>
      </c>
      <c r="AE401" s="17" t="s">
        <v>1240</v>
      </c>
    </row>
    <row r="402" s="2" customFormat="1" ht="24" customHeight="1" spans="1:31">
      <c r="A402" s="13">
        <v>400</v>
      </c>
      <c r="B402" s="187" t="s">
        <v>1333</v>
      </c>
      <c r="C402" s="15"/>
      <c r="D402" s="15"/>
      <c r="E402" s="15" t="s">
        <v>1235</v>
      </c>
      <c r="F402" s="198" t="s">
        <v>81</v>
      </c>
      <c r="G402" s="16" t="s">
        <v>103</v>
      </c>
      <c r="H402" s="167" t="s">
        <v>70</v>
      </c>
      <c r="I402" s="13" t="s">
        <v>1539</v>
      </c>
      <c r="J402" s="16" t="s">
        <v>1540</v>
      </c>
      <c r="K402" s="16"/>
      <c r="L402" s="20"/>
      <c r="M402" s="20"/>
      <c r="N402" s="21"/>
      <c r="O402" s="194">
        <v>0.12</v>
      </c>
      <c r="P402" s="188">
        <v>0</v>
      </c>
      <c r="Q402" s="188">
        <v>0</v>
      </c>
      <c r="R402" s="188">
        <v>0</v>
      </c>
      <c r="S402" s="194">
        <v>0</v>
      </c>
      <c r="T402" s="194">
        <v>0</v>
      </c>
      <c r="U402" s="188">
        <v>0</v>
      </c>
      <c r="V402" s="194">
        <v>0.03</v>
      </c>
      <c r="W402" s="194">
        <v>0.08</v>
      </c>
      <c r="X402" s="203" t="s">
        <v>1537</v>
      </c>
      <c r="Y402" s="188" t="s">
        <v>1538</v>
      </c>
      <c r="Z402" s="188" t="s">
        <v>1727</v>
      </c>
      <c r="AA402" s="188" t="s">
        <v>1515</v>
      </c>
      <c r="AB402" s="22"/>
      <c r="AC402" s="18"/>
      <c r="AD402" s="195"/>
      <c r="AE402" s="17"/>
    </row>
    <row r="403" s="2" customFormat="1" ht="12" customHeight="1" spans="1:31">
      <c r="A403" s="13">
        <v>401</v>
      </c>
      <c r="B403" s="187" t="s">
        <v>1335</v>
      </c>
      <c r="C403" s="15" t="s">
        <v>1142</v>
      </c>
      <c r="D403" s="15" t="s">
        <v>1247</v>
      </c>
      <c r="E403" s="15" t="s">
        <v>1248</v>
      </c>
      <c r="F403" s="13" t="s">
        <v>37</v>
      </c>
      <c r="G403" s="16" t="s">
        <v>103</v>
      </c>
      <c r="H403" s="16" t="s">
        <v>39</v>
      </c>
      <c r="I403" s="43" t="s">
        <v>39</v>
      </c>
      <c r="J403" s="16" t="s">
        <v>39</v>
      </c>
      <c r="K403" s="16"/>
      <c r="L403" s="20"/>
      <c r="M403" s="20" t="s">
        <v>39</v>
      </c>
      <c r="N403" s="21" t="s">
        <v>39</v>
      </c>
      <c r="O403" s="188" t="s">
        <v>39</v>
      </c>
      <c r="P403" s="188" t="s">
        <v>39</v>
      </c>
      <c r="Q403" s="188">
        <v>0.05</v>
      </c>
      <c r="R403" s="188" t="s">
        <v>39</v>
      </c>
      <c r="S403" s="188" t="s">
        <v>39</v>
      </c>
      <c r="T403" s="188" t="s">
        <v>39</v>
      </c>
      <c r="U403" s="188" t="s">
        <v>39</v>
      </c>
      <c r="V403" s="188" t="s">
        <v>39</v>
      </c>
      <c r="W403" s="188" t="s">
        <v>39</v>
      </c>
      <c r="X403" s="188" t="s">
        <v>39</v>
      </c>
      <c r="Y403" s="45"/>
      <c r="Z403" s="45"/>
      <c r="AA403" s="45"/>
      <c r="AB403" s="22">
        <v>0.05</v>
      </c>
      <c r="AC403" s="18" t="s">
        <v>39</v>
      </c>
      <c r="AD403" s="17" t="s">
        <v>471</v>
      </c>
      <c r="AE403" s="17"/>
    </row>
    <row r="404" s="2" customFormat="1" ht="48" customHeight="1" spans="1:31">
      <c r="A404" s="13">
        <v>402</v>
      </c>
      <c r="B404" s="187" t="s">
        <v>1337</v>
      </c>
      <c r="C404" s="15" t="s">
        <v>1142</v>
      </c>
      <c r="D404" s="15" t="s">
        <v>1247</v>
      </c>
      <c r="E404" s="15" t="s">
        <v>1248</v>
      </c>
      <c r="F404" s="13" t="s">
        <v>81</v>
      </c>
      <c r="G404" s="16" t="s">
        <v>103</v>
      </c>
      <c r="H404" s="16" t="s">
        <v>60</v>
      </c>
      <c r="I404" s="43" t="s">
        <v>1250</v>
      </c>
      <c r="J404" s="16" t="s">
        <v>1251</v>
      </c>
      <c r="K404" s="16"/>
      <c r="L404" s="20"/>
      <c r="M404" s="20" t="s">
        <v>39</v>
      </c>
      <c r="N404" s="21">
        <v>800000</v>
      </c>
      <c r="O404" s="194">
        <v>0.19</v>
      </c>
      <c r="P404" s="188">
        <v>0</v>
      </c>
      <c r="Q404" s="194">
        <v>0</v>
      </c>
      <c r="R404" s="192">
        <v>0</v>
      </c>
      <c r="S404" s="194">
        <v>0</v>
      </c>
      <c r="T404" s="194">
        <v>0</v>
      </c>
      <c r="U404" s="188">
        <v>0</v>
      </c>
      <c r="V404" s="194">
        <v>0.03</v>
      </c>
      <c r="W404" s="199">
        <v>0</v>
      </c>
      <c r="X404" s="192" t="s">
        <v>1515</v>
      </c>
      <c r="Y404" s="188" t="s">
        <v>1541</v>
      </c>
      <c r="Z404" s="188" t="s">
        <v>39</v>
      </c>
      <c r="AA404" s="188" t="s">
        <v>1515</v>
      </c>
      <c r="AB404" s="22" t="s">
        <v>39</v>
      </c>
      <c r="AC404" s="18" t="s">
        <v>39</v>
      </c>
      <c r="AD404" s="189" t="s">
        <v>1252</v>
      </c>
      <c r="AE404" s="17" t="s">
        <v>1253</v>
      </c>
    </row>
    <row r="405" s="2" customFormat="1" ht="48" customHeight="1" spans="1:31">
      <c r="A405" s="13">
        <v>403</v>
      </c>
      <c r="B405" s="187" t="s">
        <v>1340</v>
      </c>
      <c r="C405" s="15" t="s">
        <v>1142</v>
      </c>
      <c r="D405" s="15" t="s">
        <v>1247</v>
      </c>
      <c r="E405" s="15" t="s">
        <v>1248</v>
      </c>
      <c r="F405" s="13" t="s">
        <v>81</v>
      </c>
      <c r="G405" s="16" t="s">
        <v>103</v>
      </c>
      <c r="H405" s="16" t="s">
        <v>66</v>
      </c>
      <c r="I405" s="43" t="s">
        <v>1256</v>
      </c>
      <c r="J405" s="16" t="s">
        <v>1257</v>
      </c>
      <c r="K405" s="16"/>
      <c r="L405" s="20"/>
      <c r="M405" s="20" t="s">
        <v>39</v>
      </c>
      <c r="N405" s="21">
        <v>640000</v>
      </c>
      <c r="O405" s="194">
        <v>0.19</v>
      </c>
      <c r="P405" s="188">
        <v>0</v>
      </c>
      <c r="Q405" s="194">
        <v>0</v>
      </c>
      <c r="R405" s="192">
        <v>0</v>
      </c>
      <c r="S405" s="194">
        <v>0</v>
      </c>
      <c r="T405" s="194">
        <v>0</v>
      </c>
      <c r="U405" s="188">
        <v>0</v>
      </c>
      <c r="V405" s="194">
        <v>0.03</v>
      </c>
      <c r="W405" s="199">
        <v>0</v>
      </c>
      <c r="X405" s="192" t="s">
        <v>1515</v>
      </c>
      <c r="Y405" s="188" t="s">
        <v>1541</v>
      </c>
      <c r="Z405" s="188" t="s">
        <v>39</v>
      </c>
      <c r="AA405" s="188" t="s">
        <v>1515</v>
      </c>
      <c r="AB405" s="22" t="s">
        <v>39</v>
      </c>
      <c r="AC405" s="18" t="s">
        <v>39</v>
      </c>
      <c r="AD405" s="189" t="s">
        <v>1258</v>
      </c>
      <c r="AE405" s="17" t="s">
        <v>1253</v>
      </c>
    </row>
    <row r="406" s="2" customFormat="1" ht="48" customHeight="1" spans="1:31">
      <c r="A406" s="13">
        <v>404</v>
      </c>
      <c r="B406" s="187" t="s">
        <v>1343</v>
      </c>
      <c r="C406" s="15" t="s">
        <v>1142</v>
      </c>
      <c r="D406" s="15" t="s">
        <v>1247</v>
      </c>
      <c r="E406" s="15" t="s">
        <v>1248</v>
      </c>
      <c r="F406" s="13" t="s">
        <v>81</v>
      </c>
      <c r="G406" s="16" t="s">
        <v>103</v>
      </c>
      <c r="H406" s="16" t="s">
        <v>70</v>
      </c>
      <c r="I406" s="43" t="s">
        <v>98</v>
      </c>
      <c r="J406" s="16" t="s">
        <v>1260</v>
      </c>
      <c r="K406" s="16"/>
      <c r="L406" s="20"/>
      <c r="M406" s="20" t="s">
        <v>39</v>
      </c>
      <c r="N406" s="21">
        <v>160000</v>
      </c>
      <c r="O406" s="194">
        <v>0.19</v>
      </c>
      <c r="P406" s="188">
        <v>0</v>
      </c>
      <c r="Q406" s="194">
        <v>0</v>
      </c>
      <c r="R406" s="192">
        <v>0</v>
      </c>
      <c r="S406" s="194">
        <v>0</v>
      </c>
      <c r="T406" s="194">
        <v>0</v>
      </c>
      <c r="U406" s="188">
        <v>0</v>
      </c>
      <c r="V406" s="194">
        <v>0.03</v>
      </c>
      <c r="W406" s="199">
        <v>0</v>
      </c>
      <c r="X406" s="192" t="s">
        <v>1515</v>
      </c>
      <c r="Y406" s="188" t="s">
        <v>1541</v>
      </c>
      <c r="Z406" s="188" t="s">
        <v>39</v>
      </c>
      <c r="AA406" s="188" t="s">
        <v>1515</v>
      </c>
      <c r="AB406" s="22" t="s">
        <v>39</v>
      </c>
      <c r="AC406" s="18" t="s">
        <v>39</v>
      </c>
      <c r="AD406" s="189" t="s">
        <v>1252</v>
      </c>
      <c r="AE406" s="17" t="s">
        <v>1253</v>
      </c>
    </row>
    <row r="407" s="2" customFormat="1" ht="48" customHeight="1" spans="1:31">
      <c r="A407" s="13">
        <v>405</v>
      </c>
      <c r="B407" s="187" t="s">
        <v>1349</v>
      </c>
      <c r="C407" s="15" t="s">
        <v>1142</v>
      </c>
      <c r="D407" s="15" t="s">
        <v>1247</v>
      </c>
      <c r="E407" s="15" t="s">
        <v>1248</v>
      </c>
      <c r="F407" s="13" t="s">
        <v>81</v>
      </c>
      <c r="G407" s="16" t="s">
        <v>103</v>
      </c>
      <c r="H407" s="16" t="s">
        <v>74</v>
      </c>
      <c r="I407" s="43" t="s">
        <v>1263</v>
      </c>
      <c r="J407" s="187" t="s">
        <v>1542</v>
      </c>
      <c r="K407" s="16"/>
      <c r="L407" s="20"/>
      <c r="M407" s="20" t="s">
        <v>39</v>
      </c>
      <c r="N407" s="21">
        <v>240000</v>
      </c>
      <c r="O407" s="194">
        <v>0.17</v>
      </c>
      <c r="P407" s="188">
        <v>0</v>
      </c>
      <c r="Q407" s="194">
        <v>0</v>
      </c>
      <c r="R407" s="192">
        <v>0</v>
      </c>
      <c r="S407" s="194">
        <v>0</v>
      </c>
      <c r="T407" s="194">
        <v>0</v>
      </c>
      <c r="U407" s="188">
        <v>0</v>
      </c>
      <c r="V407" s="194">
        <v>0.03</v>
      </c>
      <c r="W407" s="199">
        <v>0</v>
      </c>
      <c r="X407" s="192" t="s">
        <v>1515</v>
      </c>
      <c r="Y407" s="188" t="s">
        <v>1543</v>
      </c>
      <c r="Z407" s="188" t="s">
        <v>39</v>
      </c>
      <c r="AA407" s="188" t="s">
        <v>1515</v>
      </c>
      <c r="AB407" s="22" t="s">
        <v>39</v>
      </c>
      <c r="AC407" s="18" t="s">
        <v>39</v>
      </c>
      <c r="AD407" s="189" t="s">
        <v>1265</v>
      </c>
      <c r="AE407" s="17" t="s">
        <v>1253</v>
      </c>
    </row>
    <row r="408" s="2" customFormat="1" ht="48" customHeight="1" spans="1:31">
      <c r="A408" s="13">
        <v>406</v>
      </c>
      <c r="B408" s="187" t="s">
        <v>1544</v>
      </c>
      <c r="C408" s="15" t="s">
        <v>1142</v>
      </c>
      <c r="D408" s="15" t="s">
        <v>1247</v>
      </c>
      <c r="E408" s="15" t="s">
        <v>1248</v>
      </c>
      <c r="F408" s="13" t="s">
        <v>81</v>
      </c>
      <c r="G408" s="16" t="s">
        <v>103</v>
      </c>
      <c r="H408" s="16" t="s">
        <v>265</v>
      </c>
      <c r="I408" s="43" t="s">
        <v>1267</v>
      </c>
      <c r="J408" s="16" t="s">
        <v>1268</v>
      </c>
      <c r="K408" s="16"/>
      <c r="L408" s="20"/>
      <c r="M408" s="20" t="s">
        <v>39</v>
      </c>
      <c r="N408" s="21">
        <v>320000</v>
      </c>
      <c r="O408" s="194">
        <v>0.23</v>
      </c>
      <c r="P408" s="188">
        <v>0</v>
      </c>
      <c r="Q408" s="194">
        <v>0</v>
      </c>
      <c r="R408" s="192">
        <v>0</v>
      </c>
      <c r="S408" s="194">
        <v>0</v>
      </c>
      <c r="T408" s="194">
        <v>0</v>
      </c>
      <c r="U408" s="188">
        <v>0</v>
      </c>
      <c r="V408" s="194">
        <v>0.03</v>
      </c>
      <c r="W408" s="199">
        <v>0</v>
      </c>
      <c r="X408" s="192" t="s">
        <v>1515</v>
      </c>
      <c r="Y408" s="188" t="s">
        <v>1543</v>
      </c>
      <c r="Z408" s="188" t="s">
        <v>39</v>
      </c>
      <c r="AA408" s="188" t="s">
        <v>1515</v>
      </c>
      <c r="AB408" s="22" t="s">
        <v>39</v>
      </c>
      <c r="AC408" s="18" t="s">
        <v>39</v>
      </c>
      <c r="AD408" s="189" t="s">
        <v>1252</v>
      </c>
      <c r="AE408" s="17" t="s">
        <v>1253</v>
      </c>
    </row>
    <row r="409" s="2" customFormat="1" ht="48" customHeight="1" spans="1:31">
      <c r="A409" s="13">
        <v>407</v>
      </c>
      <c r="B409" s="187" t="s">
        <v>1545</v>
      </c>
      <c r="C409" s="15" t="s">
        <v>1142</v>
      </c>
      <c r="D409" s="15" t="s">
        <v>1247</v>
      </c>
      <c r="E409" s="15" t="s">
        <v>1248</v>
      </c>
      <c r="F409" s="13" t="s">
        <v>81</v>
      </c>
      <c r="G409" s="16" t="s">
        <v>103</v>
      </c>
      <c r="H409" s="16" t="s">
        <v>86</v>
      </c>
      <c r="I409" s="43" t="s">
        <v>186</v>
      </c>
      <c r="J409" s="16" t="s">
        <v>1270</v>
      </c>
      <c r="K409" s="16"/>
      <c r="L409" s="20"/>
      <c r="M409" s="20" t="s">
        <v>39</v>
      </c>
      <c r="N409" s="21">
        <v>320000</v>
      </c>
      <c r="O409" s="194">
        <v>0.23</v>
      </c>
      <c r="P409" s="188">
        <v>0</v>
      </c>
      <c r="Q409" s="194">
        <v>0</v>
      </c>
      <c r="R409" s="192">
        <v>0</v>
      </c>
      <c r="S409" s="194">
        <v>0</v>
      </c>
      <c r="T409" s="194">
        <v>0</v>
      </c>
      <c r="U409" s="188">
        <v>0</v>
      </c>
      <c r="V409" s="194">
        <v>0.03</v>
      </c>
      <c r="W409" s="199">
        <v>0</v>
      </c>
      <c r="X409" s="192" t="s">
        <v>1515</v>
      </c>
      <c r="Y409" s="188" t="s">
        <v>1543</v>
      </c>
      <c r="Z409" s="188" t="s">
        <v>39</v>
      </c>
      <c r="AA409" s="188" t="s">
        <v>1515</v>
      </c>
      <c r="AB409" s="22" t="s">
        <v>39</v>
      </c>
      <c r="AC409" s="18" t="s">
        <v>39</v>
      </c>
      <c r="AD409" s="189" t="s">
        <v>1252</v>
      </c>
      <c r="AE409" s="17" t="s">
        <v>1253</v>
      </c>
    </row>
    <row r="410" s="2" customFormat="1" ht="48" customHeight="1" spans="1:31">
      <c r="A410" s="13">
        <v>408</v>
      </c>
      <c r="B410" s="187" t="s">
        <v>1546</v>
      </c>
      <c r="C410" s="15" t="s">
        <v>1142</v>
      </c>
      <c r="D410" s="15" t="s">
        <v>1247</v>
      </c>
      <c r="E410" s="15" t="s">
        <v>1248</v>
      </c>
      <c r="F410" s="13" t="s">
        <v>81</v>
      </c>
      <c r="G410" s="16" t="s">
        <v>103</v>
      </c>
      <c r="H410" s="16" t="s">
        <v>272</v>
      </c>
      <c r="I410" s="43" t="s">
        <v>198</v>
      </c>
      <c r="J410" s="16" t="s">
        <v>1273</v>
      </c>
      <c r="K410" s="16"/>
      <c r="L410" s="20"/>
      <c r="M410" s="20" t="s">
        <v>39</v>
      </c>
      <c r="N410" s="21">
        <v>240000</v>
      </c>
      <c r="O410" s="194">
        <v>0.23</v>
      </c>
      <c r="P410" s="188">
        <v>0</v>
      </c>
      <c r="Q410" s="194">
        <v>0</v>
      </c>
      <c r="R410" s="192">
        <v>0</v>
      </c>
      <c r="S410" s="194">
        <v>0</v>
      </c>
      <c r="T410" s="194">
        <v>0</v>
      </c>
      <c r="U410" s="188">
        <v>0</v>
      </c>
      <c r="V410" s="194">
        <v>0.03</v>
      </c>
      <c r="W410" s="199">
        <v>0</v>
      </c>
      <c r="X410" s="192" t="s">
        <v>1515</v>
      </c>
      <c r="Y410" s="188" t="s">
        <v>1543</v>
      </c>
      <c r="Z410" s="188" t="s">
        <v>39</v>
      </c>
      <c r="AA410" s="188" t="s">
        <v>1515</v>
      </c>
      <c r="AB410" s="22" t="s">
        <v>39</v>
      </c>
      <c r="AC410" s="18" t="s">
        <v>39</v>
      </c>
      <c r="AD410" s="189" t="s">
        <v>1274</v>
      </c>
      <c r="AE410" s="17" t="s">
        <v>1253</v>
      </c>
    </row>
    <row r="411" s="2" customFormat="1" ht="48" customHeight="1" spans="1:31">
      <c r="A411" s="13">
        <v>409</v>
      </c>
      <c r="B411" s="187" t="s">
        <v>1547</v>
      </c>
      <c r="C411" s="15" t="s">
        <v>1142</v>
      </c>
      <c r="D411" s="15" t="s">
        <v>1247</v>
      </c>
      <c r="E411" s="15" t="s">
        <v>1248</v>
      </c>
      <c r="F411" s="13" t="s">
        <v>81</v>
      </c>
      <c r="G411" s="16" t="s">
        <v>103</v>
      </c>
      <c r="H411" s="16" t="s">
        <v>276</v>
      </c>
      <c r="I411" s="43" t="s">
        <v>530</v>
      </c>
      <c r="J411" s="16" t="s">
        <v>1276</v>
      </c>
      <c r="K411" s="16"/>
      <c r="L411" s="20"/>
      <c r="M411" s="20" t="s">
        <v>39</v>
      </c>
      <c r="N411" s="21">
        <v>320000</v>
      </c>
      <c r="O411" s="194">
        <v>0.23</v>
      </c>
      <c r="P411" s="188">
        <v>0</v>
      </c>
      <c r="Q411" s="194">
        <v>0</v>
      </c>
      <c r="R411" s="192">
        <v>0</v>
      </c>
      <c r="S411" s="194">
        <v>0</v>
      </c>
      <c r="T411" s="194">
        <v>0</v>
      </c>
      <c r="U411" s="188">
        <v>0</v>
      </c>
      <c r="V411" s="194">
        <v>0.03</v>
      </c>
      <c r="W411" s="199">
        <v>0</v>
      </c>
      <c r="X411" s="192" t="s">
        <v>1515</v>
      </c>
      <c r="Y411" s="188" t="s">
        <v>1543</v>
      </c>
      <c r="Z411" s="188" t="s">
        <v>39</v>
      </c>
      <c r="AA411" s="188" t="s">
        <v>1515</v>
      </c>
      <c r="AB411" s="22" t="s">
        <v>39</v>
      </c>
      <c r="AC411" s="18" t="s">
        <v>39</v>
      </c>
      <c r="AD411" s="189" t="s">
        <v>1252</v>
      </c>
      <c r="AE411" s="17" t="s">
        <v>1253</v>
      </c>
    </row>
    <row r="412" s="2" customFormat="1" ht="48" customHeight="1" spans="1:31">
      <c r="A412" s="13">
        <v>410</v>
      </c>
      <c r="B412" s="187" t="s">
        <v>1548</v>
      </c>
      <c r="C412" s="15" t="s">
        <v>1142</v>
      </c>
      <c r="D412" s="15" t="s">
        <v>1247</v>
      </c>
      <c r="E412" s="15" t="s">
        <v>1248</v>
      </c>
      <c r="F412" s="13" t="s">
        <v>81</v>
      </c>
      <c r="G412" s="16" t="s">
        <v>103</v>
      </c>
      <c r="H412" s="16" t="s">
        <v>280</v>
      </c>
      <c r="I412" s="43" t="s">
        <v>618</v>
      </c>
      <c r="J412" s="16" t="s">
        <v>1278</v>
      </c>
      <c r="K412" s="16"/>
      <c r="L412" s="20"/>
      <c r="M412" s="20" t="s">
        <v>39</v>
      </c>
      <c r="N412" s="21">
        <v>240000</v>
      </c>
      <c r="O412" s="194">
        <v>0.23</v>
      </c>
      <c r="P412" s="188">
        <v>0</v>
      </c>
      <c r="Q412" s="194">
        <v>0</v>
      </c>
      <c r="R412" s="192">
        <v>0</v>
      </c>
      <c r="S412" s="194">
        <v>0</v>
      </c>
      <c r="T412" s="194">
        <v>0</v>
      </c>
      <c r="U412" s="188">
        <v>0</v>
      </c>
      <c r="V412" s="194">
        <v>0.03</v>
      </c>
      <c r="W412" s="199">
        <v>0</v>
      </c>
      <c r="X412" s="192" t="s">
        <v>1515</v>
      </c>
      <c r="Y412" s="188" t="s">
        <v>1549</v>
      </c>
      <c r="Z412" s="188" t="s">
        <v>39</v>
      </c>
      <c r="AA412" s="188" t="s">
        <v>1515</v>
      </c>
      <c r="AB412" s="22" t="s">
        <v>39</v>
      </c>
      <c r="AC412" s="18" t="s">
        <v>39</v>
      </c>
      <c r="AD412" s="189" t="s">
        <v>1279</v>
      </c>
      <c r="AE412" s="17" t="s">
        <v>1253</v>
      </c>
    </row>
    <row r="413" s="2" customFormat="1" ht="48" customHeight="1" spans="1:31">
      <c r="A413" s="13">
        <v>411</v>
      </c>
      <c r="B413" s="187" t="s">
        <v>1550</v>
      </c>
      <c r="C413" s="15" t="s">
        <v>1142</v>
      </c>
      <c r="D413" s="15" t="s">
        <v>1247</v>
      </c>
      <c r="E413" s="15" t="s">
        <v>1248</v>
      </c>
      <c r="F413" s="13" t="s">
        <v>81</v>
      </c>
      <c r="G413" s="16" t="s">
        <v>103</v>
      </c>
      <c r="H413" s="16" t="s">
        <v>284</v>
      </c>
      <c r="I413" s="43" t="s">
        <v>723</v>
      </c>
      <c r="J413" s="16" t="s">
        <v>1281</v>
      </c>
      <c r="K413" s="16"/>
      <c r="L413" s="20"/>
      <c r="M413" s="20" t="s">
        <v>39</v>
      </c>
      <c r="N413" s="21">
        <v>400000</v>
      </c>
      <c r="O413" s="194">
        <v>0.23</v>
      </c>
      <c r="P413" s="188">
        <v>0</v>
      </c>
      <c r="Q413" s="194">
        <v>0</v>
      </c>
      <c r="R413" s="192">
        <v>0</v>
      </c>
      <c r="S413" s="194">
        <v>0</v>
      </c>
      <c r="T413" s="194">
        <v>0</v>
      </c>
      <c r="U413" s="188">
        <v>0</v>
      </c>
      <c r="V413" s="194">
        <v>0.03</v>
      </c>
      <c r="W413" s="199">
        <v>0</v>
      </c>
      <c r="X413" s="192" t="s">
        <v>1515</v>
      </c>
      <c r="Y413" s="188" t="s">
        <v>1543</v>
      </c>
      <c r="Z413" s="188" t="s">
        <v>39</v>
      </c>
      <c r="AA413" s="188" t="s">
        <v>1515</v>
      </c>
      <c r="AB413" s="22" t="s">
        <v>39</v>
      </c>
      <c r="AC413" s="18" t="s">
        <v>39</v>
      </c>
      <c r="AD413" s="189" t="s">
        <v>1252</v>
      </c>
      <c r="AE413" s="17" t="s">
        <v>1253</v>
      </c>
    </row>
    <row r="414" s="2" customFormat="1" ht="48" customHeight="1" spans="1:31">
      <c r="A414" s="13">
        <v>412</v>
      </c>
      <c r="B414" s="187" t="s">
        <v>1551</v>
      </c>
      <c r="C414" s="15" t="s">
        <v>1142</v>
      </c>
      <c r="D414" s="15" t="s">
        <v>1247</v>
      </c>
      <c r="E414" s="15" t="s">
        <v>1248</v>
      </c>
      <c r="F414" s="13" t="s">
        <v>81</v>
      </c>
      <c r="G414" s="16" t="s">
        <v>103</v>
      </c>
      <c r="H414" s="16" t="s">
        <v>322</v>
      </c>
      <c r="I414" s="43" t="s">
        <v>1283</v>
      </c>
      <c r="J414" s="16" t="s">
        <v>1284</v>
      </c>
      <c r="K414" s="16"/>
      <c r="L414" s="20"/>
      <c r="M414" s="20" t="s">
        <v>39</v>
      </c>
      <c r="N414" s="21">
        <v>240000</v>
      </c>
      <c r="O414" s="194">
        <v>0.23</v>
      </c>
      <c r="P414" s="188">
        <v>0</v>
      </c>
      <c r="Q414" s="194">
        <v>0</v>
      </c>
      <c r="R414" s="192">
        <v>0</v>
      </c>
      <c r="S414" s="194">
        <v>0</v>
      </c>
      <c r="T414" s="194">
        <v>0</v>
      </c>
      <c r="U414" s="188">
        <v>0</v>
      </c>
      <c r="V414" s="194">
        <v>0.03</v>
      </c>
      <c r="W414" s="199">
        <v>0</v>
      </c>
      <c r="X414" s="192" t="s">
        <v>1515</v>
      </c>
      <c r="Y414" s="188" t="s">
        <v>1543</v>
      </c>
      <c r="Z414" s="188" t="s">
        <v>39</v>
      </c>
      <c r="AA414" s="188" t="s">
        <v>1515</v>
      </c>
      <c r="AB414" s="22" t="s">
        <v>39</v>
      </c>
      <c r="AC414" s="18" t="s">
        <v>39</v>
      </c>
      <c r="AD414" s="189" t="s">
        <v>1252</v>
      </c>
      <c r="AE414" s="17" t="s">
        <v>1253</v>
      </c>
    </row>
    <row r="415" s="2" customFormat="1" ht="72" customHeight="1" spans="1:31">
      <c r="A415" s="13">
        <v>413</v>
      </c>
      <c r="B415" s="187" t="s">
        <v>1552</v>
      </c>
      <c r="C415" s="15" t="s">
        <v>1142</v>
      </c>
      <c r="D415" s="15" t="s">
        <v>1247</v>
      </c>
      <c r="E415" s="15" t="s">
        <v>1248</v>
      </c>
      <c r="F415" s="13" t="s">
        <v>81</v>
      </c>
      <c r="G415" s="16" t="s">
        <v>103</v>
      </c>
      <c r="H415" s="16" t="s">
        <v>329</v>
      </c>
      <c r="I415" s="43" t="s">
        <v>1286</v>
      </c>
      <c r="J415" s="16" t="s">
        <v>1287</v>
      </c>
      <c r="K415" s="16"/>
      <c r="L415" s="20"/>
      <c r="M415" s="20" t="s">
        <v>39</v>
      </c>
      <c r="N415" s="21">
        <v>80000</v>
      </c>
      <c r="O415" s="194">
        <v>0.07</v>
      </c>
      <c r="P415" s="188">
        <v>0</v>
      </c>
      <c r="Q415" s="194">
        <v>0</v>
      </c>
      <c r="R415" s="188">
        <v>0</v>
      </c>
      <c r="S415" s="194">
        <v>0</v>
      </c>
      <c r="T415" s="194">
        <v>0</v>
      </c>
      <c r="U415" s="188">
        <v>0</v>
      </c>
      <c r="V415" s="194">
        <v>0.03</v>
      </c>
      <c r="W415" s="199">
        <v>0</v>
      </c>
      <c r="X415" s="192" t="s">
        <v>1515</v>
      </c>
      <c r="Y415" s="188" t="s">
        <v>39</v>
      </c>
      <c r="Z415" s="188" t="s">
        <v>39</v>
      </c>
      <c r="AA415" s="188" t="s">
        <v>1515</v>
      </c>
      <c r="AB415" s="22" t="s">
        <v>39</v>
      </c>
      <c r="AC415" s="18" t="s">
        <v>39</v>
      </c>
      <c r="AD415" s="189" t="s">
        <v>1288</v>
      </c>
      <c r="AE415" s="17" t="s">
        <v>1253</v>
      </c>
    </row>
    <row r="416" s="2" customFormat="1" ht="12" customHeight="1" spans="1:31">
      <c r="A416" s="13">
        <v>414</v>
      </c>
      <c r="B416" s="187" t="s">
        <v>1728</v>
      </c>
      <c r="C416" s="15" t="s">
        <v>1142</v>
      </c>
      <c r="D416" s="173" t="s">
        <v>1290</v>
      </c>
      <c r="E416" s="15" t="s">
        <v>1291</v>
      </c>
      <c r="F416" s="13" t="s">
        <v>37</v>
      </c>
      <c r="G416" s="16" t="s">
        <v>103</v>
      </c>
      <c r="H416" s="16" t="s">
        <v>39</v>
      </c>
      <c r="I416" s="43" t="s">
        <v>39</v>
      </c>
      <c r="J416" s="16" t="s">
        <v>39</v>
      </c>
      <c r="K416" s="16"/>
      <c r="L416" s="20"/>
      <c r="M416" s="20" t="s">
        <v>39</v>
      </c>
      <c r="N416" s="21">
        <v>2125000</v>
      </c>
      <c r="O416" s="188" t="s">
        <v>39</v>
      </c>
      <c r="P416" s="188" t="s">
        <v>39</v>
      </c>
      <c r="Q416" s="188" t="s">
        <v>39</v>
      </c>
      <c r="R416" s="188" t="s">
        <v>39</v>
      </c>
      <c r="S416" s="188" t="s">
        <v>39</v>
      </c>
      <c r="T416" s="188" t="s">
        <v>39</v>
      </c>
      <c r="U416" s="188" t="s">
        <v>39</v>
      </c>
      <c r="V416" s="188" t="s">
        <v>39</v>
      </c>
      <c r="W416" s="188" t="s">
        <v>39</v>
      </c>
      <c r="X416" s="188" t="s">
        <v>39</v>
      </c>
      <c r="Y416" s="45"/>
      <c r="Z416" s="45"/>
      <c r="AA416" s="45" t="s">
        <v>39</v>
      </c>
      <c r="AB416" s="174">
        <v>100000</v>
      </c>
      <c r="AC416" s="46" t="s">
        <v>39</v>
      </c>
      <c r="AD416" s="17" t="s">
        <v>439</v>
      </c>
      <c r="AE416" s="17"/>
    </row>
    <row r="417" s="2" customFormat="1" ht="12" customHeight="1" spans="1:31">
      <c r="A417" s="13">
        <v>415</v>
      </c>
      <c r="B417" s="187" t="s">
        <v>1729</v>
      </c>
      <c r="C417" s="15" t="s">
        <v>1142</v>
      </c>
      <c r="D417" s="15" t="s">
        <v>1293</v>
      </c>
      <c r="E417" s="15" t="s">
        <v>1294</v>
      </c>
      <c r="F417" s="13" t="s">
        <v>37</v>
      </c>
      <c r="G417" s="16" t="s">
        <v>103</v>
      </c>
      <c r="H417" s="16" t="s">
        <v>39</v>
      </c>
      <c r="I417" s="43" t="s">
        <v>39</v>
      </c>
      <c r="J417" s="16" t="s">
        <v>39</v>
      </c>
      <c r="K417" s="16"/>
      <c r="L417" s="20"/>
      <c r="M417" s="20" t="s">
        <v>39</v>
      </c>
      <c r="N417" s="21">
        <v>2992000</v>
      </c>
      <c r="O417" s="188" t="s">
        <v>39</v>
      </c>
      <c r="P417" s="188" t="s">
        <v>39</v>
      </c>
      <c r="Q417" s="188">
        <v>0.02</v>
      </c>
      <c r="R417" s="188" t="s">
        <v>39</v>
      </c>
      <c r="S417" s="188" t="s">
        <v>39</v>
      </c>
      <c r="T417" s="188" t="s">
        <v>39</v>
      </c>
      <c r="U417" s="188" t="s">
        <v>39</v>
      </c>
      <c r="V417" s="188" t="s">
        <v>39</v>
      </c>
      <c r="W417" s="188" t="s">
        <v>39</v>
      </c>
      <c r="X417" s="188" t="s">
        <v>39</v>
      </c>
      <c r="Y417" s="188"/>
      <c r="Z417" s="188"/>
      <c r="AA417" s="188"/>
      <c r="AB417" s="46">
        <v>0.035</v>
      </c>
      <c r="AC417" s="46" t="s">
        <v>39</v>
      </c>
      <c r="AD417" s="17"/>
      <c r="AE417" s="17"/>
    </row>
    <row r="418" s="2" customFormat="1" ht="12" hidden="1" customHeight="1" spans="1:31">
      <c r="A418" s="13">
        <v>416</v>
      </c>
      <c r="B418" s="187" t="s">
        <v>1553</v>
      </c>
      <c r="C418" s="15" t="s">
        <v>1142</v>
      </c>
      <c r="D418" s="15" t="s">
        <v>1296</v>
      </c>
      <c r="E418" s="15" t="s">
        <v>1297</v>
      </c>
      <c r="F418" s="13" t="s">
        <v>53</v>
      </c>
      <c r="G418" s="16" t="s">
        <v>578</v>
      </c>
      <c r="H418" s="16" t="s">
        <v>39</v>
      </c>
      <c r="I418" s="43" t="s">
        <v>39</v>
      </c>
      <c r="J418" s="16" t="s">
        <v>39</v>
      </c>
      <c r="K418" s="16"/>
      <c r="L418" s="20"/>
      <c r="M418" s="20" t="s">
        <v>39</v>
      </c>
      <c r="N418" s="175">
        <v>2084000</v>
      </c>
      <c r="O418" s="199" t="s">
        <v>39</v>
      </c>
      <c r="P418" s="190" t="s">
        <v>39</v>
      </c>
      <c r="Q418" s="190" t="s">
        <v>39</v>
      </c>
      <c r="R418" s="190" t="s">
        <v>39</v>
      </c>
      <c r="S418" s="190" t="s">
        <v>39</v>
      </c>
      <c r="T418" s="190" t="s">
        <v>39</v>
      </c>
      <c r="U418" s="190" t="s">
        <v>39</v>
      </c>
      <c r="V418" s="194" t="s">
        <v>39</v>
      </c>
      <c r="W418" s="199" t="s">
        <v>39</v>
      </c>
      <c r="X418" s="190" t="s">
        <v>39</v>
      </c>
      <c r="Y418" s="45"/>
      <c r="Z418" s="45"/>
      <c r="AA418" s="45" t="s">
        <v>39</v>
      </c>
      <c r="AB418" s="51">
        <v>0.08</v>
      </c>
      <c r="AC418" s="46" t="s">
        <v>39</v>
      </c>
      <c r="AD418" s="17"/>
      <c r="AE418" s="17"/>
    </row>
    <row r="419" s="2" customFormat="1" ht="12" hidden="1" customHeight="1" spans="1:31">
      <c r="A419" s="13">
        <v>417</v>
      </c>
      <c r="B419" s="187" t="s">
        <v>1730</v>
      </c>
      <c r="C419" s="15" t="s">
        <v>1142</v>
      </c>
      <c r="D419" s="15" t="s">
        <v>1299</v>
      </c>
      <c r="E419" s="15" t="s">
        <v>1300</v>
      </c>
      <c r="F419" s="13" t="s">
        <v>37</v>
      </c>
      <c r="G419" s="16" t="s">
        <v>38</v>
      </c>
      <c r="H419" s="16" t="s">
        <v>39</v>
      </c>
      <c r="I419" s="43" t="s">
        <v>39</v>
      </c>
      <c r="J419" s="16" t="s">
        <v>39</v>
      </c>
      <c r="K419" s="16"/>
      <c r="L419" s="20"/>
      <c r="M419" s="20" t="s">
        <v>39</v>
      </c>
      <c r="N419" s="21" t="s">
        <v>39</v>
      </c>
      <c r="O419" s="188" t="s">
        <v>39</v>
      </c>
      <c r="P419" s="188" t="s">
        <v>39</v>
      </c>
      <c r="Q419" s="188" t="s">
        <v>39</v>
      </c>
      <c r="R419" s="188" t="s">
        <v>39</v>
      </c>
      <c r="S419" s="188" t="s">
        <v>39</v>
      </c>
      <c r="T419" s="188" t="s">
        <v>39</v>
      </c>
      <c r="U419" s="188" t="s">
        <v>39</v>
      </c>
      <c r="V419" s="188" t="s">
        <v>39</v>
      </c>
      <c r="W419" s="188" t="s">
        <v>39</v>
      </c>
      <c r="X419" s="188" t="s">
        <v>39</v>
      </c>
      <c r="Y419" s="45"/>
      <c r="Z419" s="45"/>
      <c r="AA419" s="45"/>
      <c r="AB419" s="46">
        <v>0.045</v>
      </c>
      <c r="AC419" s="46">
        <v>0.005</v>
      </c>
      <c r="AD419" s="189" t="s">
        <v>1301</v>
      </c>
      <c r="AE419" s="17"/>
    </row>
    <row r="420" s="2" customFormat="1" ht="60" hidden="1" customHeight="1" spans="1:31">
      <c r="A420" s="13">
        <v>418</v>
      </c>
      <c r="B420" s="187" t="s">
        <v>1554</v>
      </c>
      <c r="C420" s="15" t="s">
        <v>1142</v>
      </c>
      <c r="D420" s="15" t="s">
        <v>1299</v>
      </c>
      <c r="E420" s="15" t="s">
        <v>1300</v>
      </c>
      <c r="F420" s="13" t="s">
        <v>81</v>
      </c>
      <c r="G420" s="16" t="s">
        <v>38</v>
      </c>
      <c r="H420" s="16" t="s">
        <v>60</v>
      </c>
      <c r="I420" s="43" t="s">
        <v>1303</v>
      </c>
      <c r="J420" s="16" t="s">
        <v>1304</v>
      </c>
      <c r="K420" s="16"/>
      <c r="L420" s="20"/>
      <c r="M420" s="20" t="s">
        <v>39</v>
      </c>
      <c r="N420" s="21">
        <v>340000</v>
      </c>
      <c r="O420" s="188">
        <v>0.27</v>
      </c>
      <c r="P420" s="188" t="s">
        <v>39</v>
      </c>
      <c r="Q420" s="188" t="s">
        <v>39</v>
      </c>
      <c r="R420" s="188" t="s">
        <v>39</v>
      </c>
      <c r="S420" s="188" t="s">
        <v>39</v>
      </c>
      <c r="T420" s="188" t="s">
        <v>39</v>
      </c>
      <c r="U420" s="188" t="s">
        <v>39</v>
      </c>
      <c r="V420" s="188" t="s">
        <v>39</v>
      </c>
      <c r="W420" s="188" t="s">
        <v>39</v>
      </c>
      <c r="X420" s="188" t="s">
        <v>1457</v>
      </c>
      <c r="Y420" s="188" t="s">
        <v>39</v>
      </c>
      <c r="Z420" s="188" t="s">
        <v>39</v>
      </c>
      <c r="AA420" s="188" t="s">
        <v>1457</v>
      </c>
      <c r="AB420" s="52" t="s">
        <v>39</v>
      </c>
      <c r="AC420" s="52" t="s">
        <v>39</v>
      </c>
      <c r="AD420" s="189" t="s">
        <v>1305</v>
      </c>
      <c r="AE420" s="17" t="s">
        <v>1306</v>
      </c>
    </row>
    <row r="421" s="2" customFormat="1" ht="60" hidden="1" customHeight="1" spans="1:31">
      <c r="A421" s="13">
        <v>419</v>
      </c>
      <c r="B421" s="187" t="s">
        <v>1555</v>
      </c>
      <c r="C421" s="15" t="s">
        <v>1142</v>
      </c>
      <c r="D421" s="15" t="s">
        <v>1299</v>
      </c>
      <c r="E421" s="15" t="s">
        <v>1300</v>
      </c>
      <c r="F421" s="13" t="s">
        <v>81</v>
      </c>
      <c r="G421" s="16" t="s">
        <v>38</v>
      </c>
      <c r="H421" s="16" t="s">
        <v>66</v>
      </c>
      <c r="I421" s="43" t="s">
        <v>1309</v>
      </c>
      <c r="J421" s="16" t="s">
        <v>1310</v>
      </c>
      <c r="K421" s="16"/>
      <c r="L421" s="20"/>
      <c r="M421" s="20" t="s">
        <v>39</v>
      </c>
      <c r="N421" s="21">
        <v>296000</v>
      </c>
      <c r="O421" s="188">
        <v>0.19</v>
      </c>
      <c r="P421" s="188" t="s">
        <v>39</v>
      </c>
      <c r="Q421" s="188" t="s">
        <v>39</v>
      </c>
      <c r="R421" s="188" t="s">
        <v>39</v>
      </c>
      <c r="S421" s="188" t="s">
        <v>39</v>
      </c>
      <c r="T421" s="188" t="s">
        <v>39</v>
      </c>
      <c r="U421" s="188" t="s">
        <v>39</v>
      </c>
      <c r="V421" s="194">
        <v>0.035</v>
      </c>
      <c r="W421" s="188" t="s">
        <v>1457</v>
      </c>
      <c r="X421" s="188" t="s">
        <v>1457</v>
      </c>
      <c r="Y421" s="188" t="s">
        <v>39</v>
      </c>
      <c r="Z421" s="188" t="s">
        <v>39</v>
      </c>
      <c r="AA421" s="188" t="s">
        <v>1457</v>
      </c>
      <c r="AB421" s="52" t="s">
        <v>39</v>
      </c>
      <c r="AC421" s="52" t="s">
        <v>39</v>
      </c>
      <c r="AD421" s="189" t="s">
        <v>1305</v>
      </c>
      <c r="AE421" s="17" t="s">
        <v>1306</v>
      </c>
    </row>
    <row r="422" s="2" customFormat="1" ht="96" hidden="1" customHeight="1" spans="1:31">
      <c r="A422" s="13">
        <v>420</v>
      </c>
      <c r="B422" s="187" t="s">
        <v>1556</v>
      </c>
      <c r="C422" s="15" t="s">
        <v>1142</v>
      </c>
      <c r="D422" s="15" t="s">
        <v>1299</v>
      </c>
      <c r="E422" s="15" t="s">
        <v>1300</v>
      </c>
      <c r="F422" s="13" t="s">
        <v>81</v>
      </c>
      <c r="G422" s="16" t="s">
        <v>38</v>
      </c>
      <c r="H422" s="16" t="s">
        <v>70</v>
      </c>
      <c r="I422" s="43" t="s">
        <v>339</v>
      </c>
      <c r="J422" s="16" t="s">
        <v>1313</v>
      </c>
      <c r="K422" s="16"/>
      <c r="L422" s="20"/>
      <c r="M422" s="20" t="s">
        <v>39</v>
      </c>
      <c r="N422" s="21">
        <v>1440000</v>
      </c>
      <c r="O422" s="194" t="s">
        <v>1557</v>
      </c>
      <c r="P422" s="188" t="s">
        <v>39</v>
      </c>
      <c r="Q422" s="188" t="s">
        <v>39</v>
      </c>
      <c r="R422" s="188" t="s">
        <v>39</v>
      </c>
      <c r="S422" s="188" t="s">
        <v>39</v>
      </c>
      <c r="T422" s="188" t="s">
        <v>39</v>
      </c>
      <c r="U422" s="188" t="s">
        <v>39</v>
      </c>
      <c r="V422" s="188" t="s">
        <v>39</v>
      </c>
      <c r="W422" s="188" t="s">
        <v>39</v>
      </c>
      <c r="X422" s="188" t="s">
        <v>1457</v>
      </c>
      <c r="Y422" s="188" t="s">
        <v>39</v>
      </c>
      <c r="Z422" s="188" t="s">
        <v>39</v>
      </c>
      <c r="AA422" s="188" t="s">
        <v>1457</v>
      </c>
      <c r="AB422" s="52" t="s">
        <v>39</v>
      </c>
      <c r="AC422" s="52" t="s">
        <v>39</v>
      </c>
      <c r="AD422" s="189" t="s">
        <v>1305</v>
      </c>
      <c r="AE422" s="17" t="s">
        <v>1306</v>
      </c>
    </row>
    <row r="423" s="2" customFormat="1" ht="60" hidden="1" customHeight="1" spans="1:31">
      <c r="A423" s="13">
        <v>421</v>
      </c>
      <c r="B423" s="187" t="s">
        <v>1558</v>
      </c>
      <c r="C423" s="15" t="s">
        <v>1142</v>
      </c>
      <c r="D423" s="15" t="s">
        <v>1299</v>
      </c>
      <c r="E423" s="15" t="s">
        <v>1300</v>
      </c>
      <c r="F423" s="13" t="s">
        <v>81</v>
      </c>
      <c r="G423" s="16" t="s">
        <v>38</v>
      </c>
      <c r="H423" s="16" t="s">
        <v>74</v>
      </c>
      <c r="I423" s="43" t="s">
        <v>98</v>
      </c>
      <c r="J423" s="16" t="s">
        <v>1316</v>
      </c>
      <c r="K423" s="16"/>
      <c r="L423" s="20"/>
      <c r="M423" s="20" t="s">
        <v>39</v>
      </c>
      <c r="N423" s="21">
        <v>800000</v>
      </c>
      <c r="O423" s="188">
        <v>0.19</v>
      </c>
      <c r="P423" s="188" t="s">
        <v>39</v>
      </c>
      <c r="Q423" s="188" t="s">
        <v>39</v>
      </c>
      <c r="R423" s="188" t="s">
        <v>39</v>
      </c>
      <c r="S423" s="188" t="s">
        <v>39</v>
      </c>
      <c r="T423" s="188" t="s">
        <v>39</v>
      </c>
      <c r="U423" s="188" t="s">
        <v>39</v>
      </c>
      <c r="V423" s="194">
        <v>0.035</v>
      </c>
      <c r="W423" s="188" t="s">
        <v>1457</v>
      </c>
      <c r="X423" s="188" t="s">
        <v>1457</v>
      </c>
      <c r="Y423" s="188" t="s">
        <v>39</v>
      </c>
      <c r="Z423" s="188" t="s">
        <v>39</v>
      </c>
      <c r="AA423" s="188" t="s">
        <v>1457</v>
      </c>
      <c r="AB423" s="52" t="s">
        <v>39</v>
      </c>
      <c r="AC423" s="52" t="s">
        <v>39</v>
      </c>
      <c r="AD423" s="189" t="s">
        <v>1305</v>
      </c>
      <c r="AE423" s="17" t="s">
        <v>1306</v>
      </c>
    </row>
    <row r="424" s="2" customFormat="1" ht="60" hidden="1" customHeight="1" spans="1:31">
      <c r="A424" s="13">
        <v>422</v>
      </c>
      <c r="B424" s="187" t="s">
        <v>1559</v>
      </c>
      <c r="C424" s="15" t="s">
        <v>1142</v>
      </c>
      <c r="D424" s="15" t="s">
        <v>1299</v>
      </c>
      <c r="E424" s="15" t="s">
        <v>1300</v>
      </c>
      <c r="F424" s="13" t="s">
        <v>81</v>
      </c>
      <c r="G424" s="16" t="s">
        <v>38</v>
      </c>
      <c r="H424" s="16" t="s">
        <v>265</v>
      </c>
      <c r="I424" s="43" t="s">
        <v>198</v>
      </c>
      <c r="J424" s="16" t="s">
        <v>1318</v>
      </c>
      <c r="K424" s="16"/>
      <c r="L424" s="20"/>
      <c r="M424" s="20" t="s">
        <v>39</v>
      </c>
      <c r="N424" s="21">
        <v>290000</v>
      </c>
      <c r="O424" s="188">
        <v>0.19</v>
      </c>
      <c r="P424" s="188" t="s">
        <v>39</v>
      </c>
      <c r="Q424" s="188" t="s">
        <v>39</v>
      </c>
      <c r="R424" s="188" t="s">
        <v>39</v>
      </c>
      <c r="S424" s="188" t="s">
        <v>39</v>
      </c>
      <c r="T424" s="188" t="s">
        <v>39</v>
      </c>
      <c r="U424" s="188" t="s">
        <v>39</v>
      </c>
      <c r="V424" s="194">
        <v>0.035</v>
      </c>
      <c r="W424" s="188" t="s">
        <v>1457</v>
      </c>
      <c r="X424" s="188" t="s">
        <v>1457</v>
      </c>
      <c r="Y424" s="188" t="s">
        <v>39</v>
      </c>
      <c r="Z424" s="188" t="s">
        <v>39</v>
      </c>
      <c r="AA424" s="188" t="s">
        <v>1457</v>
      </c>
      <c r="AB424" s="52" t="s">
        <v>39</v>
      </c>
      <c r="AC424" s="52" t="s">
        <v>39</v>
      </c>
      <c r="AD424" s="189" t="s">
        <v>1305</v>
      </c>
      <c r="AE424" s="17" t="s">
        <v>1306</v>
      </c>
    </row>
    <row r="425" s="2" customFormat="1" ht="60" hidden="1" customHeight="1" spans="1:31">
      <c r="A425" s="13">
        <v>423</v>
      </c>
      <c r="B425" s="187" t="s">
        <v>1560</v>
      </c>
      <c r="C425" s="15" t="s">
        <v>1142</v>
      </c>
      <c r="D425" s="15" t="s">
        <v>1299</v>
      </c>
      <c r="E425" s="15" t="s">
        <v>1300</v>
      </c>
      <c r="F425" s="13" t="s">
        <v>81</v>
      </c>
      <c r="G425" s="16" t="s">
        <v>38</v>
      </c>
      <c r="H425" s="16" t="s">
        <v>86</v>
      </c>
      <c r="I425" s="43" t="s">
        <v>316</v>
      </c>
      <c r="J425" s="16" t="s">
        <v>1320</v>
      </c>
      <c r="K425" s="16"/>
      <c r="L425" s="20"/>
      <c r="M425" s="20" t="s">
        <v>39</v>
      </c>
      <c r="N425" s="21">
        <v>210000</v>
      </c>
      <c r="O425" s="188">
        <v>0.19</v>
      </c>
      <c r="P425" s="188" t="s">
        <v>39</v>
      </c>
      <c r="Q425" s="188" t="s">
        <v>39</v>
      </c>
      <c r="R425" s="188" t="s">
        <v>39</v>
      </c>
      <c r="S425" s="188" t="s">
        <v>39</v>
      </c>
      <c r="T425" s="188" t="s">
        <v>39</v>
      </c>
      <c r="U425" s="188" t="s">
        <v>39</v>
      </c>
      <c r="V425" s="194">
        <v>0.035</v>
      </c>
      <c r="W425" s="188" t="s">
        <v>1457</v>
      </c>
      <c r="X425" s="188" t="s">
        <v>1457</v>
      </c>
      <c r="Y425" s="188" t="s">
        <v>39</v>
      </c>
      <c r="Z425" s="188" t="s">
        <v>39</v>
      </c>
      <c r="AA425" s="188" t="s">
        <v>1457</v>
      </c>
      <c r="AB425" s="52" t="s">
        <v>39</v>
      </c>
      <c r="AC425" s="52" t="s">
        <v>39</v>
      </c>
      <c r="AD425" s="189" t="s">
        <v>1305</v>
      </c>
      <c r="AE425" s="17" t="s">
        <v>1306</v>
      </c>
    </row>
    <row r="426" s="2" customFormat="1" ht="60" hidden="1" customHeight="1" spans="1:31">
      <c r="A426" s="13">
        <v>424</v>
      </c>
      <c r="B426" s="187" t="s">
        <v>1561</v>
      </c>
      <c r="C426" s="15" t="s">
        <v>1142</v>
      </c>
      <c r="D426" s="15" t="s">
        <v>1299</v>
      </c>
      <c r="E426" s="15" t="s">
        <v>1300</v>
      </c>
      <c r="F426" s="13" t="s">
        <v>81</v>
      </c>
      <c r="G426" s="16" t="s">
        <v>38</v>
      </c>
      <c r="H426" s="16" t="s">
        <v>272</v>
      </c>
      <c r="I426" s="43" t="s">
        <v>1322</v>
      </c>
      <c r="J426" s="16" t="s">
        <v>1323</v>
      </c>
      <c r="K426" s="16"/>
      <c r="L426" s="20"/>
      <c r="M426" s="20" t="s">
        <v>39</v>
      </c>
      <c r="N426" s="21">
        <v>280000</v>
      </c>
      <c r="O426" s="188">
        <v>0.19</v>
      </c>
      <c r="P426" s="188" t="s">
        <v>39</v>
      </c>
      <c r="Q426" s="188" t="s">
        <v>39</v>
      </c>
      <c r="R426" s="188" t="s">
        <v>39</v>
      </c>
      <c r="S426" s="188" t="s">
        <v>39</v>
      </c>
      <c r="T426" s="188" t="s">
        <v>39</v>
      </c>
      <c r="U426" s="188" t="s">
        <v>39</v>
      </c>
      <c r="V426" s="194">
        <v>0.035</v>
      </c>
      <c r="W426" s="188" t="s">
        <v>1457</v>
      </c>
      <c r="X426" s="188" t="s">
        <v>1457</v>
      </c>
      <c r="Y426" s="188" t="s">
        <v>39</v>
      </c>
      <c r="Z426" s="188" t="s">
        <v>39</v>
      </c>
      <c r="AA426" s="188" t="s">
        <v>1457</v>
      </c>
      <c r="AB426" s="52" t="s">
        <v>39</v>
      </c>
      <c r="AC426" s="52" t="s">
        <v>39</v>
      </c>
      <c r="AD426" s="189" t="s">
        <v>1305</v>
      </c>
      <c r="AE426" s="17" t="s">
        <v>1306</v>
      </c>
    </row>
    <row r="427" s="2" customFormat="1" ht="60" hidden="1" customHeight="1" spans="1:31">
      <c r="A427" s="13">
        <v>425</v>
      </c>
      <c r="B427" s="187" t="s">
        <v>1562</v>
      </c>
      <c r="C427" s="15" t="s">
        <v>1142</v>
      </c>
      <c r="D427" s="15" t="s">
        <v>1299</v>
      </c>
      <c r="E427" s="15" t="s">
        <v>1300</v>
      </c>
      <c r="F427" s="13" t="s">
        <v>81</v>
      </c>
      <c r="G427" s="16" t="s">
        <v>38</v>
      </c>
      <c r="H427" s="16" t="s">
        <v>276</v>
      </c>
      <c r="I427" s="43" t="s">
        <v>1325</v>
      </c>
      <c r="J427" s="16" t="s">
        <v>1326</v>
      </c>
      <c r="K427" s="16"/>
      <c r="L427" s="20"/>
      <c r="M427" s="20" t="s">
        <v>39</v>
      </c>
      <c r="N427" s="21">
        <v>260000</v>
      </c>
      <c r="O427" s="188">
        <v>0.19</v>
      </c>
      <c r="P427" s="188" t="s">
        <v>39</v>
      </c>
      <c r="Q427" s="188" t="s">
        <v>39</v>
      </c>
      <c r="R427" s="188" t="s">
        <v>39</v>
      </c>
      <c r="S427" s="188" t="s">
        <v>39</v>
      </c>
      <c r="T427" s="188" t="s">
        <v>39</v>
      </c>
      <c r="U427" s="188" t="s">
        <v>39</v>
      </c>
      <c r="V427" s="192" t="s">
        <v>1563</v>
      </c>
      <c r="W427" s="188" t="s">
        <v>1457</v>
      </c>
      <c r="X427" s="188" t="s">
        <v>1457</v>
      </c>
      <c r="Y427" s="188" t="s">
        <v>39</v>
      </c>
      <c r="Z427" s="188" t="s">
        <v>39</v>
      </c>
      <c r="AA427" s="188" t="s">
        <v>1457</v>
      </c>
      <c r="AB427" s="52" t="s">
        <v>39</v>
      </c>
      <c r="AC427" s="52" t="s">
        <v>39</v>
      </c>
      <c r="AD427" s="189" t="s">
        <v>1305</v>
      </c>
      <c r="AE427" s="17" t="s">
        <v>1306</v>
      </c>
    </row>
    <row r="428" s="2" customFormat="1" ht="60" hidden="1" customHeight="1" spans="1:31">
      <c r="A428" s="13">
        <v>426</v>
      </c>
      <c r="B428" s="187" t="s">
        <v>1564</v>
      </c>
      <c r="C428" s="15" t="s">
        <v>1142</v>
      </c>
      <c r="D428" s="15" t="s">
        <v>1299</v>
      </c>
      <c r="E428" s="15" t="s">
        <v>1300</v>
      </c>
      <c r="F428" s="13" t="s">
        <v>81</v>
      </c>
      <c r="G428" s="16" t="s">
        <v>38</v>
      </c>
      <c r="H428" s="16" t="s">
        <v>280</v>
      </c>
      <c r="I428" s="43" t="s">
        <v>1328</v>
      </c>
      <c r="J428" s="16" t="s">
        <v>1329</v>
      </c>
      <c r="K428" s="16"/>
      <c r="L428" s="20"/>
      <c r="M428" s="20" t="s">
        <v>39</v>
      </c>
      <c r="N428" s="21">
        <v>320000</v>
      </c>
      <c r="O428" s="188">
        <v>0.18</v>
      </c>
      <c r="P428" s="188" t="s">
        <v>39</v>
      </c>
      <c r="Q428" s="188" t="s">
        <v>39</v>
      </c>
      <c r="R428" s="188" t="s">
        <v>39</v>
      </c>
      <c r="S428" s="188" t="s">
        <v>39</v>
      </c>
      <c r="T428" s="188" t="s">
        <v>39</v>
      </c>
      <c r="U428" s="188" t="s">
        <v>39</v>
      </c>
      <c r="V428" s="194">
        <v>0.03</v>
      </c>
      <c r="W428" s="188" t="s">
        <v>1457</v>
      </c>
      <c r="X428" s="188" t="s">
        <v>1457</v>
      </c>
      <c r="Y428" s="188" t="s">
        <v>39</v>
      </c>
      <c r="Z428" s="188" t="s">
        <v>39</v>
      </c>
      <c r="AA428" s="188" t="s">
        <v>1457</v>
      </c>
      <c r="AB428" s="52" t="s">
        <v>39</v>
      </c>
      <c r="AC428" s="52" t="s">
        <v>39</v>
      </c>
      <c r="AD428" s="189" t="s">
        <v>1305</v>
      </c>
      <c r="AE428" s="17" t="s">
        <v>1306</v>
      </c>
    </row>
    <row r="429" s="2" customFormat="1" ht="60" hidden="1" customHeight="1" spans="1:31">
      <c r="A429" s="13">
        <v>427</v>
      </c>
      <c r="B429" s="187" t="s">
        <v>1565</v>
      </c>
      <c r="C429" s="15" t="s">
        <v>1142</v>
      </c>
      <c r="D429" s="15" t="s">
        <v>1299</v>
      </c>
      <c r="E429" s="15" t="s">
        <v>1300</v>
      </c>
      <c r="F429" s="13" t="s">
        <v>81</v>
      </c>
      <c r="G429" s="16" t="s">
        <v>38</v>
      </c>
      <c r="H429" s="16" t="s">
        <v>284</v>
      </c>
      <c r="I429" s="43" t="s">
        <v>186</v>
      </c>
      <c r="J429" s="16" t="s">
        <v>1331</v>
      </c>
      <c r="K429" s="16"/>
      <c r="L429" s="20"/>
      <c r="M429" s="20" t="s">
        <v>39</v>
      </c>
      <c r="N429" s="21">
        <v>330000</v>
      </c>
      <c r="O429" s="188">
        <v>0.28</v>
      </c>
      <c r="P429" s="188" t="s">
        <v>39</v>
      </c>
      <c r="Q429" s="188" t="s">
        <v>39</v>
      </c>
      <c r="R429" s="188" t="s">
        <v>39</v>
      </c>
      <c r="S429" s="188" t="s">
        <v>39</v>
      </c>
      <c r="T429" s="188" t="s">
        <v>39</v>
      </c>
      <c r="U429" s="188" t="s">
        <v>39</v>
      </c>
      <c r="V429" s="188" t="s">
        <v>39</v>
      </c>
      <c r="W429" s="188" t="s">
        <v>39</v>
      </c>
      <c r="X429" s="188" t="s">
        <v>1457</v>
      </c>
      <c r="Y429" s="188" t="s">
        <v>39</v>
      </c>
      <c r="Z429" s="188" t="s">
        <v>39</v>
      </c>
      <c r="AA429" s="188" t="s">
        <v>1457</v>
      </c>
      <c r="AB429" s="52" t="s">
        <v>39</v>
      </c>
      <c r="AC429" s="52" t="s">
        <v>39</v>
      </c>
      <c r="AD429" s="189" t="s">
        <v>1305</v>
      </c>
      <c r="AE429" s="17" t="s">
        <v>1332</v>
      </c>
    </row>
    <row r="430" s="2" customFormat="1" ht="60" hidden="1" customHeight="1" spans="1:31">
      <c r="A430" s="13">
        <v>428</v>
      </c>
      <c r="B430" s="187" t="s">
        <v>1566</v>
      </c>
      <c r="C430" s="15" t="s">
        <v>1142</v>
      </c>
      <c r="D430" s="15" t="s">
        <v>1299</v>
      </c>
      <c r="E430" s="15" t="s">
        <v>1300</v>
      </c>
      <c r="F430" s="13" t="s">
        <v>81</v>
      </c>
      <c r="G430" s="16" t="s">
        <v>38</v>
      </c>
      <c r="H430" s="16" t="s">
        <v>322</v>
      </c>
      <c r="I430" s="43" t="s">
        <v>723</v>
      </c>
      <c r="J430" s="16" t="s">
        <v>1334</v>
      </c>
      <c r="K430" s="16"/>
      <c r="L430" s="20"/>
      <c r="M430" s="20" t="s">
        <v>39</v>
      </c>
      <c r="N430" s="21">
        <v>280000</v>
      </c>
      <c r="O430" s="188">
        <v>0.19</v>
      </c>
      <c r="P430" s="188" t="s">
        <v>39</v>
      </c>
      <c r="Q430" s="188" t="s">
        <v>39</v>
      </c>
      <c r="R430" s="188" t="s">
        <v>39</v>
      </c>
      <c r="S430" s="188" t="s">
        <v>39</v>
      </c>
      <c r="T430" s="188" t="s">
        <v>39</v>
      </c>
      <c r="U430" s="188" t="s">
        <v>39</v>
      </c>
      <c r="V430" s="192" t="s">
        <v>1567</v>
      </c>
      <c r="W430" s="188" t="s">
        <v>1457</v>
      </c>
      <c r="X430" s="188" t="s">
        <v>1457</v>
      </c>
      <c r="Y430" s="188" t="s">
        <v>39</v>
      </c>
      <c r="Z430" s="188" t="s">
        <v>39</v>
      </c>
      <c r="AA430" s="188" t="s">
        <v>1457</v>
      </c>
      <c r="AB430" s="52" t="s">
        <v>39</v>
      </c>
      <c r="AC430" s="52" t="s">
        <v>39</v>
      </c>
      <c r="AD430" s="189" t="s">
        <v>1305</v>
      </c>
      <c r="AE430" s="17" t="s">
        <v>1306</v>
      </c>
    </row>
    <row r="431" s="2" customFormat="1" ht="60" hidden="1" customHeight="1" spans="1:31">
      <c r="A431" s="13">
        <v>429</v>
      </c>
      <c r="B431" s="187" t="s">
        <v>1568</v>
      </c>
      <c r="C431" s="15" t="s">
        <v>1142</v>
      </c>
      <c r="D431" s="15" t="s">
        <v>1299</v>
      </c>
      <c r="E431" s="15" t="s">
        <v>1300</v>
      </c>
      <c r="F431" s="13" t="s">
        <v>81</v>
      </c>
      <c r="G431" s="16" t="s">
        <v>38</v>
      </c>
      <c r="H431" s="16" t="s">
        <v>329</v>
      </c>
      <c r="I431" s="43" t="s">
        <v>1190</v>
      </c>
      <c r="J431" s="16" t="s">
        <v>1336</v>
      </c>
      <c r="K431" s="16"/>
      <c r="L431" s="20"/>
      <c r="M431" s="20" t="s">
        <v>39</v>
      </c>
      <c r="N431" s="21">
        <v>330000</v>
      </c>
      <c r="O431" s="194">
        <v>0.275</v>
      </c>
      <c r="P431" s="188" t="s">
        <v>39</v>
      </c>
      <c r="Q431" s="188" t="s">
        <v>39</v>
      </c>
      <c r="R431" s="188" t="s">
        <v>39</v>
      </c>
      <c r="S431" s="188" t="s">
        <v>39</v>
      </c>
      <c r="T431" s="188" t="s">
        <v>39</v>
      </c>
      <c r="U431" s="188" t="s">
        <v>39</v>
      </c>
      <c r="V431" s="188" t="s">
        <v>39</v>
      </c>
      <c r="W431" s="188" t="s">
        <v>39</v>
      </c>
      <c r="X431" s="188" t="s">
        <v>1457</v>
      </c>
      <c r="Y431" s="188" t="s">
        <v>39</v>
      </c>
      <c r="Z431" s="188" t="s">
        <v>39</v>
      </c>
      <c r="AA431" s="188" t="s">
        <v>1457</v>
      </c>
      <c r="AB431" s="52" t="s">
        <v>39</v>
      </c>
      <c r="AC431" s="52" t="s">
        <v>39</v>
      </c>
      <c r="AD431" s="189" t="s">
        <v>1305</v>
      </c>
      <c r="AE431" s="17" t="s">
        <v>1332</v>
      </c>
    </row>
    <row r="432" s="2" customFormat="1" ht="60" hidden="1" customHeight="1" spans="1:31">
      <c r="A432" s="13">
        <v>430</v>
      </c>
      <c r="B432" s="187" t="s">
        <v>1569</v>
      </c>
      <c r="C432" s="15" t="s">
        <v>1142</v>
      </c>
      <c r="D432" s="15" t="s">
        <v>1299</v>
      </c>
      <c r="E432" s="15" t="s">
        <v>1300</v>
      </c>
      <c r="F432" s="13" t="s">
        <v>81</v>
      </c>
      <c r="G432" s="16" t="s">
        <v>38</v>
      </c>
      <c r="H432" s="16" t="s">
        <v>333</v>
      </c>
      <c r="I432" s="43" t="s">
        <v>1338</v>
      </c>
      <c r="J432" s="16" t="s">
        <v>1339</v>
      </c>
      <c r="K432" s="16"/>
      <c r="L432" s="20"/>
      <c r="M432" s="20" t="s">
        <v>39</v>
      </c>
      <c r="N432" s="21">
        <v>330000</v>
      </c>
      <c r="O432" s="188">
        <v>0.19</v>
      </c>
      <c r="P432" s="188" t="s">
        <v>39</v>
      </c>
      <c r="Q432" s="188" t="s">
        <v>39</v>
      </c>
      <c r="R432" s="188" t="s">
        <v>39</v>
      </c>
      <c r="S432" s="188" t="s">
        <v>39</v>
      </c>
      <c r="T432" s="188" t="s">
        <v>39</v>
      </c>
      <c r="U432" s="188" t="s">
        <v>39</v>
      </c>
      <c r="V432" s="194">
        <v>0.035</v>
      </c>
      <c r="W432" s="188" t="s">
        <v>1457</v>
      </c>
      <c r="X432" s="188" t="s">
        <v>1457</v>
      </c>
      <c r="Y432" s="188" t="s">
        <v>39</v>
      </c>
      <c r="Z432" s="188" t="s">
        <v>39</v>
      </c>
      <c r="AA432" s="188" t="s">
        <v>1457</v>
      </c>
      <c r="AB432" s="52" t="s">
        <v>39</v>
      </c>
      <c r="AC432" s="52" t="s">
        <v>39</v>
      </c>
      <c r="AD432" s="189" t="s">
        <v>1305</v>
      </c>
      <c r="AE432" s="17" t="s">
        <v>1306</v>
      </c>
    </row>
    <row r="433" s="2" customFormat="1" ht="12" hidden="1" customHeight="1" spans="1:31">
      <c r="A433" s="13">
        <v>431</v>
      </c>
      <c r="B433" s="187" t="s">
        <v>1731</v>
      </c>
      <c r="C433" s="15" t="s">
        <v>1142</v>
      </c>
      <c r="D433" s="15" t="s">
        <v>1341</v>
      </c>
      <c r="E433" s="15" t="s">
        <v>1342</v>
      </c>
      <c r="F433" s="13" t="s">
        <v>37</v>
      </c>
      <c r="G433" s="16" t="s">
        <v>38</v>
      </c>
      <c r="H433" s="16" t="s">
        <v>39</v>
      </c>
      <c r="I433" s="43" t="s">
        <v>39</v>
      </c>
      <c r="J433" s="16" t="s">
        <v>39</v>
      </c>
      <c r="K433" s="16"/>
      <c r="L433" s="20"/>
      <c r="M433" s="20" t="s">
        <v>39</v>
      </c>
      <c r="N433" s="21" t="s">
        <v>39</v>
      </c>
      <c r="O433" s="188" t="s">
        <v>39</v>
      </c>
      <c r="P433" s="188" t="s">
        <v>39</v>
      </c>
      <c r="Q433" s="188" t="s">
        <v>39</v>
      </c>
      <c r="R433" s="188" t="s">
        <v>39</v>
      </c>
      <c r="S433" s="188" t="s">
        <v>39</v>
      </c>
      <c r="T433" s="188" t="s">
        <v>39</v>
      </c>
      <c r="U433" s="188" t="s">
        <v>39</v>
      </c>
      <c r="V433" s="188" t="s">
        <v>39</v>
      </c>
      <c r="W433" s="188" t="s">
        <v>39</v>
      </c>
      <c r="X433" s="188" t="s">
        <v>39</v>
      </c>
      <c r="Y433" s="45"/>
      <c r="Z433" s="45"/>
      <c r="AA433" s="45"/>
      <c r="AB433" s="46">
        <v>0.05</v>
      </c>
      <c r="AC433" s="52" t="s">
        <v>39</v>
      </c>
      <c r="AD433" s="17"/>
      <c r="AE433" s="17"/>
    </row>
    <row r="434" s="2" customFormat="1" ht="48" hidden="1" customHeight="1" spans="1:31">
      <c r="A434" s="13">
        <v>432</v>
      </c>
      <c r="B434" s="187" t="s">
        <v>1570</v>
      </c>
      <c r="C434" s="15" t="s">
        <v>1142</v>
      </c>
      <c r="D434" s="15" t="s">
        <v>1341</v>
      </c>
      <c r="E434" s="15" t="s">
        <v>1342</v>
      </c>
      <c r="F434" s="13" t="s">
        <v>81</v>
      </c>
      <c r="G434" s="16" t="s">
        <v>38</v>
      </c>
      <c r="H434" s="18" t="s">
        <v>60</v>
      </c>
      <c r="I434" s="43" t="s">
        <v>1344</v>
      </c>
      <c r="J434" s="18" t="s">
        <v>1345</v>
      </c>
      <c r="K434" s="18"/>
      <c r="L434" s="20"/>
      <c r="M434" s="20" t="s">
        <v>39</v>
      </c>
      <c r="N434" s="21" t="s">
        <v>39</v>
      </c>
      <c r="O434" s="188">
        <v>0.06</v>
      </c>
      <c r="P434" s="188" t="s">
        <v>39</v>
      </c>
      <c r="Q434" s="188" t="s">
        <v>1457</v>
      </c>
      <c r="R434" s="188" t="s">
        <v>39</v>
      </c>
      <c r="S434" s="188" t="s">
        <v>39</v>
      </c>
      <c r="T434" s="188" t="s">
        <v>39</v>
      </c>
      <c r="U434" s="188" t="s">
        <v>1457</v>
      </c>
      <c r="V434" s="188" t="s">
        <v>1457</v>
      </c>
      <c r="W434" s="188" t="s">
        <v>1571</v>
      </c>
      <c r="X434" s="192" t="s">
        <v>1457</v>
      </c>
      <c r="Y434" s="45" t="s">
        <v>39</v>
      </c>
      <c r="Z434" s="45" t="s">
        <v>39</v>
      </c>
      <c r="AA434" s="45" t="s">
        <v>1457</v>
      </c>
      <c r="AB434" s="52" t="s">
        <v>39</v>
      </c>
      <c r="AC434" s="52" t="s">
        <v>39</v>
      </c>
      <c r="AD434" s="189" t="s">
        <v>1346</v>
      </c>
      <c r="AE434" s="17" t="s">
        <v>1347</v>
      </c>
    </row>
    <row r="435" s="2" customFormat="1" ht="48" hidden="1" customHeight="1" spans="1:31">
      <c r="A435" s="13">
        <v>433</v>
      </c>
      <c r="B435" s="187" t="s">
        <v>1572</v>
      </c>
      <c r="C435" s="15" t="s">
        <v>1142</v>
      </c>
      <c r="D435" s="15" t="s">
        <v>1341</v>
      </c>
      <c r="E435" s="15" t="s">
        <v>1342</v>
      </c>
      <c r="F435" s="13" t="s">
        <v>81</v>
      </c>
      <c r="G435" s="16" t="s">
        <v>38</v>
      </c>
      <c r="H435" s="18" t="s">
        <v>66</v>
      </c>
      <c r="I435" s="43" t="s">
        <v>1350</v>
      </c>
      <c r="J435" s="18" t="s">
        <v>1351</v>
      </c>
      <c r="K435" s="18"/>
      <c r="L435" s="20"/>
      <c r="M435" s="20" t="s">
        <v>39</v>
      </c>
      <c r="N435" s="21" t="s">
        <v>39</v>
      </c>
      <c r="O435" s="188">
        <v>0.06</v>
      </c>
      <c r="P435" s="188" t="s">
        <v>39</v>
      </c>
      <c r="Q435" s="188" t="s">
        <v>1457</v>
      </c>
      <c r="R435" s="188" t="s">
        <v>39</v>
      </c>
      <c r="S435" s="188" t="s">
        <v>39</v>
      </c>
      <c r="T435" s="188" t="s">
        <v>39</v>
      </c>
      <c r="U435" s="188" t="s">
        <v>1457</v>
      </c>
      <c r="V435" s="192" t="s">
        <v>1573</v>
      </c>
      <c r="W435" s="188" t="s">
        <v>1571</v>
      </c>
      <c r="X435" s="188" t="s">
        <v>1457</v>
      </c>
      <c r="Y435" s="45" t="s">
        <v>39</v>
      </c>
      <c r="Z435" s="45" t="s">
        <v>39</v>
      </c>
      <c r="AA435" s="45" t="s">
        <v>1457</v>
      </c>
      <c r="AB435" s="52" t="s">
        <v>39</v>
      </c>
      <c r="AC435" s="52" t="s">
        <v>39</v>
      </c>
      <c r="AD435" s="189" t="s">
        <v>1352</v>
      </c>
      <c r="AE435" s="17" t="s">
        <v>1347</v>
      </c>
    </row>
    <row r="436" s="2" customFormat="1" ht="24" hidden="1" customHeight="1" spans="1:31">
      <c r="A436" s="13">
        <v>434</v>
      </c>
      <c r="B436" s="187" t="s">
        <v>1574</v>
      </c>
      <c r="C436" s="15" t="s">
        <v>1142</v>
      </c>
      <c r="D436" s="15" t="s">
        <v>1341</v>
      </c>
      <c r="E436" s="15" t="s">
        <v>1342</v>
      </c>
      <c r="F436" s="13" t="s">
        <v>81</v>
      </c>
      <c r="G436" s="16" t="s">
        <v>38</v>
      </c>
      <c r="H436" s="18" t="s">
        <v>74</v>
      </c>
      <c r="I436" s="43" t="s">
        <v>1575</v>
      </c>
      <c r="J436" s="18" t="s">
        <v>1576</v>
      </c>
      <c r="K436" s="18"/>
      <c r="L436" s="20"/>
      <c r="M436" s="20" t="s">
        <v>39</v>
      </c>
      <c r="N436" s="21" t="s">
        <v>39</v>
      </c>
      <c r="O436" s="188">
        <v>0</v>
      </c>
      <c r="P436" s="188">
        <v>0</v>
      </c>
      <c r="Q436" s="188">
        <v>0</v>
      </c>
      <c r="R436" s="188">
        <v>0</v>
      </c>
      <c r="S436" s="188">
        <v>0</v>
      </c>
      <c r="T436" s="188">
        <v>0</v>
      </c>
      <c r="U436" s="188">
        <v>0</v>
      </c>
      <c r="V436" s="188">
        <v>0</v>
      </c>
      <c r="W436" s="188">
        <v>0</v>
      </c>
      <c r="X436" s="188" t="s">
        <v>1457</v>
      </c>
      <c r="Y436" s="45" t="s">
        <v>39</v>
      </c>
      <c r="Z436" s="45" t="s">
        <v>39</v>
      </c>
      <c r="AA436" s="45" t="s">
        <v>1457</v>
      </c>
      <c r="AB436" s="52" t="s">
        <v>39</v>
      </c>
      <c r="AC436" s="52" t="s">
        <v>39</v>
      </c>
      <c r="AD436" s="189"/>
      <c r="AE436" s="189" t="s">
        <v>1577</v>
      </c>
    </row>
  </sheetData>
  <sheetProtection sheet="1" formatCells="0" formatColumns="0" formatRows="0" insertRows="0" insertColumns="0" insertHyperlinks="0" deleteColumns="0" deleteRows="0" sort="0" autoFilter="0" pivotTables="0"/>
  <autoFilter xmlns:etc="http://www.wps.cn/officeDocument/2017/etCustomData" ref="A2:AE436" etc:filterBottomFollowUsedRange="0">
    <filterColumn colId="6">
      <customFilters>
        <customFilter operator="equal" val="位军浩"/>
      </customFilters>
    </filterColumn>
    <extLst/>
  </autoFilter>
  <mergeCells count="1">
    <mergeCell ref="A1:P1"/>
  </mergeCells>
  <dataValidations count="1">
    <dataValidation type="list" allowBlank="1" showInputMessage="1" showErrorMessage="1" sqref="F137:F144">
      <formula1>"自营/分组作业,分组作业,强责,自营,人员服务外包,人员服务外包/自营"</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29"/>
  <sheetViews>
    <sheetView workbookViewId="0">
      <selection activeCell="A1" sqref="A1:N1"/>
    </sheetView>
  </sheetViews>
  <sheetFormatPr defaultColWidth="9" defaultRowHeight="13.5"/>
  <cols>
    <col min="1" max="1" width="9" style="27" customWidth="1"/>
    <col min="2" max="2" width="16.25" style="27" customWidth="1"/>
    <col min="3" max="4" width="12.5" style="28" hidden="1" customWidth="1"/>
    <col min="5" max="5" width="21.125" style="28" customWidth="1"/>
    <col min="6" max="6" width="12.5" style="29" customWidth="1"/>
    <col min="7" max="7" width="12.5" style="28" customWidth="1"/>
    <col min="8" max="8" width="16.25" style="28" customWidth="1"/>
    <col min="9" max="9" width="14.375" style="30" customWidth="1"/>
    <col min="10" max="10" width="16.25" style="31" customWidth="1"/>
    <col min="11" max="11" width="12.5" style="31" customWidth="1"/>
    <col min="12" max="12" width="25.875" style="32" customWidth="1"/>
    <col min="13" max="13" width="10.75" style="33" customWidth="1"/>
    <col min="14" max="15" width="12.5" style="27" customWidth="1"/>
    <col min="16" max="18" width="14.25" style="27" customWidth="1"/>
    <col min="19" max="19" width="12.5" style="27" customWidth="1"/>
    <col min="20" max="20" width="12.5" style="34" customWidth="1"/>
    <col min="21" max="21" width="12.5" style="33" customWidth="1"/>
    <col min="22" max="22" width="12.5" style="27" customWidth="1"/>
    <col min="23" max="23" width="12.5" style="31" customWidth="1"/>
    <col min="24" max="24" width="14.25" style="31" customWidth="1"/>
    <col min="25" max="25" width="12.5" style="31" customWidth="1"/>
    <col min="26" max="26" width="14.25" style="31" customWidth="1"/>
    <col min="27" max="27" width="12.5" style="31" customWidth="1"/>
    <col min="28" max="28" width="27.875" style="35" customWidth="1"/>
    <col min="29" max="29" width="10.75" style="28" customWidth="1"/>
    <col min="30" max="30" width="41.5" style="29" customWidth="1"/>
    <col min="31" max="31" width="41.75" style="30" customWidth="1"/>
  </cols>
  <sheetData>
    <row r="1" ht="18.75" customHeight="1" spans="1:31">
      <c r="A1" s="36" t="s">
        <v>0</v>
      </c>
      <c r="B1" s="37"/>
      <c r="C1" s="37"/>
      <c r="D1" s="37"/>
      <c r="E1" s="37"/>
      <c r="F1" s="37"/>
      <c r="G1" s="37"/>
      <c r="H1" s="37"/>
      <c r="I1" s="37"/>
      <c r="J1" s="37"/>
      <c r="K1" s="37"/>
      <c r="L1" s="37"/>
      <c r="M1" s="37"/>
      <c r="N1" s="37"/>
      <c r="O1" s="38"/>
      <c r="P1" s="38"/>
      <c r="Q1" s="38"/>
      <c r="R1" s="38"/>
      <c r="S1" s="38"/>
      <c r="T1" s="38"/>
      <c r="U1" s="38"/>
      <c r="V1" s="38"/>
      <c r="W1" s="38"/>
      <c r="X1" s="39"/>
      <c r="Y1" s="40"/>
      <c r="Z1" s="40"/>
      <c r="AA1" s="40"/>
      <c r="AB1" s="41"/>
      <c r="AC1" s="38"/>
      <c r="AD1" s="42"/>
      <c r="AE1" s="42"/>
    </row>
    <row r="2" s="1" customFormat="1" ht="24" customHeight="1" spans="1:31">
      <c r="A2" s="3" t="s">
        <v>1</v>
      </c>
      <c r="B2" s="3" t="s">
        <v>2</v>
      </c>
      <c r="C2" s="3" t="s">
        <v>3</v>
      </c>
      <c r="D2" s="3" t="s">
        <v>4</v>
      </c>
      <c r="E2" s="3" t="s">
        <v>5</v>
      </c>
      <c r="F2" s="4" t="s">
        <v>6</v>
      </c>
      <c r="G2" s="4" t="s">
        <v>7</v>
      </c>
      <c r="H2" s="4" t="s">
        <v>8</v>
      </c>
      <c r="I2" s="4" t="s">
        <v>9</v>
      </c>
      <c r="J2" s="4" t="s">
        <v>10</v>
      </c>
      <c r="K2" s="6" t="s">
        <v>11</v>
      </c>
      <c r="L2" s="7" t="s">
        <v>12</v>
      </c>
      <c r="M2" s="8" t="s">
        <v>13</v>
      </c>
      <c r="N2" s="4" t="s">
        <v>14</v>
      </c>
      <c r="O2" s="4" t="s">
        <v>15</v>
      </c>
      <c r="P2" s="6" t="s">
        <v>16</v>
      </c>
      <c r="Q2" s="6" t="s">
        <v>17</v>
      </c>
      <c r="R2" s="6" t="s">
        <v>18</v>
      </c>
      <c r="S2" s="6" t="s">
        <v>19</v>
      </c>
      <c r="T2" s="9" t="s">
        <v>20</v>
      </c>
      <c r="U2" s="9" t="s">
        <v>21</v>
      </c>
      <c r="V2" s="4" t="s">
        <v>22</v>
      </c>
      <c r="W2" s="4" t="s">
        <v>23</v>
      </c>
      <c r="X2" s="10" t="s">
        <v>24</v>
      </c>
      <c r="Y2" s="10" t="s">
        <v>25</v>
      </c>
      <c r="Z2" s="10" t="s">
        <v>26</v>
      </c>
      <c r="AA2" s="10" t="s">
        <v>27</v>
      </c>
      <c r="AB2" s="11" t="s">
        <v>28</v>
      </c>
      <c r="AC2" s="12" t="s">
        <v>29</v>
      </c>
      <c r="AD2" s="4" t="s">
        <v>30</v>
      </c>
      <c r="AE2" s="6" t="s">
        <v>31</v>
      </c>
    </row>
    <row r="3" s="2" customFormat="1" ht="12" customHeight="1" spans="1:31">
      <c r="A3" s="13">
        <v>1</v>
      </c>
      <c r="B3" s="14" t="s">
        <v>33</v>
      </c>
      <c r="C3" s="15" t="s">
        <v>34</v>
      </c>
      <c r="D3" s="15" t="s">
        <v>35</v>
      </c>
      <c r="E3" s="15" t="s">
        <v>36</v>
      </c>
      <c r="F3" s="13" t="s">
        <v>37</v>
      </c>
      <c r="G3" s="16" t="s">
        <v>38</v>
      </c>
      <c r="H3" s="16" t="s">
        <v>39</v>
      </c>
      <c r="I3" s="43" t="s">
        <v>39</v>
      </c>
      <c r="J3" s="16" t="s">
        <v>39</v>
      </c>
      <c r="K3" s="20" t="s">
        <v>39</v>
      </c>
      <c r="L3" s="21">
        <v>1900000</v>
      </c>
      <c r="M3" s="20" t="s">
        <v>39</v>
      </c>
      <c r="N3" s="20" t="s">
        <v>39</v>
      </c>
      <c r="O3" s="20" t="s">
        <v>39</v>
      </c>
      <c r="P3" s="20" t="s">
        <v>39</v>
      </c>
      <c r="Q3" s="20" t="s">
        <v>39</v>
      </c>
      <c r="R3" s="20" t="s">
        <v>39</v>
      </c>
      <c r="S3" s="20" t="s">
        <v>39</v>
      </c>
      <c r="T3" s="20" t="s">
        <v>39</v>
      </c>
      <c r="U3" s="20" t="s">
        <v>39</v>
      </c>
      <c r="V3" s="20" t="s">
        <v>39</v>
      </c>
      <c r="W3" s="44"/>
      <c r="X3" s="45" t="s">
        <v>39</v>
      </c>
      <c r="Y3" s="45" t="s">
        <v>39</v>
      </c>
      <c r="Z3" s="45" t="s">
        <v>39</v>
      </c>
      <c r="AA3" s="45" t="s">
        <v>39</v>
      </c>
      <c r="AB3" s="46">
        <v>0.06</v>
      </c>
      <c r="AC3" s="46" t="s">
        <v>39</v>
      </c>
      <c r="AD3" s="17"/>
      <c r="AE3" s="17"/>
    </row>
    <row r="4" s="2" customFormat="1" ht="48" customHeight="1" spans="1:31">
      <c r="A4" s="13">
        <v>2</v>
      </c>
      <c r="B4" s="14" t="s">
        <v>40</v>
      </c>
      <c r="C4" s="15" t="s">
        <v>34</v>
      </c>
      <c r="D4" s="15" t="s">
        <v>41</v>
      </c>
      <c r="E4" s="15" t="s">
        <v>42</v>
      </c>
      <c r="F4" s="13" t="s">
        <v>37</v>
      </c>
      <c r="G4" s="16" t="s">
        <v>38</v>
      </c>
      <c r="H4" s="16" t="s">
        <v>39</v>
      </c>
      <c r="I4" s="43" t="s">
        <v>39</v>
      </c>
      <c r="J4" s="16" t="s">
        <v>39</v>
      </c>
      <c r="K4" s="20" t="s">
        <v>39</v>
      </c>
      <c r="L4" s="21">
        <v>2600000</v>
      </c>
      <c r="M4" s="20" t="s">
        <v>39</v>
      </c>
      <c r="N4" s="20" t="s">
        <v>39</v>
      </c>
      <c r="O4" s="20" t="s">
        <v>39</v>
      </c>
      <c r="P4" s="20" t="s">
        <v>39</v>
      </c>
      <c r="Q4" s="20" t="s">
        <v>39</v>
      </c>
      <c r="R4" s="20" t="s">
        <v>39</v>
      </c>
      <c r="S4" s="20" t="s">
        <v>39</v>
      </c>
      <c r="T4" s="20" t="s">
        <v>39</v>
      </c>
      <c r="U4" s="20" t="s">
        <v>39</v>
      </c>
      <c r="V4" s="20" t="s">
        <v>39</v>
      </c>
      <c r="W4" s="47"/>
      <c r="X4" s="45" t="s">
        <v>39</v>
      </c>
      <c r="Y4" s="45" t="s">
        <v>39</v>
      </c>
      <c r="Z4" s="45" t="s">
        <v>39</v>
      </c>
      <c r="AA4" s="45" t="s">
        <v>39</v>
      </c>
      <c r="AB4" s="46">
        <v>0.0585</v>
      </c>
      <c r="AC4" s="46">
        <v>0.005</v>
      </c>
      <c r="AD4" s="48" t="s">
        <v>43</v>
      </c>
      <c r="AE4" s="25"/>
    </row>
    <row r="5" s="2" customFormat="1" ht="12" customHeight="1" spans="1:31">
      <c r="A5" s="13">
        <v>3</v>
      </c>
      <c r="B5" s="14" t="s">
        <v>44</v>
      </c>
      <c r="C5" s="15" t="s">
        <v>34</v>
      </c>
      <c r="D5" s="15" t="s">
        <v>45</v>
      </c>
      <c r="E5" s="15" t="s">
        <v>46</v>
      </c>
      <c r="F5" s="13" t="s">
        <v>47</v>
      </c>
      <c r="G5" s="16" t="s">
        <v>48</v>
      </c>
      <c r="H5" s="16" t="s">
        <v>39</v>
      </c>
      <c r="I5" s="17" t="s">
        <v>39</v>
      </c>
      <c r="J5" s="16" t="s">
        <v>49</v>
      </c>
      <c r="K5" s="20" t="s">
        <v>39</v>
      </c>
      <c r="L5" s="21">
        <v>2200000</v>
      </c>
      <c r="M5" s="24" t="s">
        <v>39</v>
      </c>
      <c r="N5" s="24" t="s">
        <v>39</v>
      </c>
      <c r="O5" s="49">
        <v>0.01</v>
      </c>
      <c r="P5" s="24" t="s">
        <v>39</v>
      </c>
      <c r="Q5" s="24" t="s">
        <v>39</v>
      </c>
      <c r="R5" s="24" t="s">
        <v>39</v>
      </c>
      <c r="S5" s="24" t="s">
        <v>39</v>
      </c>
      <c r="T5" s="18" t="s">
        <v>39</v>
      </c>
      <c r="U5" s="24" t="s">
        <v>39</v>
      </c>
      <c r="V5" s="24" t="s">
        <v>39</v>
      </c>
      <c r="W5" s="50"/>
      <c r="X5" s="51" t="s">
        <v>39</v>
      </c>
      <c r="Y5" s="51" t="s">
        <v>39</v>
      </c>
      <c r="Z5" s="51" t="s">
        <v>39</v>
      </c>
      <c r="AA5" s="51" t="s">
        <v>39</v>
      </c>
      <c r="AB5" s="51">
        <v>0.04</v>
      </c>
      <c r="AC5" s="46" t="s">
        <v>39</v>
      </c>
      <c r="AD5" s="17"/>
      <c r="AE5" s="25"/>
    </row>
    <row r="6" s="2" customFormat="1" ht="12" customHeight="1" spans="1:31">
      <c r="A6" s="13">
        <v>4</v>
      </c>
      <c r="B6" s="14" t="s">
        <v>50</v>
      </c>
      <c r="C6" s="15" t="s">
        <v>34</v>
      </c>
      <c r="D6" s="15" t="s">
        <v>51</v>
      </c>
      <c r="E6" s="15" t="s">
        <v>52</v>
      </c>
      <c r="F6" s="13" t="s">
        <v>53</v>
      </c>
      <c r="G6" s="16" t="s">
        <v>48</v>
      </c>
      <c r="H6" s="16" t="s">
        <v>39</v>
      </c>
      <c r="I6" s="43" t="s">
        <v>39</v>
      </c>
      <c r="J6" s="16" t="s">
        <v>39</v>
      </c>
      <c r="K6" s="20" t="s">
        <v>39</v>
      </c>
      <c r="L6" s="21">
        <v>8931000</v>
      </c>
      <c r="M6" s="24" t="s">
        <v>39</v>
      </c>
      <c r="N6" s="24" t="s">
        <v>39</v>
      </c>
      <c r="O6" s="24" t="s">
        <v>39</v>
      </c>
      <c r="P6" s="24" t="s">
        <v>39</v>
      </c>
      <c r="Q6" s="24" t="s">
        <v>39</v>
      </c>
      <c r="R6" s="24" t="s">
        <v>39</v>
      </c>
      <c r="S6" s="24" t="s">
        <v>39</v>
      </c>
      <c r="T6" s="18" t="s">
        <v>39</v>
      </c>
      <c r="U6" s="24" t="s">
        <v>39</v>
      </c>
      <c r="V6" s="24" t="s">
        <v>39</v>
      </c>
      <c r="W6" s="18" t="s">
        <v>39</v>
      </c>
      <c r="X6" s="51" t="s">
        <v>39</v>
      </c>
      <c r="Y6" s="51" t="s">
        <v>39</v>
      </c>
      <c r="Z6" s="51" t="s">
        <v>39</v>
      </c>
      <c r="AA6" s="51" t="s">
        <v>39</v>
      </c>
      <c r="AB6" s="46">
        <v>0.045</v>
      </c>
      <c r="AC6" s="46" t="s">
        <v>39</v>
      </c>
      <c r="AD6" s="17"/>
      <c r="AE6" s="25"/>
    </row>
    <row r="7" s="2" customFormat="1" ht="24" customHeight="1" spans="1:31">
      <c r="A7" s="13">
        <v>5</v>
      </c>
      <c r="B7" s="14" t="s">
        <v>54</v>
      </c>
      <c r="C7" s="15" t="s">
        <v>34</v>
      </c>
      <c r="D7" s="15" t="s">
        <v>55</v>
      </c>
      <c r="E7" s="15" t="s">
        <v>56</v>
      </c>
      <c r="F7" s="13" t="s">
        <v>47</v>
      </c>
      <c r="G7" s="16" t="s">
        <v>38</v>
      </c>
      <c r="H7" s="16" t="s">
        <v>39</v>
      </c>
      <c r="I7" s="17" t="s">
        <v>39</v>
      </c>
      <c r="J7" s="18" t="s">
        <v>57</v>
      </c>
      <c r="K7" s="20" t="s">
        <v>39</v>
      </c>
      <c r="L7" s="21" t="s">
        <v>39</v>
      </c>
      <c r="M7" s="24" t="s">
        <v>39</v>
      </c>
      <c r="N7" s="24" t="s">
        <v>39</v>
      </c>
      <c r="O7" s="24" t="s">
        <v>39</v>
      </c>
      <c r="P7" s="24" t="s">
        <v>39</v>
      </c>
      <c r="Q7" s="24" t="s">
        <v>39</v>
      </c>
      <c r="R7" s="24" t="s">
        <v>39</v>
      </c>
      <c r="S7" s="24" t="s">
        <v>39</v>
      </c>
      <c r="T7" s="18" t="s">
        <v>39</v>
      </c>
      <c r="U7" s="24" t="s">
        <v>39</v>
      </c>
      <c r="V7" s="24" t="s">
        <v>39</v>
      </c>
      <c r="W7" s="47">
        <v>0.55</v>
      </c>
      <c r="X7" s="45" t="s">
        <v>39</v>
      </c>
      <c r="Y7" s="45" t="s">
        <v>39</v>
      </c>
      <c r="Z7" s="45" t="s">
        <v>39</v>
      </c>
      <c r="AA7" s="45" t="s">
        <v>39</v>
      </c>
      <c r="AB7" s="46">
        <v>0.015</v>
      </c>
      <c r="AC7" s="52" t="s">
        <v>39</v>
      </c>
      <c r="AD7" s="48" t="s">
        <v>58</v>
      </c>
      <c r="AE7" s="25"/>
    </row>
    <row r="8" s="2" customFormat="1" ht="82.5" customHeight="1" spans="1:31">
      <c r="A8" s="13">
        <v>6</v>
      </c>
      <c r="B8" s="14" t="s">
        <v>59</v>
      </c>
      <c r="C8" s="15" t="s">
        <v>34</v>
      </c>
      <c r="D8" s="15" t="s">
        <v>55</v>
      </c>
      <c r="E8" s="15" t="s">
        <v>56</v>
      </c>
      <c r="F8" s="13" t="s">
        <v>47</v>
      </c>
      <c r="G8" s="16" t="s">
        <v>38</v>
      </c>
      <c r="H8" s="16" t="s">
        <v>60</v>
      </c>
      <c r="I8" s="17" t="s">
        <v>61</v>
      </c>
      <c r="J8" s="18" t="s">
        <v>62</v>
      </c>
      <c r="K8" s="20" t="s">
        <v>39</v>
      </c>
      <c r="L8" s="21">
        <v>700000</v>
      </c>
      <c r="M8" s="20">
        <v>0.07</v>
      </c>
      <c r="N8" s="20">
        <v>0.01</v>
      </c>
      <c r="O8" s="20" t="s">
        <v>39</v>
      </c>
      <c r="P8" s="20">
        <v>0.03</v>
      </c>
      <c r="Q8" s="20">
        <v>0.03</v>
      </c>
      <c r="R8" s="20">
        <v>0.01</v>
      </c>
      <c r="S8" s="20">
        <v>0.02</v>
      </c>
      <c r="T8" s="20">
        <v>0.04</v>
      </c>
      <c r="U8" s="20">
        <v>0.05</v>
      </c>
      <c r="V8" s="20" t="s">
        <v>39</v>
      </c>
      <c r="W8" s="20">
        <v>0.4</v>
      </c>
      <c r="X8" s="19" t="s">
        <v>39</v>
      </c>
      <c r="Y8" s="45" t="s">
        <v>39</v>
      </c>
      <c r="Z8" s="45" t="s">
        <v>39</v>
      </c>
      <c r="AA8" s="19" t="s">
        <v>39</v>
      </c>
      <c r="AB8" s="52" t="s">
        <v>39</v>
      </c>
      <c r="AC8" s="52" t="s">
        <v>39</v>
      </c>
      <c r="AD8" s="48" t="s">
        <v>63</v>
      </c>
      <c r="AE8" s="53"/>
    </row>
    <row r="9" s="2" customFormat="1" ht="92.25" customHeight="1" spans="1:31">
      <c r="A9" s="13">
        <v>7</v>
      </c>
      <c r="B9" s="14" t="s">
        <v>65</v>
      </c>
      <c r="C9" s="15" t="s">
        <v>34</v>
      </c>
      <c r="D9" s="15" t="s">
        <v>55</v>
      </c>
      <c r="E9" s="15" t="s">
        <v>56</v>
      </c>
      <c r="F9" s="13" t="s">
        <v>47</v>
      </c>
      <c r="G9" s="16" t="s">
        <v>38</v>
      </c>
      <c r="H9" s="16" t="s">
        <v>66</v>
      </c>
      <c r="I9" s="17" t="s">
        <v>67</v>
      </c>
      <c r="J9" s="18" t="s">
        <v>68</v>
      </c>
      <c r="K9" s="20" t="s">
        <v>39</v>
      </c>
      <c r="L9" s="21">
        <v>500000</v>
      </c>
      <c r="M9" s="20">
        <v>0.07</v>
      </c>
      <c r="N9" s="20">
        <v>0.01</v>
      </c>
      <c r="O9" s="20" t="s">
        <v>39</v>
      </c>
      <c r="P9" s="20">
        <v>0.03</v>
      </c>
      <c r="Q9" s="20">
        <v>0.03</v>
      </c>
      <c r="R9" s="20">
        <v>0.01</v>
      </c>
      <c r="S9" s="20">
        <v>0.02</v>
      </c>
      <c r="T9" s="20">
        <v>0.04</v>
      </c>
      <c r="U9" s="20">
        <v>0.05</v>
      </c>
      <c r="V9" s="20" t="s">
        <v>39</v>
      </c>
      <c r="W9" s="20">
        <v>0.4</v>
      </c>
      <c r="X9" s="19" t="s">
        <v>39</v>
      </c>
      <c r="Y9" s="45" t="s">
        <v>39</v>
      </c>
      <c r="Z9" s="45" t="s">
        <v>39</v>
      </c>
      <c r="AA9" s="19" t="s">
        <v>39</v>
      </c>
      <c r="AB9" s="52" t="s">
        <v>39</v>
      </c>
      <c r="AC9" s="52" t="s">
        <v>39</v>
      </c>
      <c r="AD9" s="48" t="s">
        <v>63</v>
      </c>
      <c r="AE9" s="25"/>
    </row>
    <row r="10" s="2" customFormat="1" ht="72" customHeight="1" spans="1:31">
      <c r="A10" s="13">
        <v>8</v>
      </c>
      <c r="B10" s="14" t="s">
        <v>69</v>
      </c>
      <c r="C10" s="15" t="s">
        <v>34</v>
      </c>
      <c r="D10" s="15" t="s">
        <v>55</v>
      </c>
      <c r="E10" s="15" t="s">
        <v>56</v>
      </c>
      <c r="F10" s="13" t="s">
        <v>47</v>
      </c>
      <c r="G10" s="16" t="s">
        <v>38</v>
      </c>
      <c r="H10" s="16" t="s">
        <v>70</v>
      </c>
      <c r="I10" s="17" t="s">
        <v>71</v>
      </c>
      <c r="J10" s="18" t="s">
        <v>72</v>
      </c>
      <c r="K10" s="20" t="s">
        <v>39</v>
      </c>
      <c r="L10" s="21">
        <v>700000</v>
      </c>
      <c r="M10" s="20">
        <v>0.07</v>
      </c>
      <c r="N10" s="20">
        <v>0.01</v>
      </c>
      <c r="O10" s="20" t="s">
        <v>39</v>
      </c>
      <c r="P10" s="20">
        <v>0.03</v>
      </c>
      <c r="Q10" s="20">
        <v>0.03</v>
      </c>
      <c r="R10" s="20">
        <v>0.01</v>
      </c>
      <c r="S10" s="20">
        <v>0.02</v>
      </c>
      <c r="T10" s="20">
        <v>0.04</v>
      </c>
      <c r="U10" s="20">
        <v>0.05</v>
      </c>
      <c r="V10" s="20" t="s">
        <v>39</v>
      </c>
      <c r="W10" s="20">
        <v>0.4</v>
      </c>
      <c r="X10" s="19" t="s">
        <v>39</v>
      </c>
      <c r="Y10" s="45" t="s">
        <v>39</v>
      </c>
      <c r="Z10" s="45" t="s">
        <v>39</v>
      </c>
      <c r="AA10" s="19" t="s">
        <v>39</v>
      </c>
      <c r="AB10" s="52" t="s">
        <v>39</v>
      </c>
      <c r="AC10" s="52" t="s">
        <v>39</v>
      </c>
      <c r="AD10" s="48" t="s">
        <v>63</v>
      </c>
      <c r="AE10" s="25"/>
    </row>
    <row r="11" s="2" customFormat="1" ht="72" customHeight="1" spans="1:31">
      <c r="A11" s="13">
        <v>9</v>
      </c>
      <c r="B11" s="14" t="s">
        <v>73</v>
      </c>
      <c r="C11" s="15" t="s">
        <v>34</v>
      </c>
      <c r="D11" s="15" t="s">
        <v>55</v>
      </c>
      <c r="E11" s="15" t="s">
        <v>56</v>
      </c>
      <c r="F11" s="13" t="s">
        <v>47</v>
      </c>
      <c r="G11" s="16" t="s">
        <v>38</v>
      </c>
      <c r="H11" s="16" t="s">
        <v>74</v>
      </c>
      <c r="I11" s="17" t="s">
        <v>75</v>
      </c>
      <c r="J11" s="18" t="s">
        <v>76</v>
      </c>
      <c r="K11" s="20" t="s">
        <v>39</v>
      </c>
      <c r="L11" s="21">
        <v>700000</v>
      </c>
      <c r="M11" s="20">
        <v>0.07</v>
      </c>
      <c r="N11" s="20">
        <v>0.01</v>
      </c>
      <c r="O11" s="20" t="s">
        <v>39</v>
      </c>
      <c r="P11" s="20">
        <v>0.03</v>
      </c>
      <c r="Q11" s="20">
        <v>0.03</v>
      </c>
      <c r="R11" s="20">
        <v>0.01</v>
      </c>
      <c r="S11" s="20">
        <v>0.02</v>
      </c>
      <c r="T11" s="20">
        <v>0.04</v>
      </c>
      <c r="U11" s="20">
        <v>0.05</v>
      </c>
      <c r="V11" s="20" t="s">
        <v>39</v>
      </c>
      <c r="W11" s="20">
        <v>0.4</v>
      </c>
      <c r="X11" s="19" t="s">
        <v>39</v>
      </c>
      <c r="Y11" s="45" t="s">
        <v>39</v>
      </c>
      <c r="Z11" s="45" t="s">
        <v>39</v>
      </c>
      <c r="AA11" s="19" t="s">
        <v>39</v>
      </c>
      <c r="AB11" s="52" t="s">
        <v>39</v>
      </c>
      <c r="AC11" s="52" t="s">
        <v>39</v>
      </c>
      <c r="AD11" s="48" t="s">
        <v>63</v>
      </c>
      <c r="AE11" s="25"/>
    </row>
    <row r="12" s="2" customFormat="1" ht="12" customHeight="1" spans="1:31">
      <c r="A12" s="13">
        <v>10</v>
      </c>
      <c r="B12" s="14" t="s">
        <v>77</v>
      </c>
      <c r="C12" s="15" t="s">
        <v>34</v>
      </c>
      <c r="D12" s="15" t="s">
        <v>78</v>
      </c>
      <c r="E12" s="15" t="s">
        <v>79</v>
      </c>
      <c r="F12" s="13" t="s">
        <v>37</v>
      </c>
      <c r="G12" s="16" t="s">
        <v>38</v>
      </c>
      <c r="H12" s="16" t="s">
        <v>39</v>
      </c>
      <c r="I12" s="43" t="s">
        <v>39</v>
      </c>
      <c r="J12" s="16" t="s">
        <v>39</v>
      </c>
      <c r="K12" s="20" t="s">
        <v>39</v>
      </c>
      <c r="L12" s="21" t="s">
        <v>39</v>
      </c>
      <c r="M12" s="20" t="s">
        <v>39</v>
      </c>
      <c r="N12" s="20" t="s">
        <v>39</v>
      </c>
      <c r="O12" s="20" t="s">
        <v>39</v>
      </c>
      <c r="P12" s="20" t="s">
        <v>39</v>
      </c>
      <c r="Q12" s="20" t="s">
        <v>39</v>
      </c>
      <c r="R12" s="20" t="s">
        <v>39</v>
      </c>
      <c r="S12" s="20" t="s">
        <v>39</v>
      </c>
      <c r="T12" s="20" t="s">
        <v>39</v>
      </c>
      <c r="U12" s="20" t="s">
        <v>39</v>
      </c>
      <c r="V12" s="20" t="s">
        <v>39</v>
      </c>
      <c r="W12" s="44"/>
      <c r="X12" s="45" t="s">
        <v>39</v>
      </c>
      <c r="Y12" s="45" t="s">
        <v>39</v>
      </c>
      <c r="Z12" s="45" t="s">
        <v>39</v>
      </c>
      <c r="AA12" s="45" t="s">
        <v>39</v>
      </c>
      <c r="AB12" s="54">
        <v>0.03</v>
      </c>
      <c r="AC12" s="52" t="s">
        <v>39</v>
      </c>
      <c r="AD12" s="17"/>
      <c r="AE12" s="25"/>
    </row>
    <row r="13" s="2" customFormat="1" ht="12" customHeight="1" spans="1:31">
      <c r="A13" s="13">
        <v>11</v>
      </c>
      <c r="B13" s="14" t="s">
        <v>80</v>
      </c>
      <c r="C13" s="15" t="s">
        <v>34</v>
      </c>
      <c r="D13" s="15" t="s">
        <v>78</v>
      </c>
      <c r="E13" s="15" t="s">
        <v>79</v>
      </c>
      <c r="F13" s="13" t="s">
        <v>81</v>
      </c>
      <c r="G13" s="16" t="s">
        <v>38</v>
      </c>
      <c r="H13" s="16" t="s">
        <v>66</v>
      </c>
      <c r="I13" s="43" t="s">
        <v>82</v>
      </c>
      <c r="J13" s="16" t="s">
        <v>83</v>
      </c>
      <c r="K13" s="20" t="s">
        <v>39</v>
      </c>
      <c r="L13" s="21">
        <v>570000</v>
      </c>
      <c r="M13" s="20">
        <v>0.1</v>
      </c>
      <c r="N13" s="20">
        <v>0.03</v>
      </c>
      <c r="O13" s="20" t="s">
        <v>39</v>
      </c>
      <c r="P13" s="20">
        <v>0.05</v>
      </c>
      <c r="Q13" s="20">
        <v>0.02</v>
      </c>
      <c r="R13" s="20" t="s">
        <v>39</v>
      </c>
      <c r="S13" s="20">
        <v>0.03</v>
      </c>
      <c r="T13" s="19" t="s">
        <v>39</v>
      </c>
      <c r="U13" s="20">
        <v>0.04</v>
      </c>
      <c r="V13" s="20" t="s">
        <v>39</v>
      </c>
      <c r="W13" s="44"/>
      <c r="X13" s="45" t="s">
        <v>39</v>
      </c>
      <c r="Y13" s="45" t="s">
        <v>39</v>
      </c>
      <c r="Z13" s="45" t="s">
        <v>39</v>
      </c>
      <c r="AA13" s="45" t="s">
        <v>39</v>
      </c>
      <c r="AB13" s="52" t="s">
        <v>39</v>
      </c>
      <c r="AC13" s="52" t="s">
        <v>39</v>
      </c>
      <c r="AD13" s="48" t="s">
        <v>84</v>
      </c>
      <c r="AE13" s="25"/>
    </row>
    <row r="14" s="2" customFormat="1" ht="12" customHeight="1" spans="1:31">
      <c r="A14" s="13">
        <v>12</v>
      </c>
      <c r="B14" s="14" t="s">
        <v>85</v>
      </c>
      <c r="C14" s="15" t="s">
        <v>34</v>
      </c>
      <c r="D14" s="15" t="s">
        <v>78</v>
      </c>
      <c r="E14" s="15" t="s">
        <v>79</v>
      </c>
      <c r="F14" s="13" t="s">
        <v>81</v>
      </c>
      <c r="G14" s="16" t="s">
        <v>38</v>
      </c>
      <c r="H14" s="16" t="s">
        <v>86</v>
      </c>
      <c r="I14" s="43" t="s">
        <v>87</v>
      </c>
      <c r="J14" s="16" t="s">
        <v>88</v>
      </c>
      <c r="K14" s="20" t="s">
        <v>39</v>
      </c>
      <c r="L14" s="21">
        <v>899800</v>
      </c>
      <c r="M14" s="20" t="s">
        <v>39</v>
      </c>
      <c r="N14" s="20" t="s">
        <v>39</v>
      </c>
      <c r="O14" s="20" t="s">
        <v>39</v>
      </c>
      <c r="P14" s="20" t="s">
        <v>39</v>
      </c>
      <c r="Q14" s="20" t="s">
        <v>39</v>
      </c>
      <c r="R14" s="20" t="s">
        <v>39</v>
      </c>
      <c r="S14" s="20" t="s">
        <v>39</v>
      </c>
      <c r="T14" s="20" t="s">
        <v>39</v>
      </c>
      <c r="U14" s="20" t="s">
        <v>39</v>
      </c>
      <c r="V14" s="26">
        <v>160000</v>
      </c>
      <c r="W14" s="45" t="s">
        <v>39</v>
      </c>
      <c r="X14" s="45" t="s">
        <v>39</v>
      </c>
      <c r="Y14" s="45" t="s">
        <v>39</v>
      </c>
      <c r="Z14" s="45" t="s">
        <v>39</v>
      </c>
      <c r="AA14" s="45" t="s">
        <v>39</v>
      </c>
      <c r="AB14" s="52" t="s">
        <v>39</v>
      </c>
      <c r="AC14" s="52" t="s">
        <v>39</v>
      </c>
      <c r="AD14" s="17" t="s">
        <v>89</v>
      </c>
      <c r="AE14" s="25"/>
    </row>
    <row r="15" s="2" customFormat="1" ht="12" customHeight="1" spans="1:31">
      <c r="A15" s="13">
        <v>13</v>
      </c>
      <c r="B15" s="14" t="s">
        <v>90</v>
      </c>
      <c r="C15" s="15" t="s">
        <v>34</v>
      </c>
      <c r="D15" s="15" t="s">
        <v>78</v>
      </c>
      <c r="E15" s="15" t="s">
        <v>79</v>
      </c>
      <c r="F15" s="13" t="s">
        <v>81</v>
      </c>
      <c r="G15" s="16" t="s">
        <v>38</v>
      </c>
      <c r="H15" s="16" t="s">
        <v>70</v>
      </c>
      <c r="I15" s="43" t="s">
        <v>91</v>
      </c>
      <c r="J15" s="16" t="s">
        <v>92</v>
      </c>
      <c r="K15" s="20" t="s">
        <v>39</v>
      </c>
      <c r="L15" s="21">
        <v>449900</v>
      </c>
      <c r="M15" s="20">
        <v>0.1</v>
      </c>
      <c r="N15" s="20">
        <v>0.03</v>
      </c>
      <c r="O15" s="20" t="s">
        <v>39</v>
      </c>
      <c r="P15" s="20">
        <v>0.05</v>
      </c>
      <c r="Q15" s="20">
        <v>0.02</v>
      </c>
      <c r="R15" s="20" t="s">
        <v>39</v>
      </c>
      <c r="S15" s="20">
        <v>0.03</v>
      </c>
      <c r="T15" s="19" t="s">
        <v>39</v>
      </c>
      <c r="U15" s="20">
        <v>0.04</v>
      </c>
      <c r="V15" s="20" t="s">
        <v>39</v>
      </c>
      <c r="W15" s="44"/>
      <c r="X15" s="45" t="s">
        <v>39</v>
      </c>
      <c r="Y15" s="45" t="s">
        <v>39</v>
      </c>
      <c r="Z15" s="45" t="s">
        <v>39</v>
      </c>
      <c r="AA15" s="45" t="s">
        <v>39</v>
      </c>
      <c r="AB15" s="52" t="s">
        <v>39</v>
      </c>
      <c r="AC15" s="52" t="s">
        <v>39</v>
      </c>
      <c r="AD15" s="48" t="s">
        <v>84</v>
      </c>
      <c r="AE15" s="25"/>
    </row>
    <row r="16" s="2" customFormat="1" ht="12" customHeight="1" spans="1:31">
      <c r="A16" s="13">
        <v>14</v>
      </c>
      <c r="B16" s="14" t="s">
        <v>93</v>
      </c>
      <c r="C16" s="15" t="s">
        <v>34</v>
      </c>
      <c r="D16" s="15" t="s">
        <v>78</v>
      </c>
      <c r="E16" s="15" t="s">
        <v>79</v>
      </c>
      <c r="F16" s="13" t="s">
        <v>81</v>
      </c>
      <c r="G16" s="16" t="s">
        <v>38</v>
      </c>
      <c r="H16" s="16" t="s">
        <v>74</v>
      </c>
      <c r="I16" s="43" t="s">
        <v>94</v>
      </c>
      <c r="J16" s="16" t="s">
        <v>95</v>
      </c>
      <c r="K16" s="20" t="s">
        <v>39</v>
      </c>
      <c r="L16" s="21">
        <v>486500</v>
      </c>
      <c r="M16" s="20">
        <v>0.1</v>
      </c>
      <c r="N16" s="20">
        <v>0.03</v>
      </c>
      <c r="O16" s="20" t="s">
        <v>39</v>
      </c>
      <c r="P16" s="20">
        <v>0.05</v>
      </c>
      <c r="Q16" s="20">
        <v>0.02</v>
      </c>
      <c r="R16" s="20" t="s">
        <v>39</v>
      </c>
      <c r="S16" s="20">
        <v>0.03</v>
      </c>
      <c r="T16" s="19" t="s">
        <v>39</v>
      </c>
      <c r="U16" s="20">
        <v>0.04</v>
      </c>
      <c r="V16" s="20" t="s">
        <v>39</v>
      </c>
      <c r="W16" s="44"/>
      <c r="X16" s="45" t="s">
        <v>39</v>
      </c>
      <c r="Y16" s="45" t="s">
        <v>39</v>
      </c>
      <c r="Z16" s="45" t="s">
        <v>39</v>
      </c>
      <c r="AA16" s="45" t="s">
        <v>39</v>
      </c>
      <c r="AB16" s="52" t="s">
        <v>39</v>
      </c>
      <c r="AC16" s="52" t="s">
        <v>39</v>
      </c>
      <c r="AD16" s="48" t="s">
        <v>84</v>
      </c>
      <c r="AE16" s="25"/>
    </row>
    <row r="17" s="2" customFormat="1" ht="12" customHeight="1" spans="1:31">
      <c r="A17" s="13">
        <v>15</v>
      </c>
      <c r="B17" s="14" t="s">
        <v>97</v>
      </c>
      <c r="C17" s="15" t="s">
        <v>34</v>
      </c>
      <c r="D17" s="15" t="s">
        <v>78</v>
      </c>
      <c r="E17" s="15" t="s">
        <v>79</v>
      </c>
      <c r="F17" s="13" t="s">
        <v>81</v>
      </c>
      <c r="G17" s="16" t="s">
        <v>38</v>
      </c>
      <c r="H17" s="16" t="s">
        <v>60</v>
      </c>
      <c r="I17" s="43" t="s">
        <v>98</v>
      </c>
      <c r="J17" s="16" t="s">
        <v>99</v>
      </c>
      <c r="K17" s="20" t="s">
        <v>39</v>
      </c>
      <c r="L17" s="21">
        <v>628600</v>
      </c>
      <c r="M17" s="20">
        <v>0.1</v>
      </c>
      <c r="N17" s="20">
        <v>0.03</v>
      </c>
      <c r="O17" s="20" t="s">
        <v>39</v>
      </c>
      <c r="P17" s="20">
        <v>0.05</v>
      </c>
      <c r="Q17" s="20">
        <v>0.02</v>
      </c>
      <c r="R17" s="20" t="s">
        <v>39</v>
      </c>
      <c r="S17" s="20">
        <v>0.03</v>
      </c>
      <c r="T17" s="19" t="s">
        <v>39</v>
      </c>
      <c r="U17" s="19" t="s">
        <v>39</v>
      </c>
      <c r="V17" s="20" t="s">
        <v>39</v>
      </c>
      <c r="W17" s="44"/>
      <c r="X17" s="45" t="s">
        <v>39</v>
      </c>
      <c r="Y17" s="45" t="s">
        <v>39</v>
      </c>
      <c r="Z17" s="45" t="s">
        <v>39</v>
      </c>
      <c r="AA17" s="45" t="s">
        <v>39</v>
      </c>
      <c r="AB17" s="52" t="s">
        <v>39</v>
      </c>
      <c r="AC17" s="52" t="s">
        <v>39</v>
      </c>
      <c r="AD17" s="48" t="s">
        <v>100</v>
      </c>
      <c r="AE17" s="25"/>
    </row>
    <row r="18" s="2" customFormat="1" ht="12" customHeight="1" spans="1:31">
      <c r="A18" s="13">
        <v>16</v>
      </c>
      <c r="B18" s="14" t="s">
        <v>105</v>
      </c>
      <c r="C18" s="15" t="s">
        <v>34</v>
      </c>
      <c r="D18" s="15" t="s">
        <v>101</v>
      </c>
      <c r="E18" s="15" t="s">
        <v>102</v>
      </c>
      <c r="F18" s="13" t="s">
        <v>47</v>
      </c>
      <c r="G18" s="16" t="s">
        <v>103</v>
      </c>
      <c r="H18" s="18" t="s">
        <v>39</v>
      </c>
      <c r="I18" s="18" t="s">
        <v>39</v>
      </c>
      <c r="J18" s="18" t="s">
        <v>39</v>
      </c>
      <c r="K18" s="19" t="s">
        <v>39</v>
      </c>
      <c r="L18" s="21" t="s">
        <v>39</v>
      </c>
      <c r="M18" s="20" t="s">
        <v>39</v>
      </c>
      <c r="N18" s="47"/>
      <c r="O18" s="47"/>
      <c r="P18" s="47"/>
      <c r="Q18" s="19" t="s">
        <v>39</v>
      </c>
      <c r="R18" s="19" t="s">
        <v>39</v>
      </c>
      <c r="S18" s="19" t="s">
        <v>39</v>
      </c>
      <c r="T18" s="47"/>
      <c r="U18" s="47"/>
      <c r="V18" s="47"/>
      <c r="W18" s="47"/>
      <c r="X18" s="19" t="s">
        <v>39</v>
      </c>
      <c r="Y18" s="55" t="s">
        <v>39</v>
      </c>
      <c r="Z18" s="55" t="s">
        <v>39</v>
      </c>
      <c r="AA18" s="44">
        <v>350000</v>
      </c>
      <c r="AB18" s="54">
        <v>0.02</v>
      </c>
      <c r="AC18" s="56" t="s">
        <v>39</v>
      </c>
      <c r="AD18" s="48" t="s">
        <v>104</v>
      </c>
      <c r="AE18" s="25"/>
    </row>
    <row r="19" s="2" customFormat="1" ht="48" customHeight="1" spans="1:31">
      <c r="A19" s="13">
        <v>17</v>
      </c>
      <c r="B19" s="14" t="s">
        <v>110</v>
      </c>
      <c r="C19" s="15" t="s">
        <v>34</v>
      </c>
      <c r="D19" s="15" t="s">
        <v>101</v>
      </c>
      <c r="E19" s="15" t="s">
        <v>102</v>
      </c>
      <c r="F19" s="13" t="s">
        <v>47</v>
      </c>
      <c r="G19" s="16" t="s">
        <v>103</v>
      </c>
      <c r="H19" s="18" t="s">
        <v>39</v>
      </c>
      <c r="I19" s="43" t="s">
        <v>106</v>
      </c>
      <c r="J19" s="18" t="s">
        <v>107</v>
      </c>
      <c r="K19" s="20" t="s">
        <v>39</v>
      </c>
      <c r="L19" s="21">
        <v>460000</v>
      </c>
      <c r="M19" s="22">
        <v>0.08</v>
      </c>
      <c r="N19" s="20" t="s">
        <v>39</v>
      </c>
      <c r="O19" s="19" t="s">
        <v>39</v>
      </c>
      <c r="P19" s="22">
        <v>0.065</v>
      </c>
      <c r="Q19" s="22">
        <v>0.02</v>
      </c>
      <c r="R19" s="22">
        <v>0.035</v>
      </c>
      <c r="S19" s="20" t="s">
        <v>39</v>
      </c>
      <c r="T19" s="20">
        <v>0.03</v>
      </c>
      <c r="U19" s="20">
        <v>0.06</v>
      </c>
      <c r="V19" s="24" t="s">
        <v>39</v>
      </c>
      <c r="W19" s="47"/>
      <c r="X19" s="24" t="s">
        <v>39</v>
      </c>
      <c r="Y19" s="24" t="s">
        <v>39</v>
      </c>
      <c r="Z19" s="24" t="s">
        <v>39</v>
      </c>
      <c r="AA19" s="19" t="s">
        <v>39</v>
      </c>
      <c r="AB19" s="22" t="s">
        <v>39</v>
      </c>
      <c r="AC19" s="20" t="s">
        <v>39</v>
      </c>
      <c r="AD19" s="57" t="s">
        <v>108</v>
      </c>
      <c r="AE19" s="25" t="s">
        <v>109</v>
      </c>
    </row>
    <row r="20" s="2" customFormat="1" ht="48" customHeight="1" spans="1:31">
      <c r="A20" s="13">
        <v>18</v>
      </c>
      <c r="B20" s="14" t="s">
        <v>113</v>
      </c>
      <c r="C20" s="15" t="s">
        <v>34</v>
      </c>
      <c r="D20" s="15" t="s">
        <v>101</v>
      </c>
      <c r="E20" s="15" t="s">
        <v>102</v>
      </c>
      <c r="F20" s="13" t="s">
        <v>47</v>
      </c>
      <c r="G20" s="16" t="s">
        <v>103</v>
      </c>
      <c r="H20" s="18" t="s">
        <v>39</v>
      </c>
      <c r="I20" s="43" t="s">
        <v>111</v>
      </c>
      <c r="J20" s="18" t="s">
        <v>112</v>
      </c>
      <c r="K20" s="20" t="s">
        <v>39</v>
      </c>
      <c r="L20" s="21">
        <v>384000</v>
      </c>
      <c r="M20" s="22">
        <v>0.08</v>
      </c>
      <c r="N20" s="20" t="s">
        <v>39</v>
      </c>
      <c r="O20" s="19" t="s">
        <v>39</v>
      </c>
      <c r="P20" s="22">
        <v>0.065</v>
      </c>
      <c r="Q20" s="22">
        <v>0.02</v>
      </c>
      <c r="R20" s="22">
        <v>0.035</v>
      </c>
      <c r="S20" s="20" t="s">
        <v>39</v>
      </c>
      <c r="T20" s="20">
        <v>0.03</v>
      </c>
      <c r="U20" s="20">
        <v>0.06</v>
      </c>
      <c r="V20" s="24" t="s">
        <v>39</v>
      </c>
      <c r="W20" s="47"/>
      <c r="X20" s="24" t="s">
        <v>39</v>
      </c>
      <c r="Y20" s="24" t="s">
        <v>39</v>
      </c>
      <c r="Z20" s="24" t="s">
        <v>39</v>
      </c>
      <c r="AA20" s="19" t="s">
        <v>39</v>
      </c>
      <c r="AB20" s="22" t="s">
        <v>39</v>
      </c>
      <c r="AC20" s="20" t="s">
        <v>39</v>
      </c>
      <c r="AD20" s="57" t="s">
        <v>108</v>
      </c>
      <c r="AE20" s="25" t="s">
        <v>109</v>
      </c>
    </row>
    <row r="21" s="2" customFormat="1" ht="48" customHeight="1" spans="1:31">
      <c r="A21" s="13">
        <v>19</v>
      </c>
      <c r="B21" s="14" t="s">
        <v>116</v>
      </c>
      <c r="C21" s="15" t="s">
        <v>34</v>
      </c>
      <c r="D21" s="15" t="s">
        <v>101</v>
      </c>
      <c r="E21" s="15" t="s">
        <v>102</v>
      </c>
      <c r="F21" s="13" t="s">
        <v>47</v>
      </c>
      <c r="G21" s="16" t="s">
        <v>103</v>
      </c>
      <c r="H21" s="18" t="s">
        <v>39</v>
      </c>
      <c r="I21" s="43" t="s">
        <v>114</v>
      </c>
      <c r="J21" s="18" t="s">
        <v>115</v>
      </c>
      <c r="K21" s="20" t="s">
        <v>39</v>
      </c>
      <c r="L21" s="21">
        <v>930000</v>
      </c>
      <c r="M21" s="22">
        <v>0.08</v>
      </c>
      <c r="N21" s="20" t="s">
        <v>39</v>
      </c>
      <c r="O21" s="19" t="s">
        <v>39</v>
      </c>
      <c r="P21" s="22">
        <v>0.065</v>
      </c>
      <c r="Q21" s="22">
        <v>0.02</v>
      </c>
      <c r="R21" s="22">
        <v>0.035</v>
      </c>
      <c r="S21" s="20" t="s">
        <v>39</v>
      </c>
      <c r="T21" s="20">
        <v>0.03</v>
      </c>
      <c r="U21" s="20">
        <v>0.06</v>
      </c>
      <c r="V21" s="24" t="s">
        <v>39</v>
      </c>
      <c r="W21" s="47"/>
      <c r="X21" s="24" t="s">
        <v>39</v>
      </c>
      <c r="Y21" s="24" t="s">
        <v>39</v>
      </c>
      <c r="Z21" s="24" t="s">
        <v>39</v>
      </c>
      <c r="AA21" s="19" t="s">
        <v>39</v>
      </c>
      <c r="AB21" s="22" t="s">
        <v>39</v>
      </c>
      <c r="AC21" s="20" t="s">
        <v>39</v>
      </c>
      <c r="AD21" s="57" t="s">
        <v>108</v>
      </c>
      <c r="AE21" s="25" t="s">
        <v>109</v>
      </c>
    </row>
    <row r="22" s="2" customFormat="1" ht="48" customHeight="1" spans="1:31">
      <c r="A22" s="13">
        <v>20</v>
      </c>
      <c r="B22" s="14" t="s">
        <v>119</v>
      </c>
      <c r="C22" s="15" t="s">
        <v>34</v>
      </c>
      <c r="D22" s="15" t="s">
        <v>101</v>
      </c>
      <c r="E22" s="15" t="s">
        <v>102</v>
      </c>
      <c r="F22" s="13" t="s">
        <v>47</v>
      </c>
      <c r="G22" s="16" t="s">
        <v>103</v>
      </c>
      <c r="H22" s="18" t="s">
        <v>39</v>
      </c>
      <c r="I22" s="43" t="s">
        <v>117</v>
      </c>
      <c r="J22" s="18" t="s">
        <v>118</v>
      </c>
      <c r="K22" s="20" t="s">
        <v>39</v>
      </c>
      <c r="L22" s="21">
        <v>1280000</v>
      </c>
      <c r="M22" s="22">
        <v>0.06</v>
      </c>
      <c r="N22" s="20" t="s">
        <v>39</v>
      </c>
      <c r="O22" s="19" t="s">
        <v>39</v>
      </c>
      <c r="P22" s="22">
        <v>0.055</v>
      </c>
      <c r="Q22" s="22">
        <v>0.02</v>
      </c>
      <c r="R22" s="22">
        <v>0.025</v>
      </c>
      <c r="S22" s="20" t="s">
        <v>39</v>
      </c>
      <c r="T22" s="20">
        <v>0.03</v>
      </c>
      <c r="U22" s="20">
        <v>0.06</v>
      </c>
      <c r="V22" s="24" t="s">
        <v>39</v>
      </c>
      <c r="W22" s="47"/>
      <c r="X22" s="24" t="s">
        <v>39</v>
      </c>
      <c r="Y22" s="24" t="s">
        <v>39</v>
      </c>
      <c r="Z22" s="24" t="s">
        <v>39</v>
      </c>
      <c r="AA22" s="19" t="s">
        <v>39</v>
      </c>
      <c r="AB22" s="22" t="s">
        <v>39</v>
      </c>
      <c r="AC22" s="20" t="s">
        <v>39</v>
      </c>
      <c r="AD22" s="57" t="s">
        <v>108</v>
      </c>
      <c r="AE22" s="25" t="s">
        <v>109</v>
      </c>
    </row>
    <row r="23" s="2" customFormat="1" ht="48" customHeight="1" spans="1:31">
      <c r="A23" s="13">
        <v>21</v>
      </c>
      <c r="B23" s="14" t="s">
        <v>122</v>
      </c>
      <c r="C23" s="15" t="s">
        <v>34</v>
      </c>
      <c r="D23" s="15" t="s">
        <v>101</v>
      </c>
      <c r="E23" s="15" t="s">
        <v>102</v>
      </c>
      <c r="F23" s="13" t="s">
        <v>47</v>
      </c>
      <c r="G23" s="16" t="s">
        <v>103</v>
      </c>
      <c r="H23" s="18" t="s">
        <v>39</v>
      </c>
      <c r="I23" s="43" t="s">
        <v>120</v>
      </c>
      <c r="J23" s="18" t="s">
        <v>121</v>
      </c>
      <c r="K23" s="20" t="s">
        <v>39</v>
      </c>
      <c r="L23" s="21">
        <v>264000</v>
      </c>
      <c r="M23" s="22">
        <v>0.08</v>
      </c>
      <c r="N23" s="20" t="s">
        <v>39</v>
      </c>
      <c r="O23" s="19" t="s">
        <v>39</v>
      </c>
      <c r="P23" s="22">
        <v>0.065</v>
      </c>
      <c r="Q23" s="22">
        <v>0.02</v>
      </c>
      <c r="R23" s="22">
        <v>0.035</v>
      </c>
      <c r="S23" s="20" t="s">
        <v>39</v>
      </c>
      <c r="T23" s="20">
        <v>0.03</v>
      </c>
      <c r="U23" s="20">
        <v>0.06</v>
      </c>
      <c r="V23" s="24" t="s">
        <v>39</v>
      </c>
      <c r="W23" s="47"/>
      <c r="X23" s="24" t="s">
        <v>39</v>
      </c>
      <c r="Y23" s="24" t="s">
        <v>39</v>
      </c>
      <c r="Z23" s="24" t="s">
        <v>39</v>
      </c>
      <c r="AA23" s="19" t="s">
        <v>39</v>
      </c>
      <c r="AB23" s="22" t="s">
        <v>39</v>
      </c>
      <c r="AC23" s="20" t="s">
        <v>39</v>
      </c>
      <c r="AD23" s="57" t="s">
        <v>108</v>
      </c>
      <c r="AE23" s="25" t="s">
        <v>109</v>
      </c>
    </row>
    <row r="24" s="2" customFormat="1" ht="48" customHeight="1" spans="1:31">
      <c r="A24" s="13">
        <v>22</v>
      </c>
      <c r="B24" s="14" t="s">
        <v>124</v>
      </c>
      <c r="C24" s="15" t="s">
        <v>34</v>
      </c>
      <c r="D24" s="15" t="s">
        <v>101</v>
      </c>
      <c r="E24" s="15" t="s">
        <v>102</v>
      </c>
      <c r="F24" s="13" t="s">
        <v>47</v>
      </c>
      <c r="G24" s="16" t="s">
        <v>103</v>
      </c>
      <c r="H24" s="18" t="s">
        <v>39</v>
      </c>
      <c r="I24" s="43" t="s">
        <v>123</v>
      </c>
      <c r="J24" s="18" t="s">
        <v>121</v>
      </c>
      <c r="K24" s="20" t="s">
        <v>39</v>
      </c>
      <c r="L24" s="21">
        <v>290000</v>
      </c>
      <c r="M24" s="22">
        <v>0.08</v>
      </c>
      <c r="N24" s="20" t="s">
        <v>39</v>
      </c>
      <c r="O24" s="19" t="s">
        <v>39</v>
      </c>
      <c r="P24" s="22">
        <v>0.065</v>
      </c>
      <c r="Q24" s="22">
        <v>0.02</v>
      </c>
      <c r="R24" s="22">
        <v>0.035</v>
      </c>
      <c r="S24" s="20" t="s">
        <v>39</v>
      </c>
      <c r="T24" s="20">
        <v>0.03</v>
      </c>
      <c r="U24" s="20">
        <v>0.06</v>
      </c>
      <c r="V24" s="24" t="s">
        <v>39</v>
      </c>
      <c r="W24" s="47"/>
      <c r="X24" s="24" t="s">
        <v>39</v>
      </c>
      <c r="Y24" s="24" t="s">
        <v>39</v>
      </c>
      <c r="Z24" s="24" t="s">
        <v>39</v>
      </c>
      <c r="AA24" s="19" t="s">
        <v>39</v>
      </c>
      <c r="AB24" s="22" t="s">
        <v>39</v>
      </c>
      <c r="AC24" s="20" t="s">
        <v>39</v>
      </c>
      <c r="AD24" s="57" t="s">
        <v>108</v>
      </c>
      <c r="AE24" s="25" t="s">
        <v>109</v>
      </c>
    </row>
    <row r="25" s="2" customFormat="1" ht="48" customHeight="1" spans="1:31">
      <c r="A25" s="13">
        <v>23</v>
      </c>
      <c r="B25" s="14" t="s">
        <v>126</v>
      </c>
      <c r="C25" s="15" t="s">
        <v>34</v>
      </c>
      <c r="D25" s="15" t="s">
        <v>101</v>
      </c>
      <c r="E25" s="15" t="s">
        <v>102</v>
      </c>
      <c r="F25" s="13" t="s">
        <v>47</v>
      </c>
      <c r="G25" s="16" t="s">
        <v>103</v>
      </c>
      <c r="H25" s="18" t="s">
        <v>39</v>
      </c>
      <c r="I25" s="43" t="s">
        <v>125</v>
      </c>
      <c r="J25" s="18" t="s">
        <v>107</v>
      </c>
      <c r="K25" s="20" t="s">
        <v>39</v>
      </c>
      <c r="L25" s="21">
        <v>222000</v>
      </c>
      <c r="M25" s="20" t="s">
        <v>39</v>
      </c>
      <c r="N25" s="20" t="s">
        <v>39</v>
      </c>
      <c r="O25" s="19" t="s">
        <v>39</v>
      </c>
      <c r="P25" s="20" t="s">
        <v>39</v>
      </c>
      <c r="Q25" s="20" t="s">
        <v>39</v>
      </c>
      <c r="R25" s="20" t="s">
        <v>39</v>
      </c>
      <c r="S25" s="20" t="s">
        <v>39</v>
      </c>
      <c r="T25" s="20" t="s">
        <v>39</v>
      </c>
      <c r="U25" s="26"/>
      <c r="V25" s="24" t="s">
        <v>39</v>
      </c>
      <c r="W25" s="47"/>
      <c r="X25" s="24" t="s">
        <v>39</v>
      </c>
      <c r="Y25" s="24" t="s">
        <v>39</v>
      </c>
      <c r="Z25" s="24" t="s">
        <v>39</v>
      </c>
      <c r="AA25" s="19" t="s">
        <v>39</v>
      </c>
      <c r="AB25" s="22" t="s">
        <v>39</v>
      </c>
      <c r="AC25" s="20" t="s">
        <v>39</v>
      </c>
      <c r="AD25" s="57" t="s">
        <v>108</v>
      </c>
      <c r="AE25" s="25" t="s">
        <v>109</v>
      </c>
    </row>
    <row r="26" s="2" customFormat="1" ht="48" customHeight="1" spans="1:31">
      <c r="A26" s="13">
        <v>24</v>
      </c>
      <c r="B26" s="14" t="s">
        <v>129</v>
      </c>
      <c r="C26" s="15" t="s">
        <v>34</v>
      </c>
      <c r="D26" s="15" t="s">
        <v>101</v>
      </c>
      <c r="E26" s="15" t="s">
        <v>102</v>
      </c>
      <c r="F26" s="13" t="s">
        <v>47</v>
      </c>
      <c r="G26" s="16" t="s">
        <v>103</v>
      </c>
      <c r="H26" s="18" t="s">
        <v>39</v>
      </c>
      <c r="I26" s="43" t="s">
        <v>127</v>
      </c>
      <c r="J26" s="18" t="s">
        <v>128</v>
      </c>
      <c r="K26" s="20" t="s">
        <v>39</v>
      </c>
      <c r="L26" s="21">
        <v>234000</v>
      </c>
      <c r="M26" s="20" t="s">
        <v>39</v>
      </c>
      <c r="N26" s="20" t="s">
        <v>39</v>
      </c>
      <c r="O26" s="19" t="s">
        <v>39</v>
      </c>
      <c r="P26" s="20" t="s">
        <v>39</v>
      </c>
      <c r="Q26" s="20" t="s">
        <v>39</v>
      </c>
      <c r="R26" s="20" t="s">
        <v>39</v>
      </c>
      <c r="S26" s="20" t="s">
        <v>39</v>
      </c>
      <c r="T26" s="58">
        <v>0.025</v>
      </c>
      <c r="U26" s="58">
        <v>0.055</v>
      </c>
      <c r="V26" s="24" t="s">
        <v>39</v>
      </c>
      <c r="W26" s="47"/>
      <c r="X26" s="24" t="s">
        <v>39</v>
      </c>
      <c r="Y26" s="24" t="s">
        <v>39</v>
      </c>
      <c r="Z26" s="24" t="s">
        <v>39</v>
      </c>
      <c r="AA26" s="19" t="s">
        <v>39</v>
      </c>
      <c r="AB26" s="22" t="s">
        <v>39</v>
      </c>
      <c r="AC26" s="20" t="s">
        <v>39</v>
      </c>
      <c r="AD26" s="57" t="s">
        <v>108</v>
      </c>
      <c r="AE26" s="25" t="s">
        <v>109</v>
      </c>
    </row>
    <row r="27" s="2" customFormat="1" ht="48" customHeight="1" spans="1:31">
      <c r="A27" s="13">
        <v>25</v>
      </c>
      <c r="B27" s="14" t="s">
        <v>131</v>
      </c>
      <c r="C27" s="15" t="s">
        <v>34</v>
      </c>
      <c r="D27" s="15" t="s">
        <v>101</v>
      </c>
      <c r="E27" s="15" t="s">
        <v>102</v>
      </c>
      <c r="F27" s="13" t="s">
        <v>47</v>
      </c>
      <c r="G27" s="16" t="s">
        <v>103</v>
      </c>
      <c r="H27" s="18" t="s">
        <v>39</v>
      </c>
      <c r="I27" s="43" t="s">
        <v>130</v>
      </c>
      <c r="J27" s="18" t="s">
        <v>107</v>
      </c>
      <c r="K27" s="20" t="s">
        <v>39</v>
      </c>
      <c r="L27" s="21">
        <v>514000</v>
      </c>
      <c r="M27" s="22">
        <v>0.08</v>
      </c>
      <c r="N27" s="20" t="s">
        <v>39</v>
      </c>
      <c r="O27" s="19" t="s">
        <v>39</v>
      </c>
      <c r="P27" s="22">
        <v>0.065</v>
      </c>
      <c r="Q27" s="22">
        <v>0.02</v>
      </c>
      <c r="R27" s="22">
        <v>0.035</v>
      </c>
      <c r="S27" s="20" t="s">
        <v>39</v>
      </c>
      <c r="T27" s="22">
        <v>0.03</v>
      </c>
      <c r="U27" s="22">
        <v>0.06</v>
      </c>
      <c r="V27" s="24" t="s">
        <v>39</v>
      </c>
      <c r="W27" s="47"/>
      <c r="X27" s="24" t="s">
        <v>39</v>
      </c>
      <c r="Y27" s="24" t="s">
        <v>39</v>
      </c>
      <c r="Z27" s="24" t="s">
        <v>39</v>
      </c>
      <c r="AA27" s="19" t="s">
        <v>39</v>
      </c>
      <c r="AB27" s="22" t="s">
        <v>39</v>
      </c>
      <c r="AC27" s="20" t="s">
        <v>39</v>
      </c>
      <c r="AD27" s="57" t="s">
        <v>108</v>
      </c>
      <c r="AE27" s="25" t="s">
        <v>109</v>
      </c>
    </row>
    <row r="28" s="2" customFormat="1" ht="48" customHeight="1" spans="1:31">
      <c r="A28" s="13">
        <v>26</v>
      </c>
      <c r="B28" s="14" t="s">
        <v>134</v>
      </c>
      <c r="C28" s="15" t="s">
        <v>34</v>
      </c>
      <c r="D28" s="15" t="s">
        <v>101</v>
      </c>
      <c r="E28" s="15" t="s">
        <v>102</v>
      </c>
      <c r="F28" s="13" t="s">
        <v>47</v>
      </c>
      <c r="G28" s="16" t="s">
        <v>103</v>
      </c>
      <c r="H28" s="18" t="s">
        <v>39</v>
      </c>
      <c r="I28" s="43" t="s">
        <v>132</v>
      </c>
      <c r="J28" s="18" t="s">
        <v>133</v>
      </c>
      <c r="K28" s="20" t="s">
        <v>39</v>
      </c>
      <c r="L28" s="21">
        <v>316000</v>
      </c>
      <c r="M28" s="22">
        <v>0.08</v>
      </c>
      <c r="N28" s="20" t="s">
        <v>39</v>
      </c>
      <c r="O28" s="19" t="s">
        <v>39</v>
      </c>
      <c r="P28" s="22">
        <v>0.065</v>
      </c>
      <c r="Q28" s="22">
        <v>0.02</v>
      </c>
      <c r="R28" s="22">
        <v>0.035</v>
      </c>
      <c r="S28" s="20" t="s">
        <v>39</v>
      </c>
      <c r="T28" s="22">
        <v>0.03</v>
      </c>
      <c r="U28" s="22">
        <v>0.06</v>
      </c>
      <c r="V28" s="24" t="s">
        <v>39</v>
      </c>
      <c r="W28" s="47"/>
      <c r="X28" s="24" t="s">
        <v>39</v>
      </c>
      <c r="Y28" s="24" t="s">
        <v>39</v>
      </c>
      <c r="Z28" s="24" t="s">
        <v>39</v>
      </c>
      <c r="AA28" s="19" t="s">
        <v>39</v>
      </c>
      <c r="AB28" s="22" t="s">
        <v>39</v>
      </c>
      <c r="AC28" s="20" t="s">
        <v>39</v>
      </c>
      <c r="AD28" s="57" t="s">
        <v>108</v>
      </c>
      <c r="AE28" s="25" t="s">
        <v>109</v>
      </c>
    </row>
    <row r="29" s="2" customFormat="1" ht="48" customHeight="1" spans="1:31">
      <c r="A29" s="13">
        <v>27</v>
      </c>
      <c r="B29" s="14" t="s">
        <v>137</v>
      </c>
      <c r="C29" s="15" t="s">
        <v>34</v>
      </c>
      <c r="D29" s="15" t="s">
        <v>101</v>
      </c>
      <c r="E29" s="15" t="s">
        <v>102</v>
      </c>
      <c r="F29" s="13" t="s">
        <v>47</v>
      </c>
      <c r="G29" s="16" t="s">
        <v>103</v>
      </c>
      <c r="H29" s="18" t="s">
        <v>39</v>
      </c>
      <c r="I29" s="43" t="s">
        <v>135</v>
      </c>
      <c r="J29" s="18" t="s">
        <v>136</v>
      </c>
      <c r="K29" s="20" t="s">
        <v>39</v>
      </c>
      <c r="L29" s="21">
        <v>310000</v>
      </c>
      <c r="M29" s="22">
        <v>0.08</v>
      </c>
      <c r="N29" s="20" t="s">
        <v>39</v>
      </c>
      <c r="O29" s="19" t="s">
        <v>39</v>
      </c>
      <c r="P29" s="22">
        <v>0.065</v>
      </c>
      <c r="Q29" s="22">
        <v>0.02</v>
      </c>
      <c r="R29" s="22">
        <v>0.035</v>
      </c>
      <c r="S29" s="20" t="s">
        <v>39</v>
      </c>
      <c r="T29" s="22">
        <v>0.03</v>
      </c>
      <c r="U29" s="22">
        <v>0.06</v>
      </c>
      <c r="V29" s="24" t="s">
        <v>39</v>
      </c>
      <c r="W29" s="47"/>
      <c r="X29" s="24" t="s">
        <v>39</v>
      </c>
      <c r="Y29" s="24" t="s">
        <v>39</v>
      </c>
      <c r="Z29" s="24" t="s">
        <v>39</v>
      </c>
      <c r="AA29" s="19" t="s">
        <v>39</v>
      </c>
      <c r="AB29" s="22" t="s">
        <v>39</v>
      </c>
      <c r="AC29" s="20" t="s">
        <v>39</v>
      </c>
      <c r="AD29" s="57" t="s">
        <v>108</v>
      </c>
      <c r="AE29" s="25" t="s">
        <v>109</v>
      </c>
    </row>
    <row r="30" s="2" customFormat="1" ht="48" customHeight="1" spans="1:31">
      <c r="A30" s="13">
        <v>28</v>
      </c>
      <c r="B30" s="14" t="s">
        <v>140</v>
      </c>
      <c r="C30" s="15" t="s">
        <v>34</v>
      </c>
      <c r="D30" s="15" t="s">
        <v>101</v>
      </c>
      <c r="E30" s="15" t="s">
        <v>102</v>
      </c>
      <c r="F30" s="13" t="s">
        <v>47</v>
      </c>
      <c r="G30" s="16" t="s">
        <v>103</v>
      </c>
      <c r="H30" s="18" t="s">
        <v>39</v>
      </c>
      <c r="I30" s="43" t="s">
        <v>138</v>
      </c>
      <c r="J30" s="18" t="s">
        <v>139</v>
      </c>
      <c r="K30" s="20" t="s">
        <v>39</v>
      </c>
      <c r="L30" s="21">
        <v>530000</v>
      </c>
      <c r="M30" s="22">
        <v>0.08</v>
      </c>
      <c r="N30" s="20" t="s">
        <v>39</v>
      </c>
      <c r="O30" s="19" t="s">
        <v>39</v>
      </c>
      <c r="P30" s="22">
        <v>0.065</v>
      </c>
      <c r="Q30" s="22">
        <v>0.02</v>
      </c>
      <c r="R30" s="22">
        <v>0.035</v>
      </c>
      <c r="S30" s="20" t="s">
        <v>39</v>
      </c>
      <c r="T30" s="22">
        <v>0.03</v>
      </c>
      <c r="U30" s="22">
        <v>0.06</v>
      </c>
      <c r="V30" s="24" t="s">
        <v>39</v>
      </c>
      <c r="W30" s="47"/>
      <c r="X30" s="24" t="s">
        <v>39</v>
      </c>
      <c r="Y30" s="24" t="s">
        <v>39</v>
      </c>
      <c r="Z30" s="24" t="s">
        <v>39</v>
      </c>
      <c r="AA30" s="19" t="s">
        <v>39</v>
      </c>
      <c r="AB30" s="22" t="s">
        <v>39</v>
      </c>
      <c r="AC30" s="20" t="s">
        <v>39</v>
      </c>
      <c r="AD30" s="57" t="s">
        <v>108</v>
      </c>
      <c r="AE30" s="25" t="s">
        <v>109</v>
      </c>
    </row>
    <row r="31" s="2" customFormat="1" ht="48" customHeight="1" spans="1:31">
      <c r="A31" s="13">
        <v>29</v>
      </c>
      <c r="B31" s="14" t="s">
        <v>143</v>
      </c>
      <c r="C31" s="15" t="s">
        <v>34</v>
      </c>
      <c r="D31" s="15" t="s">
        <v>101</v>
      </c>
      <c r="E31" s="15" t="s">
        <v>102</v>
      </c>
      <c r="F31" s="13" t="s">
        <v>47</v>
      </c>
      <c r="G31" s="16" t="s">
        <v>103</v>
      </c>
      <c r="H31" s="18" t="s">
        <v>39</v>
      </c>
      <c r="I31" s="43" t="s">
        <v>141</v>
      </c>
      <c r="J31" s="18" t="s">
        <v>142</v>
      </c>
      <c r="K31" s="20" t="s">
        <v>39</v>
      </c>
      <c r="L31" s="21">
        <v>526000</v>
      </c>
      <c r="M31" s="22">
        <v>0.08</v>
      </c>
      <c r="N31" s="20" t="s">
        <v>39</v>
      </c>
      <c r="O31" s="19" t="s">
        <v>39</v>
      </c>
      <c r="P31" s="22">
        <v>0.065</v>
      </c>
      <c r="Q31" s="22">
        <v>0.02</v>
      </c>
      <c r="R31" s="22">
        <v>0.035</v>
      </c>
      <c r="S31" s="20" t="s">
        <v>39</v>
      </c>
      <c r="T31" s="22">
        <v>0.03</v>
      </c>
      <c r="U31" s="22">
        <v>0.06</v>
      </c>
      <c r="V31" s="24" t="s">
        <v>39</v>
      </c>
      <c r="W31" s="47"/>
      <c r="X31" s="24" t="s">
        <v>39</v>
      </c>
      <c r="Y31" s="24" t="s">
        <v>39</v>
      </c>
      <c r="Z31" s="24" t="s">
        <v>39</v>
      </c>
      <c r="AA31" s="19" t="s">
        <v>39</v>
      </c>
      <c r="AB31" s="22" t="s">
        <v>39</v>
      </c>
      <c r="AC31" s="20" t="s">
        <v>39</v>
      </c>
      <c r="AD31" s="57" t="s">
        <v>108</v>
      </c>
      <c r="AE31" s="25" t="s">
        <v>109</v>
      </c>
    </row>
    <row r="32" s="2" customFormat="1" ht="48" customHeight="1" spans="1:31">
      <c r="A32" s="13">
        <v>30</v>
      </c>
      <c r="B32" s="14" t="s">
        <v>146</v>
      </c>
      <c r="C32" s="15" t="s">
        <v>34</v>
      </c>
      <c r="D32" s="15" t="s">
        <v>101</v>
      </c>
      <c r="E32" s="15" t="s">
        <v>102</v>
      </c>
      <c r="F32" s="13" t="s">
        <v>47</v>
      </c>
      <c r="G32" s="16" t="s">
        <v>103</v>
      </c>
      <c r="H32" s="18" t="s">
        <v>39</v>
      </c>
      <c r="I32" s="43" t="s">
        <v>144</v>
      </c>
      <c r="J32" s="18" t="s">
        <v>145</v>
      </c>
      <c r="K32" s="20" t="s">
        <v>39</v>
      </c>
      <c r="L32" s="21">
        <v>530000</v>
      </c>
      <c r="M32" s="22">
        <v>0.08</v>
      </c>
      <c r="N32" s="20" t="s">
        <v>39</v>
      </c>
      <c r="O32" s="19" t="s">
        <v>39</v>
      </c>
      <c r="P32" s="22">
        <v>0.065</v>
      </c>
      <c r="Q32" s="22">
        <v>0.02</v>
      </c>
      <c r="R32" s="22">
        <v>0.035</v>
      </c>
      <c r="S32" s="20" t="s">
        <v>39</v>
      </c>
      <c r="T32" s="22">
        <v>0.03</v>
      </c>
      <c r="U32" s="22">
        <v>0.06</v>
      </c>
      <c r="V32" s="24" t="s">
        <v>39</v>
      </c>
      <c r="W32" s="47"/>
      <c r="X32" s="24" t="s">
        <v>39</v>
      </c>
      <c r="Y32" s="24" t="s">
        <v>39</v>
      </c>
      <c r="Z32" s="24" t="s">
        <v>39</v>
      </c>
      <c r="AA32" s="19" t="s">
        <v>39</v>
      </c>
      <c r="AB32" s="22" t="s">
        <v>39</v>
      </c>
      <c r="AC32" s="20" t="s">
        <v>39</v>
      </c>
      <c r="AD32" s="57" t="s">
        <v>108</v>
      </c>
      <c r="AE32" s="25" t="s">
        <v>109</v>
      </c>
    </row>
    <row r="33" s="2" customFormat="1" ht="48" customHeight="1" spans="1:31">
      <c r="A33" s="13">
        <v>31</v>
      </c>
      <c r="B33" s="14" t="s">
        <v>149</v>
      </c>
      <c r="C33" s="15" t="s">
        <v>34</v>
      </c>
      <c r="D33" s="15" t="s">
        <v>101</v>
      </c>
      <c r="E33" s="15" t="s">
        <v>102</v>
      </c>
      <c r="F33" s="13" t="s">
        <v>47</v>
      </c>
      <c r="G33" s="16" t="s">
        <v>103</v>
      </c>
      <c r="H33" s="18" t="s">
        <v>39</v>
      </c>
      <c r="I33" s="43" t="s">
        <v>147</v>
      </c>
      <c r="J33" s="18" t="s">
        <v>148</v>
      </c>
      <c r="K33" s="20" t="s">
        <v>39</v>
      </c>
      <c r="L33" s="21">
        <v>360000</v>
      </c>
      <c r="M33" s="22">
        <v>0.08</v>
      </c>
      <c r="N33" s="20" t="s">
        <v>39</v>
      </c>
      <c r="O33" s="19" t="s">
        <v>39</v>
      </c>
      <c r="P33" s="22">
        <v>0.065</v>
      </c>
      <c r="Q33" s="22">
        <v>0.02</v>
      </c>
      <c r="R33" s="22">
        <v>0.035</v>
      </c>
      <c r="S33" s="20" t="s">
        <v>39</v>
      </c>
      <c r="T33" s="22">
        <v>0.03</v>
      </c>
      <c r="U33" s="22">
        <v>0.06</v>
      </c>
      <c r="V33" s="24" t="s">
        <v>39</v>
      </c>
      <c r="W33" s="47"/>
      <c r="X33" s="24" t="s">
        <v>39</v>
      </c>
      <c r="Y33" s="24" t="s">
        <v>39</v>
      </c>
      <c r="Z33" s="24" t="s">
        <v>39</v>
      </c>
      <c r="AA33" s="19" t="s">
        <v>39</v>
      </c>
      <c r="AB33" s="22" t="s">
        <v>39</v>
      </c>
      <c r="AC33" s="20" t="s">
        <v>39</v>
      </c>
      <c r="AD33" s="57" t="s">
        <v>108</v>
      </c>
      <c r="AE33" s="25" t="s">
        <v>109</v>
      </c>
    </row>
    <row r="34" s="2" customFormat="1" ht="48" customHeight="1" spans="1:31">
      <c r="A34" s="13">
        <v>32</v>
      </c>
      <c r="B34" s="14" t="s">
        <v>152</v>
      </c>
      <c r="C34" s="15" t="s">
        <v>34</v>
      </c>
      <c r="D34" s="15" t="s">
        <v>101</v>
      </c>
      <c r="E34" s="15" t="s">
        <v>102</v>
      </c>
      <c r="F34" s="13" t="s">
        <v>47</v>
      </c>
      <c r="G34" s="16" t="s">
        <v>103</v>
      </c>
      <c r="H34" s="18" t="s">
        <v>39</v>
      </c>
      <c r="I34" s="43" t="s">
        <v>150</v>
      </c>
      <c r="J34" s="18" t="s">
        <v>151</v>
      </c>
      <c r="K34" s="20" t="s">
        <v>39</v>
      </c>
      <c r="L34" s="21">
        <v>366000</v>
      </c>
      <c r="M34" s="22">
        <v>0.08</v>
      </c>
      <c r="N34" s="20" t="s">
        <v>39</v>
      </c>
      <c r="O34" s="19" t="s">
        <v>39</v>
      </c>
      <c r="P34" s="22">
        <v>0.065</v>
      </c>
      <c r="Q34" s="22">
        <v>0.02</v>
      </c>
      <c r="R34" s="22">
        <v>0.035</v>
      </c>
      <c r="S34" s="20" t="s">
        <v>39</v>
      </c>
      <c r="T34" s="22">
        <v>0.03</v>
      </c>
      <c r="U34" s="22">
        <v>0.06</v>
      </c>
      <c r="V34" s="24" t="s">
        <v>39</v>
      </c>
      <c r="W34" s="47"/>
      <c r="X34" s="24" t="s">
        <v>39</v>
      </c>
      <c r="Y34" s="24" t="s">
        <v>39</v>
      </c>
      <c r="Z34" s="24" t="s">
        <v>39</v>
      </c>
      <c r="AA34" s="19" t="s">
        <v>39</v>
      </c>
      <c r="AB34" s="22" t="s">
        <v>39</v>
      </c>
      <c r="AC34" s="20" t="s">
        <v>39</v>
      </c>
      <c r="AD34" s="57" t="s">
        <v>108</v>
      </c>
      <c r="AE34" s="25" t="s">
        <v>109</v>
      </c>
    </row>
    <row r="35" s="2" customFormat="1" ht="48" customHeight="1" spans="1:31">
      <c r="A35" s="13">
        <v>33</v>
      </c>
      <c r="B35" s="14" t="s">
        <v>156</v>
      </c>
      <c r="C35" s="15" t="s">
        <v>34</v>
      </c>
      <c r="D35" s="15" t="s">
        <v>101</v>
      </c>
      <c r="E35" s="15" t="s">
        <v>102</v>
      </c>
      <c r="F35" s="13" t="s">
        <v>47</v>
      </c>
      <c r="G35" s="16" t="s">
        <v>103</v>
      </c>
      <c r="H35" s="18" t="s">
        <v>39</v>
      </c>
      <c r="I35" s="43" t="s">
        <v>153</v>
      </c>
      <c r="J35" s="18" t="s">
        <v>154</v>
      </c>
      <c r="K35" s="20" t="s">
        <v>39</v>
      </c>
      <c r="L35" s="21">
        <v>284000</v>
      </c>
      <c r="M35" s="22">
        <v>0.06</v>
      </c>
      <c r="N35" s="22" t="s">
        <v>39</v>
      </c>
      <c r="O35" s="59" t="s">
        <v>39</v>
      </c>
      <c r="P35" s="22">
        <v>0.065</v>
      </c>
      <c r="Q35" s="22">
        <v>0.02</v>
      </c>
      <c r="R35" s="22">
        <v>0.025</v>
      </c>
      <c r="S35" s="22" t="s">
        <v>39</v>
      </c>
      <c r="T35" s="22">
        <v>0.03</v>
      </c>
      <c r="U35" s="22">
        <v>0.06</v>
      </c>
      <c r="V35" s="24" t="s">
        <v>39</v>
      </c>
      <c r="W35" s="47"/>
      <c r="X35" s="24" t="s">
        <v>39</v>
      </c>
      <c r="Y35" s="24" t="s">
        <v>39</v>
      </c>
      <c r="Z35" s="24" t="s">
        <v>39</v>
      </c>
      <c r="AA35" s="55" t="s">
        <v>39</v>
      </c>
      <c r="AB35" s="22" t="s">
        <v>39</v>
      </c>
      <c r="AC35" s="20" t="s">
        <v>39</v>
      </c>
      <c r="AD35" s="57" t="s">
        <v>108</v>
      </c>
      <c r="AE35" s="53" t="s">
        <v>155</v>
      </c>
    </row>
    <row r="36" s="2" customFormat="1" ht="12" customHeight="1" spans="1:31">
      <c r="A36" s="13">
        <v>34</v>
      </c>
      <c r="B36" s="14" t="s">
        <v>159</v>
      </c>
      <c r="C36" s="15" t="s">
        <v>34</v>
      </c>
      <c r="D36" s="15" t="s">
        <v>157</v>
      </c>
      <c r="E36" s="15" t="s">
        <v>158</v>
      </c>
      <c r="F36" s="13" t="s">
        <v>37</v>
      </c>
      <c r="G36" s="16" t="s">
        <v>103</v>
      </c>
      <c r="H36" s="16" t="s">
        <v>39</v>
      </c>
      <c r="I36" s="43" t="s">
        <v>39</v>
      </c>
      <c r="J36" s="18" t="s">
        <v>39</v>
      </c>
      <c r="K36" s="20" t="s">
        <v>39</v>
      </c>
      <c r="L36" s="21">
        <v>20350000</v>
      </c>
      <c r="M36" s="58" t="s">
        <v>39</v>
      </c>
      <c r="N36" s="20" t="s">
        <v>39</v>
      </c>
      <c r="O36" s="23">
        <v>0.02</v>
      </c>
      <c r="P36" s="20" t="s">
        <v>39</v>
      </c>
      <c r="Q36" s="20" t="s">
        <v>39</v>
      </c>
      <c r="R36" s="20" t="s">
        <v>39</v>
      </c>
      <c r="S36" s="20" t="s">
        <v>39</v>
      </c>
      <c r="T36" s="20" t="s">
        <v>39</v>
      </c>
      <c r="U36" s="20" t="s">
        <v>39</v>
      </c>
      <c r="V36" s="20" t="s">
        <v>39</v>
      </c>
      <c r="W36" s="47"/>
      <c r="X36" s="24" t="s">
        <v>39</v>
      </c>
      <c r="Y36" s="24" t="s">
        <v>39</v>
      </c>
      <c r="Z36" s="24" t="s">
        <v>39</v>
      </c>
      <c r="AA36" s="24" t="s">
        <v>39</v>
      </c>
      <c r="AB36" s="46">
        <v>0.05</v>
      </c>
      <c r="AC36" s="46" t="s">
        <v>39</v>
      </c>
      <c r="AD36" s="60"/>
      <c r="AE36" s="25"/>
    </row>
    <row r="37" s="2" customFormat="1" ht="12" customHeight="1" spans="1:31">
      <c r="A37" s="13">
        <v>35</v>
      </c>
      <c r="B37" s="14" t="s">
        <v>162</v>
      </c>
      <c r="C37" s="15" t="s">
        <v>34</v>
      </c>
      <c r="D37" s="15" t="s">
        <v>160</v>
      </c>
      <c r="E37" s="15" t="s">
        <v>161</v>
      </c>
      <c r="F37" s="13" t="s">
        <v>37</v>
      </c>
      <c r="G37" s="16" t="s">
        <v>103</v>
      </c>
      <c r="H37" s="16" t="s">
        <v>39</v>
      </c>
      <c r="I37" s="43" t="s">
        <v>39</v>
      </c>
      <c r="J37" s="18" t="s">
        <v>39</v>
      </c>
      <c r="K37" s="20" t="s">
        <v>39</v>
      </c>
      <c r="L37" s="21">
        <v>25000000</v>
      </c>
      <c r="M37" s="58" t="s">
        <v>39</v>
      </c>
      <c r="N37" s="20" t="s">
        <v>39</v>
      </c>
      <c r="O37" s="23">
        <v>0.02</v>
      </c>
      <c r="P37" s="20" t="s">
        <v>39</v>
      </c>
      <c r="Q37" s="20" t="s">
        <v>39</v>
      </c>
      <c r="R37" s="20" t="s">
        <v>39</v>
      </c>
      <c r="S37" s="20" t="s">
        <v>39</v>
      </c>
      <c r="T37" s="20" t="s">
        <v>39</v>
      </c>
      <c r="U37" s="20" t="s">
        <v>39</v>
      </c>
      <c r="V37" s="20" t="s">
        <v>39</v>
      </c>
      <c r="W37" s="47"/>
      <c r="X37" s="24" t="s">
        <v>39</v>
      </c>
      <c r="Y37" s="24" t="s">
        <v>39</v>
      </c>
      <c r="Z37" s="24" t="s">
        <v>39</v>
      </c>
      <c r="AA37" s="24" t="s">
        <v>39</v>
      </c>
      <c r="AB37" s="46">
        <v>0.05</v>
      </c>
      <c r="AC37" s="46" t="s">
        <v>39</v>
      </c>
      <c r="AD37" s="60"/>
      <c r="AE37" s="25"/>
    </row>
    <row r="38" s="2" customFormat="1" ht="12" customHeight="1" spans="1:31">
      <c r="A38" s="13">
        <v>36</v>
      </c>
      <c r="B38" s="14" t="s">
        <v>165</v>
      </c>
      <c r="C38" s="15" t="s">
        <v>34</v>
      </c>
      <c r="D38" s="15" t="s">
        <v>163</v>
      </c>
      <c r="E38" s="15" t="s">
        <v>164</v>
      </c>
      <c r="F38" s="13" t="s">
        <v>37</v>
      </c>
      <c r="G38" s="16" t="s">
        <v>103</v>
      </c>
      <c r="H38" s="16" t="s">
        <v>39</v>
      </c>
      <c r="I38" s="43" t="s">
        <v>39</v>
      </c>
      <c r="J38" s="18" t="s">
        <v>39</v>
      </c>
      <c r="K38" s="20" t="s">
        <v>39</v>
      </c>
      <c r="L38" s="21">
        <v>9507000</v>
      </c>
      <c r="M38" s="58" t="s">
        <v>39</v>
      </c>
      <c r="N38" s="20" t="s">
        <v>39</v>
      </c>
      <c r="O38" s="23">
        <v>0.02</v>
      </c>
      <c r="P38" s="20" t="s">
        <v>39</v>
      </c>
      <c r="Q38" s="20" t="s">
        <v>39</v>
      </c>
      <c r="R38" s="20" t="s">
        <v>39</v>
      </c>
      <c r="S38" s="20" t="s">
        <v>39</v>
      </c>
      <c r="T38" s="20" t="s">
        <v>39</v>
      </c>
      <c r="U38" s="20" t="s">
        <v>39</v>
      </c>
      <c r="V38" s="20" t="s">
        <v>39</v>
      </c>
      <c r="W38" s="47"/>
      <c r="X38" s="24" t="s">
        <v>39</v>
      </c>
      <c r="Y38" s="24" t="s">
        <v>39</v>
      </c>
      <c r="Z38" s="24" t="s">
        <v>39</v>
      </c>
      <c r="AA38" s="24" t="s">
        <v>39</v>
      </c>
      <c r="AB38" s="46">
        <v>0.05</v>
      </c>
      <c r="AC38" s="46" t="s">
        <v>39</v>
      </c>
      <c r="AD38" s="60"/>
      <c r="AE38" s="25"/>
    </row>
    <row r="39" s="2" customFormat="1" ht="12" customHeight="1" spans="1:31">
      <c r="A39" s="13">
        <v>37</v>
      </c>
      <c r="B39" s="14" t="s">
        <v>168</v>
      </c>
      <c r="C39" s="15" t="s">
        <v>34</v>
      </c>
      <c r="D39" s="15" t="s">
        <v>166</v>
      </c>
      <c r="E39" s="15" t="s">
        <v>167</v>
      </c>
      <c r="F39" s="13" t="s">
        <v>37</v>
      </c>
      <c r="G39" s="16" t="s">
        <v>103</v>
      </c>
      <c r="H39" s="16" t="s">
        <v>39</v>
      </c>
      <c r="I39" s="43" t="s">
        <v>39</v>
      </c>
      <c r="J39" s="18" t="s">
        <v>39</v>
      </c>
      <c r="K39" s="20" t="s">
        <v>39</v>
      </c>
      <c r="L39" s="21" t="s">
        <v>39</v>
      </c>
      <c r="M39" s="58" t="s">
        <v>39</v>
      </c>
      <c r="N39" s="20" t="s">
        <v>39</v>
      </c>
      <c r="O39" s="23">
        <v>0.02</v>
      </c>
      <c r="P39" s="20" t="s">
        <v>39</v>
      </c>
      <c r="Q39" s="20" t="s">
        <v>39</v>
      </c>
      <c r="R39" s="20" t="s">
        <v>39</v>
      </c>
      <c r="S39" s="20" t="s">
        <v>39</v>
      </c>
      <c r="T39" s="20" t="s">
        <v>39</v>
      </c>
      <c r="U39" s="20" t="s">
        <v>39</v>
      </c>
      <c r="V39" s="20" t="s">
        <v>39</v>
      </c>
      <c r="W39" s="47"/>
      <c r="X39" s="24" t="s">
        <v>39</v>
      </c>
      <c r="Y39" s="24" t="s">
        <v>39</v>
      </c>
      <c r="Z39" s="24" t="s">
        <v>39</v>
      </c>
      <c r="AA39" s="24" t="s">
        <v>39</v>
      </c>
      <c r="AB39" s="54" t="s">
        <v>39</v>
      </c>
      <c r="AC39" s="46" t="s">
        <v>39</v>
      </c>
      <c r="AD39" s="60"/>
      <c r="AE39" s="25"/>
    </row>
    <row r="40" s="2" customFormat="1" ht="12" customHeight="1" spans="1:31">
      <c r="A40" s="13">
        <v>38</v>
      </c>
      <c r="B40" s="14" t="s">
        <v>171</v>
      </c>
      <c r="C40" s="15" t="s">
        <v>34</v>
      </c>
      <c r="D40" s="15" t="s">
        <v>169</v>
      </c>
      <c r="E40" s="15" t="s">
        <v>170</v>
      </c>
      <c r="F40" s="13" t="s">
        <v>37</v>
      </c>
      <c r="G40" s="16" t="s">
        <v>103</v>
      </c>
      <c r="H40" s="16" t="s">
        <v>39</v>
      </c>
      <c r="I40" s="43" t="s">
        <v>39</v>
      </c>
      <c r="J40" s="18" t="s">
        <v>39</v>
      </c>
      <c r="K40" s="20" t="s">
        <v>39</v>
      </c>
      <c r="L40" s="21">
        <v>3960000</v>
      </c>
      <c r="M40" s="58" t="s">
        <v>39</v>
      </c>
      <c r="N40" s="20" t="s">
        <v>39</v>
      </c>
      <c r="O40" s="23">
        <v>0.02</v>
      </c>
      <c r="P40" s="20" t="s">
        <v>39</v>
      </c>
      <c r="Q40" s="20" t="s">
        <v>39</v>
      </c>
      <c r="R40" s="20" t="s">
        <v>39</v>
      </c>
      <c r="S40" s="20" t="s">
        <v>39</v>
      </c>
      <c r="T40" s="20" t="s">
        <v>39</v>
      </c>
      <c r="U40" s="20" t="s">
        <v>39</v>
      </c>
      <c r="V40" s="20" t="s">
        <v>39</v>
      </c>
      <c r="W40" s="47"/>
      <c r="X40" s="24" t="s">
        <v>39</v>
      </c>
      <c r="Y40" s="24" t="s">
        <v>39</v>
      </c>
      <c r="Z40" s="24" t="s">
        <v>39</v>
      </c>
      <c r="AA40" s="24" t="s">
        <v>39</v>
      </c>
      <c r="AB40" s="46">
        <v>0.05</v>
      </c>
      <c r="AC40" s="46" t="s">
        <v>39</v>
      </c>
      <c r="AD40" s="60"/>
      <c r="AE40" s="25"/>
    </row>
    <row r="41" s="2" customFormat="1" ht="12" customHeight="1" spans="1:31">
      <c r="A41" s="13">
        <v>39</v>
      </c>
      <c r="B41" s="14" t="s">
        <v>174</v>
      </c>
      <c r="C41" s="15" t="s">
        <v>34</v>
      </c>
      <c r="D41" s="15" t="s">
        <v>172</v>
      </c>
      <c r="E41" s="15" t="s">
        <v>173</v>
      </c>
      <c r="F41" s="13" t="s">
        <v>37</v>
      </c>
      <c r="G41" s="16" t="s">
        <v>103</v>
      </c>
      <c r="H41" s="16" t="s">
        <v>39</v>
      </c>
      <c r="I41" s="43" t="s">
        <v>39</v>
      </c>
      <c r="J41" s="18" t="s">
        <v>39</v>
      </c>
      <c r="K41" s="20" t="s">
        <v>39</v>
      </c>
      <c r="L41" s="21">
        <v>2350000</v>
      </c>
      <c r="M41" s="58" t="s">
        <v>39</v>
      </c>
      <c r="N41" s="20" t="s">
        <v>39</v>
      </c>
      <c r="O41" s="23">
        <v>0.02</v>
      </c>
      <c r="P41" s="20" t="s">
        <v>39</v>
      </c>
      <c r="Q41" s="20" t="s">
        <v>39</v>
      </c>
      <c r="R41" s="20" t="s">
        <v>39</v>
      </c>
      <c r="S41" s="20" t="s">
        <v>39</v>
      </c>
      <c r="T41" s="20" t="s">
        <v>39</v>
      </c>
      <c r="U41" s="20" t="s">
        <v>39</v>
      </c>
      <c r="V41" s="20" t="s">
        <v>39</v>
      </c>
      <c r="W41" s="47"/>
      <c r="X41" s="24" t="s">
        <v>39</v>
      </c>
      <c r="Y41" s="24" t="s">
        <v>39</v>
      </c>
      <c r="Z41" s="24" t="s">
        <v>39</v>
      </c>
      <c r="AA41" s="24" t="s">
        <v>39</v>
      </c>
      <c r="AB41" s="46">
        <v>0.06</v>
      </c>
      <c r="AC41" s="46" t="s">
        <v>39</v>
      </c>
      <c r="AD41" s="60"/>
      <c r="AE41" s="25"/>
    </row>
    <row r="42" s="2" customFormat="1" ht="12" customHeight="1" spans="1:31">
      <c r="A42" s="13">
        <v>40</v>
      </c>
      <c r="B42" s="14" t="s">
        <v>179</v>
      </c>
      <c r="C42" s="15" t="s">
        <v>175</v>
      </c>
      <c r="D42" s="15" t="s">
        <v>176</v>
      </c>
      <c r="E42" s="15" t="s">
        <v>177</v>
      </c>
      <c r="F42" s="13" t="s">
        <v>37</v>
      </c>
      <c r="G42" s="16" t="s">
        <v>178</v>
      </c>
      <c r="H42" s="16" t="s">
        <v>39</v>
      </c>
      <c r="I42" s="43" t="s">
        <v>39</v>
      </c>
      <c r="J42" s="16" t="s">
        <v>39</v>
      </c>
      <c r="K42" s="20" t="s">
        <v>39</v>
      </c>
      <c r="L42" s="21">
        <v>1570000</v>
      </c>
      <c r="M42" s="20" t="s">
        <v>39</v>
      </c>
      <c r="N42" s="20" t="s">
        <v>39</v>
      </c>
      <c r="O42" s="20" t="s">
        <v>39</v>
      </c>
      <c r="P42" s="20" t="s">
        <v>39</v>
      </c>
      <c r="Q42" s="20" t="s">
        <v>39</v>
      </c>
      <c r="R42" s="20" t="s">
        <v>39</v>
      </c>
      <c r="S42" s="20" t="s">
        <v>39</v>
      </c>
      <c r="T42" s="20" t="s">
        <v>39</v>
      </c>
      <c r="U42" s="20" t="s">
        <v>39</v>
      </c>
      <c r="V42" s="20" t="s">
        <v>39</v>
      </c>
      <c r="W42" s="45" t="s">
        <v>39</v>
      </c>
      <c r="X42" s="45" t="s">
        <v>39</v>
      </c>
      <c r="Y42" s="45" t="s">
        <v>39</v>
      </c>
      <c r="Z42" s="45" t="s">
        <v>39</v>
      </c>
      <c r="AA42" s="18" t="s">
        <v>39</v>
      </c>
      <c r="AB42" s="51">
        <v>0.03</v>
      </c>
      <c r="AC42" s="46" t="s">
        <v>39</v>
      </c>
      <c r="AD42" s="17"/>
      <c r="AE42" s="25"/>
    </row>
    <row r="43" s="2" customFormat="1" ht="12" customHeight="1" spans="1:31">
      <c r="A43" s="13">
        <v>41</v>
      </c>
      <c r="B43" s="14" t="s">
        <v>182</v>
      </c>
      <c r="C43" s="15" t="s">
        <v>175</v>
      </c>
      <c r="D43" s="15" t="s">
        <v>180</v>
      </c>
      <c r="E43" s="15" t="s">
        <v>181</v>
      </c>
      <c r="F43" s="13" t="s">
        <v>37</v>
      </c>
      <c r="G43" s="16" t="s">
        <v>178</v>
      </c>
      <c r="H43" s="16" t="s">
        <v>39</v>
      </c>
      <c r="I43" s="43" t="s">
        <v>39</v>
      </c>
      <c r="J43" s="16" t="s">
        <v>39</v>
      </c>
      <c r="K43" s="20" t="s">
        <v>39</v>
      </c>
      <c r="L43" s="21">
        <v>2850000</v>
      </c>
      <c r="M43" s="20" t="s">
        <v>39</v>
      </c>
      <c r="N43" s="20" t="s">
        <v>39</v>
      </c>
      <c r="O43" s="20" t="s">
        <v>39</v>
      </c>
      <c r="P43" s="20" t="s">
        <v>39</v>
      </c>
      <c r="Q43" s="20" t="s">
        <v>39</v>
      </c>
      <c r="R43" s="20" t="s">
        <v>39</v>
      </c>
      <c r="S43" s="20" t="s">
        <v>39</v>
      </c>
      <c r="T43" s="20" t="s">
        <v>39</v>
      </c>
      <c r="U43" s="20" t="s">
        <v>39</v>
      </c>
      <c r="V43" s="20" t="s">
        <v>39</v>
      </c>
      <c r="W43" s="45" t="s">
        <v>39</v>
      </c>
      <c r="X43" s="45" t="s">
        <v>39</v>
      </c>
      <c r="Y43" s="45" t="s">
        <v>39</v>
      </c>
      <c r="Z43" s="45" t="s">
        <v>39</v>
      </c>
      <c r="AA43" s="18" t="s">
        <v>39</v>
      </c>
      <c r="AB43" s="51">
        <v>0.16</v>
      </c>
      <c r="AC43" s="46" t="s">
        <v>39</v>
      </c>
      <c r="AD43" s="17"/>
      <c r="AE43" s="25"/>
    </row>
    <row r="44" s="2" customFormat="1" ht="12" customHeight="1" spans="1:31">
      <c r="A44" s="13">
        <v>42</v>
      </c>
      <c r="B44" s="14" t="s">
        <v>185</v>
      </c>
      <c r="C44" s="15" t="s">
        <v>175</v>
      </c>
      <c r="D44" s="15" t="s">
        <v>183</v>
      </c>
      <c r="E44" s="61" t="s">
        <v>184</v>
      </c>
      <c r="F44" s="13" t="s">
        <v>37</v>
      </c>
      <c r="G44" s="16" t="s">
        <v>178</v>
      </c>
      <c r="H44" s="16" t="s">
        <v>39</v>
      </c>
      <c r="I44" s="43" t="s">
        <v>39</v>
      </c>
      <c r="J44" s="16" t="s">
        <v>39</v>
      </c>
      <c r="K44" s="20" t="s">
        <v>39</v>
      </c>
      <c r="L44" s="21" t="s">
        <v>39</v>
      </c>
      <c r="M44" s="20" t="s">
        <v>39</v>
      </c>
      <c r="N44" s="47"/>
      <c r="O44" s="23">
        <v>0.02</v>
      </c>
      <c r="P44" s="47"/>
      <c r="Q44" s="20" t="s">
        <v>39</v>
      </c>
      <c r="R44" s="20" t="s">
        <v>39</v>
      </c>
      <c r="S44" s="20" t="s">
        <v>39</v>
      </c>
      <c r="T44" s="47"/>
      <c r="U44" s="47"/>
      <c r="V44" s="20" t="s">
        <v>39</v>
      </c>
      <c r="W44" s="44"/>
      <c r="X44" s="62">
        <v>0.035</v>
      </c>
      <c r="Y44" s="45" t="s">
        <v>39</v>
      </c>
      <c r="Z44" s="45" t="s">
        <v>39</v>
      </c>
      <c r="AA44" s="18" t="s">
        <v>39</v>
      </c>
      <c r="AB44" s="51">
        <v>0.08</v>
      </c>
      <c r="AC44" s="46" t="s">
        <v>39</v>
      </c>
      <c r="AD44" s="17"/>
      <c r="AE44" s="25"/>
    </row>
    <row r="45" s="2" customFormat="1" ht="24" customHeight="1" spans="1:31">
      <c r="A45" s="13">
        <v>43</v>
      </c>
      <c r="B45" s="14" t="s">
        <v>191</v>
      </c>
      <c r="C45" s="15" t="s">
        <v>175</v>
      </c>
      <c r="D45" s="15" t="s">
        <v>183</v>
      </c>
      <c r="E45" s="61" t="s">
        <v>184</v>
      </c>
      <c r="F45" s="13" t="s">
        <v>81</v>
      </c>
      <c r="G45" s="16" t="s">
        <v>178</v>
      </c>
      <c r="H45" s="18" t="s">
        <v>39</v>
      </c>
      <c r="I45" s="43" t="s">
        <v>186</v>
      </c>
      <c r="J45" s="16" t="s">
        <v>187</v>
      </c>
      <c r="K45" s="20" t="s">
        <v>39</v>
      </c>
      <c r="L45" s="21">
        <v>850000</v>
      </c>
      <c r="M45" s="63">
        <v>0.12</v>
      </c>
      <c r="N45" s="64"/>
      <c r="O45" s="63">
        <v>0.02</v>
      </c>
      <c r="P45" s="64" t="s">
        <v>39</v>
      </c>
      <c r="Q45" s="64" t="s">
        <v>39</v>
      </c>
      <c r="R45" s="64" t="s">
        <v>39</v>
      </c>
      <c r="S45" s="64" t="s">
        <v>39</v>
      </c>
      <c r="T45" s="65"/>
      <c r="U45" s="66"/>
      <c r="V45" s="64" t="s">
        <v>39</v>
      </c>
      <c r="W45" s="67">
        <v>0.2</v>
      </c>
      <c r="X45" s="68">
        <v>0.035</v>
      </c>
      <c r="Y45" s="65" t="s">
        <v>39</v>
      </c>
      <c r="Z45" s="65" t="s">
        <v>39</v>
      </c>
      <c r="AA45" s="65" t="s">
        <v>39</v>
      </c>
      <c r="AB45" s="51" t="s">
        <v>39</v>
      </c>
      <c r="AC45" s="46" t="s">
        <v>39</v>
      </c>
      <c r="AD45" s="69" t="s">
        <v>188</v>
      </c>
      <c r="AE45" s="25" t="s">
        <v>189</v>
      </c>
    </row>
    <row r="46" s="2" customFormat="1" ht="24" customHeight="1" spans="1:31">
      <c r="A46" s="13">
        <v>44</v>
      </c>
      <c r="B46" s="14" t="s">
        <v>194</v>
      </c>
      <c r="C46" s="15" t="s">
        <v>175</v>
      </c>
      <c r="D46" s="15" t="s">
        <v>183</v>
      </c>
      <c r="E46" s="61" t="s">
        <v>184</v>
      </c>
      <c r="F46" s="13" t="s">
        <v>81</v>
      </c>
      <c r="G46" s="16" t="s">
        <v>178</v>
      </c>
      <c r="H46" s="18" t="s">
        <v>39</v>
      </c>
      <c r="I46" s="43" t="s">
        <v>192</v>
      </c>
      <c r="J46" s="16" t="s">
        <v>193</v>
      </c>
      <c r="K46" s="20" t="s">
        <v>39</v>
      </c>
      <c r="L46" s="21">
        <v>1500000</v>
      </c>
      <c r="M46" s="70">
        <v>0.12</v>
      </c>
      <c r="N46" s="71"/>
      <c r="O46" s="70">
        <v>0.02</v>
      </c>
      <c r="P46" s="71" t="s">
        <v>39</v>
      </c>
      <c r="Q46" s="71" t="s">
        <v>39</v>
      </c>
      <c r="R46" s="71" t="s">
        <v>39</v>
      </c>
      <c r="S46" s="71" t="s">
        <v>39</v>
      </c>
      <c r="T46" s="72"/>
      <c r="U46" s="73"/>
      <c r="V46" s="71" t="s">
        <v>39</v>
      </c>
      <c r="W46" s="74"/>
      <c r="X46" s="75">
        <v>0.035</v>
      </c>
      <c r="Y46" s="72" t="s">
        <v>39</v>
      </c>
      <c r="Z46" s="72" t="s">
        <v>39</v>
      </c>
      <c r="AA46" s="72" t="s">
        <v>39</v>
      </c>
      <c r="AB46" s="51" t="s">
        <v>39</v>
      </c>
      <c r="AC46" s="46" t="s">
        <v>39</v>
      </c>
      <c r="AD46" s="76" t="s">
        <v>188</v>
      </c>
      <c r="AE46" s="25" t="s">
        <v>189</v>
      </c>
    </row>
    <row r="47" s="2" customFormat="1" ht="24" customHeight="1" spans="1:31">
      <c r="A47" s="13">
        <v>45</v>
      </c>
      <c r="B47" s="14" t="s">
        <v>197</v>
      </c>
      <c r="C47" s="15" t="s">
        <v>175</v>
      </c>
      <c r="D47" s="15" t="s">
        <v>183</v>
      </c>
      <c r="E47" s="61" t="s">
        <v>184</v>
      </c>
      <c r="F47" s="13" t="s">
        <v>81</v>
      </c>
      <c r="G47" s="16" t="s">
        <v>178</v>
      </c>
      <c r="H47" s="18" t="s">
        <v>39</v>
      </c>
      <c r="I47" s="43" t="s">
        <v>195</v>
      </c>
      <c r="J47" s="16" t="s">
        <v>196</v>
      </c>
      <c r="K47" s="20" t="s">
        <v>39</v>
      </c>
      <c r="L47" s="21">
        <v>340000</v>
      </c>
      <c r="M47" s="70">
        <v>0.12</v>
      </c>
      <c r="N47" s="71"/>
      <c r="O47" s="70">
        <v>0.02</v>
      </c>
      <c r="P47" s="71" t="s">
        <v>39</v>
      </c>
      <c r="Q47" s="71" t="s">
        <v>39</v>
      </c>
      <c r="R47" s="71" t="s">
        <v>39</v>
      </c>
      <c r="S47" s="71" t="s">
        <v>39</v>
      </c>
      <c r="T47" s="72"/>
      <c r="U47" s="73"/>
      <c r="V47" s="71" t="s">
        <v>39</v>
      </c>
      <c r="W47" s="77">
        <v>0.2</v>
      </c>
      <c r="X47" s="75">
        <v>0.035</v>
      </c>
      <c r="Y47" s="72" t="s">
        <v>39</v>
      </c>
      <c r="Z47" s="72" t="s">
        <v>39</v>
      </c>
      <c r="AA47" s="72" t="s">
        <v>39</v>
      </c>
      <c r="AB47" s="51" t="s">
        <v>39</v>
      </c>
      <c r="AC47" s="46" t="s">
        <v>39</v>
      </c>
      <c r="AD47" s="76" t="s">
        <v>188</v>
      </c>
      <c r="AE47" s="25" t="s">
        <v>189</v>
      </c>
    </row>
    <row r="48" s="2" customFormat="1" ht="24" customHeight="1" spans="1:31">
      <c r="A48" s="13">
        <v>46</v>
      </c>
      <c r="B48" s="14" t="s">
        <v>200</v>
      </c>
      <c r="C48" s="15" t="s">
        <v>175</v>
      </c>
      <c r="D48" s="15" t="s">
        <v>183</v>
      </c>
      <c r="E48" s="61" t="s">
        <v>184</v>
      </c>
      <c r="F48" s="13" t="s">
        <v>81</v>
      </c>
      <c r="G48" s="16" t="s">
        <v>178</v>
      </c>
      <c r="H48" s="18" t="s">
        <v>39</v>
      </c>
      <c r="I48" s="43" t="s">
        <v>198</v>
      </c>
      <c r="J48" s="16" t="s">
        <v>199</v>
      </c>
      <c r="K48" s="20" t="s">
        <v>39</v>
      </c>
      <c r="L48" s="21">
        <v>365000</v>
      </c>
      <c r="M48" s="70">
        <v>0.12</v>
      </c>
      <c r="N48" s="71"/>
      <c r="O48" s="70">
        <v>0.02</v>
      </c>
      <c r="P48" s="71" t="s">
        <v>39</v>
      </c>
      <c r="Q48" s="71" t="s">
        <v>39</v>
      </c>
      <c r="R48" s="71" t="s">
        <v>39</v>
      </c>
      <c r="S48" s="71" t="s">
        <v>39</v>
      </c>
      <c r="T48" s="72"/>
      <c r="U48" s="73"/>
      <c r="V48" s="71" t="s">
        <v>39</v>
      </c>
      <c r="W48" s="77">
        <v>0.2</v>
      </c>
      <c r="X48" s="75">
        <v>0.035</v>
      </c>
      <c r="Y48" s="72" t="s">
        <v>39</v>
      </c>
      <c r="Z48" s="72" t="s">
        <v>39</v>
      </c>
      <c r="AA48" s="72" t="s">
        <v>39</v>
      </c>
      <c r="AB48" s="51" t="s">
        <v>39</v>
      </c>
      <c r="AC48" s="46" t="s">
        <v>39</v>
      </c>
      <c r="AD48" s="76" t="s">
        <v>188</v>
      </c>
      <c r="AE48" s="25" t="s">
        <v>189</v>
      </c>
    </row>
    <row r="49" s="2" customFormat="1" ht="24" customHeight="1" spans="1:31">
      <c r="A49" s="13">
        <v>47</v>
      </c>
      <c r="B49" s="14" t="s">
        <v>202</v>
      </c>
      <c r="C49" s="15" t="s">
        <v>175</v>
      </c>
      <c r="D49" s="15" t="s">
        <v>183</v>
      </c>
      <c r="E49" s="61" t="s">
        <v>184</v>
      </c>
      <c r="F49" s="13" t="s">
        <v>81</v>
      </c>
      <c r="G49" s="16" t="s">
        <v>178</v>
      </c>
      <c r="H49" s="18" t="s">
        <v>39</v>
      </c>
      <c r="I49" s="43" t="s">
        <v>201</v>
      </c>
      <c r="J49" s="16" t="s">
        <v>196</v>
      </c>
      <c r="K49" s="20" t="s">
        <v>39</v>
      </c>
      <c r="L49" s="21">
        <v>370000</v>
      </c>
      <c r="M49" s="70">
        <v>0.12</v>
      </c>
      <c r="N49" s="71"/>
      <c r="O49" s="70">
        <v>0.02</v>
      </c>
      <c r="P49" s="71" t="s">
        <v>39</v>
      </c>
      <c r="Q49" s="71" t="s">
        <v>39</v>
      </c>
      <c r="R49" s="71" t="s">
        <v>39</v>
      </c>
      <c r="S49" s="71" t="s">
        <v>39</v>
      </c>
      <c r="T49" s="72"/>
      <c r="U49" s="73"/>
      <c r="V49" s="71" t="s">
        <v>39</v>
      </c>
      <c r="W49" s="77">
        <v>0.2</v>
      </c>
      <c r="X49" s="75">
        <v>0.035</v>
      </c>
      <c r="Y49" s="72" t="s">
        <v>39</v>
      </c>
      <c r="Z49" s="72" t="s">
        <v>39</v>
      </c>
      <c r="AA49" s="72" t="s">
        <v>39</v>
      </c>
      <c r="AB49" s="51" t="s">
        <v>39</v>
      </c>
      <c r="AC49" s="46" t="s">
        <v>39</v>
      </c>
      <c r="AD49" s="76" t="s">
        <v>188</v>
      </c>
      <c r="AE49" s="25" t="s">
        <v>189</v>
      </c>
    </row>
    <row r="50" s="2" customFormat="1" ht="24" customHeight="1" spans="1:31">
      <c r="A50" s="13">
        <v>48</v>
      </c>
      <c r="B50" s="14" t="s">
        <v>205</v>
      </c>
      <c r="C50" s="15" t="s">
        <v>175</v>
      </c>
      <c r="D50" s="15" t="s">
        <v>183</v>
      </c>
      <c r="E50" s="61" t="s">
        <v>184</v>
      </c>
      <c r="F50" s="13" t="s">
        <v>81</v>
      </c>
      <c r="G50" s="16" t="s">
        <v>178</v>
      </c>
      <c r="H50" s="18" t="s">
        <v>39</v>
      </c>
      <c r="I50" s="43" t="s">
        <v>203</v>
      </c>
      <c r="J50" s="16" t="s">
        <v>204</v>
      </c>
      <c r="K50" s="20" t="s">
        <v>39</v>
      </c>
      <c r="L50" s="21">
        <v>440000</v>
      </c>
      <c r="M50" s="70">
        <v>0.12</v>
      </c>
      <c r="N50" s="71"/>
      <c r="O50" s="70">
        <v>0.02</v>
      </c>
      <c r="P50" s="71" t="s">
        <v>39</v>
      </c>
      <c r="Q50" s="71" t="s">
        <v>39</v>
      </c>
      <c r="R50" s="71" t="s">
        <v>39</v>
      </c>
      <c r="S50" s="71" t="s">
        <v>39</v>
      </c>
      <c r="T50" s="72"/>
      <c r="U50" s="73"/>
      <c r="V50" s="71" t="s">
        <v>39</v>
      </c>
      <c r="W50" s="77">
        <v>0.2</v>
      </c>
      <c r="X50" s="75">
        <v>0.035</v>
      </c>
      <c r="Y50" s="72" t="s">
        <v>39</v>
      </c>
      <c r="Z50" s="72" t="s">
        <v>39</v>
      </c>
      <c r="AA50" s="72" t="s">
        <v>39</v>
      </c>
      <c r="AB50" s="51" t="s">
        <v>39</v>
      </c>
      <c r="AC50" s="46" t="s">
        <v>39</v>
      </c>
      <c r="AD50" s="76" t="s">
        <v>188</v>
      </c>
      <c r="AE50" s="25" t="s">
        <v>189</v>
      </c>
    </row>
    <row r="51" s="2" customFormat="1" ht="12" customHeight="1" spans="1:31">
      <c r="A51" s="13">
        <v>49</v>
      </c>
      <c r="B51" s="14" t="s">
        <v>208</v>
      </c>
      <c r="C51" s="15" t="s">
        <v>175</v>
      </c>
      <c r="D51" s="15" t="s">
        <v>206</v>
      </c>
      <c r="E51" s="61" t="s">
        <v>207</v>
      </c>
      <c r="F51" s="13" t="s">
        <v>37</v>
      </c>
      <c r="G51" s="16" t="s">
        <v>178</v>
      </c>
      <c r="H51" s="16" t="s">
        <v>39</v>
      </c>
      <c r="I51" s="43" t="s">
        <v>39</v>
      </c>
      <c r="J51" s="16" t="s">
        <v>39</v>
      </c>
      <c r="K51" s="20" t="s">
        <v>39</v>
      </c>
      <c r="L51" s="21" t="s">
        <v>39</v>
      </c>
      <c r="M51" s="77" t="s">
        <v>39</v>
      </c>
      <c r="N51" s="78"/>
      <c r="O51" s="79">
        <v>0.02</v>
      </c>
      <c r="P51" s="78"/>
      <c r="Q51" s="77" t="s">
        <v>39</v>
      </c>
      <c r="R51" s="77" t="s">
        <v>39</v>
      </c>
      <c r="S51" s="77" t="s">
        <v>39</v>
      </c>
      <c r="T51" s="78"/>
      <c r="U51" s="78"/>
      <c r="V51" s="77" t="s">
        <v>39</v>
      </c>
      <c r="W51" s="80"/>
      <c r="X51" s="72" t="s">
        <v>39</v>
      </c>
      <c r="Y51" s="80"/>
      <c r="Z51" s="72" t="s">
        <v>39</v>
      </c>
      <c r="AA51" s="72" t="s">
        <v>39</v>
      </c>
      <c r="AB51" s="51">
        <v>0.06</v>
      </c>
      <c r="AC51" s="46" t="s">
        <v>39</v>
      </c>
      <c r="AD51" s="76"/>
      <c r="AE51" s="25"/>
    </row>
    <row r="52" s="2" customFormat="1" ht="24" customHeight="1" spans="1:31">
      <c r="A52" s="13">
        <v>50</v>
      </c>
      <c r="B52" s="14" t="s">
        <v>213</v>
      </c>
      <c r="C52" s="15" t="s">
        <v>175</v>
      </c>
      <c r="D52" s="15" t="s">
        <v>206</v>
      </c>
      <c r="E52" s="61" t="s">
        <v>207</v>
      </c>
      <c r="F52" s="13" t="s">
        <v>81</v>
      </c>
      <c r="G52" s="16" t="s">
        <v>178</v>
      </c>
      <c r="H52" s="18" t="s">
        <v>39</v>
      </c>
      <c r="I52" s="43" t="s">
        <v>209</v>
      </c>
      <c r="J52" s="18" t="s">
        <v>210</v>
      </c>
      <c r="K52" s="20" t="s">
        <v>39</v>
      </c>
      <c r="L52" s="21">
        <v>345000</v>
      </c>
      <c r="M52" s="70">
        <v>0.14</v>
      </c>
      <c r="N52" s="71" t="s">
        <v>39</v>
      </c>
      <c r="O52" s="70">
        <v>0.02</v>
      </c>
      <c r="P52" s="71" t="s">
        <v>39</v>
      </c>
      <c r="Q52" s="71" t="s">
        <v>39</v>
      </c>
      <c r="R52" s="71" t="s">
        <v>39</v>
      </c>
      <c r="S52" s="71" t="s">
        <v>39</v>
      </c>
      <c r="T52" s="81">
        <v>0.05</v>
      </c>
      <c r="U52" s="70">
        <v>0.06</v>
      </c>
      <c r="V52" s="70">
        <v>0.01</v>
      </c>
      <c r="W52" s="77">
        <v>0.2</v>
      </c>
      <c r="X52" s="77" t="s">
        <v>39</v>
      </c>
      <c r="Y52" s="72" t="s">
        <v>39</v>
      </c>
      <c r="Z52" s="72" t="s">
        <v>39</v>
      </c>
      <c r="AA52" s="72" t="s">
        <v>39</v>
      </c>
      <c r="AB52" s="51" t="s">
        <v>39</v>
      </c>
      <c r="AC52" s="46" t="s">
        <v>39</v>
      </c>
      <c r="AD52" s="82" t="s">
        <v>211</v>
      </c>
      <c r="AE52" s="25" t="s">
        <v>212</v>
      </c>
    </row>
    <row r="53" s="2" customFormat="1" ht="24" customHeight="1" spans="1:31">
      <c r="A53" s="13">
        <v>51</v>
      </c>
      <c r="B53" s="14" t="s">
        <v>216</v>
      </c>
      <c r="C53" s="15" t="s">
        <v>175</v>
      </c>
      <c r="D53" s="15" t="s">
        <v>206</v>
      </c>
      <c r="E53" s="61" t="s">
        <v>207</v>
      </c>
      <c r="F53" s="13" t="s">
        <v>81</v>
      </c>
      <c r="G53" s="16" t="s">
        <v>178</v>
      </c>
      <c r="H53" s="18" t="s">
        <v>39</v>
      </c>
      <c r="I53" s="43" t="s">
        <v>214</v>
      </c>
      <c r="J53" s="18" t="s">
        <v>215</v>
      </c>
      <c r="K53" s="20" t="s">
        <v>39</v>
      </c>
      <c r="L53" s="21">
        <v>475000</v>
      </c>
      <c r="M53" s="70">
        <v>0.14</v>
      </c>
      <c r="N53" s="71" t="s">
        <v>39</v>
      </c>
      <c r="O53" s="70">
        <v>0.02</v>
      </c>
      <c r="P53" s="71" t="s">
        <v>39</v>
      </c>
      <c r="Q53" s="71" t="s">
        <v>39</v>
      </c>
      <c r="R53" s="71" t="s">
        <v>39</v>
      </c>
      <c r="S53" s="71" t="s">
        <v>39</v>
      </c>
      <c r="T53" s="81">
        <v>0.05</v>
      </c>
      <c r="U53" s="70">
        <v>0.06</v>
      </c>
      <c r="V53" s="70">
        <v>0.01</v>
      </c>
      <c r="W53" s="77">
        <v>0.2</v>
      </c>
      <c r="X53" s="77" t="s">
        <v>39</v>
      </c>
      <c r="Y53" s="72" t="s">
        <v>39</v>
      </c>
      <c r="Z53" s="72" t="s">
        <v>39</v>
      </c>
      <c r="AA53" s="72" t="s">
        <v>39</v>
      </c>
      <c r="AB53" s="51" t="s">
        <v>39</v>
      </c>
      <c r="AC53" s="46" t="s">
        <v>39</v>
      </c>
      <c r="AD53" s="76" t="s">
        <v>211</v>
      </c>
      <c r="AE53" s="25" t="s">
        <v>212</v>
      </c>
    </row>
    <row r="54" s="2" customFormat="1" ht="24" customHeight="1" spans="1:31">
      <c r="A54" s="13">
        <v>52</v>
      </c>
      <c r="B54" s="14" t="s">
        <v>219</v>
      </c>
      <c r="C54" s="15" t="s">
        <v>175</v>
      </c>
      <c r="D54" s="15" t="s">
        <v>206</v>
      </c>
      <c r="E54" s="61" t="s">
        <v>207</v>
      </c>
      <c r="F54" s="13" t="s">
        <v>81</v>
      </c>
      <c r="G54" s="16" t="s">
        <v>178</v>
      </c>
      <c r="H54" s="18" t="s">
        <v>39</v>
      </c>
      <c r="I54" s="43" t="s">
        <v>217</v>
      </c>
      <c r="J54" s="18" t="s">
        <v>218</v>
      </c>
      <c r="K54" s="20" t="s">
        <v>39</v>
      </c>
      <c r="L54" s="21">
        <v>875000</v>
      </c>
      <c r="M54" s="70">
        <v>0.14</v>
      </c>
      <c r="N54" s="71" t="s">
        <v>39</v>
      </c>
      <c r="O54" s="70">
        <v>0.02</v>
      </c>
      <c r="P54" s="71" t="s">
        <v>39</v>
      </c>
      <c r="Q54" s="71" t="s">
        <v>39</v>
      </c>
      <c r="R54" s="71" t="s">
        <v>39</v>
      </c>
      <c r="S54" s="71" t="s">
        <v>39</v>
      </c>
      <c r="T54" s="81">
        <v>0.05</v>
      </c>
      <c r="U54" s="70">
        <v>0.06</v>
      </c>
      <c r="V54" s="70">
        <v>0.01</v>
      </c>
      <c r="W54" s="77">
        <v>0.2</v>
      </c>
      <c r="X54" s="77" t="s">
        <v>39</v>
      </c>
      <c r="Y54" s="72" t="s">
        <v>39</v>
      </c>
      <c r="Z54" s="72" t="s">
        <v>39</v>
      </c>
      <c r="AA54" s="72" t="s">
        <v>39</v>
      </c>
      <c r="AB54" s="51" t="s">
        <v>39</v>
      </c>
      <c r="AC54" s="46" t="s">
        <v>39</v>
      </c>
      <c r="AD54" s="76" t="s">
        <v>211</v>
      </c>
      <c r="AE54" s="25" t="s">
        <v>212</v>
      </c>
    </row>
    <row r="55" s="2" customFormat="1" ht="24" customHeight="1" spans="1:31">
      <c r="A55" s="13">
        <v>53</v>
      </c>
      <c r="B55" s="14" t="s">
        <v>222</v>
      </c>
      <c r="C55" s="15" t="s">
        <v>175</v>
      </c>
      <c r="D55" s="15" t="s">
        <v>206</v>
      </c>
      <c r="E55" s="61" t="s">
        <v>207</v>
      </c>
      <c r="F55" s="13" t="s">
        <v>81</v>
      </c>
      <c r="G55" s="16" t="s">
        <v>178</v>
      </c>
      <c r="H55" s="18" t="s">
        <v>39</v>
      </c>
      <c r="I55" s="43" t="s">
        <v>220</v>
      </c>
      <c r="J55" s="18" t="s">
        <v>221</v>
      </c>
      <c r="K55" s="20" t="s">
        <v>39</v>
      </c>
      <c r="L55" s="21">
        <v>485000</v>
      </c>
      <c r="M55" s="70">
        <v>0.14</v>
      </c>
      <c r="N55" s="71" t="s">
        <v>39</v>
      </c>
      <c r="O55" s="70">
        <v>0.02</v>
      </c>
      <c r="P55" s="71" t="s">
        <v>39</v>
      </c>
      <c r="Q55" s="71" t="s">
        <v>39</v>
      </c>
      <c r="R55" s="71" t="s">
        <v>39</v>
      </c>
      <c r="S55" s="71" t="s">
        <v>39</v>
      </c>
      <c r="T55" s="81">
        <v>0.05</v>
      </c>
      <c r="U55" s="70">
        <v>0.06</v>
      </c>
      <c r="V55" s="70">
        <v>0.01</v>
      </c>
      <c r="W55" s="77">
        <v>0.2</v>
      </c>
      <c r="X55" s="77" t="s">
        <v>39</v>
      </c>
      <c r="Y55" s="72" t="s">
        <v>39</v>
      </c>
      <c r="Z55" s="72" t="s">
        <v>39</v>
      </c>
      <c r="AA55" s="72" t="s">
        <v>39</v>
      </c>
      <c r="AB55" s="51" t="s">
        <v>39</v>
      </c>
      <c r="AC55" s="46" t="s">
        <v>39</v>
      </c>
      <c r="AD55" s="76" t="s">
        <v>211</v>
      </c>
      <c r="AE55" s="25" t="s">
        <v>212</v>
      </c>
    </row>
    <row r="56" s="2" customFormat="1" ht="24" customHeight="1" spans="1:31">
      <c r="A56" s="13">
        <v>54</v>
      </c>
      <c r="B56" s="14" t="s">
        <v>225</v>
      </c>
      <c r="C56" s="15" t="s">
        <v>175</v>
      </c>
      <c r="D56" s="15" t="s">
        <v>206</v>
      </c>
      <c r="E56" s="61" t="s">
        <v>207</v>
      </c>
      <c r="F56" s="13" t="s">
        <v>81</v>
      </c>
      <c r="G56" s="16" t="s">
        <v>178</v>
      </c>
      <c r="H56" s="18" t="s">
        <v>39</v>
      </c>
      <c r="I56" s="43" t="s">
        <v>223</v>
      </c>
      <c r="J56" s="18" t="s">
        <v>224</v>
      </c>
      <c r="K56" s="20" t="s">
        <v>39</v>
      </c>
      <c r="L56" s="21">
        <v>600000</v>
      </c>
      <c r="M56" s="70">
        <v>0.14</v>
      </c>
      <c r="N56" s="71" t="s">
        <v>39</v>
      </c>
      <c r="O56" s="70">
        <v>0.02</v>
      </c>
      <c r="P56" s="71" t="s">
        <v>39</v>
      </c>
      <c r="Q56" s="71" t="s">
        <v>39</v>
      </c>
      <c r="R56" s="71" t="s">
        <v>39</v>
      </c>
      <c r="S56" s="71" t="s">
        <v>39</v>
      </c>
      <c r="T56" s="81">
        <v>0.05</v>
      </c>
      <c r="U56" s="70">
        <v>0.06</v>
      </c>
      <c r="V56" s="70">
        <v>0.01</v>
      </c>
      <c r="W56" s="77">
        <v>0.2</v>
      </c>
      <c r="X56" s="77" t="s">
        <v>39</v>
      </c>
      <c r="Y56" s="72" t="s">
        <v>39</v>
      </c>
      <c r="Z56" s="72" t="s">
        <v>39</v>
      </c>
      <c r="AA56" s="72" t="s">
        <v>39</v>
      </c>
      <c r="AB56" s="51" t="s">
        <v>39</v>
      </c>
      <c r="AC56" s="46" t="s">
        <v>39</v>
      </c>
      <c r="AD56" s="76" t="s">
        <v>211</v>
      </c>
      <c r="AE56" s="25" t="s">
        <v>212</v>
      </c>
    </row>
    <row r="57" s="2" customFormat="1" ht="48" customHeight="1" spans="1:31">
      <c r="A57" s="13">
        <v>55</v>
      </c>
      <c r="B57" s="14" t="s">
        <v>229</v>
      </c>
      <c r="C57" s="15" t="s">
        <v>175</v>
      </c>
      <c r="D57" s="15" t="s">
        <v>206</v>
      </c>
      <c r="E57" s="61" t="s">
        <v>207</v>
      </c>
      <c r="F57" s="13" t="s">
        <v>81</v>
      </c>
      <c r="G57" s="16" t="s">
        <v>178</v>
      </c>
      <c r="H57" s="18" t="s">
        <v>39</v>
      </c>
      <c r="I57" s="43" t="s">
        <v>226</v>
      </c>
      <c r="J57" s="18" t="s">
        <v>227</v>
      </c>
      <c r="K57" s="20" t="s">
        <v>39</v>
      </c>
      <c r="L57" s="21">
        <v>615000</v>
      </c>
      <c r="M57" s="71">
        <v>120000</v>
      </c>
      <c r="N57" s="71" t="s">
        <v>39</v>
      </c>
      <c r="O57" s="70" t="s">
        <v>39</v>
      </c>
      <c r="P57" s="71" t="s">
        <v>39</v>
      </c>
      <c r="Q57" s="71" t="s">
        <v>39</v>
      </c>
      <c r="R57" s="71" t="s">
        <v>39</v>
      </c>
      <c r="S57" s="71" t="s">
        <v>39</v>
      </c>
      <c r="T57" s="81">
        <v>0.03</v>
      </c>
      <c r="U57" s="70">
        <v>0.05</v>
      </c>
      <c r="V57" s="70">
        <v>0.005</v>
      </c>
      <c r="W57" s="74"/>
      <c r="X57" s="72" t="s">
        <v>39</v>
      </c>
      <c r="Y57" s="72" t="s">
        <v>39</v>
      </c>
      <c r="Z57" s="72" t="s">
        <v>39</v>
      </c>
      <c r="AA57" s="72" t="s">
        <v>39</v>
      </c>
      <c r="AB57" s="51" t="s">
        <v>39</v>
      </c>
      <c r="AC57" s="46" t="s">
        <v>39</v>
      </c>
      <c r="AD57" s="76" t="s">
        <v>228</v>
      </c>
      <c r="AE57" s="25" t="s">
        <v>212</v>
      </c>
    </row>
    <row r="58" s="2" customFormat="1" ht="12" customHeight="1" spans="1:31">
      <c r="A58" s="13">
        <v>56</v>
      </c>
      <c r="B58" s="14" t="s">
        <v>232</v>
      </c>
      <c r="C58" s="15" t="s">
        <v>175</v>
      </c>
      <c r="D58" s="15" t="s">
        <v>230</v>
      </c>
      <c r="E58" s="61" t="s">
        <v>231</v>
      </c>
      <c r="F58" s="13" t="s">
        <v>37</v>
      </c>
      <c r="G58" s="16" t="s">
        <v>178</v>
      </c>
      <c r="H58" s="16" t="s">
        <v>39</v>
      </c>
      <c r="I58" s="43" t="s">
        <v>39</v>
      </c>
      <c r="J58" s="16" t="s">
        <v>39</v>
      </c>
      <c r="K58" s="20" t="s">
        <v>39</v>
      </c>
      <c r="L58" s="21" t="s">
        <v>39</v>
      </c>
      <c r="M58" s="77" t="s">
        <v>39</v>
      </c>
      <c r="N58" s="78"/>
      <c r="O58" s="83">
        <v>0.02</v>
      </c>
      <c r="P58" s="77" t="s">
        <v>39</v>
      </c>
      <c r="Q58" s="77" t="s">
        <v>39</v>
      </c>
      <c r="R58" s="77" t="s">
        <v>39</v>
      </c>
      <c r="S58" s="77" t="s">
        <v>39</v>
      </c>
      <c r="T58" s="78"/>
      <c r="U58" s="77" t="s">
        <v>39</v>
      </c>
      <c r="V58" s="77" t="s">
        <v>39</v>
      </c>
      <c r="W58" s="80"/>
      <c r="X58" s="72" t="s">
        <v>39</v>
      </c>
      <c r="Y58" s="72" t="s">
        <v>39</v>
      </c>
      <c r="Z58" s="72" t="s">
        <v>39</v>
      </c>
      <c r="AA58" s="72" t="s">
        <v>39</v>
      </c>
      <c r="AB58" s="51">
        <v>0.04</v>
      </c>
      <c r="AC58" s="46" t="s">
        <v>39</v>
      </c>
      <c r="AD58" s="82"/>
      <c r="AE58" s="25"/>
    </row>
    <row r="59" s="2" customFormat="1" ht="24" customHeight="1" spans="1:31">
      <c r="A59" s="13">
        <v>57</v>
      </c>
      <c r="B59" s="14" t="s">
        <v>235</v>
      </c>
      <c r="C59" s="15" t="s">
        <v>175</v>
      </c>
      <c r="D59" s="15" t="s">
        <v>230</v>
      </c>
      <c r="E59" s="61" t="s">
        <v>231</v>
      </c>
      <c r="F59" s="13" t="s">
        <v>81</v>
      </c>
      <c r="G59" s="16" t="s">
        <v>178</v>
      </c>
      <c r="H59" s="16" t="s">
        <v>60</v>
      </c>
      <c r="I59" s="17" t="s">
        <v>233</v>
      </c>
      <c r="J59" s="24" t="s">
        <v>210</v>
      </c>
      <c r="K59" s="20" t="s">
        <v>39</v>
      </c>
      <c r="L59" s="21">
        <v>450000</v>
      </c>
      <c r="M59" s="70">
        <v>0.03</v>
      </c>
      <c r="N59" s="71" t="s">
        <v>39</v>
      </c>
      <c r="O59" s="63">
        <v>0.02</v>
      </c>
      <c r="P59" s="71" t="s">
        <v>39</v>
      </c>
      <c r="Q59" s="84">
        <v>0.03</v>
      </c>
      <c r="R59" s="71" t="s">
        <v>39</v>
      </c>
      <c r="S59" s="71" t="s">
        <v>39</v>
      </c>
      <c r="T59" s="81" t="s">
        <v>39</v>
      </c>
      <c r="U59" s="70" t="s">
        <v>39</v>
      </c>
      <c r="V59" s="70" t="s">
        <v>39</v>
      </c>
      <c r="W59" s="79">
        <v>0.2</v>
      </c>
      <c r="X59" s="72" t="s">
        <v>39</v>
      </c>
      <c r="Y59" s="72" t="s">
        <v>39</v>
      </c>
      <c r="Z59" s="72" t="s">
        <v>39</v>
      </c>
      <c r="AA59" s="72" t="s">
        <v>39</v>
      </c>
      <c r="AB59" s="51" t="s">
        <v>39</v>
      </c>
      <c r="AC59" s="46" t="s">
        <v>39</v>
      </c>
      <c r="AD59" s="82" t="s">
        <v>234</v>
      </c>
      <c r="AE59" s="25" t="s">
        <v>189</v>
      </c>
    </row>
    <row r="60" s="2" customFormat="1" ht="24" customHeight="1" spans="1:31">
      <c r="A60" s="13">
        <v>58</v>
      </c>
      <c r="B60" s="14" t="s">
        <v>239</v>
      </c>
      <c r="C60" s="15" t="s">
        <v>175</v>
      </c>
      <c r="D60" s="15" t="s">
        <v>230</v>
      </c>
      <c r="E60" s="61" t="s">
        <v>231</v>
      </c>
      <c r="F60" s="13" t="s">
        <v>81</v>
      </c>
      <c r="G60" s="16" t="s">
        <v>178</v>
      </c>
      <c r="H60" s="16" t="s">
        <v>66</v>
      </c>
      <c r="I60" s="17" t="s">
        <v>236</v>
      </c>
      <c r="J60" s="85" t="s">
        <v>196</v>
      </c>
      <c r="K60" s="20" t="s">
        <v>39</v>
      </c>
      <c r="L60" s="21">
        <v>145000</v>
      </c>
      <c r="M60" s="70">
        <v>0.03</v>
      </c>
      <c r="N60" s="71" t="s">
        <v>39</v>
      </c>
      <c r="O60" s="70">
        <v>0.02</v>
      </c>
      <c r="P60" s="71" t="s">
        <v>39</v>
      </c>
      <c r="Q60" s="84">
        <v>0.03</v>
      </c>
      <c r="R60" s="71" t="s">
        <v>39</v>
      </c>
      <c r="S60" s="71" t="s">
        <v>39</v>
      </c>
      <c r="T60" s="81" t="s">
        <v>39</v>
      </c>
      <c r="U60" s="70" t="s">
        <v>39</v>
      </c>
      <c r="V60" s="70" t="s">
        <v>39</v>
      </c>
      <c r="W60" s="79">
        <v>0.2</v>
      </c>
      <c r="X60" s="72" t="s">
        <v>39</v>
      </c>
      <c r="Y60" s="72" t="s">
        <v>39</v>
      </c>
      <c r="Z60" s="72" t="s">
        <v>39</v>
      </c>
      <c r="AA60" s="72" t="s">
        <v>39</v>
      </c>
      <c r="AB60" s="51" t="s">
        <v>39</v>
      </c>
      <c r="AC60" s="46" t="s">
        <v>39</v>
      </c>
      <c r="AD60" s="82" t="s">
        <v>234</v>
      </c>
      <c r="AE60" s="25" t="s">
        <v>189</v>
      </c>
    </row>
    <row r="61" s="2" customFormat="1" ht="12" customHeight="1" spans="1:31">
      <c r="A61" s="13">
        <v>59</v>
      </c>
      <c r="B61" s="14" t="s">
        <v>245</v>
      </c>
      <c r="C61" s="86" t="s">
        <v>175</v>
      </c>
      <c r="D61" s="86" t="s">
        <v>237</v>
      </c>
      <c r="E61" s="87" t="s">
        <v>238</v>
      </c>
      <c r="F61" s="88" t="s">
        <v>37</v>
      </c>
      <c r="G61" s="89" t="s">
        <v>178</v>
      </c>
      <c r="H61" s="89" t="s">
        <v>39</v>
      </c>
      <c r="I61" s="55" t="s">
        <v>39</v>
      </c>
      <c r="J61" s="90" t="s">
        <v>39</v>
      </c>
      <c r="K61" s="19" t="s">
        <v>39</v>
      </c>
      <c r="L61" s="21" t="s">
        <v>39</v>
      </c>
      <c r="M61" s="91" t="s">
        <v>39</v>
      </c>
      <c r="N61" s="90" t="s">
        <v>39</v>
      </c>
      <c r="O61" s="91" t="s">
        <v>39</v>
      </c>
      <c r="P61" s="90" t="s">
        <v>39</v>
      </c>
      <c r="Q61" s="92" t="s">
        <v>39</v>
      </c>
      <c r="R61" s="90" t="s">
        <v>39</v>
      </c>
      <c r="S61" s="90" t="s">
        <v>39</v>
      </c>
      <c r="T61" s="59" t="s">
        <v>39</v>
      </c>
      <c r="U61" s="91" t="s">
        <v>39</v>
      </c>
      <c r="V61" s="91" t="s">
        <v>39</v>
      </c>
      <c r="W61" s="55" t="s">
        <v>39</v>
      </c>
      <c r="X61" s="55" t="s">
        <v>39</v>
      </c>
      <c r="Y61" s="55" t="s">
        <v>39</v>
      </c>
      <c r="Z61" s="55" t="s">
        <v>39</v>
      </c>
      <c r="AA61" s="55" t="s">
        <v>39</v>
      </c>
      <c r="AB61" s="46">
        <v>0.035</v>
      </c>
      <c r="AC61" s="46">
        <v>0.005</v>
      </c>
      <c r="AD61" s="48" t="s">
        <v>104</v>
      </c>
      <c r="AE61" s="25"/>
    </row>
    <row r="62" s="2" customFormat="1" ht="24" customHeight="1" spans="1:31">
      <c r="A62" s="13">
        <v>60</v>
      </c>
      <c r="B62" s="14" t="s">
        <v>248</v>
      </c>
      <c r="C62" s="15" t="s">
        <v>175</v>
      </c>
      <c r="D62" s="15" t="s">
        <v>237</v>
      </c>
      <c r="E62" s="61" t="s">
        <v>238</v>
      </c>
      <c r="F62" s="13" t="s">
        <v>81</v>
      </c>
      <c r="G62" s="16" t="s">
        <v>178</v>
      </c>
      <c r="H62" s="18" t="s">
        <v>39</v>
      </c>
      <c r="I62" s="17" t="s">
        <v>240</v>
      </c>
      <c r="J62" s="93" t="s">
        <v>241</v>
      </c>
      <c r="K62" s="20" t="s">
        <v>39</v>
      </c>
      <c r="L62" s="21">
        <v>6000000</v>
      </c>
      <c r="M62" s="70">
        <v>0.035</v>
      </c>
      <c r="N62" s="79"/>
      <c r="O62" s="70" t="s">
        <v>39</v>
      </c>
      <c r="P62" s="94"/>
      <c r="Q62" s="71" t="s">
        <v>39</v>
      </c>
      <c r="R62" s="71" t="s">
        <v>39</v>
      </c>
      <c r="S62" s="71" t="s">
        <v>39</v>
      </c>
      <c r="T62" s="75"/>
      <c r="U62" s="95"/>
      <c r="V62" s="70" t="s">
        <v>39</v>
      </c>
      <c r="W62" s="72" t="s">
        <v>242</v>
      </c>
      <c r="X62" s="73" t="s">
        <v>39</v>
      </c>
      <c r="Y62" s="72" t="s">
        <v>39</v>
      </c>
      <c r="Z62" s="72" t="s">
        <v>39</v>
      </c>
      <c r="AA62" s="72" t="s">
        <v>39</v>
      </c>
      <c r="AB62" s="46" t="s">
        <v>39</v>
      </c>
      <c r="AC62" s="46" t="s">
        <v>39</v>
      </c>
      <c r="AD62" s="82" t="s">
        <v>243</v>
      </c>
      <c r="AE62" s="25" t="s">
        <v>244</v>
      </c>
    </row>
    <row r="63" s="2" customFormat="1" ht="18.75" customHeight="1" spans="1:31">
      <c r="A63" s="13">
        <v>61</v>
      </c>
      <c r="B63" s="14" t="s">
        <v>255</v>
      </c>
      <c r="C63" s="15"/>
      <c r="D63" s="15"/>
      <c r="E63" s="61" t="s">
        <v>238</v>
      </c>
      <c r="F63" s="88" t="s">
        <v>81</v>
      </c>
      <c r="G63" s="16" t="s">
        <v>178</v>
      </c>
      <c r="H63" s="16" t="s">
        <v>66</v>
      </c>
      <c r="I63" s="96" t="s">
        <v>319</v>
      </c>
      <c r="J63" s="96" t="s">
        <v>1469</v>
      </c>
      <c r="K63" s="20"/>
      <c r="L63" s="21"/>
      <c r="M63" s="97"/>
      <c r="N63" s="97"/>
      <c r="O63" s="97"/>
      <c r="P63" s="97"/>
      <c r="Q63" s="97"/>
      <c r="R63" s="97"/>
      <c r="S63" s="97"/>
      <c r="T63" s="97"/>
      <c r="U63" s="97"/>
      <c r="V63" s="97"/>
      <c r="W63" s="78"/>
      <c r="X63" s="85"/>
      <c r="Y63" s="85"/>
      <c r="Z63" s="85"/>
      <c r="AA63" s="85"/>
      <c r="AB63" s="22"/>
      <c r="AC63" s="20"/>
      <c r="AD63" s="98"/>
      <c r="AE63" s="25"/>
    </row>
    <row r="64" s="2" customFormat="1" ht="37.5" customHeight="1" spans="1:31">
      <c r="A64" s="13">
        <v>62</v>
      </c>
      <c r="B64" s="14" t="s">
        <v>258</v>
      </c>
      <c r="C64" s="15"/>
      <c r="D64" s="15"/>
      <c r="E64" s="61" t="s">
        <v>238</v>
      </c>
      <c r="F64" s="88" t="s">
        <v>81</v>
      </c>
      <c r="G64" s="16" t="s">
        <v>178</v>
      </c>
      <c r="H64" s="16" t="s">
        <v>70</v>
      </c>
      <c r="I64" s="99" t="s">
        <v>1471</v>
      </c>
      <c r="J64" s="96" t="s">
        <v>1472</v>
      </c>
      <c r="K64" s="20"/>
      <c r="L64" s="21"/>
      <c r="M64" s="97"/>
      <c r="N64" s="97"/>
      <c r="O64" s="97"/>
      <c r="P64" s="97"/>
      <c r="Q64" s="97"/>
      <c r="R64" s="97"/>
      <c r="S64" s="97"/>
      <c r="T64" s="97"/>
      <c r="U64" s="97"/>
      <c r="V64" s="97"/>
      <c r="W64" s="78"/>
      <c r="X64" s="85"/>
      <c r="Y64" s="85"/>
      <c r="Z64" s="85"/>
      <c r="AA64" s="85"/>
      <c r="AB64" s="22"/>
      <c r="AC64" s="20"/>
      <c r="AD64" s="98"/>
      <c r="AE64" s="25"/>
    </row>
    <row r="65" s="2" customFormat="1" ht="56.25" customHeight="1" spans="1:31">
      <c r="A65" s="13">
        <v>63</v>
      </c>
      <c r="B65" s="14" t="s">
        <v>261</v>
      </c>
      <c r="C65" s="15"/>
      <c r="D65" s="15"/>
      <c r="E65" s="61" t="s">
        <v>238</v>
      </c>
      <c r="F65" s="88" t="s">
        <v>81</v>
      </c>
      <c r="G65" s="16" t="s">
        <v>178</v>
      </c>
      <c r="H65" s="16" t="s">
        <v>74</v>
      </c>
      <c r="I65" s="100" t="s">
        <v>1473</v>
      </c>
      <c r="J65" s="101" t="s">
        <v>1474</v>
      </c>
      <c r="K65" s="20"/>
      <c r="L65" s="21"/>
      <c r="M65" s="97"/>
      <c r="N65" s="97"/>
      <c r="O65" s="97"/>
      <c r="P65" s="97"/>
      <c r="Q65" s="97"/>
      <c r="R65" s="97"/>
      <c r="S65" s="97"/>
      <c r="T65" s="97"/>
      <c r="U65" s="97"/>
      <c r="V65" s="97"/>
      <c r="W65" s="78"/>
      <c r="X65" s="85"/>
      <c r="Y65" s="85"/>
      <c r="Z65" s="85"/>
      <c r="AA65" s="85"/>
      <c r="AB65" s="22"/>
      <c r="AC65" s="20"/>
      <c r="AD65" s="98"/>
      <c r="AE65" s="25"/>
    </row>
    <row r="66" s="2" customFormat="1" ht="37.5" customHeight="1" spans="1:31">
      <c r="A66" s="13">
        <v>64</v>
      </c>
      <c r="B66" s="14" t="s">
        <v>264</v>
      </c>
      <c r="C66" s="15"/>
      <c r="D66" s="15"/>
      <c r="E66" s="61" t="s">
        <v>238</v>
      </c>
      <c r="F66" s="88" t="s">
        <v>81</v>
      </c>
      <c r="G66" s="16" t="s">
        <v>178</v>
      </c>
      <c r="H66" s="16" t="s">
        <v>86</v>
      </c>
      <c r="I66" s="100" t="s">
        <v>1475</v>
      </c>
      <c r="J66" s="101" t="s">
        <v>1476</v>
      </c>
      <c r="K66" s="20"/>
      <c r="L66" s="21"/>
      <c r="M66" s="97"/>
      <c r="N66" s="97"/>
      <c r="O66" s="97"/>
      <c r="P66" s="97"/>
      <c r="Q66" s="97"/>
      <c r="R66" s="97"/>
      <c r="S66" s="97"/>
      <c r="T66" s="97"/>
      <c r="U66" s="97"/>
      <c r="V66" s="97"/>
      <c r="W66" s="78"/>
      <c r="X66" s="85"/>
      <c r="Y66" s="85"/>
      <c r="Z66" s="85"/>
      <c r="AA66" s="85"/>
      <c r="AB66" s="22"/>
      <c r="AC66" s="20"/>
      <c r="AD66" s="98"/>
      <c r="AE66" s="25"/>
    </row>
    <row r="67" s="2" customFormat="1" ht="56.25" customHeight="1" spans="1:31">
      <c r="A67" s="13">
        <v>65</v>
      </c>
      <c r="B67" s="14" t="s">
        <v>268</v>
      </c>
      <c r="C67" s="15"/>
      <c r="D67" s="15"/>
      <c r="E67" s="61" t="s">
        <v>238</v>
      </c>
      <c r="F67" s="88" t="s">
        <v>81</v>
      </c>
      <c r="G67" s="16" t="s">
        <v>178</v>
      </c>
      <c r="H67" s="16" t="s">
        <v>272</v>
      </c>
      <c r="I67" s="100" t="s">
        <v>1477</v>
      </c>
      <c r="J67" s="101" t="s">
        <v>1478</v>
      </c>
      <c r="K67" s="20"/>
      <c r="L67" s="21"/>
      <c r="M67" s="97"/>
      <c r="N67" s="97"/>
      <c r="O67" s="97"/>
      <c r="P67" s="97"/>
      <c r="Q67" s="97"/>
      <c r="R67" s="97"/>
      <c r="S67" s="97"/>
      <c r="T67" s="97"/>
      <c r="U67" s="97"/>
      <c r="V67" s="97"/>
      <c r="W67" s="78"/>
      <c r="X67" s="85"/>
      <c r="Y67" s="85"/>
      <c r="Z67" s="85"/>
      <c r="AA67" s="85"/>
      <c r="AB67" s="22"/>
      <c r="AC67" s="20"/>
      <c r="AD67" s="98"/>
      <c r="AE67" s="25"/>
    </row>
    <row r="68" s="2" customFormat="1" ht="37.5" customHeight="1" spans="1:31">
      <c r="A68" s="13">
        <v>66</v>
      </c>
      <c r="B68" s="14" t="s">
        <v>271</v>
      </c>
      <c r="C68" s="15"/>
      <c r="D68" s="15"/>
      <c r="E68" s="61" t="s">
        <v>238</v>
      </c>
      <c r="F68" s="88" t="s">
        <v>81</v>
      </c>
      <c r="G68" s="16" t="s">
        <v>178</v>
      </c>
      <c r="H68" s="16" t="s">
        <v>276</v>
      </c>
      <c r="I68" s="100" t="s">
        <v>1479</v>
      </c>
      <c r="J68" s="101" t="s">
        <v>1480</v>
      </c>
      <c r="K68" s="20"/>
      <c r="L68" s="21"/>
      <c r="M68" s="97"/>
      <c r="N68" s="97"/>
      <c r="O68" s="97"/>
      <c r="P68" s="97"/>
      <c r="Q68" s="97"/>
      <c r="R68" s="97"/>
      <c r="S68" s="97"/>
      <c r="T68" s="97"/>
      <c r="U68" s="97"/>
      <c r="V68" s="97"/>
      <c r="W68" s="78"/>
      <c r="X68" s="85"/>
      <c r="Y68" s="85"/>
      <c r="Z68" s="85"/>
      <c r="AA68" s="85"/>
      <c r="AB68" s="22"/>
      <c r="AC68" s="20"/>
      <c r="AD68" s="98"/>
      <c r="AE68" s="25"/>
    </row>
    <row r="69" s="2" customFormat="1" ht="37.5" customHeight="1" spans="1:31">
      <c r="A69" s="13">
        <v>67</v>
      </c>
      <c r="B69" s="14" t="s">
        <v>275</v>
      </c>
      <c r="C69" s="15"/>
      <c r="D69" s="15"/>
      <c r="E69" s="61" t="s">
        <v>238</v>
      </c>
      <c r="F69" s="88" t="s">
        <v>81</v>
      </c>
      <c r="G69" s="16" t="s">
        <v>178</v>
      </c>
      <c r="H69" s="16" t="s">
        <v>280</v>
      </c>
      <c r="I69" s="100" t="s">
        <v>1481</v>
      </c>
      <c r="J69" s="101" t="s">
        <v>1482</v>
      </c>
      <c r="K69" s="20"/>
      <c r="L69" s="21"/>
      <c r="M69" s="97"/>
      <c r="N69" s="97"/>
      <c r="O69" s="97"/>
      <c r="P69" s="97"/>
      <c r="Q69" s="97"/>
      <c r="R69" s="97"/>
      <c r="S69" s="97"/>
      <c r="T69" s="97"/>
      <c r="U69" s="97"/>
      <c r="V69" s="97"/>
      <c r="W69" s="78"/>
      <c r="X69" s="85"/>
      <c r="Y69" s="85"/>
      <c r="Z69" s="85"/>
      <c r="AA69" s="85"/>
      <c r="AB69" s="22"/>
      <c r="AC69" s="20"/>
      <c r="AD69" s="98"/>
      <c r="AE69" s="25"/>
    </row>
    <row r="70" s="2" customFormat="1" ht="112.5" customHeight="1" spans="1:31">
      <c r="A70" s="13">
        <v>68</v>
      </c>
      <c r="B70" s="14" t="s">
        <v>279</v>
      </c>
      <c r="C70" s="15"/>
      <c r="D70" s="15"/>
      <c r="E70" s="61" t="s">
        <v>238</v>
      </c>
      <c r="F70" s="88" t="s">
        <v>81</v>
      </c>
      <c r="G70" s="16" t="s">
        <v>178</v>
      </c>
      <c r="H70" s="16" t="s">
        <v>322</v>
      </c>
      <c r="I70" s="100" t="s">
        <v>1483</v>
      </c>
      <c r="J70" s="101" t="s">
        <v>1484</v>
      </c>
      <c r="K70" s="20"/>
      <c r="L70" s="21"/>
      <c r="M70" s="97"/>
      <c r="N70" s="97"/>
      <c r="O70" s="97"/>
      <c r="P70" s="97"/>
      <c r="Q70" s="97"/>
      <c r="R70" s="97"/>
      <c r="S70" s="97"/>
      <c r="T70" s="97"/>
      <c r="U70" s="97"/>
      <c r="V70" s="97"/>
      <c r="W70" s="78"/>
      <c r="X70" s="85"/>
      <c r="Y70" s="85"/>
      <c r="Z70" s="85"/>
      <c r="AA70" s="85"/>
      <c r="AB70" s="22"/>
      <c r="AC70" s="20"/>
      <c r="AD70" s="98"/>
      <c r="AE70" s="25"/>
    </row>
    <row r="71" s="2" customFormat="1" ht="12" customHeight="1" spans="1:31">
      <c r="A71" s="13">
        <v>69</v>
      </c>
      <c r="B71" s="14" t="s">
        <v>283</v>
      </c>
      <c r="C71" s="15" t="s">
        <v>175</v>
      </c>
      <c r="D71" s="15" t="s">
        <v>246</v>
      </c>
      <c r="E71" s="15" t="s">
        <v>247</v>
      </c>
      <c r="F71" s="13" t="s">
        <v>37</v>
      </c>
      <c r="G71" s="16" t="s">
        <v>103</v>
      </c>
      <c r="H71" s="16" t="s">
        <v>39</v>
      </c>
      <c r="I71" s="43" t="s">
        <v>39</v>
      </c>
      <c r="J71" s="16" t="s">
        <v>39</v>
      </c>
      <c r="K71" s="20" t="s">
        <v>39</v>
      </c>
      <c r="L71" s="21" t="s">
        <v>39</v>
      </c>
      <c r="M71" s="97" t="s">
        <v>39</v>
      </c>
      <c r="N71" s="97" t="s">
        <v>39</v>
      </c>
      <c r="O71" s="97" t="s">
        <v>39</v>
      </c>
      <c r="P71" s="97" t="s">
        <v>39</v>
      </c>
      <c r="Q71" s="97" t="s">
        <v>39</v>
      </c>
      <c r="R71" s="97" t="s">
        <v>39</v>
      </c>
      <c r="S71" s="97" t="s">
        <v>39</v>
      </c>
      <c r="T71" s="97" t="s">
        <v>39</v>
      </c>
      <c r="U71" s="97" t="s">
        <v>39</v>
      </c>
      <c r="V71" s="97" t="s">
        <v>39</v>
      </c>
      <c r="W71" s="78"/>
      <c r="X71" s="85" t="s">
        <v>39</v>
      </c>
      <c r="Y71" s="85" t="s">
        <v>39</v>
      </c>
      <c r="Z71" s="85" t="s">
        <v>39</v>
      </c>
      <c r="AA71" s="85" t="s">
        <v>39</v>
      </c>
      <c r="AB71" s="22">
        <v>0.1</v>
      </c>
      <c r="AC71" s="20" t="s">
        <v>39</v>
      </c>
      <c r="AD71" s="98"/>
      <c r="AE71" s="25"/>
    </row>
    <row r="72" s="2" customFormat="1" ht="36" customHeight="1" spans="1:31">
      <c r="A72" s="13">
        <v>70</v>
      </c>
      <c r="B72" s="14" t="s">
        <v>289</v>
      </c>
      <c r="C72" s="15" t="s">
        <v>175</v>
      </c>
      <c r="D72" s="15" t="s">
        <v>246</v>
      </c>
      <c r="E72" s="15" t="s">
        <v>247</v>
      </c>
      <c r="F72" s="13" t="s">
        <v>81</v>
      </c>
      <c r="G72" s="16" t="s">
        <v>103</v>
      </c>
      <c r="H72" s="16" t="s">
        <v>60</v>
      </c>
      <c r="I72" s="17" t="s">
        <v>249</v>
      </c>
      <c r="J72" s="18" t="s">
        <v>250</v>
      </c>
      <c r="K72" s="20" t="s">
        <v>39</v>
      </c>
      <c r="L72" s="21">
        <v>800000</v>
      </c>
      <c r="M72" s="102">
        <v>0.2</v>
      </c>
      <c r="N72" s="97" t="s">
        <v>39</v>
      </c>
      <c r="O72" s="97" t="s">
        <v>39</v>
      </c>
      <c r="P72" s="103" t="s">
        <v>39</v>
      </c>
      <c r="Q72" s="102" t="s">
        <v>39</v>
      </c>
      <c r="R72" s="102" t="s">
        <v>39</v>
      </c>
      <c r="S72" s="97" t="s">
        <v>39</v>
      </c>
      <c r="T72" s="102">
        <v>0.03</v>
      </c>
      <c r="U72" s="102">
        <v>0.04</v>
      </c>
      <c r="V72" s="85" t="s">
        <v>39</v>
      </c>
      <c r="W72" s="97" t="s">
        <v>251</v>
      </c>
      <c r="X72" s="85" t="s">
        <v>39</v>
      </c>
      <c r="Y72" s="85" t="s">
        <v>39</v>
      </c>
      <c r="Z72" s="85" t="s">
        <v>39</v>
      </c>
      <c r="AA72" s="85" t="s">
        <v>39</v>
      </c>
      <c r="AB72" s="22" t="s">
        <v>39</v>
      </c>
      <c r="AC72" s="20" t="s">
        <v>39</v>
      </c>
      <c r="AD72" s="104" t="s">
        <v>252</v>
      </c>
      <c r="AE72" s="25" t="s">
        <v>253</v>
      </c>
    </row>
    <row r="73" s="2" customFormat="1" ht="36" customHeight="1" spans="1:31">
      <c r="A73" s="13">
        <v>71</v>
      </c>
      <c r="B73" s="14" t="s">
        <v>292</v>
      </c>
      <c r="C73" s="15" t="s">
        <v>175</v>
      </c>
      <c r="D73" s="15" t="s">
        <v>246</v>
      </c>
      <c r="E73" s="15" t="s">
        <v>247</v>
      </c>
      <c r="F73" s="13" t="s">
        <v>81</v>
      </c>
      <c r="G73" s="16" t="s">
        <v>103</v>
      </c>
      <c r="H73" s="16" t="s">
        <v>66</v>
      </c>
      <c r="I73" s="17" t="s">
        <v>256</v>
      </c>
      <c r="J73" s="18" t="s">
        <v>257</v>
      </c>
      <c r="K73" s="20" t="s">
        <v>39</v>
      </c>
      <c r="L73" s="21">
        <v>880000</v>
      </c>
      <c r="M73" s="22">
        <v>0.18</v>
      </c>
      <c r="N73" s="20" t="s">
        <v>39</v>
      </c>
      <c r="O73" s="20" t="s">
        <v>39</v>
      </c>
      <c r="P73" s="59" t="s">
        <v>39</v>
      </c>
      <c r="Q73" s="22" t="s">
        <v>39</v>
      </c>
      <c r="R73" s="22" t="s">
        <v>39</v>
      </c>
      <c r="S73" s="20" t="s">
        <v>39</v>
      </c>
      <c r="T73" s="22">
        <v>0.02</v>
      </c>
      <c r="U73" s="22">
        <v>0.03</v>
      </c>
      <c r="V73" s="24" t="s">
        <v>39</v>
      </c>
      <c r="W73" s="20" t="s">
        <v>251</v>
      </c>
      <c r="X73" s="24" t="s">
        <v>39</v>
      </c>
      <c r="Y73" s="24" t="s">
        <v>39</v>
      </c>
      <c r="Z73" s="24" t="s">
        <v>39</v>
      </c>
      <c r="AA73" s="24" t="s">
        <v>39</v>
      </c>
      <c r="AB73" s="22" t="s">
        <v>39</v>
      </c>
      <c r="AC73" s="20" t="s">
        <v>39</v>
      </c>
      <c r="AD73" s="57" t="s">
        <v>252</v>
      </c>
      <c r="AE73" s="25" t="s">
        <v>253</v>
      </c>
    </row>
    <row r="74" s="2" customFormat="1" ht="36" customHeight="1" spans="1:31">
      <c r="A74" s="13">
        <v>72</v>
      </c>
      <c r="B74" s="14" t="s">
        <v>296</v>
      </c>
      <c r="C74" s="15" t="s">
        <v>175</v>
      </c>
      <c r="D74" s="15" t="s">
        <v>246</v>
      </c>
      <c r="E74" s="15" t="s">
        <v>247</v>
      </c>
      <c r="F74" s="13" t="s">
        <v>81</v>
      </c>
      <c r="G74" s="16" t="s">
        <v>103</v>
      </c>
      <c r="H74" s="16" t="s">
        <v>70</v>
      </c>
      <c r="I74" s="17" t="s">
        <v>259</v>
      </c>
      <c r="J74" s="18" t="s">
        <v>260</v>
      </c>
      <c r="K74" s="20" t="s">
        <v>39</v>
      </c>
      <c r="L74" s="21">
        <v>800000</v>
      </c>
      <c r="M74" s="22">
        <v>0.18</v>
      </c>
      <c r="N74" s="20" t="s">
        <v>39</v>
      </c>
      <c r="O74" s="20" t="s">
        <v>39</v>
      </c>
      <c r="P74" s="59" t="s">
        <v>39</v>
      </c>
      <c r="Q74" s="22" t="s">
        <v>39</v>
      </c>
      <c r="R74" s="22" t="s">
        <v>39</v>
      </c>
      <c r="S74" s="20" t="s">
        <v>39</v>
      </c>
      <c r="T74" s="22">
        <v>0.03</v>
      </c>
      <c r="U74" s="22">
        <v>0.03</v>
      </c>
      <c r="V74" s="24" t="s">
        <v>39</v>
      </c>
      <c r="W74" s="20" t="s">
        <v>251</v>
      </c>
      <c r="X74" s="24" t="s">
        <v>39</v>
      </c>
      <c r="Y74" s="24" t="s">
        <v>39</v>
      </c>
      <c r="Z74" s="24" t="s">
        <v>39</v>
      </c>
      <c r="AA74" s="24" t="s">
        <v>39</v>
      </c>
      <c r="AB74" s="22" t="s">
        <v>39</v>
      </c>
      <c r="AC74" s="20" t="s">
        <v>39</v>
      </c>
      <c r="AD74" s="57" t="s">
        <v>252</v>
      </c>
      <c r="AE74" s="25" t="s">
        <v>253</v>
      </c>
    </row>
    <row r="75" s="2" customFormat="1" ht="36" customHeight="1" spans="1:31">
      <c r="A75" s="13">
        <v>73</v>
      </c>
      <c r="B75" s="14" t="s">
        <v>300</v>
      </c>
      <c r="C75" s="15" t="s">
        <v>175</v>
      </c>
      <c r="D75" s="15" t="s">
        <v>246</v>
      </c>
      <c r="E75" s="15" t="s">
        <v>247</v>
      </c>
      <c r="F75" s="13" t="s">
        <v>81</v>
      </c>
      <c r="G75" s="16" t="s">
        <v>103</v>
      </c>
      <c r="H75" s="16" t="s">
        <v>74</v>
      </c>
      <c r="I75" s="17" t="s">
        <v>262</v>
      </c>
      <c r="J75" s="18" t="s">
        <v>263</v>
      </c>
      <c r="K75" s="20" t="s">
        <v>39</v>
      </c>
      <c r="L75" s="21">
        <v>800000</v>
      </c>
      <c r="M75" s="22">
        <v>0.2</v>
      </c>
      <c r="N75" s="20" t="s">
        <v>39</v>
      </c>
      <c r="O75" s="20" t="s">
        <v>39</v>
      </c>
      <c r="P75" s="59" t="s">
        <v>39</v>
      </c>
      <c r="Q75" s="22" t="s">
        <v>39</v>
      </c>
      <c r="R75" s="22" t="s">
        <v>39</v>
      </c>
      <c r="S75" s="20" t="s">
        <v>39</v>
      </c>
      <c r="T75" s="22">
        <v>0.03</v>
      </c>
      <c r="U75" s="22">
        <v>0.04</v>
      </c>
      <c r="V75" s="24" t="s">
        <v>39</v>
      </c>
      <c r="W75" s="20" t="s">
        <v>251</v>
      </c>
      <c r="X75" s="24" t="s">
        <v>39</v>
      </c>
      <c r="Y75" s="24" t="s">
        <v>39</v>
      </c>
      <c r="Z75" s="24" t="s">
        <v>39</v>
      </c>
      <c r="AA75" s="24" t="s">
        <v>39</v>
      </c>
      <c r="AB75" s="22" t="s">
        <v>39</v>
      </c>
      <c r="AC75" s="20" t="s">
        <v>39</v>
      </c>
      <c r="AD75" s="57" t="s">
        <v>252</v>
      </c>
      <c r="AE75" s="25" t="s">
        <v>253</v>
      </c>
    </row>
    <row r="76" s="2" customFormat="1" ht="36" customHeight="1" spans="1:31">
      <c r="A76" s="13">
        <v>74</v>
      </c>
      <c r="B76" s="14" t="s">
        <v>303</v>
      </c>
      <c r="C76" s="15" t="s">
        <v>175</v>
      </c>
      <c r="D76" s="15" t="s">
        <v>246</v>
      </c>
      <c r="E76" s="15" t="s">
        <v>247</v>
      </c>
      <c r="F76" s="13" t="s">
        <v>81</v>
      </c>
      <c r="G76" s="16" t="s">
        <v>103</v>
      </c>
      <c r="H76" s="16" t="s">
        <v>265</v>
      </c>
      <c r="I76" s="17" t="s">
        <v>266</v>
      </c>
      <c r="J76" s="18" t="s">
        <v>267</v>
      </c>
      <c r="K76" s="20" t="s">
        <v>39</v>
      </c>
      <c r="L76" s="21">
        <v>800000</v>
      </c>
      <c r="M76" s="22">
        <v>0.2</v>
      </c>
      <c r="N76" s="20" t="s">
        <v>39</v>
      </c>
      <c r="O76" s="20" t="s">
        <v>39</v>
      </c>
      <c r="P76" s="59" t="s">
        <v>39</v>
      </c>
      <c r="Q76" s="22" t="s">
        <v>39</v>
      </c>
      <c r="R76" s="22" t="s">
        <v>39</v>
      </c>
      <c r="S76" s="20" t="s">
        <v>39</v>
      </c>
      <c r="T76" s="22">
        <v>0.03</v>
      </c>
      <c r="U76" s="22">
        <v>0.04</v>
      </c>
      <c r="V76" s="24" t="s">
        <v>39</v>
      </c>
      <c r="W76" s="20" t="s">
        <v>251</v>
      </c>
      <c r="X76" s="24" t="s">
        <v>39</v>
      </c>
      <c r="Y76" s="24" t="s">
        <v>39</v>
      </c>
      <c r="Z76" s="24" t="s">
        <v>39</v>
      </c>
      <c r="AA76" s="24" t="s">
        <v>39</v>
      </c>
      <c r="AB76" s="22" t="s">
        <v>39</v>
      </c>
      <c r="AC76" s="20" t="s">
        <v>39</v>
      </c>
      <c r="AD76" s="57" t="s">
        <v>252</v>
      </c>
      <c r="AE76" s="25" t="s">
        <v>253</v>
      </c>
    </row>
    <row r="77" s="2" customFormat="1" ht="36" customHeight="1" spans="1:31">
      <c r="A77" s="13">
        <v>75</v>
      </c>
      <c r="B77" s="14" t="s">
        <v>305</v>
      </c>
      <c r="C77" s="15" t="s">
        <v>175</v>
      </c>
      <c r="D77" s="15" t="s">
        <v>246</v>
      </c>
      <c r="E77" s="15" t="s">
        <v>247</v>
      </c>
      <c r="F77" s="13" t="s">
        <v>81</v>
      </c>
      <c r="G77" s="16" t="s">
        <v>103</v>
      </c>
      <c r="H77" s="16" t="s">
        <v>86</v>
      </c>
      <c r="I77" s="17" t="s">
        <v>269</v>
      </c>
      <c r="J77" s="18" t="s">
        <v>270</v>
      </c>
      <c r="K77" s="20" t="s">
        <v>39</v>
      </c>
      <c r="L77" s="21">
        <v>800000</v>
      </c>
      <c r="M77" s="22">
        <v>0.2</v>
      </c>
      <c r="N77" s="20" t="s">
        <v>39</v>
      </c>
      <c r="O77" s="20" t="s">
        <v>39</v>
      </c>
      <c r="P77" s="59" t="s">
        <v>39</v>
      </c>
      <c r="Q77" s="22" t="s">
        <v>39</v>
      </c>
      <c r="R77" s="22" t="s">
        <v>39</v>
      </c>
      <c r="S77" s="20" t="s">
        <v>39</v>
      </c>
      <c r="T77" s="22">
        <v>0.03</v>
      </c>
      <c r="U77" s="22">
        <v>0.04</v>
      </c>
      <c r="V77" s="24" t="s">
        <v>39</v>
      </c>
      <c r="W77" s="20" t="s">
        <v>251</v>
      </c>
      <c r="X77" s="24" t="s">
        <v>39</v>
      </c>
      <c r="Y77" s="24" t="s">
        <v>39</v>
      </c>
      <c r="Z77" s="24" t="s">
        <v>39</v>
      </c>
      <c r="AA77" s="24" t="s">
        <v>39</v>
      </c>
      <c r="AB77" s="22" t="s">
        <v>39</v>
      </c>
      <c r="AC77" s="20" t="s">
        <v>39</v>
      </c>
      <c r="AD77" s="57" t="s">
        <v>252</v>
      </c>
      <c r="AE77" s="25" t="s">
        <v>253</v>
      </c>
    </row>
    <row r="78" s="2" customFormat="1" ht="36" customHeight="1" spans="1:31">
      <c r="A78" s="13">
        <v>76</v>
      </c>
      <c r="B78" s="14" t="s">
        <v>308</v>
      </c>
      <c r="C78" s="15" t="s">
        <v>175</v>
      </c>
      <c r="D78" s="15" t="s">
        <v>246</v>
      </c>
      <c r="E78" s="15" t="s">
        <v>247</v>
      </c>
      <c r="F78" s="13" t="s">
        <v>81</v>
      </c>
      <c r="G78" s="16" t="s">
        <v>103</v>
      </c>
      <c r="H78" s="16" t="s">
        <v>272</v>
      </c>
      <c r="I78" s="17" t="s">
        <v>273</v>
      </c>
      <c r="J78" s="18" t="s">
        <v>274</v>
      </c>
      <c r="K78" s="20" t="s">
        <v>39</v>
      </c>
      <c r="L78" s="21">
        <v>800000</v>
      </c>
      <c r="M78" s="22">
        <v>0.18</v>
      </c>
      <c r="N78" s="20" t="s">
        <v>39</v>
      </c>
      <c r="O78" s="20" t="s">
        <v>39</v>
      </c>
      <c r="P78" s="59" t="s">
        <v>39</v>
      </c>
      <c r="Q78" s="22" t="s">
        <v>39</v>
      </c>
      <c r="R78" s="22" t="s">
        <v>39</v>
      </c>
      <c r="S78" s="20" t="s">
        <v>39</v>
      </c>
      <c r="T78" s="22">
        <v>0.03</v>
      </c>
      <c r="U78" s="22">
        <v>0.03</v>
      </c>
      <c r="V78" s="24" t="s">
        <v>39</v>
      </c>
      <c r="W78" s="20" t="s">
        <v>251</v>
      </c>
      <c r="X78" s="24" t="s">
        <v>39</v>
      </c>
      <c r="Y78" s="24" t="s">
        <v>39</v>
      </c>
      <c r="Z78" s="24" t="s">
        <v>39</v>
      </c>
      <c r="AA78" s="24" t="s">
        <v>39</v>
      </c>
      <c r="AB78" s="22" t="s">
        <v>39</v>
      </c>
      <c r="AC78" s="20" t="s">
        <v>39</v>
      </c>
      <c r="AD78" s="57" t="s">
        <v>252</v>
      </c>
      <c r="AE78" s="25" t="s">
        <v>253</v>
      </c>
    </row>
    <row r="79" s="2" customFormat="1" ht="36" customHeight="1" spans="1:31">
      <c r="A79" s="13">
        <v>77</v>
      </c>
      <c r="B79" s="14" t="s">
        <v>311</v>
      </c>
      <c r="C79" s="15" t="s">
        <v>175</v>
      </c>
      <c r="D79" s="15" t="s">
        <v>246</v>
      </c>
      <c r="E79" s="15" t="s">
        <v>247</v>
      </c>
      <c r="F79" s="13" t="s">
        <v>81</v>
      </c>
      <c r="G79" s="16" t="s">
        <v>103</v>
      </c>
      <c r="H79" s="16" t="s">
        <v>276</v>
      </c>
      <c r="I79" s="17" t="s">
        <v>277</v>
      </c>
      <c r="J79" s="18" t="s">
        <v>278</v>
      </c>
      <c r="K79" s="20" t="s">
        <v>39</v>
      </c>
      <c r="L79" s="21">
        <v>800000</v>
      </c>
      <c r="M79" s="22">
        <v>0.2</v>
      </c>
      <c r="N79" s="20" t="s">
        <v>39</v>
      </c>
      <c r="O79" s="20" t="s">
        <v>39</v>
      </c>
      <c r="P79" s="59" t="s">
        <v>39</v>
      </c>
      <c r="Q79" s="22" t="s">
        <v>39</v>
      </c>
      <c r="R79" s="22" t="s">
        <v>39</v>
      </c>
      <c r="S79" s="20" t="s">
        <v>39</v>
      </c>
      <c r="T79" s="22">
        <v>0.03</v>
      </c>
      <c r="U79" s="22">
        <v>0.04</v>
      </c>
      <c r="V79" s="24" t="s">
        <v>39</v>
      </c>
      <c r="W79" s="20" t="s">
        <v>251</v>
      </c>
      <c r="X79" s="24" t="s">
        <v>39</v>
      </c>
      <c r="Y79" s="24" t="s">
        <v>39</v>
      </c>
      <c r="Z79" s="24" t="s">
        <v>39</v>
      </c>
      <c r="AA79" s="24" t="s">
        <v>39</v>
      </c>
      <c r="AB79" s="22" t="s">
        <v>39</v>
      </c>
      <c r="AC79" s="20" t="s">
        <v>39</v>
      </c>
      <c r="AD79" s="57" t="s">
        <v>252</v>
      </c>
      <c r="AE79" s="25" t="s">
        <v>253</v>
      </c>
    </row>
    <row r="80" s="2" customFormat="1" ht="36" customHeight="1" spans="1:31">
      <c r="A80" s="13">
        <v>78</v>
      </c>
      <c r="B80" s="14" t="s">
        <v>315</v>
      </c>
      <c r="C80" s="15" t="s">
        <v>175</v>
      </c>
      <c r="D80" s="15" t="s">
        <v>246</v>
      </c>
      <c r="E80" s="15" t="s">
        <v>247</v>
      </c>
      <c r="F80" s="13" t="s">
        <v>81</v>
      </c>
      <c r="G80" s="16" t="s">
        <v>103</v>
      </c>
      <c r="H80" s="16" t="s">
        <v>280</v>
      </c>
      <c r="I80" s="17" t="s">
        <v>281</v>
      </c>
      <c r="J80" s="18" t="s">
        <v>282</v>
      </c>
      <c r="K80" s="20" t="s">
        <v>39</v>
      </c>
      <c r="L80" s="21">
        <v>960000</v>
      </c>
      <c r="M80" s="22">
        <v>0.2</v>
      </c>
      <c r="N80" s="20" t="s">
        <v>39</v>
      </c>
      <c r="O80" s="20" t="s">
        <v>39</v>
      </c>
      <c r="P80" s="59" t="s">
        <v>39</v>
      </c>
      <c r="Q80" s="22" t="s">
        <v>39</v>
      </c>
      <c r="R80" s="22" t="s">
        <v>39</v>
      </c>
      <c r="S80" s="20" t="s">
        <v>39</v>
      </c>
      <c r="T80" s="22">
        <v>0.03</v>
      </c>
      <c r="U80" s="22">
        <v>0.04</v>
      </c>
      <c r="V80" s="24" t="s">
        <v>39</v>
      </c>
      <c r="W80" s="20" t="s">
        <v>251</v>
      </c>
      <c r="X80" s="24" t="s">
        <v>39</v>
      </c>
      <c r="Y80" s="24" t="s">
        <v>39</v>
      </c>
      <c r="Z80" s="24" t="s">
        <v>39</v>
      </c>
      <c r="AA80" s="24" t="s">
        <v>39</v>
      </c>
      <c r="AB80" s="22" t="s">
        <v>39</v>
      </c>
      <c r="AC80" s="20" t="s">
        <v>39</v>
      </c>
      <c r="AD80" s="57" t="s">
        <v>252</v>
      </c>
      <c r="AE80" s="25" t="s">
        <v>253</v>
      </c>
    </row>
    <row r="81" s="2" customFormat="1" ht="48" customHeight="1" spans="1:31">
      <c r="A81" s="13">
        <v>79</v>
      </c>
      <c r="B81" s="14" t="s">
        <v>318</v>
      </c>
      <c r="C81" s="15" t="s">
        <v>175</v>
      </c>
      <c r="D81" s="15" t="s">
        <v>246</v>
      </c>
      <c r="E81" s="15" t="s">
        <v>247</v>
      </c>
      <c r="F81" s="13" t="s">
        <v>81</v>
      </c>
      <c r="G81" s="16" t="s">
        <v>103</v>
      </c>
      <c r="H81" s="16" t="s">
        <v>284</v>
      </c>
      <c r="I81" s="17" t="s">
        <v>285</v>
      </c>
      <c r="J81" s="18" t="s">
        <v>286</v>
      </c>
      <c r="K81" s="20" t="s">
        <v>39</v>
      </c>
      <c r="L81" s="21">
        <v>480000</v>
      </c>
      <c r="M81" s="22">
        <v>0.18</v>
      </c>
      <c r="N81" s="20" t="s">
        <v>39</v>
      </c>
      <c r="O81" s="20" t="s">
        <v>39</v>
      </c>
      <c r="P81" s="59" t="s">
        <v>39</v>
      </c>
      <c r="Q81" s="22" t="s">
        <v>39</v>
      </c>
      <c r="R81" s="22" t="s">
        <v>39</v>
      </c>
      <c r="S81" s="20" t="s">
        <v>39</v>
      </c>
      <c r="T81" s="59" t="s">
        <v>39</v>
      </c>
      <c r="U81" s="26"/>
      <c r="V81" s="24" t="s">
        <v>39</v>
      </c>
      <c r="W81" s="20" t="s">
        <v>251</v>
      </c>
      <c r="X81" s="24" t="s">
        <v>39</v>
      </c>
      <c r="Y81" s="24" t="s">
        <v>39</v>
      </c>
      <c r="Z81" s="24" t="s">
        <v>39</v>
      </c>
      <c r="AA81" s="24" t="s">
        <v>39</v>
      </c>
      <c r="AB81" s="22" t="s">
        <v>39</v>
      </c>
      <c r="AC81" s="20" t="s">
        <v>39</v>
      </c>
      <c r="AD81" s="57" t="s">
        <v>287</v>
      </c>
      <c r="AE81" s="25" t="s">
        <v>288</v>
      </c>
    </row>
    <row r="82" s="2" customFormat="1" ht="12" customHeight="1" spans="1:31">
      <c r="A82" s="13">
        <v>80</v>
      </c>
      <c r="B82" s="14" t="s">
        <v>321</v>
      </c>
      <c r="C82" s="15" t="s">
        <v>175</v>
      </c>
      <c r="D82" s="15" t="s">
        <v>290</v>
      </c>
      <c r="E82" s="15" t="s">
        <v>291</v>
      </c>
      <c r="F82" s="13" t="s">
        <v>37</v>
      </c>
      <c r="G82" s="16" t="s">
        <v>103</v>
      </c>
      <c r="H82" s="16" t="s">
        <v>39</v>
      </c>
      <c r="I82" s="43" t="s">
        <v>39</v>
      </c>
      <c r="J82" s="16" t="s">
        <v>39</v>
      </c>
      <c r="K82" s="20" t="s">
        <v>39</v>
      </c>
      <c r="L82" s="21" t="s">
        <v>39</v>
      </c>
      <c r="M82" s="20" t="s">
        <v>39</v>
      </c>
      <c r="N82" s="20" t="s">
        <v>39</v>
      </c>
      <c r="O82" s="20" t="s">
        <v>39</v>
      </c>
      <c r="P82" s="20" t="s">
        <v>39</v>
      </c>
      <c r="Q82" s="20" t="s">
        <v>39</v>
      </c>
      <c r="R82" s="20" t="s">
        <v>39</v>
      </c>
      <c r="S82" s="20" t="s">
        <v>39</v>
      </c>
      <c r="T82" s="20" t="s">
        <v>39</v>
      </c>
      <c r="U82" s="20" t="s">
        <v>39</v>
      </c>
      <c r="V82" s="20" t="s">
        <v>39</v>
      </c>
      <c r="W82" s="44"/>
      <c r="X82" s="24" t="s">
        <v>39</v>
      </c>
      <c r="Y82" s="24" t="s">
        <v>39</v>
      </c>
      <c r="Z82" s="24" t="s">
        <v>39</v>
      </c>
      <c r="AA82" s="24" t="s">
        <v>39</v>
      </c>
      <c r="AB82" s="22">
        <v>0.05</v>
      </c>
      <c r="AC82" s="20" t="s">
        <v>39</v>
      </c>
      <c r="AD82" s="17"/>
      <c r="AE82" s="25"/>
    </row>
    <row r="83" s="2" customFormat="1" ht="60" customHeight="1" spans="1:31">
      <c r="A83" s="13">
        <v>82</v>
      </c>
      <c r="B83" s="14" t="s">
        <v>328</v>
      </c>
      <c r="C83" s="15" t="s">
        <v>175</v>
      </c>
      <c r="D83" s="15" t="s">
        <v>290</v>
      </c>
      <c r="E83" s="15" t="s">
        <v>291</v>
      </c>
      <c r="F83" s="13" t="s">
        <v>81</v>
      </c>
      <c r="G83" s="16" t="s">
        <v>103</v>
      </c>
      <c r="H83" s="16" t="s">
        <v>66</v>
      </c>
      <c r="I83" s="17" t="s">
        <v>297</v>
      </c>
      <c r="J83" s="18" t="s">
        <v>298</v>
      </c>
      <c r="K83" s="20" t="s">
        <v>39</v>
      </c>
      <c r="L83" s="21">
        <v>590000</v>
      </c>
      <c r="M83" s="22">
        <v>0.12</v>
      </c>
      <c r="N83" s="22">
        <v>0.01</v>
      </c>
      <c r="O83" s="22"/>
      <c r="P83" s="22">
        <v>0.01</v>
      </c>
      <c r="Q83" s="22">
        <v>0.01</v>
      </c>
      <c r="R83" s="22">
        <v>0.01</v>
      </c>
      <c r="S83" s="22">
        <v>0.02</v>
      </c>
      <c r="T83" s="22"/>
      <c r="U83" s="26"/>
      <c r="V83" s="20" t="s">
        <v>39</v>
      </c>
      <c r="W83" s="20"/>
      <c r="X83" s="23">
        <v>0.03</v>
      </c>
      <c r="Y83" s="24" t="s">
        <v>39</v>
      </c>
      <c r="Z83" s="20"/>
      <c r="AA83" s="19" t="s">
        <v>39</v>
      </c>
      <c r="AB83" s="22" t="s">
        <v>39</v>
      </c>
      <c r="AC83" s="20" t="s">
        <v>39</v>
      </c>
      <c r="AD83" s="57" t="s">
        <v>294</v>
      </c>
      <c r="AE83" s="25" t="s">
        <v>299</v>
      </c>
    </row>
    <row r="84" s="2" customFormat="1" ht="60" customHeight="1" spans="1:31">
      <c r="A84" s="13">
        <v>83</v>
      </c>
      <c r="B84" s="14" t="s">
        <v>332</v>
      </c>
      <c r="C84" s="15" t="s">
        <v>175</v>
      </c>
      <c r="D84" s="15" t="s">
        <v>290</v>
      </c>
      <c r="E84" s="15" t="s">
        <v>291</v>
      </c>
      <c r="F84" s="13" t="s">
        <v>81</v>
      </c>
      <c r="G84" s="16" t="s">
        <v>103</v>
      </c>
      <c r="H84" s="16" t="s">
        <v>70</v>
      </c>
      <c r="I84" s="17" t="s">
        <v>301</v>
      </c>
      <c r="J84" s="18" t="s">
        <v>302</v>
      </c>
      <c r="K84" s="20" t="s">
        <v>39</v>
      </c>
      <c r="L84" s="21">
        <v>400000</v>
      </c>
      <c r="M84" s="22">
        <v>0.12</v>
      </c>
      <c r="N84" s="22">
        <v>0.01</v>
      </c>
      <c r="O84" s="22"/>
      <c r="P84" s="22">
        <v>0.01</v>
      </c>
      <c r="Q84" s="22">
        <v>0.01</v>
      </c>
      <c r="R84" s="22">
        <v>0.01</v>
      </c>
      <c r="S84" s="22">
        <v>0.02</v>
      </c>
      <c r="T84" s="22">
        <v>0.03</v>
      </c>
      <c r="U84" s="22">
        <v>0.03</v>
      </c>
      <c r="V84" s="20" t="s">
        <v>39</v>
      </c>
      <c r="W84" s="20"/>
      <c r="X84" s="23">
        <v>0.03</v>
      </c>
      <c r="Y84" s="24" t="s">
        <v>39</v>
      </c>
      <c r="Z84" s="20"/>
      <c r="AA84" s="19" t="s">
        <v>39</v>
      </c>
      <c r="AB84" s="22" t="s">
        <v>39</v>
      </c>
      <c r="AC84" s="20" t="s">
        <v>39</v>
      </c>
      <c r="AD84" s="104" t="s">
        <v>294</v>
      </c>
      <c r="AE84" s="25" t="s">
        <v>299</v>
      </c>
    </row>
    <row r="85" s="2" customFormat="1" ht="60" customHeight="1" spans="1:31">
      <c r="A85" s="13">
        <v>84</v>
      </c>
      <c r="B85" s="14" t="s">
        <v>338</v>
      </c>
      <c r="C85" s="15" t="s">
        <v>175</v>
      </c>
      <c r="D85" s="15" t="s">
        <v>290</v>
      </c>
      <c r="E85" s="15" t="s">
        <v>291</v>
      </c>
      <c r="F85" s="13" t="s">
        <v>81</v>
      </c>
      <c r="G85" s="16" t="s">
        <v>103</v>
      </c>
      <c r="H85" s="16" t="s">
        <v>265</v>
      </c>
      <c r="I85" s="17" t="s">
        <v>98</v>
      </c>
      <c r="J85" s="18" t="s">
        <v>304</v>
      </c>
      <c r="K85" s="20" t="s">
        <v>39</v>
      </c>
      <c r="L85" s="21">
        <v>240000</v>
      </c>
      <c r="M85" s="22">
        <v>0.05</v>
      </c>
      <c r="N85" s="22">
        <v>0.01</v>
      </c>
      <c r="O85" s="22"/>
      <c r="P85" s="22">
        <v>0.01</v>
      </c>
      <c r="Q85" s="22">
        <v>0.01</v>
      </c>
      <c r="R85" s="22">
        <v>0.01</v>
      </c>
      <c r="S85" s="22">
        <v>0.01</v>
      </c>
      <c r="T85" s="22"/>
      <c r="U85" s="26"/>
      <c r="V85" s="20" t="s">
        <v>39</v>
      </c>
      <c r="W85" s="20"/>
      <c r="X85" s="23">
        <v>0.03</v>
      </c>
      <c r="Y85" s="24" t="s">
        <v>39</v>
      </c>
      <c r="Z85" s="20"/>
      <c r="AA85" s="19" t="s">
        <v>39</v>
      </c>
      <c r="AB85" s="22" t="s">
        <v>39</v>
      </c>
      <c r="AC85" s="20" t="s">
        <v>39</v>
      </c>
      <c r="AD85" s="104" t="s">
        <v>294</v>
      </c>
      <c r="AE85" s="25" t="s">
        <v>299</v>
      </c>
    </row>
    <row r="86" s="2" customFormat="1" ht="60" customHeight="1" spans="1:31">
      <c r="A86" s="13">
        <v>86</v>
      </c>
      <c r="B86" s="14" t="s">
        <v>345</v>
      </c>
      <c r="C86" s="15" t="s">
        <v>175</v>
      </c>
      <c r="D86" s="15" t="s">
        <v>290</v>
      </c>
      <c r="E86" s="15" t="s">
        <v>291</v>
      </c>
      <c r="F86" s="13" t="s">
        <v>81</v>
      </c>
      <c r="G86" s="16" t="s">
        <v>103</v>
      </c>
      <c r="H86" s="16" t="s">
        <v>272</v>
      </c>
      <c r="I86" s="17" t="s">
        <v>309</v>
      </c>
      <c r="J86" s="18" t="s">
        <v>310</v>
      </c>
      <c r="K86" s="20" t="s">
        <v>39</v>
      </c>
      <c r="L86" s="21">
        <v>365000</v>
      </c>
      <c r="M86" s="22">
        <v>0.12</v>
      </c>
      <c r="N86" s="22">
        <v>0.01</v>
      </c>
      <c r="O86" s="22"/>
      <c r="P86" s="22">
        <v>0.01</v>
      </c>
      <c r="Q86" s="22">
        <v>0.01</v>
      </c>
      <c r="R86" s="22">
        <v>0.01</v>
      </c>
      <c r="S86" s="22">
        <v>0.02</v>
      </c>
      <c r="T86" s="22"/>
      <c r="U86" s="26"/>
      <c r="V86" s="20" t="s">
        <v>39</v>
      </c>
      <c r="W86" s="20"/>
      <c r="X86" s="23">
        <v>0.03</v>
      </c>
      <c r="Y86" s="24" t="s">
        <v>39</v>
      </c>
      <c r="Z86" s="20"/>
      <c r="AA86" s="19" t="s">
        <v>39</v>
      </c>
      <c r="AB86" s="22" t="s">
        <v>39</v>
      </c>
      <c r="AC86" s="20" t="s">
        <v>39</v>
      </c>
      <c r="AD86" s="104" t="s">
        <v>294</v>
      </c>
      <c r="AE86" s="25" t="s">
        <v>299</v>
      </c>
    </row>
    <row r="87" s="2" customFormat="1" ht="60" customHeight="1" spans="1:31">
      <c r="A87" s="13">
        <v>89</v>
      </c>
      <c r="B87" s="14" t="s">
        <v>352</v>
      </c>
      <c r="C87" s="15" t="s">
        <v>175</v>
      </c>
      <c r="D87" s="15" t="s">
        <v>290</v>
      </c>
      <c r="E87" s="15" t="s">
        <v>291</v>
      </c>
      <c r="F87" s="13" t="s">
        <v>81</v>
      </c>
      <c r="G87" s="16" t="s">
        <v>103</v>
      </c>
      <c r="H87" s="16" t="s">
        <v>284</v>
      </c>
      <c r="I87" s="17" t="s">
        <v>319</v>
      </c>
      <c r="J87" s="18" t="s">
        <v>320</v>
      </c>
      <c r="K87" s="20" t="s">
        <v>39</v>
      </c>
      <c r="L87" s="21">
        <v>1440000</v>
      </c>
      <c r="M87" s="22">
        <v>0.12</v>
      </c>
      <c r="N87" s="22">
        <v>0.01</v>
      </c>
      <c r="O87" s="22"/>
      <c r="P87" s="22">
        <v>0.01</v>
      </c>
      <c r="Q87" s="22">
        <v>0.01</v>
      </c>
      <c r="R87" s="22">
        <v>0.01</v>
      </c>
      <c r="S87" s="22">
        <v>0.02</v>
      </c>
      <c r="T87" s="22">
        <v>0.03</v>
      </c>
      <c r="U87" s="22">
        <v>0.02</v>
      </c>
      <c r="V87" s="20" t="s">
        <v>39</v>
      </c>
      <c r="W87" s="20"/>
      <c r="X87" s="23">
        <v>0.03</v>
      </c>
      <c r="Y87" s="24" t="s">
        <v>39</v>
      </c>
      <c r="Z87" s="20"/>
      <c r="AA87" s="19" t="s">
        <v>39</v>
      </c>
      <c r="AB87" s="22" t="s">
        <v>39</v>
      </c>
      <c r="AC87" s="20" t="s">
        <v>39</v>
      </c>
      <c r="AD87" s="104" t="s">
        <v>294</v>
      </c>
      <c r="AE87" s="25" t="s">
        <v>299</v>
      </c>
    </row>
    <row r="88" s="2" customFormat="1" ht="60" customHeight="1" spans="1:31">
      <c r="A88" s="13">
        <v>90</v>
      </c>
      <c r="B88" s="14" t="s">
        <v>355</v>
      </c>
      <c r="C88" s="15" t="s">
        <v>175</v>
      </c>
      <c r="D88" s="15" t="s">
        <v>290</v>
      </c>
      <c r="E88" s="15" t="s">
        <v>291</v>
      </c>
      <c r="F88" s="13" t="s">
        <v>81</v>
      </c>
      <c r="G88" s="16" t="s">
        <v>103</v>
      </c>
      <c r="H88" s="16" t="s">
        <v>322</v>
      </c>
      <c r="I88" s="17" t="s">
        <v>323</v>
      </c>
      <c r="J88" s="18" t="s">
        <v>324</v>
      </c>
      <c r="K88" s="20" t="s">
        <v>39</v>
      </c>
      <c r="L88" s="21">
        <v>560000</v>
      </c>
      <c r="M88" s="22">
        <v>0.12</v>
      </c>
      <c r="N88" s="22">
        <v>0.01</v>
      </c>
      <c r="O88" s="22"/>
      <c r="P88" s="22">
        <v>0.01</v>
      </c>
      <c r="Q88" s="22">
        <v>0.01</v>
      </c>
      <c r="R88" s="22">
        <v>0.01</v>
      </c>
      <c r="S88" s="22">
        <v>0.02</v>
      </c>
      <c r="T88" s="22">
        <v>0.04</v>
      </c>
      <c r="U88" s="22">
        <v>0.04</v>
      </c>
      <c r="V88" s="20" t="s">
        <v>39</v>
      </c>
      <c r="W88" s="20"/>
      <c r="X88" s="23">
        <v>0.03</v>
      </c>
      <c r="Y88" s="24" t="s">
        <v>39</v>
      </c>
      <c r="Z88" s="20"/>
      <c r="AA88" s="19" t="s">
        <v>39</v>
      </c>
      <c r="AB88" s="22" t="s">
        <v>39</v>
      </c>
      <c r="AC88" s="20" t="s">
        <v>39</v>
      </c>
      <c r="AD88" s="104" t="s">
        <v>294</v>
      </c>
      <c r="AE88" s="25" t="s">
        <v>299</v>
      </c>
    </row>
    <row r="89" s="2" customFormat="1" ht="12" customHeight="1" spans="1:31">
      <c r="A89" s="13">
        <v>94</v>
      </c>
      <c r="B89" s="14" t="s">
        <v>365</v>
      </c>
      <c r="C89" s="15" t="s">
        <v>175</v>
      </c>
      <c r="D89" s="15" t="s">
        <v>336</v>
      </c>
      <c r="E89" s="15" t="s">
        <v>337</v>
      </c>
      <c r="F89" s="88" t="s">
        <v>37</v>
      </c>
      <c r="G89" s="16" t="s">
        <v>103</v>
      </c>
      <c r="H89" s="89" t="s">
        <v>39</v>
      </c>
      <c r="I89" s="88" t="s">
        <v>39</v>
      </c>
      <c r="J89" s="89" t="s">
        <v>39</v>
      </c>
      <c r="K89" s="19" t="s">
        <v>39</v>
      </c>
      <c r="L89" s="21" t="s">
        <v>39</v>
      </c>
      <c r="M89" s="105" t="s">
        <v>39</v>
      </c>
      <c r="N89" s="47"/>
      <c r="O89" s="19" t="s">
        <v>39</v>
      </c>
      <c r="P89" s="19" t="s">
        <v>39</v>
      </c>
      <c r="Q89" s="19" t="s">
        <v>39</v>
      </c>
      <c r="R89" s="47"/>
      <c r="S89" s="47"/>
      <c r="T89" s="47"/>
      <c r="U89" s="47"/>
      <c r="V89" s="47"/>
      <c r="W89" s="47"/>
      <c r="X89" s="23">
        <v>0.13</v>
      </c>
      <c r="Y89" s="106"/>
      <c r="Z89" s="19" t="s">
        <v>39</v>
      </c>
      <c r="AA89" s="19" t="s">
        <v>39</v>
      </c>
      <c r="AB89" s="107">
        <v>0.05</v>
      </c>
      <c r="AC89" s="19" t="s">
        <v>39</v>
      </c>
      <c r="AD89" s="57" t="s">
        <v>104</v>
      </c>
      <c r="AE89" s="25"/>
    </row>
    <row r="90" s="2" customFormat="1" ht="24" customHeight="1" spans="1:31">
      <c r="A90" s="13">
        <v>95</v>
      </c>
      <c r="B90" s="14" t="s">
        <v>368</v>
      </c>
      <c r="C90" s="15" t="s">
        <v>175</v>
      </c>
      <c r="D90" s="15" t="s">
        <v>336</v>
      </c>
      <c r="E90" s="15" t="s">
        <v>337</v>
      </c>
      <c r="F90" s="13" t="s">
        <v>81</v>
      </c>
      <c r="G90" s="16" t="s">
        <v>103</v>
      </c>
      <c r="H90" s="16" t="s">
        <v>60</v>
      </c>
      <c r="I90" s="43" t="s">
        <v>339</v>
      </c>
      <c r="J90" s="18" t="s">
        <v>340</v>
      </c>
      <c r="K90" s="20" t="s">
        <v>39</v>
      </c>
      <c r="L90" s="21">
        <v>2400000</v>
      </c>
      <c r="M90" s="22">
        <v>0.18</v>
      </c>
      <c r="N90" s="20" t="s">
        <v>39</v>
      </c>
      <c r="O90" s="20" t="s">
        <v>39</v>
      </c>
      <c r="P90" s="22" t="s">
        <v>39</v>
      </c>
      <c r="Q90" s="22" t="s">
        <v>39</v>
      </c>
      <c r="R90" s="22"/>
      <c r="S90" s="108">
        <v>500</v>
      </c>
      <c r="T90" s="22">
        <v>0.03</v>
      </c>
      <c r="U90" s="22">
        <v>0.04</v>
      </c>
      <c r="V90" s="20" t="s">
        <v>39</v>
      </c>
      <c r="W90" s="20">
        <v>0.5</v>
      </c>
      <c r="X90" s="23">
        <v>0.13</v>
      </c>
      <c r="Y90" s="24" t="s">
        <v>39</v>
      </c>
      <c r="Z90" s="24" t="s">
        <v>39</v>
      </c>
      <c r="AA90" s="24" t="s">
        <v>39</v>
      </c>
      <c r="AB90" s="22" t="s">
        <v>39</v>
      </c>
      <c r="AC90" s="20" t="s">
        <v>39</v>
      </c>
      <c r="AD90" s="104" t="s">
        <v>341</v>
      </c>
      <c r="AE90" s="25" t="s">
        <v>299</v>
      </c>
    </row>
    <row r="91" s="2" customFormat="1" ht="24" customHeight="1" spans="1:31">
      <c r="A91" s="13">
        <v>96</v>
      </c>
      <c r="B91" s="14" t="s">
        <v>371</v>
      </c>
      <c r="C91" s="15" t="s">
        <v>175</v>
      </c>
      <c r="D91" s="15" t="s">
        <v>336</v>
      </c>
      <c r="E91" s="15" t="s">
        <v>337</v>
      </c>
      <c r="F91" s="13" t="s">
        <v>81</v>
      </c>
      <c r="G91" s="16" t="s">
        <v>103</v>
      </c>
      <c r="H91" s="16" t="s">
        <v>66</v>
      </c>
      <c r="I91" s="43" t="s">
        <v>344</v>
      </c>
      <c r="J91" s="18" t="s">
        <v>340</v>
      </c>
      <c r="K91" s="20" t="s">
        <v>39</v>
      </c>
      <c r="L91" s="21">
        <v>1400000</v>
      </c>
      <c r="M91" s="22">
        <v>0.19</v>
      </c>
      <c r="N91" s="20" t="s">
        <v>39</v>
      </c>
      <c r="O91" s="20" t="s">
        <v>39</v>
      </c>
      <c r="P91" s="22" t="s">
        <v>39</v>
      </c>
      <c r="Q91" s="22" t="s">
        <v>39</v>
      </c>
      <c r="R91" s="22"/>
      <c r="S91" s="108">
        <v>500</v>
      </c>
      <c r="T91" s="22">
        <v>0.03</v>
      </c>
      <c r="U91" s="22">
        <v>0.04</v>
      </c>
      <c r="V91" s="20" t="s">
        <v>39</v>
      </c>
      <c r="W91" s="20">
        <v>0.5</v>
      </c>
      <c r="X91" s="23">
        <v>0.13</v>
      </c>
      <c r="Y91" s="24" t="s">
        <v>39</v>
      </c>
      <c r="Z91" s="24" t="s">
        <v>39</v>
      </c>
      <c r="AA91" s="24" t="s">
        <v>39</v>
      </c>
      <c r="AB91" s="109" t="s">
        <v>39</v>
      </c>
      <c r="AC91" s="20" t="s">
        <v>39</v>
      </c>
      <c r="AD91" s="104" t="s">
        <v>341</v>
      </c>
      <c r="AE91" s="25" t="s">
        <v>299</v>
      </c>
    </row>
    <row r="92" s="2" customFormat="1" ht="24" customHeight="1" spans="1:31">
      <c r="A92" s="13">
        <v>97</v>
      </c>
      <c r="B92" s="14" t="s">
        <v>376</v>
      </c>
      <c r="C92" s="15" t="s">
        <v>175</v>
      </c>
      <c r="D92" s="15" t="s">
        <v>336</v>
      </c>
      <c r="E92" s="15" t="s">
        <v>337</v>
      </c>
      <c r="F92" s="13" t="s">
        <v>81</v>
      </c>
      <c r="G92" s="16" t="s">
        <v>103</v>
      </c>
      <c r="H92" s="16" t="s">
        <v>70</v>
      </c>
      <c r="I92" s="43" t="s">
        <v>256</v>
      </c>
      <c r="J92" s="18" t="s">
        <v>346</v>
      </c>
      <c r="K92" s="20" t="s">
        <v>39</v>
      </c>
      <c r="L92" s="21">
        <v>2000000</v>
      </c>
      <c r="M92" s="22">
        <v>0.21</v>
      </c>
      <c r="N92" s="20" t="s">
        <v>39</v>
      </c>
      <c r="O92" s="20" t="s">
        <v>39</v>
      </c>
      <c r="P92" s="22" t="s">
        <v>39</v>
      </c>
      <c r="Q92" s="22" t="s">
        <v>39</v>
      </c>
      <c r="R92" s="22"/>
      <c r="S92" s="108">
        <v>500</v>
      </c>
      <c r="T92" s="22">
        <v>0.03</v>
      </c>
      <c r="U92" s="22">
        <v>0.04</v>
      </c>
      <c r="V92" s="20" t="s">
        <v>39</v>
      </c>
      <c r="W92" s="20">
        <v>0.5</v>
      </c>
      <c r="X92" s="23">
        <v>0.13</v>
      </c>
      <c r="Y92" s="24" t="s">
        <v>39</v>
      </c>
      <c r="Z92" s="24" t="s">
        <v>39</v>
      </c>
      <c r="AA92" s="110" t="s">
        <v>39</v>
      </c>
      <c r="AB92" s="102" t="s">
        <v>39</v>
      </c>
      <c r="AC92" s="111" t="s">
        <v>39</v>
      </c>
      <c r="AD92" s="57" t="s">
        <v>341</v>
      </c>
      <c r="AE92" s="25" t="s">
        <v>299</v>
      </c>
    </row>
    <row r="93" s="2" customFormat="1" ht="24" customHeight="1" spans="1:31">
      <c r="A93" s="13">
        <v>98</v>
      </c>
      <c r="B93" s="14" t="s">
        <v>379</v>
      </c>
      <c r="C93" s="15" t="s">
        <v>175</v>
      </c>
      <c r="D93" s="15" t="s">
        <v>336</v>
      </c>
      <c r="E93" s="15" t="s">
        <v>337</v>
      </c>
      <c r="F93" s="13" t="s">
        <v>81</v>
      </c>
      <c r="G93" s="16" t="s">
        <v>103</v>
      </c>
      <c r="H93" s="16" t="s">
        <v>74</v>
      </c>
      <c r="I93" s="43" t="s">
        <v>348</v>
      </c>
      <c r="J93" s="18" t="s">
        <v>349</v>
      </c>
      <c r="K93" s="20" t="s">
        <v>39</v>
      </c>
      <c r="L93" s="21">
        <v>1080000</v>
      </c>
      <c r="M93" s="22">
        <v>0.2</v>
      </c>
      <c r="N93" s="20" t="s">
        <v>39</v>
      </c>
      <c r="O93" s="20" t="s">
        <v>39</v>
      </c>
      <c r="P93" s="22" t="s">
        <v>39</v>
      </c>
      <c r="Q93" s="22" t="s">
        <v>39</v>
      </c>
      <c r="R93" s="22"/>
      <c r="S93" s="108">
        <v>500</v>
      </c>
      <c r="T93" s="22">
        <v>0.03</v>
      </c>
      <c r="U93" s="22">
        <v>0.04</v>
      </c>
      <c r="V93" s="20" t="s">
        <v>39</v>
      </c>
      <c r="W93" s="20">
        <v>0.5</v>
      </c>
      <c r="X93" s="23">
        <v>0.13</v>
      </c>
      <c r="Y93" s="24" t="s">
        <v>39</v>
      </c>
      <c r="Z93" s="24" t="s">
        <v>39</v>
      </c>
      <c r="AA93" s="24" t="s">
        <v>39</v>
      </c>
      <c r="AB93" s="112" t="s">
        <v>39</v>
      </c>
      <c r="AC93" s="20" t="s">
        <v>39</v>
      </c>
      <c r="AD93" s="57" t="s">
        <v>341</v>
      </c>
      <c r="AE93" s="25" t="s">
        <v>299</v>
      </c>
    </row>
    <row r="94" s="2" customFormat="1" ht="24" customHeight="1" spans="1:31">
      <c r="A94" s="13">
        <v>99</v>
      </c>
      <c r="B94" s="14" t="s">
        <v>382</v>
      </c>
      <c r="C94" s="15" t="s">
        <v>175</v>
      </c>
      <c r="D94" s="15" t="s">
        <v>336</v>
      </c>
      <c r="E94" s="15" t="s">
        <v>337</v>
      </c>
      <c r="F94" s="13" t="s">
        <v>81</v>
      </c>
      <c r="G94" s="16" t="s">
        <v>103</v>
      </c>
      <c r="H94" s="16" t="s">
        <v>265</v>
      </c>
      <c r="I94" s="43" t="s">
        <v>351</v>
      </c>
      <c r="J94" s="18" t="s">
        <v>349</v>
      </c>
      <c r="K94" s="20" t="s">
        <v>39</v>
      </c>
      <c r="L94" s="21">
        <v>920000</v>
      </c>
      <c r="M94" s="22">
        <v>0.2</v>
      </c>
      <c r="N94" s="20" t="s">
        <v>39</v>
      </c>
      <c r="O94" s="20" t="s">
        <v>39</v>
      </c>
      <c r="P94" s="22" t="s">
        <v>39</v>
      </c>
      <c r="Q94" s="22" t="s">
        <v>39</v>
      </c>
      <c r="R94" s="22"/>
      <c r="S94" s="108">
        <v>500</v>
      </c>
      <c r="T94" s="22">
        <v>0.03</v>
      </c>
      <c r="U94" s="22">
        <v>0.04</v>
      </c>
      <c r="V94" s="20" t="s">
        <v>39</v>
      </c>
      <c r="W94" s="20">
        <v>0.5</v>
      </c>
      <c r="X94" s="23">
        <v>0.13</v>
      </c>
      <c r="Y94" s="24" t="s">
        <v>39</v>
      </c>
      <c r="Z94" s="24" t="s">
        <v>39</v>
      </c>
      <c r="AA94" s="24" t="s">
        <v>39</v>
      </c>
      <c r="AB94" s="22" t="s">
        <v>39</v>
      </c>
      <c r="AC94" s="20" t="s">
        <v>39</v>
      </c>
      <c r="AD94" s="57" t="s">
        <v>341</v>
      </c>
      <c r="AE94" s="25" t="s">
        <v>299</v>
      </c>
    </row>
    <row r="95" s="2" customFormat="1" ht="24" customHeight="1" spans="1:31">
      <c r="A95" s="13">
        <v>100</v>
      </c>
      <c r="B95" s="14" t="s">
        <v>385</v>
      </c>
      <c r="C95" s="15" t="s">
        <v>175</v>
      </c>
      <c r="D95" s="15" t="s">
        <v>336</v>
      </c>
      <c r="E95" s="15" t="s">
        <v>337</v>
      </c>
      <c r="F95" s="13" t="s">
        <v>81</v>
      </c>
      <c r="G95" s="16" t="s">
        <v>103</v>
      </c>
      <c r="H95" s="16" t="s">
        <v>86</v>
      </c>
      <c r="I95" s="43" t="s">
        <v>353</v>
      </c>
      <c r="J95" s="18" t="s">
        <v>354</v>
      </c>
      <c r="K95" s="20" t="s">
        <v>39</v>
      </c>
      <c r="L95" s="21">
        <v>720000</v>
      </c>
      <c r="M95" s="22">
        <v>0.23</v>
      </c>
      <c r="N95" s="20" t="s">
        <v>39</v>
      </c>
      <c r="O95" s="20" t="s">
        <v>39</v>
      </c>
      <c r="P95" s="22" t="s">
        <v>39</v>
      </c>
      <c r="Q95" s="22" t="s">
        <v>39</v>
      </c>
      <c r="R95" s="22"/>
      <c r="S95" s="108">
        <v>500</v>
      </c>
      <c r="T95" s="22">
        <v>0.03</v>
      </c>
      <c r="U95" s="22">
        <v>0.04</v>
      </c>
      <c r="V95" s="20" t="s">
        <v>39</v>
      </c>
      <c r="W95" s="20">
        <v>0.5</v>
      </c>
      <c r="X95" s="23">
        <v>0.13</v>
      </c>
      <c r="Y95" s="24" t="s">
        <v>39</v>
      </c>
      <c r="Z95" s="24" t="s">
        <v>39</v>
      </c>
      <c r="AA95" s="24" t="s">
        <v>39</v>
      </c>
      <c r="AB95" s="22" t="s">
        <v>39</v>
      </c>
      <c r="AC95" s="20" t="s">
        <v>39</v>
      </c>
      <c r="AD95" s="57" t="s">
        <v>341</v>
      </c>
      <c r="AE95" s="25" t="s">
        <v>299</v>
      </c>
    </row>
    <row r="96" s="2" customFormat="1" ht="24" customHeight="1" spans="1:31">
      <c r="A96" s="13">
        <v>101</v>
      </c>
      <c r="B96" s="14" t="s">
        <v>388</v>
      </c>
      <c r="C96" s="15" t="s">
        <v>175</v>
      </c>
      <c r="D96" s="15" t="s">
        <v>336</v>
      </c>
      <c r="E96" s="15" t="s">
        <v>337</v>
      </c>
      <c r="F96" s="13" t="s">
        <v>81</v>
      </c>
      <c r="G96" s="16" t="s">
        <v>103</v>
      </c>
      <c r="H96" s="16" t="s">
        <v>272</v>
      </c>
      <c r="I96" s="43" t="s">
        <v>356</v>
      </c>
      <c r="J96" s="18" t="s">
        <v>354</v>
      </c>
      <c r="K96" s="20" t="s">
        <v>39</v>
      </c>
      <c r="L96" s="21">
        <v>1080000</v>
      </c>
      <c r="M96" s="22">
        <v>0.23</v>
      </c>
      <c r="N96" s="20" t="s">
        <v>39</v>
      </c>
      <c r="O96" s="20" t="s">
        <v>39</v>
      </c>
      <c r="P96" s="22" t="s">
        <v>39</v>
      </c>
      <c r="Q96" s="22" t="s">
        <v>39</v>
      </c>
      <c r="R96" s="22"/>
      <c r="S96" s="108">
        <v>500</v>
      </c>
      <c r="T96" s="22">
        <v>0.03</v>
      </c>
      <c r="U96" s="22">
        <v>0.04</v>
      </c>
      <c r="V96" s="20" t="s">
        <v>39</v>
      </c>
      <c r="W96" s="20">
        <v>0.5</v>
      </c>
      <c r="X96" s="23">
        <v>0.13</v>
      </c>
      <c r="Y96" s="24" t="s">
        <v>39</v>
      </c>
      <c r="Z96" s="24" t="s">
        <v>39</v>
      </c>
      <c r="AA96" s="24" t="s">
        <v>39</v>
      </c>
      <c r="AB96" s="22" t="s">
        <v>39</v>
      </c>
      <c r="AC96" s="20" t="s">
        <v>39</v>
      </c>
      <c r="AD96" s="57" t="s">
        <v>341</v>
      </c>
      <c r="AE96" s="25" t="s">
        <v>299</v>
      </c>
    </row>
    <row r="97" s="2" customFormat="1" ht="24" customHeight="1" spans="1:31">
      <c r="A97" s="13">
        <v>102</v>
      </c>
      <c r="B97" s="14" t="s">
        <v>391</v>
      </c>
      <c r="C97" s="15" t="s">
        <v>175</v>
      </c>
      <c r="D97" s="15" t="s">
        <v>336</v>
      </c>
      <c r="E97" s="15" t="s">
        <v>337</v>
      </c>
      <c r="F97" s="13" t="s">
        <v>81</v>
      </c>
      <c r="G97" s="16" t="s">
        <v>103</v>
      </c>
      <c r="H97" s="16" t="s">
        <v>276</v>
      </c>
      <c r="I97" s="43" t="s">
        <v>358</v>
      </c>
      <c r="J97" s="18" t="s">
        <v>250</v>
      </c>
      <c r="K97" s="20" t="s">
        <v>39</v>
      </c>
      <c r="L97" s="21">
        <v>880000</v>
      </c>
      <c r="M97" s="22">
        <v>0.23</v>
      </c>
      <c r="N97" s="20" t="s">
        <v>39</v>
      </c>
      <c r="O97" s="20" t="s">
        <v>39</v>
      </c>
      <c r="P97" s="22" t="s">
        <v>39</v>
      </c>
      <c r="Q97" s="22" t="s">
        <v>39</v>
      </c>
      <c r="R97" s="22"/>
      <c r="S97" s="108">
        <v>500</v>
      </c>
      <c r="T97" s="22">
        <v>0.03</v>
      </c>
      <c r="U97" s="22">
        <v>0.04</v>
      </c>
      <c r="V97" s="20" t="s">
        <v>39</v>
      </c>
      <c r="W97" s="20">
        <v>0.5</v>
      </c>
      <c r="X97" s="23">
        <v>0.13</v>
      </c>
      <c r="Y97" s="24" t="s">
        <v>39</v>
      </c>
      <c r="Z97" s="24" t="s">
        <v>39</v>
      </c>
      <c r="AA97" s="24" t="s">
        <v>39</v>
      </c>
      <c r="AB97" s="22" t="s">
        <v>39</v>
      </c>
      <c r="AC97" s="20" t="s">
        <v>39</v>
      </c>
      <c r="AD97" s="57" t="s">
        <v>341</v>
      </c>
      <c r="AE97" s="25" t="s">
        <v>299</v>
      </c>
    </row>
    <row r="98" s="2" customFormat="1" ht="24" customHeight="1" spans="1:31">
      <c r="A98" s="13">
        <v>103</v>
      </c>
      <c r="B98" s="14" t="s">
        <v>394</v>
      </c>
      <c r="C98" s="15" t="s">
        <v>175</v>
      </c>
      <c r="D98" s="15" t="s">
        <v>336</v>
      </c>
      <c r="E98" s="15" t="s">
        <v>337</v>
      </c>
      <c r="F98" s="13" t="s">
        <v>81</v>
      </c>
      <c r="G98" s="16" t="s">
        <v>103</v>
      </c>
      <c r="H98" s="16" t="s">
        <v>280</v>
      </c>
      <c r="I98" s="43" t="s">
        <v>360</v>
      </c>
      <c r="J98" s="18" t="s">
        <v>346</v>
      </c>
      <c r="K98" s="20" t="s">
        <v>39</v>
      </c>
      <c r="L98" s="21">
        <v>880000</v>
      </c>
      <c r="M98" s="22">
        <v>0.23</v>
      </c>
      <c r="N98" s="20" t="s">
        <v>39</v>
      </c>
      <c r="O98" s="20" t="s">
        <v>39</v>
      </c>
      <c r="P98" s="22" t="s">
        <v>39</v>
      </c>
      <c r="Q98" s="22" t="s">
        <v>39</v>
      </c>
      <c r="R98" s="22"/>
      <c r="S98" s="108">
        <v>500</v>
      </c>
      <c r="T98" s="22">
        <v>0.03</v>
      </c>
      <c r="U98" s="22">
        <v>0.04</v>
      </c>
      <c r="V98" s="20" t="s">
        <v>39</v>
      </c>
      <c r="W98" s="20">
        <v>0.5</v>
      </c>
      <c r="X98" s="23">
        <v>0.13</v>
      </c>
      <c r="Y98" s="24" t="s">
        <v>39</v>
      </c>
      <c r="Z98" s="24" t="s">
        <v>39</v>
      </c>
      <c r="AA98" s="24" t="s">
        <v>39</v>
      </c>
      <c r="AB98" s="22" t="s">
        <v>39</v>
      </c>
      <c r="AC98" s="20" t="s">
        <v>39</v>
      </c>
      <c r="AD98" s="57" t="s">
        <v>341</v>
      </c>
      <c r="AE98" s="25" t="s">
        <v>299</v>
      </c>
    </row>
    <row r="99" s="2" customFormat="1" ht="36" customHeight="1" spans="1:31">
      <c r="A99" s="13">
        <v>104</v>
      </c>
      <c r="B99" s="14" t="s">
        <v>397</v>
      </c>
      <c r="C99" s="15" t="s">
        <v>175</v>
      </c>
      <c r="D99" s="15" t="s">
        <v>336</v>
      </c>
      <c r="E99" s="15" t="s">
        <v>337</v>
      </c>
      <c r="F99" s="13" t="s">
        <v>81</v>
      </c>
      <c r="G99" s="16" t="s">
        <v>103</v>
      </c>
      <c r="H99" s="16" t="s">
        <v>284</v>
      </c>
      <c r="I99" s="43" t="s">
        <v>362</v>
      </c>
      <c r="J99" s="18" t="s">
        <v>363</v>
      </c>
      <c r="K99" s="20" t="s">
        <v>39</v>
      </c>
      <c r="L99" s="21">
        <v>1520000</v>
      </c>
      <c r="M99" s="22">
        <v>0.21</v>
      </c>
      <c r="N99" s="20" t="s">
        <v>39</v>
      </c>
      <c r="O99" s="20" t="s">
        <v>39</v>
      </c>
      <c r="P99" s="22" t="s">
        <v>39</v>
      </c>
      <c r="Q99" s="22" t="s">
        <v>39</v>
      </c>
      <c r="R99" s="22"/>
      <c r="S99" s="108">
        <v>500</v>
      </c>
      <c r="T99" s="22">
        <v>0.03</v>
      </c>
      <c r="U99" s="22">
        <v>0.04</v>
      </c>
      <c r="V99" s="20" t="s">
        <v>39</v>
      </c>
      <c r="W99" s="20">
        <v>0.5</v>
      </c>
      <c r="X99" s="23">
        <v>0.13</v>
      </c>
      <c r="Y99" s="24" t="s">
        <v>39</v>
      </c>
      <c r="Z99" s="24" t="s">
        <v>39</v>
      </c>
      <c r="AA99" s="24" t="s">
        <v>39</v>
      </c>
      <c r="AB99" s="22" t="s">
        <v>39</v>
      </c>
      <c r="AC99" s="20" t="s">
        <v>39</v>
      </c>
      <c r="AD99" s="57" t="s">
        <v>341</v>
      </c>
      <c r="AE99" s="25" t="s">
        <v>364</v>
      </c>
    </row>
    <row r="100" s="2" customFormat="1" ht="36" customHeight="1" spans="1:31">
      <c r="A100" s="13">
        <v>105</v>
      </c>
      <c r="B100" s="14" t="s">
        <v>398</v>
      </c>
      <c r="C100" s="15" t="s">
        <v>175</v>
      </c>
      <c r="D100" s="15" t="s">
        <v>336</v>
      </c>
      <c r="E100" s="15" t="s">
        <v>337</v>
      </c>
      <c r="F100" s="13" t="s">
        <v>81</v>
      </c>
      <c r="G100" s="16" t="s">
        <v>103</v>
      </c>
      <c r="H100" s="16" t="s">
        <v>322</v>
      </c>
      <c r="I100" s="43" t="s">
        <v>366</v>
      </c>
      <c r="J100" s="18" t="s">
        <v>367</v>
      </c>
      <c r="K100" s="20" t="s">
        <v>39</v>
      </c>
      <c r="L100" s="21">
        <v>1080000</v>
      </c>
      <c r="M100" s="22">
        <v>0.22</v>
      </c>
      <c r="N100" s="20" t="s">
        <v>39</v>
      </c>
      <c r="O100" s="20" t="s">
        <v>39</v>
      </c>
      <c r="P100" s="22" t="s">
        <v>39</v>
      </c>
      <c r="Q100" s="22" t="s">
        <v>39</v>
      </c>
      <c r="R100" s="22"/>
      <c r="S100" s="108">
        <v>500</v>
      </c>
      <c r="T100" s="22">
        <v>0.03</v>
      </c>
      <c r="U100" s="22">
        <v>0.04</v>
      </c>
      <c r="V100" s="20" t="s">
        <v>39</v>
      </c>
      <c r="W100" s="20">
        <v>0.5</v>
      </c>
      <c r="X100" s="23">
        <v>0.13</v>
      </c>
      <c r="Y100" s="24" t="s">
        <v>39</v>
      </c>
      <c r="Z100" s="24" t="s">
        <v>39</v>
      </c>
      <c r="AA100" s="24" t="s">
        <v>39</v>
      </c>
      <c r="AB100" s="22" t="s">
        <v>39</v>
      </c>
      <c r="AC100" s="20" t="s">
        <v>39</v>
      </c>
      <c r="AD100" s="57" t="s">
        <v>341</v>
      </c>
      <c r="AE100" s="25" t="s">
        <v>364</v>
      </c>
    </row>
    <row r="101" s="2" customFormat="1" ht="36" customHeight="1" spans="1:31">
      <c r="A101" s="13">
        <v>106</v>
      </c>
      <c r="B101" s="14" t="s">
        <v>402</v>
      </c>
      <c r="C101" s="15" t="s">
        <v>175</v>
      </c>
      <c r="D101" s="15" t="s">
        <v>336</v>
      </c>
      <c r="E101" s="15" t="s">
        <v>337</v>
      </c>
      <c r="F101" s="13" t="s">
        <v>81</v>
      </c>
      <c r="G101" s="16" t="s">
        <v>103</v>
      </c>
      <c r="H101" s="16" t="s">
        <v>329</v>
      </c>
      <c r="I101" s="43" t="s">
        <v>369</v>
      </c>
      <c r="J101" s="18" t="s">
        <v>370</v>
      </c>
      <c r="K101" s="20" t="s">
        <v>39</v>
      </c>
      <c r="L101" s="21">
        <v>880000</v>
      </c>
      <c r="M101" s="22">
        <v>0.23</v>
      </c>
      <c r="N101" s="20" t="s">
        <v>39</v>
      </c>
      <c r="O101" s="20" t="s">
        <v>39</v>
      </c>
      <c r="P101" s="22" t="s">
        <v>39</v>
      </c>
      <c r="Q101" s="22" t="s">
        <v>39</v>
      </c>
      <c r="R101" s="22"/>
      <c r="S101" s="108">
        <v>500</v>
      </c>
      <c r="T101" s="22">
        <v>0.03</v>
      </c>
      <c r="U101" s="22">
        <v>0.04</v>
      </c>
      <c r="V101" s="20" t="s">
        <v>39</v>
      </c>
      <c r="W101" s="20">
        <v>0.5</v>
      </c>
      <c r="X101" s="23">
        <v>0.13</v>
      </c>
      <c r="Y101" s="24" t="s">
        <v>39</v>
      </c>
      <c r="Z101" s="24" t="s">
        <v>39</v>
      </c>
      <c r="AA101" s="24" t="s">
        <v>39</v>
      </c>
      <c r="AB101" s="22" t="s">
        <v>39</v>
      </c>
      <c r="AC101" s="20" t="s">
        <v>39</v>
      </c>
      <c r="AD101" s="57" t="s">
        <v>341</v>
      </c>
      <c r="AE101" s="25" t="s">
        <v>364</v>
      </c>
    </row>
    <row r="102" s="2" customFormat="1" ht="12" customHeight="1" spans="1:31">
      <c r="A102" s="13">
        <v>107</v>
      </c>
      <c r="B102" s="14" t="s">
        <v>407</v>
      </c>
      <c r="C102" s="15" t="s">
        <v>175</v>
      </c>
      <c r="D102" s="15" t="s">
        <v>372</v>
      </c>
      <c r="E102" s="15" t="s">
        <v>373</v>
      </c>
      <c r="F102" s="13" t="s">
        <v>53</v>
      </c>
      <c r="G102" s="16" t="s">
        <v>374</v>
      </c>
      <c r="H102" s="16" t="s">
        <v>39</v>
      </c>
      <c r="I102" s="17" t="s">
        <v>39</v>
      </c>
      <c r="J102" s="18" t="s">
        <v>39</v>
      </c>
      <c r="K102" s="20" t="s">
        <v>39</v>
      </c>
      <c r="L102" s="21">
        <v>2462000</v>
      </c>
      <c r="M102" s="58" t="s">
        <v>39</v>
      </c>
      <c r="N102" s="24" t="s">
        <v>39</v>
      </c>
      <c r="O102" s="24" t="s">
        <v>39</v>
      </c>
      <c r="P102" s="24" t="s">
        <v>39</v>
      </c>
      <c r="Q102" s="24" t="s">
        <v>39</v>
      </c>
      <c r="R102" s="20" t="s">
        <v>39</v>
      </c>
      <c r="S102" s="20" t="s">
        <v>39</v>
      </c>
      <c r="T102" s="20" t="s">
        <v>39</v>
      </c>
      <c r="U102" s="20" t="s">
        <v>39</v>
      </c>
      <c r="V102" s="20" t="s">
        <v>39</v>
      </c>
      <c r="W102" s="18" t="s">
        <v>39</v>
      </c>
      <c r="X102" s="51" t="s">
        <v>39</v>
      </c>
      <c r="Y102" s="51" t="s">
        <v>39</v>
      </c>
      <c r="Z102" s="51" t="s">
        <v>39</v>
      </c>
      <c r="AA102" s="51" t="s">
        <v>39</v>
      </c>
      <c r="AB102" s="89"/>
      <c r="AC102" s="46" t="s">
        <v>39</v>
      </c>
      <c r="AD102" s="48" t="s">
        <v>375</v>
      </c>
      <c r="AE102" s="25"/>
    </row>
    <row r="103" s="2" customFormat="1" ht="12" customHeight="1" spans="1:31">
      <c r="A103" s="13">
        <v>108</v>
      </c>
      <c r="B103" s="14" t="s">
        <v>410</v>
      </c>
      <c r="C103" s="15" t="s">
        <v>175</v>
      </c>
      <c r="D103" s="15" t="s">
        <v>377</v>
      </c>
      <c r="E103" s="15" t="s">
        <v>378</v>
      </c>
      <c r="F103" s="13" t="s">
        <v>53</v>
      </c>
      <c r="G103" s="16" t="s">
        <v>374</v>
      </c>
      <c r="H103" s="16" t="s">
        <v>39</v>
      </c>
      <c r="I103" s="17" t="s">
        <v>39</v>
      </c>
      <c r="J103" s="18" t="s">
        <v>39</v>
      </c>
      <c r="K103" s="20" t="s">
        <v>39</v>
      </c>
      <c r="L103" s="21">
        <v>2465000</v>
      </c>
      <c r="M103" s="58" t="s">
        <v>39</v>
      </c>
      <c r="N103" s="24" t="s">
        <v>39</v>
      </c>
      <c r="O103" s="24" t="s">
        <v>39</v>
      </c>
      <c r="P103" s="24" t="s">
        <v>39</v>
      </c>
      <c r="Q103" s="24" t="s">
        <v>39</v>
      </c>
      <c r="R103" s="20" t="s">
        <v>39</v>
      </c>
      <c r="S103" s="20" t="s">
        <v>39</v>
      </c>
      <c r="T103" s="20" t="s">
        <v>39</v>
      </c>
      <c r="U103" s="20" t="s">
        <v>39</v>
      </c>
      <c r="V103" s="20" t="s">
        <v>39</v>
      </c>
      <c r="W103" s="18" t="s">
        <v>39</v>
      </c>
      <c r="X103" s="51" t="s">
        <v>39</v>
      </c>
      <c r="Y103" s="51" t="s">
        <v>39</v>
      </c>
      <c r="Z103" s="51" t="s">
        <v>39</v>
      </c>
      <c r="AA103" s="51" t="s">
        <v>39</v>
      </c>
      <c r="AB103" s="89"/>
      <c r="AC103" s="46" t="s">
        <v>39</v>
      </c>
      <c r="AD103" s="48" t="s">
        <v>375</v>
      </c>
      <c r="AE103" s="25"/>
    </row>
    <row r="104" s="2" customFormat="1" ht="12" customHeight="1" spans="1:31">
      <c r="A104" s="13">
        <v>109</v>
      </c>
      <c r="B104" s="14" t="s">
        <v>412</v>
      </c>
      <c r="C104" s="15" t="s">
        <v>175</v>
      </c>
      <c r="D104" s="15" t="s">
        <v>380</v>
      </c>
      <c r="E104" s="15" t="s">
        <v>381</v>
      </c>
      <c r="F104" s="13" t="s">
        <v>53</v>
      </c>
      <c r="G104" s="16" t="s">
        <v>374</v>
      </c>
      <c r="H104" s="16" t="s">
        <v>39</v>
      </c>
      <c r="I104" s="17" t="s">
        <v>39</v>
      </c>
      <c r="J104" s="18" t="s">
        <v>39</v>
      </c>
      <c r="K104" s="20" t="s">
        <v>39</v>
      </c>
      <c r="L104" s="21">
        <v>2650000</v>
      </c>
      <c r="M104" s="58" t="s">
        <v>39</v>
      </c>
      <c r="N104" s="24" t="s">
        <v>39</v>
      </c>
      <c r="O104" s="24" t="s">
        <v>39</v>
      </c>
      <c r="P104" s="24" t="s">
        <v>39</v>
      </c>
      <c r="Q104" s="24" t="s">
        <v>39</v>
      </c>
      <c r="R104" s="20" t="s">
        <v>39</v>
      </c>
      <c r="S104" s="20" t="s">
        <v>39</v>
      </c>
      <c r="T104" s="20" t="s">
        <v>39</v>
      </c>
      <c r="U104" s="20" t="s">
        <v>39</v>
      </c>
      <c r="V104" s="20" t="s">
        <v>39</v>
      </c>
      <c r="W104" s="18" t="s">
        <v>39</v>
      </c>
      <c r="X104" s="51" t="s">
        <v>39</v>
      </c>
      <c r="Y104" s="51" t="s">
        <v>39</v>
      </c>
      <c r="Z104" s="51" t="s">
        <v>39</v>
      </c>
      <c r="AA104" s="51" t="s">
        <v>39</v>
      </c>
      <c r="AB104" s="89"/>
      <c r="AC104" s="46" t="s">
        <v>39</v>
      </c>
      <c r="AD104" s="48" t="s">
        <v>375</v>
      </c>
      <c r="AE104" s="25"/>
    </row>
    <row r="105" s="2" customFormat="1" ht="12" customHeight="1" spans="1:31">
      <c r="A105" s="13">
        <v>110</v>
      </c>
      <c r="B105" s="14" t="s">
        <v>415</v>
      </c>
      <c r="C105" s="15" t="s">
        <v>175</v>
      </c>
      <c r="D105" s="15" t="s">
        <v>383</v>
      </c>
      <c r="E105" s="15" t="s">
        <v>384</v>
      </c>
      <c r="F105" s="13" t="s">
        <v>53</v>
      </c>
      <c r="G105" s="16" t="s">
        <v>374</v>
      </c>
      <c r="H105" s="16" t="s">
        <v>39</v>
      </c>
      <c r="I105" s="17" t="s">
        <v>39</v>
      </c>
      <c r="J105" s="18" t="s">
        <v>39</v>
      </c>
      <c r="K105" s="20" t="s">
        <v>39</v>
      </c>
      <c r="L105" s="21">
        <v>1574000</v>
      </c>
      <c r="M105" s="58" t="s">
        <v>39</v>
      </c>
      <c r="N105" s="24" t="s">
        <v>39</v>
      </c>
      <c r="O105" s="24" t="s">
        <v>39</v>
      </c>
      <c r="P105" s="24" t="s">
        <v>39</v>
      </c>
      <c r="Q105" s="24" t="s">
        <v>39</v>
      </c>
      <c r="R105" s="20" t="s">
        <v>39</v>
      </c>
      <c r="S105" s="20" t="s">
        <v>39</v>
      </c>
      <c r="T105" s="20" t="s">
        <v>39</v>
      </c>
      <c r="U105" s="20" t="s">
        <v>39</v>
      </c>
      <c r="V105" s="20" t="s">
        <v>39</v>
      </c>
      <c r="W105" s="18" t="s">
        <v>39</v>
      </c>
      <c r="X105" s="51" t="s">
        <v>39</v>
      </c>
      <c r="Y105" s="51" t="s">
        <v>39</v>
      </c>
      <c r="Z105" s="51" t="s">
        <v>39</v>
      </c>
      <c r="AA105" s="51" t="s">
        <v>39</v>
      </c>
      <c r="AB105" s="89"/>
      <c r="AC105" s="46" t="s">
        <v>39</v>
      </c>
      <c r="AD105" s="48" t="s">
        <v>375</v>
      </c>
      <c r="AE105" s="25"/>
    </row>
    <row r="106" s="2" customFormat="1" ht="12" customHeight="1" spans="1:31">
      <c r="A106" s="13">
        <v>111</v>
      </c>
      <c r="B106" s="14" t="s">
        <v>418</v>
      </c>
      <c r="C106" s="15" t="s">
        <v>175</v>
      </c>
      <c r="D106" s="15" t="s">
        <v>386</v>
      </c>
      <c r="E106" s="15" t="s">
        <v>387</v>
      </c>
      <c r="F106" s="13" t="s">
        <v>53</v>
      </c>
      <c r="G106" s="16" t="s">
        <v>374</v>
      </c>
      <c r="H106" s="16" t="s">
        <v>39</v>
      </c>
      <c r="I106" s="17" t="s">
        <v>39</v>
      </c>
      <c r="J106" s="18" t="s">
        <v>39</v>
      </c>
      <c r="K106" s="20" t="s">
        <v>39</v>
      </c>
      <c r="L106" s="21">
        <v>3130000</v>
      </c>
      <c r="M106" s="58" t="s">
        <v>39</v>
      </c>
      <c r="N106" s="24" t="s">
        <v>39</v>
      </c>
      <c r="O106" s="24" t="s">
        <v>39</v>
      </c>
      <c r="P106" s="24" t="s">
        <v>39</v>
      </c>
      <c r="Q106" s="24" t="s">
        <v>39</v>
      </c>
      <c r="R106" s="20" t="s">
        <v>39</v>
      </c>
      <c r="S106" s="20" t="s">
        <v>39</v>
      </c>
      <c r="T106" s="20" t="s">
        <v>39</v>
      </c>
      <c r="U106" s="20" t="s">
        <v>39</v>
      </c>
      <c r="V106" s="20" t="s">
        <v>39</v>
      </c>
      <c r="W106" s="18" t="s">
        <v>39</v>
      </c>
      <c r="X106" s="51" t="s">
        <v>39</v>
      </c>
      <c r="Y106" s="51" t="s">
        <v>39</v>
      </c>
      <c r="Z106" s="51" t="s">
        <v>39</v>
      </c>
      <c r="AA106" s="51" t="s">
        <v>39</v>
      </c>
      <c r="AB106" s="89"/>
      <c r="AC106" s="46" t="s">
        <v>39</v>
      </c>
      <c r="AD106" s="48" t="s">
        <v>375</v>
      </c>
      <c r="AE106" s="25"/>
    </row>
    <row r="107" s="2" customFormat="1" ht="12" customHeight="1" spans="1:31">
      <c r="A107" s="13">
        <v>112</v>
      </c>
      <c r="B107" s="14" t="s">
        <v>421</v>
      </c>
      <c r="C107" s="15" t="s">
        <v>175</v>
      </c>
      <c r="D107" s="15" t="s">
        <v>389</v>
      </c>
      <c r="E107" s="15" t="s">
        <v>390</v>
      </c>
      <c r="F107" s="13" t="s">
        <v>53</v>
      </c>
      <c r="G107" s="16" t="s">
        <v>374</v>
      </c>
      <c r="H107" s="16" t="s">
        <v>39</v>
      </c>
      <c r="I107" s="17" t="s">
        <v>39</v>
      </c>
      <c r="J107" s="18" t="s">
        <v>39</v>
      </c>
      <c r="K107" s="20" t="s">
        <v>39</v>
      </c>
      <c r="L107" s="21">
        <v>2588000</v>
      </c>
      <c r="M107" s="58" t="s">
        <v>39</v>
      </c>
      <c r="N107" s="24" t="s">
        <v>39</v>
      </c>
      <c r="O107" s="24" t="s">
        <v>39</v>
      </c>
      <c r="P107" s="24" t="s">
        <v>39</v>
      </c>
      <c r="Q107" s="24" t="s">
        <v>39</v>
      </c>
      <c r="R107" s="20" t="s">
        <v>39</v>
      </c>
      <c r="S107" s="20" t="s">
        <v>39</v>
      </c>
      <c r="T107" s="20" t="s">
        <v>39</v>
      </c>
      <c r="U107" s="20" t="s">
        <v>39</v>
      </c>
      <c r="V107" s="20" t="s">
        <v>39</v>
      </c>
      <c r="W107" s="18" t="s">
        <v>39</v>
      </c>
      <c r="X107" s="51" t="s">
        <v>39</v>
      </c>
      <c r="Y107" s="51" t="s">
        <v>39</v>
      </c>
      <c r="Z107" s="51" t="s">
        <v>39</v>
      </c>
      <c r="AA107" s="51" t="s">
        <v>39</v>
      </c>
      <c r="AB107" s="89"/>
      <c r="AC107" s="46" t="s">
        <v>39</v>
      </c>
      <c r="AD107" s="48" t="s">
        <v>375</v>
      </c>
      <c r="AE107" s="25"/>
    </row>
    <row r="108" s="2" customFormat="1" ht="12" customHeight="1" spans="1:31">
      <c r="A108" s="13">
        <v>113</v>
      </c>
      <c r="B108" s="14" t="s">
        <v>423</v>
      </c>
      <c r="C108" s="15" t="s">
        <v>175</v>
      </c>
      <c r="D108" s="15" t="s">
        <v>392</v>
      </c>
      <c r="E108" s="15" t="s">
        <v>393</v>
      </c>
      <c r="F108" s="13" t="s">
        <v>53</v>
      </c>
      <c r="G108" s="16" t="s">
        <v>374</v>
      </c>
      <c r="H108" s="16" t="s">
        <v>39</v>
      </c>
      <c r="I108" s="17" t="s">
        <v>39</v>
      </c>
      <c r="J108" s="18" t="s">
        <v>39</v>
      </c>
      <c r="K108" s="20" t="s">
        <v>39</v>
      </c>
      <c r="L108" s="21">
        <v>1249000</v>
      </c>
      <c r="M108" s="58" t="s">
        <v>39</v>
      </c>
      <c r="N108" s="24" t="s">
        <v>39</v>
      </c>
      <c r="O108" s="24" t="s">
        <v>39</v>
      </c>
      <c r="P108" s="24" t="s">
        <v>39</v>
      </c>
      <c r="Q108" s="24" t="s">
        <v>39</v>
      </c>
      <c r="R108" s="20" t="s">
        <v>39</v>
      </c>
      <c r="S108" s="20" t="s">
        <v>39</v>
      </c>
      <c r="T108" s="20" t="s">
        <v>39</v>
      </c>
      <c r="U108" s="20" t="s">
        <v>39</v>
      </c>
      <c r="V108" s="20" t="s">
        <v>39</v>
      </c>
      <c r="W108" s="18" t="s">
        <v>39</v>
      </c>
      <c r="X108" s="51" t="s">
        <v>39</v>
      </c>
      <c r="Y108" s="51" t="s">
        <v>39</v>
      </c>
      <c r="Z108" s="51" t="s">
        <v>39</v>
      </c>
      <c r="AA108" s="51" t="s">
        <v>39</v>
      </c>
      <c r="AB108" s="89"/>
      <c r="AC108" s="46" t="s">
        <v>39</v>
      </c>
      <c r="AD108" s="48" t="s">
        <v>375</v>
      </c>
      <c r="AE108" s="25"/>
    </row>
    <row r="109" s="2" customFormat="1" ht="12" customHeight="1" spans="1:31">
      <c r="A109" s="13">
        <v>114</v>
      </c>
      <c r="B109" s="14" t="s">
        <v>426</v>
      </c>
      <c r="C109" s="15" t="s">
        <v>175</v>
      </c>
      <c r="D109" s="15" t="s">
        <v>395</v>
      </c>
      <c r="E109" s="15" t="s">
        <v>396</v>
      </c>
      <c r="F109" s="13" t="s">
        <v>53</v>
      </c>
      <c r="G109" s="16" t="s">
        <v>48</v>
      </c>
      <c r="H109" s="16" t="s">
        <v>39</v>
      </c>
      <c r="I109" s="17" t="s">
        <v>39</v>
      </c>
      <c r="J109" s="18" t="s">
        <v>39</v>
      </c>
      <c r="K109" s="20" t="s">
        <v>39</v>
      </c>
      <c r="L109" s="21" t="s">
        <v>39</v>
      </c>
      <c r="M109" s="24" t="s">
        <v>39</v>
      </c>
      <c r="N109" s="24" t="s">
        <v>39</v>
      </c>
      <c r="O109" s="24" t="s">
        <v>39</v>
      </c>
      <c r="P109" s="24" t="s">
        <v>39</v>
      </c>
      <c r="Q109" s="24" t="s">
        <v>39</v>
      </c>
      <c r="R109" s="24" t="s">
        <v>39</v>
      </c>
      <c r="S109" s="24" t="s">
        <v>39</v>
      </c>
      <c r="T109" s="18" t="s">
        <v>39</v>
      </c>
      <c r="U109" s="24" t="s">
        <v>39</v>
      </c>
      <c r="V109" s="24" t="s">
        <v>39</v>
      </c>
      <c r="W109" s="18" t="s">
        <v>39</v>
      </c>
      <c r="X109" s="51" t="s">
        <v>39</v>
      </c>
      <c r="Y109" s="51" t="s">
        <v>39</v>
      </c>
      <c r="Z109" s="51" t="s">
        <v>39</v>
      </c>
      <c r="AA109" s="51" t="s">
        <v>39</v>
      </c>
      <c r="AB109" s="51">
        <v>0.08</v>
      </c>
      <c r="AC109" s="46">
        <v>0.015</v>
      </c>
      <c r="AD109" s="17"/>
      <c r="AE109" s="25"/>
    </row>
    <row r="110" s="2" customFormat="1" ht="12" customHeight="1" spans="1:31">
      <c r="A110" s="13">
        <v>115</v>
      </c>
      <c r="B110" s="14" t="s">
        <v>428</v>
      </c>
      <c r="C110" s="15" t="s">
        <v>175</v>
      </c>
      <c r="D110" s="15" t="s">
        <v>395</v>
      </c>
      <c r="E110" s="15" t="s">
        <v>396</v>
      </c>
      <c r="F110" s="13" t="s">
        <v>37</v>
      </c>
      <c r="G110" s="16" t="s">
        <v>48</v>
      </c>
      <c r="H110" s="16" t="s">
        <v>39</v>
      </c>
      <c r="I110" s="43" t="s">
        <v>39</v>
      </c>
      <c r="J110" s="16" t="s">
        <v>39</v>
      </c>
      <c r="K110" s="20" t="s">
        <v>39</v>
      </c>
      <c r="L110" s="21" t="s">
        <v>39</v>
      </c>
      <c r="M110" s="20" t="s">
        <v>39</v>
      </c>
      <c r="N110" s="20" t="s">
        <v>39</v>
      </c>
      <c r="O110" s="23">
        <v>0.02</v>
      </c>
      <c r="P110" s="20" t="s">
        <v>39</v>
      </c>
      <c r="Q110" s="20" t="s">
        <v>39</v>
      </c>
      <c r="R110" s="20" t="s">
        <v>39</v>
      </c>
      <c r="S110" s="20" t="s">
        <v>39</v>
      </c>
      <c r="T110" s="20" t="s">
        <v>39</v>
      </c>
      <c r="U110" s="20" t="s">
        <v>39</v>
      </c>
      <c r="V110" s="20" t="s">
        <v>39</v>
      </c>
      <c r="W110" s="55" t="s">
        <v>39</v>
      </c>
      <c r="X110" s="51" t="s">
        <v>39</v>
      </c>
      <c r="Y110" s="51" t="s">
        <v>39</v>
      </c>
      <c r="Z110" s="51" t="s">
        <v>39</v>
      </c>
      <c r="AA110" s="51" t="s">
        <v>39</v>
      </c>
      <c r="AB110" s="51">
        <v>0.08</v>
      </c>
      <c r="AC110" s="46">
        <v>0.015</v>
      </c>
      <c r="AD110" s="17"/>
      <c r="AE110" s="25"/>
    </row>
    <row r="111" s="2" customFormat="1" ht="12" customHeight="1" spans="1:31">
      <c r="A111" s="13">
        <v>116</v>
      </c>
      <c r="B111" s="14" t="s">
        <v>430</v>
      </c>
      <c r="C111" s="15" t="s">
        <v>175</v>
      </c>
      <c r="D111" s="15" t="s">
        <v>399</v>
      </c>
      <c r="E111" s="15" t="s">
        <v>400</v>
      </c>
      <c r="F111" s="13" t="s">
        <v>47</v>
      </c>
      <c r="G111" s="16" t="s">
        <v>48</v>
      </c>
      <c r="H111" s="16" t="s">
        <v>39</v>
      </c>
      <c r="I111" s="17" t="s">
        <v>39</v>
      </c>
      <c r="J111" s="18" t="s">
        <v>401</v>
      </c>
      <c r="K111" s="20" t="s">
        <v>39</v>
      </c>
      <c r="L111" s="21" t="s">
        <v>39</v>
      </c>
      <c r="M111" s="24" t="s">
        <v>39</v>
      </c>
      <c r="N111" s="24" t="s">
        <v>39</v>
      </c>
      <c r="O111" s="24" t="s">
        <v>39</v>
      </c>
      <c r="P111" s="24" t="s">
        <v>39</v>
      </c>
      <c r="Q111" s="24" t="s">
        <v>39</v>
      </c>
      <c r="R111" s="24" t="s">
        <v>39</v>
      </c>
      <c r="S111" s="24" t="s">
        <v>39</v>
      </c>
      <c r="T111" s="18" t="s">
        <v>39</v>
      </c>
      <c r="U111" s="24" t="s">
        <v>39</v>
      </c>
      <c r="V111" s="24" t="s">
        <v>39</v>
      </c>
      <c r="W111" s="44"/>
      <c r="X111" s="51" t="s">
        <v>39</v>
      </c>
      <c r="Y111" s="51" t="s">
        <v>39</v>
      </c>
      <c r="Z111" s="51" t="s">
        <v>39</v>
      </c>
      <c r="AA111" s="51" t="s">
        <v>39</v>
      </c>
      <c r="AB111" s="113">
        <v>0.03</v>
      </c>
      <c r="AC111" s="24" t="s">
        <v>39</v>
      </c>
      <c r="AD111" s="17"/>
      <c r="AE111" s="25"/>
    </row>
    <row r="112" s="2" customFormat="1" ht="36" customHeight="1" spans="1:31">
      <c r="A112" s="13">
        <v>117</v>
      </c>
      <c r="B112" s="14" t="s">
        <v>433</v>
      </c>
      <c r="C112" s="15" t="s">
        <v>175</v>
      </c>
      <c r="D112" s="15" t="s">
        <v>399</v>
      </c>
      <c r="E112" s="15" t="s">
        <v>400</v>
      </c>
      <c r="F112" s="13" t="s">
        <v>47</v>
      </c>
      <c r="G112" s="16" t="s">
        <v>48</v>
      </c>
      <c r="H112" s="18" t="s">
        <v>39</v>
      </c>
      <c r="I112" s="17" t="s">
        <v>403</v>
      </c>
      <c r="J112" s="18" t="s">
        <v>404</v>
      </c>
      <c r="K112" s="20" t="s">
        <v>39</v>
      </c>
      <c r="L112" s="21">
        <v>400000</v>
      </c>
      <c r="M112" s="113">
        <v>0.17</v>
      </c>
      <c r="N112" s="24" t="s">
        <v>39</v>
      </c>
      <c r="O112" s="113">
        <v>0.02</v>
      </c>
      <c r="P112" s="24" t="s">
        <v>39</v>
      </c>
      <c r="Q112" s="24" t="s">
        <v>39</v>
      </c>
      <c r="R112" s="24" t="s">
        <v>39</v>
      </c>
      <c r="S112" s="24" t="s">
        <v>39</v>
      </c>
      <c r="T112" s="20">
        <v>0.04</v>
      </c>
      <c r="U112" s="20">
        <v>0.04</v>
      </c>
      <c r="V112" s="24" t="s">
        <v>39</v>
      </c>
      <c r="W112" s="114">
        <v>0.5</v>
      </c>
      <c r="X112" s="51" t="s">
        <v>39</v>
      </c>
      <c r="Y112" s="51" t="s">
        <v>39</v>
      </c>
      <c r="Z112" s="51" t="s">
        <v>39</v>
      </c>
      <c r="AA112" s="51" t="s">
        <v>39</v>
      </c>
      <c r="AB112" s="24" t="s">
        <v>39</v>
      </c>
      <c r="AC112" s="24" t="s">
        <v>39</v>
      </c>
      <c r="AD112" s="17"/>
      <c r="AE112" s="25" t="s">
        <v>405</v>
      </c>
    </row>
    <row r="113" s="2" customFormat="1" ht="36" customHeight="1" spans="1:31">
      <c r="A113" s="13">
        <v>118</v>
      </c>
      <c r="B113" s="14" t="s">
        <v>436</v>
      </c>
      <c r="C113" s="15" t="s">
        <v>175</v>
      </c>
      <c r="D113" s="15" t="s">
        <v>399</v>
      </c>
      <c r="E113" s="15" t="s">
        <v>400</v>
      </c>
      <c r="F113" s="13" t="s">
        <v>47</v>
      </c>
      <c r="G113" s="16" t="s">
        <v>48</v>
      </c>
      <c r="H113" s="18" t="s">
        <v>39</v>
      </c>
      <c r="I113" s="43" t="s">
        <v>408</v>
      </c>
      <c r="J113" s="55" t="s">
        <v>1490</v>
      </c>
      <c r="K113" s="20" t="s">
        <v>39</v>
      </c>
      <c r="L113" s="21">
        <v>380000</v>
      </c>
      <c r="M113" s="113">
        <v>0.15</v>
      </c>
      <c r="N113" s="24" t="s">
        <v>39</v>
      </c>
      <c r="O113" s="113">
        <v>0.02</v>
      </c>
      <c r="P113" s="24" t="s">
        <v>39</v>
      </c>
      <c r="Q113" s="24" t="s">
        <v>39</v>
      </c>
      <c r="R113" s="24" t="s">
        <v>39</v>
      </c>
      <c r="S113" s="24" t="s">
        <v>39</v>
      </c>
      <c r="T113" s="20">
        <v>0.04</v>
      </c>
      <c r="U113" s="20">
        <v>0.04</v>
      </c>
      <c r="V113" s="24" t="s">
        <v>39</v>
      </c>
      <c r="W113" s="114">
        <v>0.5</v>
      </c>
      <c r="X113" s="51" t="s">
        <v>39</v>
      </c>
      <c r="Y113" s="51" t="s">
        <v>39</v>
      </c>
      <c r="Z113" s="51" t="s">
        <v>39</v>
      </c>
      <c r="AA113" s="51" t="s">
        <v>39</v>
      </c>
      <c r="AB113" s="24" t="s">
        <v>39</v>
      </c>
      <c r="AC113" s="24" t="s">
        <v>39</v>
      </c>
      <c r="AD113" s="17"/>
      <c r="AE113" s="25" t="s">
        <v>405</v>
      </c>
    </row>
    <row r="114" s="2" customFormat="1" ht="36" customHeight="1" spans="1:31">
      <c r="A114" s="13">
        <v>119</v>
      </c>
      <c r="B114" s="14" t="s">
        <v>440</v>
      </c>
      <c r="C114" s="15" t="s">
        <v>175</v>
      </c>
      <c r="D114" s="15" t="s">
        <v>399</v>
      </c>
      <c r="E114" s="15" t="s">
        <v>400</v>
      </c>
      <c r="F114" s="13" t="s">
        <v>47</v>
      </c>
      <c r="G114" s="16" t="s">
        <v>48</v>
      </c>
      <c r="H114" s="18" t="s">
        <v>39</v>
      </c>
      <c r="I114" s="43" t="s">
        <v>209</v>
      </c>
      <c r="J114" s="18" t="s">
        <v>411</v>
      </c>
      <c r="K114" s="20" t="s">
        <v>39</v>
      </c>
      <c r="L114" s="21">
        <v>500000</v>
      </c>
      <c r="M114" s="113">
        <v>0.18</v>
      </c>
      <c r="N114" s="24" t="s">
        <v>39</v>
      </c>
      <c r="O114" s="113">
        <v>0.02</v>
      </c>
      <c r="P114" s="24" t="s">
        <v>39</v>
      </c>
      <c r="Q114" s="24" t="s">
        <v>39</v>
      </c>
      <c r="R114" s="24" t="s">
        <v>39</v>
      </c>
      <c r="S114" s="24" t="s">
        <v>39</v>
      </c>
      <c r="T114" s="20">
        <v>0.04</v>
      </c>
      <c r="U114" s="20">
        <v>0.04</v>
      </c>
      <c r="V114" s="24" t="s">
        <v>39</v>
      </c>
      <c r="W114" s="114">
        <v>0.5</v>
      </c>
      <c r="X114" s="51" t="s">
        <v>39</v>
      </c>
      <c r="Y114" s="51" t="s">
        <v>39</v>
      </c>
      <c r="Z114" s="51" t="s">
        <v>39</v>
      </c>
      <c r="AA114" s="51" t="s">
        <v>39</v>
      </c>
      <c r="AB114" s="24" t="s">
        <v>39</v>
      </c>
      <c r="AC114" s="24" t="s">
        <v>39</v>
      </c>
      <c r="AD114" s="17"/>
      <c r="AE114" s="25" t="s">
        <v>405</v>
      </c>
    </row>
    <row r="115" s="2" customFormat="1" ht="36" customHeight="1" spans="1:31">
      <c r="A115" s="13">
        <v>120</v>
      </c>
      <c r="B115" s="14" t="s">
        <v>447</v>
      </c>
      <c r="C115" s="15" t="s">
        <v>175</v>
      </c>
      <c r="D115" s="15" t="s">
        <v>399</v>
      </c>
      <c r="E115" s="15" t="s">
        <v>400</v>
      </c>
      <c r="F115" s="13" t="s">
        <v>47</v>
      </c>
      <c r="G115" s="16" t="s">
        <v>48</v>
      </c>
      <c r="H115" s="18" t="s">
        <v>39</v>
      </c>
      <c r="I115" s="43" t="s">
        <v>413</v>
      </c>
      <c r="J115" s="18" t="s">
        <v>414</v>
      </c>
      <c r="K115" s="20" t="s">
        <v>39</v>
      </c>
      <c r="L115" s="21">
        <v>800000</v>
      </c>
      <c r="M115" s="113">
        <v>0.1</v>
      </c>
      <c r="N115" s="24" t="s">
        <v>39</v>
      </c>
      <c r="O115" s="24" t="s">
        <v>39</v>
      </c>
      <c r="P115" s="24" t="s">
        <v>39</v>
      </c>
      <c r="Q115" s="24" t="s">
        <v>39</v>
      </c>
      <c r="R115" s="24" t="s">
        <v>39</v>
      </c>
      <c r="S115" s="24" t="s">
        <v>39</v>
      </c>
      <c r="T115" s="20">
        <v>0.04</v>
      </c>
      <c r="U115" s="20">
        <v>0.04</v>
      </c>
      <c r="V115" s="24" t="s">
        <v>39</v>
      </c>
      <c r="W115" s="114">
        <v>0.5</v>
      </c>
      <c r="X115" s="51" t="s">
        <v>39</v>
      </c>
      <c r="Y115" s="51" t="s">
        <v>39</v>
      </c>
      <c r="Z115" s="51" t="s">
        <v>39</v>
      </c>
      <c r="AA115" s="51" t="s">
        <v>39</v>
      </c>
      <c r="AB115" s="24" t="s">
        <v>39</v>
      </c>
      <c r="AC115" s="24" t="s">
        <v>39</v>
      </c>
      <c r="AD115" s="17"/>
      <c r="AE115" s="25" t="s">
        <v>405</v>
      </c>
    </row>
    <row r="116" s="2" customFormat="1" ht="36" customHeight="1" spans="1:31">
      <c r="A116" s="13">
        <v>121</v>
      </c>
      <c r="B116" s="14" t="s">
        <v>452</v>
      </c>
      <c r="C116" s="15" t="s">
        <v>175</v>
      </c>
      <c r="D116" s="15" t="s">
        <v>399</v>
      </c>
      <c r="E116" s="15" t="s">
        <v>400</v>
      </c>
      <c r="F116" s="13" t="s">
        <v>47</v>
      </c>
      <c r="G116" s="16" t="s">
        <v>48</v>
      </c>
      <c r="H116" s="18" t="s">
        <v>39</v>
      </c>
      <c r="I116" s="43" t="s">
        <v>416</v>
      </c>
      <c r="J116" s="18" t="s">
        <v>417</v>
      </c>
      <c r="K116" s="20" t="s">
        <v>39</v>
      </c>
      <c r="L116" s="21">
        <v>240000</v>
      </c>
      <c r="M116" s="113">
        <v>0.02</v>
      </c>
      <c r="N116" s="24" t="s">
        <v>39</v>
      </c>
      <c r="O116" s="113">
        <v>0.02</v>
      </c>
      <c r="P116" s="24" t="s">
        <v>39</v>
      </c>
      <c r="Q116" s="24" t="s">
        <v>39</v>
      </c>
      <c r="R116" s="24" t="s">
        <v>39</v>
      </c>
      <c r="S116" s="24" t="s">
        <v>39</v>
      </c>
      <c r="T116" s="20">
        <v>0.04</v>
      </c>
      <c r="U116" s="113">
        <v>0.01</v>
      </c>
      <c r="V116" s="24" t="s">
        <v>39</v>
      </c>
      <c r="W116" s="114">
        <v>0.5</v>
      </c>
      <c r="X116" s="51" t="s">
        <v>39</v>
      </c>
      <c r="Y116" s="51" t="s">
        <v>39</v>
      </c>
      <c r="Z116" s="51" t="s">
        <v>39</v>
      </c>
      <c r="AA116" s="51" t="s">
        <v>39</v>
      </c>
      <c r="AB116" s="24" t="s">
        <v>39</v>
      </c>
      <c r="AC116" s="24" t="s">
        <v>39</v>
      </c>
      <c r="AD116" s="17"/>
      <c r="AE116" s="25" t="s">
        <v>405</v>
      </c>
    </row>
    <row r="117" s="2" customFormat="1" ht="36" customHeight="1" spans="1:31">
      <c r="A117" s="13">
        <v>122</v>
      </c>
      <c r="B117" s="14" t="s">
        <v>455</v>
      </c>
      <c r="C117" s="15" t="s">
        <v>175</v>
      </c>
      <c r="D117" s="15" t="s">
        <v>399</v>
      </c>
      <c r="E117" s="15" t="s">
        <v>400</v>
      </c>
      <c r="F117" s="13" t="s">
        <v>47</v>
      </c>
      <c r="G117" s="16" t="s">
        <v>48</v>
      </c>
      <c r="H117" s="18" t="s">
        <v>39</v>
      </c>
      <c r="I117" s="43" t="s">
        <v>419</v>
      </c>
      <c r="J117" s="18" t="s">
        <v>420</v>
      </c>
      <c r="K117" s="20" t="s">
        <v>39</v>
      </c>
      <c r="L117" s="21">
        <v>480000</v>
      </c>
      <c r="M117" s="113">
        <v>0.18</v>
      </c>
      <c r="N117" s="24" t="s">
        <v>39</v>
      </c>
      <c r="O117" s="113">
        <v>0.02</v>
      </c>
      <c r="P117" s="24" t="s">
        <v>39</v>
      </c>
      <c r="Q117" s="24" t="s">
        <v>39</v>
      </c>
      <c r="R117" s="24" t="s">
        <v>39</v>
      </c>
      <c r="S117" s="24" t="s">
        <v>39</v>
      </c>
      <c r="T117" s="20">
        <v>0.04</v>
      </c>
      <c r="U117" s="20">
        <v>0.04</v>
      </c>
      <c r="V117" s="24" t="s">
        <v>39</v>
      </c>
      <c r="W117" s="114">
        <v>0.5</v>
      </c>
      <c r="X117" s="51" t="s">
        <v>39</v>
      </c>
      <c r="Y117" s="51" t="s">
        <v>39</v>
      </c>
      <c r="Z117" s="51" t="s">
        <v>39</v>
      </c>
      <c r="AA117" s="51" t="s">
        <v>39</v>
      </c>
      <c r="AB117" s="24" t="s">
        <v>39</v>
      </c>
      <c r="AC117" s="24" t="s">
        <v>39</v>
      </c>
      <c r="AD117" s="17"/>
      <c r="AE117" s="25" t="s">
        <v>405</v>
      </c>
    </row>
    <row r="118" s="2" customFormat="1" ht="36" customHeight="1" spans="1:31">
      <c r="A118" s="13">
        <v>123</v>
      </c>
      <c r="B118" s="14" t="s">
        <v>458</v>
      </c>
      <c r="C118" s="15" t="s">
        <v>175</v>
      </c>
      <c r="D118" s="15" t="s">
        <v>399</v>
      </c>
      <c r="E118" s="15" t="s">
        <v>400</v>
      </c>
      <c r="F118" s="13" t="s">
        <v>47</v>
      </c>
      <c r="G118" s="16" t="s">
        <v>48</v>
      </c>
      <c r="H118" s="18" t="s">
        <v>39</v>
      </c>
      <c r="I118" s="43" t="s">
        <v>422</v>
      </c>
      <c r="J118" s="18" t="s">
        <v>414</v>
      </c>
      <c r="K118" s="20" t="s">
        <v>39</v>
      </c>
      <c r="L118" s="21">
        <v>240000</v>
      </c>
      <c r="M118" s="113">
        <v>0.18</v>
      </c>
      <c r="N118" s="24" t="s">
        <v>39</v>
      </c>
      <c r="O118" s="113">
        <v>0.02</v>
      </c>
      <c r="P118" s="24" t="s">
        <v>39</v>
      </c>
      <c r="Q118" s="24" t="s">
        <v>39</v>
      </c>
      <c r="R118" s="24" t="s">
        <v>39</v>
      </c>
      <c r="S118" s="24" t="s">
        <v>39</v>
      </c>
      <c r="T118" s="20">
        <v>0.04</v>
      </c>
      <c r="U118" s="20">
        <v>0.04</v>
      </c>
      <c r="V118" s="24" t="s">
        <v>39</v>
      </c>
      <c r="W118" s="114">
        <v>0.5</v>
      </c>
      <c r="X118" s="51" t="s">
        <v>39</v>
      </c>
      <c r="Y118" s="51" t="s">
        <v>39</v>
      </c>
      <c r="Z118" s="51" t="s">
        <v>39</v>
      </c>
      <c r="AA118" s="51" t="s">
        <v>39</v>
      </c>
      <c r="AB118" s="24" t="s">
        <v>39</v>
      </c>
      <c r="AC118" s="24" t="s">
        <v>39</v>
      </c>
      <c r="AD118" s="17"/>
      <c r="AE118" s="25" t="s">
        <v>405</v>
      </c>
    </row>
    <row r="119" s="2" customFormat="1" ht="36" customHeight="1" spans="1:31">
      <c r="A119" s="13">
        <v>124</v>
      </c>
      <c r="B119" s="14" t="s">
        <v>461</v>
      </c>
      <c r="C119" s="15" t="s">
        <v>175</v>
      </c>
      <c r="D119" s="15" t="s">
        <v>399</v>
      </c>
      <c r="E119" s="15" t="s">
        <v>400</v>
      </c>
      <c r="F119" s="13" t="s">
        <v>47</v>
      </c>
      <c r="G119" s="16" t="s">
        <v>48</v>
      </c>
      <c r="H119" s="18" t="s">
        <v>39</v>
      </c>
      <c r="I119" s="43" t="s">
        <v>424</v>
      </c>
      <c r="J119" s="18" t="s">
        <v>425</v>
      </c>
      <c r="K119" s="20" t="s">
        <v>39</v>
      </c>
      <c r="L119" s="21">
        <v>220000</v>
      </c>
      <c r="M119" s="113">
        <v>0.18</v>
      </c>
      <c r="N119" s="24" t="s">
        <v>39</v>
      </c>
      <c r="O119" s="113">
        <v>0.02</v>
      </c>
      <c r="P119" s="24" t="s">
        <v>39</v>
      </c>
      <c r="Q119" s="24" t="s">
        <v>39</v>
      </c>
      <c r="R119" s="24" t="s">
        <v>39</v>
      </c>
      <c r="S119" s="24" t="s">
        <v>39</v>
      </c>
      <c r="T119" s="20">
        <v>0.04</v>
      </c>
      <c r="U119" s="20">
        <v>0.04</v>
      </c>
      <c r="V119" s="24" t="s">
        <v>39</v>
      </c>
      <c r="W119" s="114">
        <v>0.5</v>
      </c>
      <c r="X119" s="51" t="s">
        <v>39</v>
      </c>
      <c r="Y119" s="51" t="s">
        <v>39</v>
      </c>
      <c r="Z119" s="51" t="s">
        <v>39</v>
      </c>
      <c r="AA119" s="51" t="s">
        <v>39</v>
      </c>
      <c r="AB119" s="24" t="s">
        <v>39</v>
      </c>
      <c r="AC119" s="24" t="s">
        <v>39</v>
      </c>
      <c r="AD119" s="17"/>
      <c r="AE119" s="25" t="s">
        <v>405</v>
      </c>
    </row>
    <row r="120" s="2" customFormat="1" ht="36" customHeight="1" spans="1:31">
      <c r="A120" s="13">
        <v>125</v>
      </c>
      <c r="B120" s="14" t="s">
        <v>463</v>
      </c>
      <c r="C120" s="15" t="s">
        <v>175</v>
      </c>
      <c r="D120" s="15" t="s">
        <v>399</v>
      </c>
      <c r="E120" s="15" t="s">
        <v>400</v>
      </c>
      <c r="F120" s="13" t="s">
        <v>47</v>
      </c>
      <c r="G120" s="16" t="s">
        <v>48</v>
      </c>
      <c r="H120" s="18" t="s">
        <v>39</v>
      </c>
      <c r="I120" s="43" t="s">
        <v>186</v>
      </c>
      <c r="J120" s="18" t="s">
        <v>427</v>
      </c>
      <c r="K120" s="20" t="s">
        <v>39</v>
      </c>
      <c r="L120" s="21">
        <v>300000</v>
      </c>
      <c r="M120" s="113">
        <v>0.18</v>
      </c>
      <c r="N120" s="24" t="s">
        <v>39</v>
      </c>
      <c r="O120" s="113">
        <v>0.02</v>
      </c>
      <c r="P120" s="24" t="s">
        <v>39</v>
      </c>
      <c r="Q120" s="24" t="s">
        <v>39</v>
      </c>
      <c r="R120" s="24" t="s">
        <v>39</v>
      </c>
      <c r="S120" s="24" t="s">
        <v>39</v>
      </c>
      <c r="T120" s="20">
        <v>0.04</v>
      </c>
      <c r="U120" s="20">
        <v>0.04</v>
      </c>
      <c r="V120" s="24" t="s">
        <v>39</v>
      </c>
      <c r="W120" s="114">
        <v>0.5</v>
      </c>
      <c r="X120" s="51" t="s">
        <v>39</v>
      </c>
      <c r="Y120" s="51" t="s">
        <v>39</v>
      </c>
      <c r="Z120" s="51" t="s">
        <v>39</v>
      </c>
      <c r="AA120" s="51" t="s">
        <v>39</v>
      </c>
      <c r="AB120" s="24" t="s">
        <v>39</v>
      </c>
      <c r="AC120" s="24" t="s">
        <v>39</v>
      </c>
      <c r="AD120" s="17"/>
      <c r="AE120" s="25" t="s">
        <v>405</v>
      </c>
    </row>
    <row r="121" s="2" customFormat="1" ht="36" customHeight="1" spans="1:31">
      <c r="A121" s="13">
        <v>126</v>
      </c>
      <c r="B121" s="14" t="s">
        <v>466</v>
      </c>
      <c r="C121" s="15" t="s">
        <v>175</v>
      </c>
      <c r="D121" s="15" t="s">
        <v>399</v>
      </c>
      <c r="E121" s="15" t="s">
        <v>400</v>
      </c>
      <c r="F121" s="13" t="s">
        <v>47</v>
      </c>
      <c r="G121" s="16" t="s">
        <v>48</v>
      </c>
      <c r="H121" s="18" t="s">
        <v>39</v>
      </c>
      <c r="I121" s="43" t="s">
        <v>319</v>
      </c>
      <c r="J121" s="18" t="s">
        <v>429</v>
      </c>
      <c r="K121" s="20" t="s">
        <v>39</v>
      </c>
      <c r="L121" s="21">
        <v>400000</v>
      </c>
      <c r="M121" s="113">
        <v>0.18</v>
      </c>
      <c r="N121" s="24" t="s">
        <v>39</v>
      </c>
      <c r="O121" s="113">
        <v>0.02</v>
      </c>
      <c r="P121" s="24" t="s">
        <v>39</v>
      </c>
      <c r="Q121" s="24" t="s">
        <v>39</v>
      </c>
      <c r="R121" s="24" t="s">
        <v>39</v>
      </c>
      <c r="S121" s="24" t="s">
        <v>39</v>
      </c>
      <c r="T121" s="20">
        <v>0.04</v>
      </c>
      <c r="U121" s="20">
        <v>0.04</v>
      </c>
      <c r="V121" s="24" t="s">
        <v>39</v>
      </c>
      <c r="W121" s="114">
        <v>0.5</v>
      </c>
      <c r="X121" s="51" t="s">
        <v>39</v>
      </c>
      <c r="Y121" s="51" t="s">
        <v>39</v>
      </c>
      <c r="Z121" s="51" t="s">
        <v>39</v>
      </c>
      <c r="AA121" s="51" t="s">
        <v>39</v>
      </c>
      <c r="AB121" s="24" t="s">
        <v>39</v>
      </c>
      <c r="AC121" s="24" t="s">
        <v>39</v>
      </c>
      <c r="AD121" s="17"/>
      <c r="AE121" s="25" t="s">
        <v>405</v>
      </c>
    </row>
    <row r="122" s="2" customFormat="1" ht="36" customHeight="1" spans="1:31">
      <c r="A122" s="13">
        <v>127</v>
      </c>
      <c r="B122" s="14" t="s">
        <v>468</v>
      </c>
      <c r="C122" s="15" t="s">
        <v>175</v>
      </c>
      <c r="D122" s="15" t="s">
        <v>399</v>
      </c>
      <c r="E122" s="15" t="s">
        <v>400</v>
      </c>
      <c r="F122" s="13" t="s">
        <v>47</v>
      </c>
      <c r="G122" s="16" t="s">
        <v>48</v>
      </c>
      <c r="H122" s="18" t="s">
        <v>39</v>
      </c>
      <c r="I122" s="43" t="s">
        <v>431</v>
      </c>
      <c r="J122" s="55" t="s">
        <v>1491</v>
      </c>
      <c r="K122" s="20" t="s">
        <v>39</v>
      </c>
      <c r="L122" s="21">
        <v>300000</v>
      </c>
      <c r="M122" s="113">
        <v>0.18</v>
      </c>
      <c r="N122" s="24" t="s">
        <v>39</v>
      </c>
      <c r="O122" s="113">
        <v>0.02</v>
      </c>
      <c r="P122" s="24" t="s">
        <v>39</v>
      </c>
      <c r="Q122" s="24" t="s">
        <v>39</v>
      </c>
      <c r="R122" s="24" t="s">
        <v>39</v>
      </c>
      <c r="S122" s="24" t="s">
        <v>39</v>
      </c>
      <c r="T122" s="20">
        <v>0.04</v>
      </c>
      <c r="U122" s="20">
        <v>0.04</v>
      </c>
      <c r="V122" s="24" t="s">
        <v>39</v>
      </c>
      <c r="W122" s="114">
        <v>0.5</v>
      </c>
      <c r="X122" s="51" t="s">
        <v>39</v>
      </c>
      <c r="Y122" s="51" t="s">
        <v>39</v>
      </c>
      <c r="Z122" s="51" t="s">
        <v>39</v>
      </c>
      <c r="AA122" s="51" t="s">
        <v>39</v>
      </c>
      <c r="AB122" s="24" t="s">
        <v>39</v>
      </c>
      <c r="AC122" s="24" t="s">
        <v>39</v>
      </c>
      <c r="AD122" s="17"/>
      <c r="AE122" s="25" t="s">
        <v>405</v>
      </c>
    </row>
    <row r="123" s="2" customFormat="1" ht="36" customHeight="1" spans="1:31">
      <c r="A123" s="13">
        <v>128</v>
      </c>
      <c r="B123" s="14" t="s">
        <v>472</v>
      </c>
      <c r="C123" s="15" t="s">
        <v>175</v>
      </c>
      <c r="D123" s="15" t="s">
        <v>399</v>
      </c>
      <c r="E123" s="15" t="s">
        <v>400</v>
      </c>
      <c r="F123" s="13" t="s">
        <v>47</v>
      </c>
      <c r="G123" s="16" t="s">
        <v>48</v>
      </c>
      <c r="H123" s="18" t="s">
        <v>39</v>
      </c>
      <c r="I123" s="43" t="s">
        <v>434</v>
      </c>
      <c r="J123" s="18" t="s">
        <v>435</v>
      </c>
      <c r="K123" s="20" t="s">
        <v>39</v>
      </c>
      <c r="L123" s="21">
        <v>220000</v>
      </c>
      <c r="M123" s="113">
        <v>0.18</v>
      </c>
      <c r="N123" s="24" t="s">
        <v>39</v>
      </c>
      <c r="O123" s="113">
        <v>0.02</v>
      </c>
      <c r="P123" s="24" t="s">
        <v>39</v>
      </c>
      <c r="Q123" s="24" t="s">
        <v>39</v>
      </c>
      <c r="R123" s="24" t="s">
        <v>39</v>
      </c>
      <c r="S123" s="24" t="s">
        <v>39</v>
      </c>
      <c r="T123" s="20">
        <v>0.04</v>
      </c>
      <c r="U123" s="20">
        <v>0.04</v>
      </c>
      <c r="V123" s="24" t="s">
        <v>39</v>
      </c>
      <c r="W123" s="114">
        <v>0.5</v>
      </c>
      <c r="X123" s="51" t="s">
        <v>39</v>
      </c>
      <c r="Y123" s="51" t="s">
        <v>39</v>
      </c>
      <c r="Z123" s="51" t="s">
        <v>39</v>
      </c>
      <c r="AA123" s="51" t="s">
        <v>39</v>
      </c>
      <c r="AB123" s="24" t="s">
        <v>39</v>
      </c>
      <c r="AC123" s="24" t="s">
        <v>39</v>
      </c>
      <c r="AD123" s="17"/>
      <c r="AE123" s="25" t="s">
        <v>405</v>
      </c>
    </row>
    <row r="124" s="2" customFormat="1" ht="12" customHeight="1" spans="1:31">
      <c r="A124" s="13">
        <v>129</v>
      </c>
      <c r="B124" s="14" t="s">
        <v>477</v>
      </c>
      <c r="C124" s="15" t="s">
        <v>175</v>
      </c>
      <c r="D124" s="15" t="s">
        <v>437</v>
      </c>
      <c r="E124" s="15" t="s">
        <v>438</v>
      </c>
      <c r="F124" s="13" t="s">
        <v>53</v>
      </c>
      <c r="G124" s="16" t="s">
        <v>48</v>
      </c>
      <c r="H124" s="16" t="s">
        <v>39</v>
      </c>
      <c r="I124" s="17" t="s">
        <v>39</v>
      </c>
      <c r="J124" s="18" t="s">
        <v>39</v>
      </c>
      <c r="K124" s="20" t="s">
        <v>39</v>
      </c>
      <c r="L124" s="21">
        <v>566000</v>
      </c>
      <c r="M124" s="24" t="s">
        <v>39</v>
      </c>
      <c r="N124" s="24" t="s">
        <v>39</v>
      </c>
      <c r="O124" s="24" t="s">
        <v>39</v>
      </c>
      <c r="P124" s="24" t="s">
        <v>39</v>
      </c>
      <c r="Q124" s="24" t="s">
        <v>39</v>
      </c>
      <c r="R124" s="24" t="s">
        <v>39</v>
      </c>
      <c r="S124" s="24" t="s">
        <v>39</v>
      </c>
      <c r="T124" s="18" t="s">
        <v>39</v>
      </c>
      <c r="U124" s="24" t="s">
        <v>39</v>
      </c>
      <c r="V124" s="24" t="s">
        <v>39</v>
      </c>
      <c r="W124" s="18" t="s">
        <v>39</v>
      </c>
      <c r="X124" s="51" t="s">
        <v>39</v>
      </c>
      <c r="Y124" s="51" t="s">
        <v>39</v>
      </c>
      <c r="Z124" s="51" t="s">
        <v>39</v>
      </c>
      <c r="AA124" s="51" t="s">
        <v>39</v>
      </c>
      <c r="AB124" s="16">
        <v>100000</v>
      </c>
      <c r="AC124" s="46" t="s">
        <v>39</v>
      </c>
      <c r="AD124" s="17" t="s">
        <v>439</v>
      </c>
      <c r="AE124" s="25"/>
    </row>
    <row r="125" s="2" customFormat="1" ht="12" customHeight="1" spans="1:31">
      <c r="A125" s="13">
        <v>130</v>
      </c>
      <c r="B125" s="14" t="s">
        <v>480</v>
      </c>
      <c r="C125" s="15" t="s">
        <v>175</v>
      </c>
      <c r="D125" s="15" t="s">
        <v>441</v>
      </c>
      <c r="E125" s="15" t="s">
        <v>442</v>
      </c>
      <c r="F125" s="13" t="s">
        <v>53</v>
      </c>
      <c r="G125" s="16" t="s">
        <v>48</v>
      </c>
      <c r="H125" s="16" t="s">
        <v>39</v>
      </c>
      <c r="I125" s="17" t="s">
        <v>39</v>
      </c>
      <c r="J125" s="18" t="s">
        <v>39</v>
      </c>
      <c r="K125" s="20" t="s">
        <v>39</v>
      </c>
      <c r="L125" s="21">
        <v>710000</v>
      </c>
      <c r="M125" s="24" t="s">
        <v>39</v>
      </c>
      <c r="N125" s="24" t="s">
        <v>39</v>
      </c>
      <c r="O125" s="24" t="s">
        <v>39</v>
      </c>
      <c r="P125" s="24" t="s">
        <v>39</v>
      </c>
      <c r="Q125" s="24" t="s">
        <v>39</v>
      </c>
      <c r="R125" s="24" t="s">
        <v>39</v>
      </c>
      <c r="S125" s="24" t="s">
        <v>39</v>
      </c>
      <c r="T125" s="18" t="s">
        <v>39</v>
      </c>
      <c r="U125" s="24" t="s">
        <v>39</v>
      </c>
      <c r="V125" s="24" t="s">
        <v>39</v>
      </c>
      <c r="W125" s="18" t="s">
        <v>39</v>
      </c>
      <c r="X125" s="51" t="s">
        <v>39</v>
      </c>
      <c r="Y125" s="51" t="s">
        <v>39</v>
      </c>
      <c r="Z125" s="51" t="s">
        <v>39</v>
      </c>
      <c r="AA125" s="51" t="s">
        <v>39</v>
      </c>
      <c r="AB125" s="16">
        <v>100000</v>
      </c>
      <c r="AC125" s="46" t="s">
        <v>39</v>
      </c>
      <c r="AD125" s="17" t="s">
        <v>439</v>
      </c>
      <c r="AE125" s="25"/>
    </row>
    <row r="126" s="2" customFormat="1" ht="24" customHeight="1" spans="1:31">
      <c r="A126" s="13">
        <v>131</v>
      </c>
      <c r="B126" s="14" t="s">
        <v>484</v>
      </c>
      <c r="C126" s="15" t="s">
        <v>443</v>
      </c>
      <c r="D126" s="15" t="s">
        <v>444</v>
      </c>
      <c r="E126" s="15" t="s">
        <v>445</v>
      </c>
      <c r="F126" s="15" t="s">
        <v>53</v>
      </c>
      <c r="G126" s="89" t="s">
        <v>103</v>
      </c>
      <c r="H126" s="89" t="s">
        <v>39</v>
      </c>
      <c r="I126" s="88" t="s">
        <v>39</v>
      </c>
      <c r="J126" s="89" t="s">
        <v>39</v>
      </c>
      <c r="K126" s="19" t="s">
        <v>39</v>
      </c>
      <c r="L126" s="21" t="s">
        <v>39</v>
      </c>
      <c r="M126" s="90" t="s">
        <v>39</v>
      </c>
      <c r="N126" s="47"/>
      <c r="O126" s="106"/>
      <c r="P126" s="106"/>
      <c r="Q126" s="90" t="s">
        <v>39</v>
      </c>
      <c r="R126" s="90" t="s">
        <v>39</v>
      </c>
      <c r="S126" s="90" t="s">
        <v>39</v>
      </c>
      <c r="T126" s="55" t="s">
        <v>39</v>
      </c>
      <c r="U126" s="90" t="s">
        <v>39</v>
      </c>
      <c r="V126" s="90" t="s">
        <v>39</v>
      </c>
      <c r="W126" s="55" t="s">
        <v>39</v>
      </c>
      <c r="X126" s="115" t="s">
        <v>39</v>
      </c>
      <c r="Y126" s="115" t="s">
        <v>39</v>
      </c>
      <c r="Z126" s="115" t="s">
        <v>39</v>
      </c>
      <c r="AA126" s="115" t="s">
        <v>39</v>
      </c>
      <c r="AB126" s="89"/>
      <c r="AC126" s="20" t="s">
        <v>39</v>
      </c>
      <c r="AD126" s="48" t="s">
        <v>446</v>
      </c>
      <c r="AE126" s="25"/>
    </row>
    <row r="127" s="2" customFormat="1" ht="24" customHeight="1" spans="1:31">
      <c r="A127" s="13">
        <v>132</v>
      </c>
      <c r="B127" s="14" t="s">
        <v>487</v>
      </c>
      <c r="C127" s="15" t="s">
        <v>443</v>
      </c>
      <c r="D127" s="15" t="s">
        <v>444</v>
      </c>
      <c r="E127" s="15" t="s">
        <v>445</v>
      </c>
      <c r="F127" s="15" t="s">
        <v>53</v>
      </c>
      <c r="G127" s="16" t="s">
        <v>103</v>
      </c>
      <c r="H127" s="16" t="s">
        <v>60</v>
      </c>
      <c r="I127" s="17" t="s">
        <v>448</v>
      </c>
      <c r="J127" s="18" t="s">
        <v>449</v>
      </c>
      <c r="K127" s="20" t="s">
        <v>39</v>
      </c>
      <c r="L127" s="21">
        <v>280000</v>
      </c>
      <c r="M127" s="22">
        <v>0.09</v>
      </c>
      <c r="N127" s="20" t="s">
        <v>39</v>
      </c>
      <c r="O127" s="20" t="s">
        <v>39</v>
      </c>
      <c r="P127" s="24">
        <v>137.45</v>
      </c>
      <c r="Q127" s="113">
        <v>0.02</v>
      </c>
      <c r="R127" s="22" t="s">
        <v>39</v>
      </c>
      <c r="S127" s="20" t="s">
        <v>39</v>
      </c>
      <c r="T127" s="22"/>
      <c r="U127" s="116" t="s">
        <v>39</v>
      </c>
      <c r="V127" s="20">
        <v>0.04</v>
      </c>
      <c r="W127" s="20">
        <v>0.54</v>
      </c>
      <c r="X127" s="24" t="s">
        <v>39</v>
      </c>
      <c r="Y127" s="24" t="s">
        <v>39</v>
      </c>
      <c r="Z127" s="24" t="s">
        <v>39</v>
      </c>
      <c r="AA127" s="24" t="s">
        <v>39</v>
      </c>
      <c r="AB127" s="22" t="s">
        <v>39</v>
      </c>
      <c r="AC127" s="18" t="s">
        <v>39</v>
      </c>
      <c r="AD127" s="17" t="s">
        <v>450</v>
      </c>
      <c r="AE127" s="25" t="s">
        <v>451</v>
      </c>
    </row>
    <row r="128" s="2" customFormat="1" ht="24" customHeight="1" spans="1:31">
      <c r="A128" s="13">
        <v>133</v>
      </c>
      <c r="B128" s="14" t="s">
        <v>491</v>
      </c>
      <c r="C128" s="15" t="s">
        <v>443</v>
      </c>
      <c r="D128" s="15" t="s">
        <v>444</v>
      </c>
      <c r="E128" s="15" t="s">
        <v>445</v>
      </c>
      <c r="F128" s="15" t="s">
        <v>53</v>
      </c>
      <c r="G128" s="16" t="s">
        <v>103</v>
      </c>
      <c r="H128" s="16" t="s">
        <v>66</v>
      </c>
      <c r="I128" s="17" t="s">
        <v>453</v>
      </c>
      <c r="J128" s="18" t="s">
        <v>454</v>
      </c>
      <c r="K128" s="20" t="s">
        <v>39</v>
      </c>
      <c r="L128" s="21">
        <v>560000</v>
      </c>
      <c r="M128" s="22">
        <v>0.1</v>
      </c>
      <c r="N128" s="20" t="s">
        <v>39</v>
      </c>
      <c r="O128" s="20" t="s">
        <v>39</v>
      </c>
      <c r="P128" s="24">
        <v>308.9</v>
      </c>
      <c r="Q128" s="113">
        <v>0.02</v>
      </c>
      <c r="R128" s="22" t="s">
        <v>39</v>
      </c>
      <c r="S128" s="20" t="s">
        <v>39</v>
      </c>
      <c r="T128" s="22"/>
      <c r="U128" s="116" t="s">
        <v>39</v>
      </c>
      <c r="V128" s="20">
        <v>0.04</v>
      </c>
      <c r="W128" s="20">
        <v>0.52</v>
      </c>
      <c r="X128" s="24" t="s">
        <v>39</v>
      </c>
      <c r="Y128" s="24" t="s">
        <v>39</v>
      </c>
      <c r="Z128" s="24" t="s">
        <v>39</v>
      </c>
      <c r="AA128" s="24" t="s">
        <v>39</v>
      </c>
      <c r="AB128" s="22" t="s">
        <v>39</v>
      </c>
      <c r="AC128" s="18" t="s">
        <v>39</v>
      </c>
      <c r="AD128" s="17" t="s">
        <v>450</v>
      </c>
      <c r="AE128" s="25" t="s">
        <v>451</v>
      </c>
    </row>
    <row r="129" s="2" customFormat="1" ht="24" customHeight="1" spans="1:31">
      <c r="A129" s="13">
        <v>134</v>
      </c>
      <c r="B129" s="14" t="s">
        <v>495</v>
      </c>
      <c r="C129" s="15" t="s">
        <v>443</v>
      </c>
      <c r="D129" s="15" t="s">
        <v>444</v>
      </c>
      <c r="E129" s="15" t="s">
        <v>445</v>
      </c>
      <c r="F129" s="15" t="s">
        <v>53</v>
      </c>
      <c r="G129" s="16" t="s">
        <v>103</v>
      </c>
      <c r="H129" s="16" t="s">
        <v>70</v>
      </c>
      <c r="I129" s="17" t="s">
        <v>456</v>
      </c>
      <c r="J129" s="18" t="s">
        <v>457</v>
      </c>
      <c r="K129" s="20" t="s">
        <v>39</v>
      </c>
      <c r="L129" s="21">
        <v>420000</v>
      </c>
      <c r="M129" s="22">
        <v>0.1</v>
      </c>
      <c r="N129" s="20" t="s">
        <v>39</v>
      </c>
      <c r="O129" s="20" t="s">
        <v>39</v>
      </c>
      <c r="P129" s="24">
        <v>217.9</v>
      </c>
      <c r="Q129" s="113">
        <v>0.02</v>
      </c>
      <c r="R129" s="22" t="s">
        <v>39</v>
      </c>
      <c r="S129" s="20" t="s">
        <v>39</v>
      </c>
      <c r="T129" s="22"/>
      <c r="U129" s="116" t="s">
        <v>39</v>
      </c>
      <c r="V129" s="20">
        <v>0.04</v>
      </c>
      <c r="W129" s="20">
        <v>0.52</v>
      </c>
      <c r="X129" s="24" t="s">
        <v>39</v>
      </c>
      <c r="Y129" s="24" t="s">
        <v>39</v>
      </c>
      <c r="Z129" s="24" t="s">
        <v>39</v>
      </c>
      <c r="AA129" s="24" t="s">
        <v>39</v>
      </c>
      <c r="AB129" s="22" t="s">
        <v>39</v>
      </c>
      <c r="AC129" s="18" t="s">
        <v>39</v>
      </c>
      <c r="AD129" s="17" t="s">
        <v>450</v>
      </c>
      <c r="AE129" s="25" t="s">
        <v>451</v>
      </c>
    </row>
    <row r="130" s="2" customFormat="1" ht="24" customHeight="1" spans="1:31">
      <c r="A130" s="13">
        <v>135</v>
      </c>
      <c r="B130" s="14" t="s">
        <v>498</v>
      </c>
      <c r="C130" s="15" t="s">
        <v>443</v>
      </c>
      <c r="D130" s="15" t="s">
        <v>444</v>
      </c>
      <c r="E130" s="15" t="s">
        <v>445</v>
      </c>
      <c r="F130" s="15" t="s">
        <v>53</v>
      </c>
      <c r="G130" s="16" t="s">
        <v>103</v>
      </c>
      <c r="H130" s="16" t="s">
        <v>74</v>
      </c>
      <c r="I130" s="17" t="s">
        <v>459</v>
      </c>
      <c r="J130" s="18" t="s">
        <v>460</v>
      </c>
      <c r="K130" s="20" t="s">
        <v>39</v>
      </c>
      <c r="L130" s="21">
        <v>210000</v>
      </c>
      <c r="M130" s="22">
        <v>0.1</v>
      </c>
      <c r="N130" s="20" t="s">
        <v>39</v>
      </c>
      <c r="O130" s="20" t="s">
        <v>39</v>
      </c>
      <c r="P130" s="24">
        <v>175.4</v>
      </c>
      <c r="Q130" s="113">
        <v>0.02</v>
      </c>
      <c r="R130" s="22" t="s">
        <v>39</v>
      </c>
      <c r="S130" s="20" t="s">
        <v>39</v>
      </c>
      <c r="T130" s="22"/>
      <c r="U130" s="116" t="s">
        <v>39</v>
      </c>
      <c r="V130" s="20">
        <v>0.04</v>
      </c>
      <c r="W130" s="20">
        <v>0.52</v>
      </c>
      <c r="X130" s="24" t="s">
        <v>39</v>
      </c>
      <c r="Y130" s="24" t="s">
        <v>39</v>
      </c>
      <c r="Z130" s="24" t="s">
        <v>39</v>
      </c>
      <c r="AA130" s="24" t="s">
        <v>39</v>
      </c>
      <c r="AB130" s="22" t="s">
        <v>39</v>
      </c>
      <c r="AC130" s="18" t="s">
        <v>39</v>
      </c>
      <c r="AD130" s="17" t="s">
        <v>450</v>
      </c>
      <c r="AE130" s="25" t="s">
        <v>451</v>
      </c>
    </row>
    <row r="131" s="2" customFormat="1" ht="24" customHeight="1" spans="1:31">
      <c r="A131" s="13">
        <v>136</v>
      </c>
      <c r="B131" s="14" t="s">
        <v>500</v>
      </c>
      <c r="C131" s="15" t="s">
        <v>443</v>
      </c>
      <c r="D131" s="15" t="s">
        <v>444</v>
      </c>
      <c r="E131" s="15" t="s">
        <v>445</v>
      </c>
      <c r="F131" s="15" t="s">
        <v>53</v>
      </c>
      <c r="G131" s="16" t="s">
        <v>103</v>
      </c>
      <c r="H131" s="16" t="s">
        <v>265</v>
      </c>
      <c r="I131" s="17" t="s">
        <v>316</v>
      </c>
      <c r="J131" s="18" t="s">
        <v>462</v>
      </c>
      <c r="K131" s="20" t="s">
        <v>39</v>
      </c>
      <c r="L131" s="21">
        <v>490000</v>
      </c>
      <c r="M131" s="22">
        <v>0.1</v>
      </c>
      <c r="N131" s="20" t="s">
        <v>39</v>
      </c>
      <c r="O131" s="20" t="s">
        <v>39</v>
      </c>
      <c r="P131" s="24">
        <v>268.7</v>
      </c>
      <c r="Q131" s="113">
        <v>0.02</v>
      </c>
      <c r="R131" s="22" t="s">
        <v>39</v>
      </c>
      <c r="S131" s="20" t="s">
        <v>39</v>
      </c>
      <c r="T131" s="22"/>
      <c r="U131" s="116" t="s">
        <v>39</v>
      </c>
      <c r="V131" s="20">
        <v>0.04</v>
      </c>
      <c r="W131" s="20">
        <v>0.52</v>
      </c>
      <c r="X131" s="24" t="s">
        <v>39</v>
      </c>
      <c r="Y131" s="24" t="s">
        <v>39</v>
      </c>
      <c r="Z131" s="24" t="s">
        <v>39</v>
      </c>
      <c r="AA131" s="24" t="s">
        <v>39</v>
      </c>
      <c r="AB131" s="22" t="s">
        <v>39</v>
      </c>
      <c r="AC131" s="18" t="s">
        <v>39</v>
      </c>
      <c r="AD131" s="17" t="s">
        <v>450</v>
      </c>
      <c r="AE131" s="25" t="s">
        <v>451</v>
      </c>
    </row>
    <row r="132" s="2" customFormat="1" ht="24" customHeight="1" spans="1:31">
      <c r="A132" s="13">
        <v>137</v>
      </c>
      <c r="B132" s="14" t="s">
        <v>503</v>
      </c>
      <c r="C132" s="15" t="s">
        <v>443</v>
      </c>
      <c r="D132" s="15" t="s">
        <v>444</v>
      </c>
      <c r="E132" s="15" t="s">
        <v>445</v>
      </c>
      <c r="F132" s="15" t="s">
        <v>53</v>
      </c>
      <c r="G132" s="16" t="s">
        <v>103</v>
      </c>
      <c r="H132" s="16" t="s">
        <v>86</v>
      </c>
      <c r="I132" s="17" t="s">
        <v>464</v>
      </c>
      <c r="J132" s="18" t="s">
        <v>465</v>
      </c>
      <c r="K132" s="20" t="s">
        <v>39</v>
      </c>
      <c r="L132" s="21">
        <v>560000</v>
      </c>
      <c r="M132" s="22">
        <v>0.09</v>
      </c>
      <c r="N132" s="20" t="s">
        <v>39</v>
      </c>
      <c r="O132" s="20" t="s">
        <v>39</v>
      </c>
      <c r="P132" s="24">
        <v>139.2</v>
      </c>
      <c r="Q132" s="113">
        <v>0.02</v>
      </c>
      <c r="R132" s="22" t="s">
        <v>39</v>
      </c>
      <c r="S132" s="20" t="s">
        <v>39</v>
      </c>
      <c r="T132" s="22"/>
      <c r="U132" s="116" t="s">
        <v>39</v>
      </c>
      <c r="V132" s="20">
        <v>0.04</v>
      </c>
      <c r="W132" s="20">
        <v>0.54</v>
      </c>
      <c r="X132" s="24" t="s">
        <v>39</v>
      </c>
      <c r="Y132" s="24" t="s">
        <v>39</v>
      </c>
      <c r="Z132" s="24" t="s">
        <v>39</v>
      </c>
      <c r="AA132" s="24" t="s">
        <v>39</v>
      </c>
      <c r="AB132" s="22" t="s">
        <v>39</v>
      </c>
      <c r="AC132" s="18" t="s">
        <v>39</v>
      </c>
      <c r="AD132" s="17" t="s">
        <v>450</v>
      </c>
      <c r="AE132" s="25" t="s">
        <v>451</v>
      </c>
    </row>
    <row r="133" s="2" customFormat="1" ht="24" customHeight="1" spans="1:31">
      <c r="A133" s="13">
        <v>138</v>
      </c>
      <c r="B133" s="14" t="s">
        <v>508</v>
      </c>
      <c r="C133" s="15" t="s">
        <v>443</v>
      </c>
      <c r="D133" s="15" t="s">
        <v>444</v>
      </c>
      <c r="E133" s="15" t="s">
        <v>445</v>
      </c>
      <c r="F133" s="15" t="s">
        <v>53</v>
      </c>
      <c r="G133" s="16" t="s">
        <v>103</v>
      </c>
      <c r="H133" s="16" t="s">
        <v>272</v>
      </c>
      <c r="I133" s="17" t="s">
        <v>186</v>
      </c>
      <c r="J133" s="18" t="s">
        <v>467</v>
      </c>
      <c r="K133" s="20" t="s">
        <v>39</v>
      </c>
      <c r="L133" s="21">
        <v>210000</v>
      </c>
      <c r="M133" s="22">
        <v>0.09</v>
      </c>
      <c r="N133" s="20" t="s">
        <v>39</v>
      </c>
      <c r="O133" s="20" t="s">
        <v>39</v>
      </c>
      <c r="P133" s="24">
        <v>137.45</v>
      </c>
      <c r="Q133" s="113">
        <v>0.02</v>
      </c>
      <c r="R133" s="22" t="s">
        <v>39</v>
      </c>
      <c r="S133" s="20" t="s">
        <v>39</v>
      </c>
      <c r="T133" s="22"/>
      <c r="U133" s="116" t="s">
        <v>39</v>
      </c>
      <c r="V133" s="20">
        <v>0.04</v>
      </c>
      <c r="W133" s="20">
        <v>0.54</v>
      </c>
      <c r="X133" s="24" t="s">
        <v>39</v>
      </c>
      <c r="Y133" s="24" t="s">
        <v>39</v>
      </c>
      <c r="Z133" s="24" t="s">
        <v>39</v>
      </c>
      <c r="AA133" s="24" t="s">
        <v>39</v>
      </c>
      <c r="AB133" s="22" t="s">
        <v>39</v>
      </c>
      <c r="AC133" s="18" t="s">
        <v>39</v>
      </c>
      <c r="AD133" s="17" t="s">
        <v>450</v>
      </c>
      <c r="AE133" s="25" t="s">
        <v>451</v>
      </c>
    </row>
    <row r="134" s="2" customFormat="1" ht="12" customHeight="1" spans="1:31">
      <c r="A134" s="13">
        <v>139</v>
      </c>
      <c r="B134" s="14" t="s">
        <v>513</v>
      </c>
      <c r="C134" s="15" t="s">
        <v>443</v>
      </c>
      <c r="D134" s="15" t="s">
        <v>469</v>
      </c>
      <c r="E134" s="15" t="s">
        <v>470</v>
      </c>
      <c r="F134" s="13" t="s">
        <v>37</v>
      </c>
      <c r="G134" s="16" t="s">
        <v>103</v>
      </c>
      <c r="H134" s="16" t="s">
        <v>39</v>
      </c>
      <c r="I134" s="43" t="s">
        <v>39</v>
      </c>
      <c r="J134" s="16" t="s">
        <v>39</v>
      </c>
      <c r="K134" s="20" t="s">
        <v>39</v>
      </c>
      <c r="L134" s="21" t="s">
        <v>39</v>
      </c>
      <c r="M134" s="20" t="s">
        <v>39</v>
      </c>
      <c r="N134" s="19"/>
      <c r="O134" s="47">
        <v>0.05</v>
      </c>
      <c r="P134" s="19"/>
      <c r="Q134" s="20" t="s">
        <v>39</v>
      </c>
      <c r="R134" s="20" t="s">
        <v>39</v>
      </c>
      <c r="S134" s="20" t="s">
        <v>39</v>
      </c>
      <c r="T134" s="20" t="s">
        <v>39</v>
      </c>
      <c r="U134" s="20" t="s">
        <v>39</v>
      </c>
      <c r="V134" s="20" t="s">
        <v>39</v>
      </c>
      <c r="W134" s="47"/>
      <c r="X134" s="24" t="s">
        <v>39</v>
      </c>
      <c r="Y134" s="24" t="s">
        <v>39</v>
      </c>
      <c r="Z134" s="24" t="s">
        <v>39</v>
      </c>
      <c r="AA134" s="24" t="s">
        <v>39</v>
      </c>
      <c r="AB134" s="22">
        <v>0.05</v>
      </c>
      <c r="AC134" s="18" t="s">
        <v>39</v>
      </c>
      <c r="AD134" s="17" t="s">
        <v>471</v>
      </c>
      <c r="AE134" s="25"/>
    </row>
    <row r="135" s="2" customFormat="1" ht="36" customHeight="1" spans="1:31">
      <c r="A135" s="13">
        <v>140</v>
      </c>
      <c r="B135" s="14" t="s">
        <v>517</v>
      </c>
      <c r="C135" s="15" t="s">
        <v>443</v>
      </c>
      <c r="D135" s="15" t="s">
        <v>469</v>
      </c>
      <c r="E135" s="15" t="s">
        <v>470</v>
      </c>
      <c r="F135" s="13" t="s">
        <v>81</v>
      </c>
      <c r="G135" s="16" t="s">
        <v>103</v>
      </c>
      <c r="H135" s="16" t="s">
        <v>60</v>
      </c>
      <c r="I135" s="17" t="s">
        <v>473</v>
      </c>
      <c r="J135" s="18" t="s">
        <v>474</v>
      </c>
      <c r="K135" s="20" t="s">
        <v>39</v>
      </c>
      <c r="L135" s="21" t="s">
        <v>39</v>
      </c>
      <c r="M135" s="22">
        <v>0.035</v>
      </c>
      <c r="N135" s="20" t="s">
        <v>39</v>
      </c>
      <c r="O135" s="20" t="s">
        <v>39</v>
      </c>
      <c r="P135" s="59" t="s">
        <v>39</v>
      </c>
      <c r="Q135" s="22" t="s">
        <v>39</v>
      </c>
      <c r="R135" s="22" t="s">
        <v>39</v>
      </c>
      <c r="S135" s="20" t="s">
        <v>39</v>
      </c>
      <c r="T135" s="22">
        <v>0.035</v>
      </c>
      <c r="U135" s="22">
        <v>0.06</v>
      </c>
      <c r="V135" s="26">
        <v>20000</v>
      </c>
      <c r="W135" s="47"/>
      <c r="X135" s="24" t="s">
        <v>39</v>
      </c>
      <c r="Y135" s="24" t="s">
        <v>39</v>
      </c>
      <c r="Z135" s="24" t="s">
        <v>39</v>
      </c>
      <c r="AA135" s="24" t="s">
        <v>39</v>
      </c>
      <c r="AB135" s="22" t="s">
        <v>39</v>
      </c>
      <c r="AC135" s="18" t="s">
        <v>39</v>
      </c>
      <c r="AD135" s="48" t="s">
        <v>475</v>
      </c>
      <c r="AE135" s="25" t="s">
        <v>288</v>
      </c>
    </row>
    <row r="136" s="2" customFormat="1" ht="36" customHeight="1" spans="1:31">
      <c r="A136" s="13">
        <v>141</v>
      </c>
      <c r="B136" s="14" t="s">
        <v>521</v>
      </c>
      <c r="C136" s="15" t="s">
        <v>443</v>
      </c>
      <c r="D136" s="15" t="s">
        <v>469</v>
      </c>
      <c r="E136" s="15" t="s">
        <v>470</v>
      </c>
      <c r="F136" s="13" t="s">
        <v>81</v>
      </c>
      <c r="G136" s="16" t="s">
        <v>103</v>
      </c>
      <c r="H136" s="16" t="s">
        <v>66</v>
      </c>
      <c r="I136" s="17" t="s">
        <v>478</v>
      </c>
      <c r="J136" s="18" t="s">
        <v>479</v>
      </c>
      <c r="K136" s="20" t="s">
        <v>39</v>
      </c>
      <c r="L136" s="21" t="s">
        <v>39</v>
      </c>
      <c r="M136" s="22">
        <v>0.025</v>
      </c>
      <c r="N136" s="20" t="s">
        <v>39</v>
      </c>
      <c r="O136" s="20" t="s">
        <v>39</v>
      </c>
      <c r="P136" s="59" t="s">
        <v>39</v>
      </c>
      <c r="Q136" s="22" t="s">
        <v>39</v>
      </c>
      <c r="R136" s="22" t="s">
        <v>39</v>
      </c>
      <c r="S136" s="20" t="s">
        <v>39</v>
      </c>
      <c r="T136" s="22">
        <v>0.035</v>
      </c>
      <c r="U136" s="22">
        <v>0.07</v>
      </c>
      <c r="V136" s="26">
        <v>20000</v>
      </c>
      <c r="W136" s="47"/>
      <c r="X136" s="24" t="s">
        <v>39</v>
      </c>
      <c r="Y136" s="24" t="s">
        <v>39</v>
      </c>
      <c r="Z136" s="24" t="s">
        <v>39</v>
      </c>
      <c r="AA136" s="24" t="s">
        <v>39</v>
      </c>
      <c r="AB136" s="22" t="s">
        <v>39</v>
      </c>
      <c r="AC136" s="18" t="s">
        <v>39</v>
      </c>
      <c r="AD136" s="48" t="s">
        <v>475</v>
      </c>
      <c r="AE136" s="25" t="s">
        <v>288</v>
      </c>
    </row>
    <row r="137" s="2" customFormat="1" ht="36" customHeight="1" spans="1:31">
      <c r="A137" s="13">
        <v>142</v>
      </c>
      <c r="B137" s="14" t="s">
        <v>524</v>
      </c>
      <c r="C137" s="15" t="s">
        <v>443</v>
      </c>
      <c r="D137" s="15" t="s">
        <v>469</v>
      </c>
      <c r="E137" s="15" t="s">
        <v>470</v>
      </c>
      <c r="F137" s="13" t="s">
        <v>81</v>
      </c>
      <c r="G137" s="16" t="s">
        <v>103</v>
      </c>
      <c r="H137" s="16" t="s">
        <v>70</v>
      </c>
      <c r="I137" s="43" t="s">
        <v>481</v>
      </c>
      <c r="J137" s="18" t="s">
        <v>482</v>
      </c>
      <c r="K137" s="20" t="s">
        <v>39</v>
      </c>
      <c r="L137" s="21" t="s">
        <v>39</v>
      </c>
      <c r="M137" s="22">
        <v>0.025</v>
      </c>
      <c r="N137" s="20" t="s">
        <v>39</v>
      </c>
      <c r="O137" s="20" t="s">
        <v>39</v>
      </c>
      <c r="P137" s="59" t="s">
        <v>39</v>
      </c>
      <c r="Q137" s="22" t="s">
        <v>39</v>
      </c>
      <c r="R137" s="22" t="s">
        <v>39</v>
      </c>
      <c r="S137" s="20" t="s">
        <v>39</v>
      </c>
      <c r="T137" s="22">
        <v>0.035</v>
      </c>
      <c r="U137" s="22">
        <v>0.07</v>
      </c>
      <c r="V137" s="26">
        <v>15000</v>
      </c>
      <c r="W137" s="47"/>
      <c r="X137" s="24" t="s">
        <v>39</v>
      </c>
      <c r="Y137" s="24" t="s">
        <v>39</v>
      </c>
      <c r="Z137" s="24" t="s">
        <v>39</v>
      </c>
      <c r="AA137" s="24" t="s">
        <v>39</v>
      </c>
      <c r="AB137" s="22" t="s">
        <v>39</v>
      </c>
      <c r="AC137" s="18" t="s">
        <v>39</v>
      </c>
      <c r="AD137" s="48" t="s">
        <v>483</v>
      </c>
      <c r="AE137" s="25" t="s">
        <v>288</v>
      </c>
    </row>
    <row r="138" s="2" customFormat="1" ht="36" customHeight="1" spans="1:31">
      <c r="A138" s="13">
        <v>143</v>
      </c>
      <c r="B138" s="14" t="s">
        <v>526</v>
      </c>
      <c r="C138" s="15" t="s">
        <v>443</v>
      </c>
      <c r="D138" s="15" t="s">
        <v>469</v>
      </c>
      <c r="E138" s="15" t="s">
        <v>470</v>
      </c>
      <c r="F138" s="13" t="s">
        <v>81</v>
      </c>
      <c r="G138" s="16" t="s">
        <v>103</v>
      </c>
      <c r="H138" s="16" t="s">
        <v>74</v>
      </c>
      <c r="I138" s="43" t="s">
        <v>485</v>
      </c>
      <c r="J138" s="18" t="s">
        <v>486</v>
      </c>
      <c r="K138" s="20" t="s">
        <v>39</v>
      </c>
      <c r="L138" s="21" t="s">
        <v>39</v>
      </c>
      <c r="M138" s="22">
        <v>0.025</v>
      </c>
      <c r="N138" s="20" t="s">
        <v>39</v>
      </c>
      <c r="O138" s="20" t="s">
        <v>39</v>
      </c>
      <c r="P138" s="59" t="s">
        <v>39</v>
      </c>
      <c r="Q138" s="22" t="s">
        <v>39</v>
      </c>
      <c r="R138" s="22" t="s">
        <v>39</v>
      </c>
      <c r="S138" s="20" t="s">
        <v>39</v>
      </c>
      <c r="T138" s="22">
        <v>0.035</v>
      </c>
      <c r="U138" s="22">
        <v>0.07</v>
      </c>
      <c r="V138" s="26">
        <v>20000</v>
      </c>
      <c r="W138" s="47"/>
      <c r="X138" s="24" t="s">
        <v>39</v>
      </c>
      <c r="Y138" s="24" t="s">
        <v>39</v>
      </c>
      <c r="Z138" s="24" t="s">
        <v>39</v>
      </c>
      <c r="AA138" s="24" t="s">
        <v>39</v>
      </c>
      <c r="AB138" s="22" t="s">
        <v>39</v>
      </c>
      <c r="AC138" s="18" t="s">
        <v>39</v>
      </c>
      <c r="AD138" s="48" t="s">
        <v>475</v>
      </c>
      <c r="AE138" s="25" t="s">
        <v>288</v>
      </c>
    </row>
    <row r="139" s="2" customFormat="1" ht="36" customHeight="1" spans="1:31">
      <c r="A139" s="13">
        <v>144</v>
      </c>
      <c r="B139" s="14" t="s">
        <v>529</v>
      </c>
      <c r="C139" s="15" t="s">
        <v>443</v>
      </c>
      <c r="D139" s="15" t="s">
        <v>469</v>
      </c>
      <c r="E139" s="15" t="s">
        <v>470</v>
      </c>
      <c r="F139" s="13" t="s">
        <v>81</v>
      </c>
      <c r="G139" s="16" t="s">
        <v>103</v>
      </c>
      <c r="H139" s="16" t="s">
        <v>265</v>
      </c>
      <c r="I139" s="43" t="s">
        <v>488</v>
      </c>
      <c r="J139" s="18" t="s">
        <v>489</v>
      </c>
      <c r="K139" s="20" t="s">
        <v>39</v>
      </c>
      <c r="L139" s="21" t="s">
        <v>39</v>
      </c>
      <c r="M139" s="22" t="s">
        <v>39</v>
      </c>
      <c r="N139" s="22" t="s">
        <v>39</v>
      </c>
      <c r="O139" s="20" t="s">
        <v>39</v>
      </c>
      <c r="P139" s="59" t="s">
        <v>39</v>
      </c>
      <c r="Q139" s="22" t="s">
        <v>39</v>
      </c>
      <c r="R139" s="22" t="s">
        <v>39</v>
      </c>
      <c r="S139" s="22" t="s">
        <v>39</v>
      </c>
      <c r="T139" s="22">
        <v>0.035</v>
      </c>
      <c r="U139" s="22">
        <v>0.065</v>
      </c>
      <c r="V139" s="26">
        <v>20000</v>
      </c>
      <c r="W139" s="19" t="s">
        <v>39</v>
      </c>
      <c r="X139" s="24" t="s">
        <v>39</v>
      </c>
      <c r="Y139" s="24" t="s">
        <v>39</v>
      </c>
      <c r="Z139" s="24" t="s">
        <v>39</v>
      </c>
      <c r="AA139" s="24" t="s">
        <v>39</v>
      </c>
      <c r="AB139" s="22" t="s">
        <v>39</v>
      </c>
      <c r="AC139" s="18" t="s">
        <v>39</v>
      </c>
      <c r="AD139" s="48" t="s">
        <v>490</v>
      </c>
      <c r="AE139" s="25" t="s">
        <v>288</v>
      </c>
    </row>
    <row r="140" s="2" customFormat="1" ht="36" customHeight="1" spans="1:31">
      <c r="A140" s="13">
        <v>145</v>
      </c>
      <c r="B140" s="14" t="s">
        <v>532</v>
      </c>
      <c r="C140" s="15" t="s">
        <v>443</v>
      </c>
      <c r="D140" s="15" t="s">
        <v>469</v>
      </c>
      <c r="E140" s="15" t="s">
        <v>470</v>
      </c>
      <c r="F140" s="13" t="s">
        <v>81</v>
      </c>
      <c r="G140" s="16" t="s">
        <v>103</v>
      </c>
      <c r="H140" s="16" t="s">
        <v>86</v>
      </c>
      <c r="I140" s="43" t="s">
        <v>492</v>
      </c>
      <c r="J140" s="18" t="s">
        <v>493</v>
      </c>
      <c r="K140" s="20" t="s">
        <v>39</v>
      </c>
      <c r="L140" s="21" t="s">
        <v>39</v>
      </c>
      <c r="M140" s="22">
        <v>0.025</v>
      </c>
      <c r="N140" s="20" t="s">
        <v>39</v>
      </c>
      <c r="O140" s="20" t="s">
        <v>39</v>
      </c>
      <c r="P140" s="59" t="s">
        <v>39</v>
      </c>
      <c r="Q140" s="22" t="s">
        <v>39</v>
      </c>
      <c r="R140" s="22" t="s">
        <v>39</v>
      </c>
      <c r="S140" s="20" t="s">
        <v>39</v>
      </c>
      <c r="T140" s="22">
        <v>0.035</v>
      </c>
      <c r="U140" s="22">
        <v>0.07</v>
      </c>
      <c r="V140" s="26">
        <v>22500</v>
      </c>
      <c r="W140" s="47"/>
      <c r="X140" s="24" t="s">
        <v>39</v>
      </c>
      <c r="Y140" s="24" t="s">
        <v>39</v>
      </c>
      <c r="Z140" s="24" t="s">
        <v>39</v>
      </c>
      <c r="AA140" s="24" t="s">
        <v>39</v>
      </c>
      <c r="AB140" s="22" t="s">
        <v>39</v>
      </c>
      <c r="AC140" s="18" t="s">
        <v>39</v>
      </c>
      <c r="AD140" s="48" t="s">
        <v>494</v>
      </c>
      <c r="AE140" s="25" t="s">
        <v>288</v>
      </c>
    </row>
    <row r="141" s="2" customFormat="1" ht="24" customHeight="1" spans="1:31">
      <c r="A141" s="13">
        <v>146</v>
      </c>
      <c r="B141" s="14" t="s">
        <v>535</v>
      </c>
      <c r="C141" s="15" t="s">
        <v>443</v>
      </c>
      <c r="D141" s="15" t="s">
        <v>469</v>
      </c>
      <c r="E141" s="15" t="s">
        <v>470</v>
      </c>
      <c r="F141" s="13" t="s">
        <v>81</v>
      </c>
      <c r="G141" s="16" t="s">
        <v>103</v>
      </c>
      <c r="H141" s="16" t="s">
        <v>272</v>
      </c>
      <c r="I141" s="43" t="s">
        <v>240</v>
      </c>
      <c r="J141" s="18" t="s">
        <v>496</v>
      </c>
      <c r="K141" s="20" t="s">
        <v>39</v>
      </c>
      <c r="L141" s="21" t="s">
        <v>39</v>
      </c>
      <c r="M141" s="22">
        <v>0.025</v>
      </c>
      <c r="N141" s="20" t="s">
        <v>39</v>
      </c>
      <c r="O141" s="20" t="s">
        <v>39</v>
      </c>
      <c r="P141" s="59" t="s">
        <v>39</v>
      </c>
      <c r="Q141" s="22" t="s">
        <v>39</v>
      </c>
      <c r="R141" s="22" t="s">
        <v>39</v>
      </c>
      <c r="S141" s="20" t="s">
        <v>39</v>
      </c>
      <c r="T141" s="22">
        <v>0.035</v>
      </c>
      <c r="U141" s="22">
        <v>0.07</v>
      </c>
      <c r="V141" s="20" t="s">
        <v>39</v>
      </c>
      <c r="W141" s="19" t="s">
        <v>39</v>
      </c>
      <c r="X141" s="24" t="s">
        <v>39</v>
      </c>
      <c r="Y141" s="24" t="s">
        <v>39</v>
      </c>
      <c r="Z141" s="24" t="s">
        <v>39</v>
      </c>
      <c r="AA141" s="24" t="s">
        <v>39</v>
      </c>
      <c r="AB141" s="22" t="s">
        <v>39</v>
      </c>
      <c r="AC141" s="18" t="s">
        <v>39</v>
      </c>
      <c r="AD141" s="57" t="s">
        <v>497</v>
      </c>
      <c r="AE141" s="25" t="s">
        <v>288</v>
      </c>
    </row>
    <row r="142" s="2" customFormat="1" ht="24" customHeight="1" spans="1:31">
      <c r="A142" s="13">
        <v>147</v>
      </c>
      <c r="B142" s="14" t="s">
        <v>539</v>
      </c>
      <c r="C142" s="15" t="s">
        <v>443</v>
      </c>
      <c r="D142" s="15" t="s">
        <v>469</v>
      </c>
      <c r="E142" s="15" t="s">
        <v>470</v>
      </c>
      <c r="F142" s="13" t="s">
        <v>81</v>
      </c>
      <c r="G142" s="16" t="s">
        <v>103</v>
      </c>
      <c r="H142" s="16" t="s">
        <v>276</v>
      </c>
      <c r="I142" s="43" t="s">
        <v>499</v>
      </c>
      <c r="J142" s="18" t="s">
        <v>496</v>
      </c>
      <c r="K142" s="20" t="s">
        <v>39</v>
      </c>
      <c r="L142" s="21" t="s">
        <v>39</v>
      </c>
      <c r="M142" s="22" t="s">
        <v>39</v>
      </c>
      <c r="N142" s="22" t="s">
        <v>39</v>
      </c>
      <c r="O142" s="20" t="s">
        <v>39</v>
      </c>
      <c r="P142" s="59" t="s">
        <v>39</v>
      </c>
      <c r="Q142" s="22" t="s">
        <v>39</v>
      </c>
      <c r="R142" s="22" t="s">
        <v>39</v>
      </c>
      <c r="S142" s="22" t="s">
        <v>39</v>
      </c>
      <c r="T142" s="22">
        <v>0.035</v>
      </c>
      <c r="U142" s="22"/>
      <c r="V142" s="26">
        <v>5000</v>
      </c>
      <c r="W142" s="19" t="s">
        <v>39</v>
      </c>
      <c r="X142" s="24" t="s">
        <v>39</v>
      </c>
      <c r="Y142" s="24" t="s">
        <v>39</v>
      </c>
      <c r="Z142" s="24" t="s">
        <v>39</v>
      </c>
      <c r="AA142" s="24" t="s">
        <v>39</v>
      </c>
      <c r="AB142" s="22" t="s">
        <v>39</v>
      </c>
      <c r="AC142" s="18" t="s">
        <v>39</v>
      </c>
      <c r="AD142" s="57" t="s">
        <v>497</v>
      </c>
      <c r="AE142" s="25" t="s">
        <v>288</v>
      </c>
    </row>
    <row r="143" s="2" customFormat="1" ht="12" customHeight="1" spans="1:31">
      <c r="A143" s="13">
        <v>148</v>
      </c>
      <c r="B143" s="14" t="s">
        <v>542</v>
      </c>
      <c r="C143" s="15" t="s">
        <v>443</v>
      </c>
      <c r="D143" s="15" t="s">
        <v>501</v>
      </c>
      <c r="E143" s="15" t="s">
        <v>502</v>
      </c>
      <c r="F143" s="13" t="s">
        <v>37</v>
      </c>
      <c r="G143" s="16" t="s">
        <v>103</v>
      </c>
      <c r="H143" s="16" t="s">
        <v>39</v>
      </c>
      <c r="I143" s="43" t="s">
        <v>39</v>
      </c>
      <c r="J143" s="16" t="s">
        <v>39</v>
      </c>
      <c r="K143" s="20" t="s">
        <v>39</v>
      </c>
      <c r="L143" s="21">
        <v>17000000</v>
      </c>
      <c r="M143" s="20" t="s">
        <v>39</v>
      </c>
      <c r="N143" s="20" t="s">
        <v>39</v>
      </c>
      <c r="O143" s="23">
        <v>0.02</v>
      </c>
      <c r="P143" s="20" t="s">
        <v>39</v>
      </c>
      <c r="Q143" s="20" t="s">
        <v>39</v>
      </c>
      <c r="R143" s="20" t="s">
        <v>39</v>
      </c>
      <c r="S143" s="20" t="s">
        <v>39</v>
      </c>
      <c r="T143" s="20" t="s">
        <v>39</v>
      </c>
      <c r="U143" s="20" t="s">
        <v>39</v>
      </c>
      <c r="V143" s="20" t="s">
        <v>39</v>
      </c>
      <c r="W143" s="47"/>
      <c r="X143" s="117">
        <v>0.045</v>
      </c>
      <c r="Y143" s="24" t="s">
        <v>39</v>
      </c>
      <c r="Z143" s="24" t="s">
        <v>39</v>
      </c>
      <c r="AA143" s="24" t="s">
        <v>39</v>
      </c>
      <c r="AB143" s="46">
        <v>0.045</v>
      </c>
      <c r="AC143" s="46" t="s">
        <v>39</v>
      </c>
      <c r="AD143" s="17"/>
      <c r="AE143" s="25"/>
    </row>
    <row r="144" s="2" customFormat="1" ht="12" customHeight="1" spans="1:31">
      <c r="A144" s="13">
        <v>149</v>
      </c>
      <c r="B144" s="14" t="s">
        <v>544</v>
      </c>
      <c r="C144" s="15" t="s">
        <v>443</v>
      </c>
      <c r="D144" s="15" t="s">
        <v>504</v>
      </c>
      <c r="E144" s="15" t="s">
        <v>505</v>
      </c>
      <c r="F144" s="13" t="s">
        <v>53</v>
      </c>
      <c r="G144" s="16" t="s">
        <v>48</v>
      </c>
      <c r="H144" s="16" t="s">
        <v>39</v>
      </c>
      <c r="I144" s="17" t="s">
        <v>39</v>
      </c>
      <c r="J144" s="18" t="s">
        <v>39</v>
      </c>
      <c r="K144" s="20" t="s">
        <v>39</v>
      </c>
      <c r="L144" s="21">
        <v>522000</v>
      </c>
      <c r="M144" s="24" t="s">
        <v>39</v>
      </c>
      <c r="N144" s="24" t="s">
        <v>39</v>
      </c>
      <c r="O144" s="24" t="s">
        <v>39</v>
      </c>
      <c r="P144" s="24" t="s">
        <v>39</v>
      </c>
      <c r="Q144" s="24" t="s">
        <v>39</v>
      </c>
      <c r="R144" s="24" t="s">
        <v>39</v>
      </c>
      <c r="S144" s="24" t="s">
        <v>39</v>
      </c>
      <c r="T144" s="18" t="s">
        <v>39</v>
      </c>
      <c r="U144" s="24" t="s">
        <v>39</v>
      </c>
      <c r="V144" s="24" t="s">
        <v>39</v>
      </c>
      <c r="W144" s="18" t="s">
        <v>39</v>
      </c>
      <c r="X144" s="51" t="s">
        <v>39</v>
      </c>
      <c r="Y144" s="51" t="s">
        <v>39</v>
      </c>
      <c r="Z144" s="51" t="s">
        <v>39</v>
      </c>
      <c r="AA144" s="51" t="s">
        <v>39</v>
      </c>
      <c r="AB144" s="16">
        <v>100000</v>
      </c>
      <c r="AC144" s="46" t="s">
        <v>39</v>
      </c>
      <c r="AD144" s="17" t="s">
        <v>439</v>
      </c>
      <c r="AE144" s="25"/>
    </row>
    <row r="145" s="2" customFormat="1" ht="12" customHeight="1" spans="1:31">
      <c r="A145" s="13">
        <v>150</v>
      </c>
      <c r="B145" s="14" t="s">
        <v>547</v>
      </c>
      <c r="C145" s="15" t="s">
        <v>443</v>
      </c>
      <c r="D145" s="15" t="s">
        <v>506</v>
      </c>
      <c r="E145" s="15" t="s">
        <v>507</v>
      </c>
      <c r="F145" s="88" t="s">
        <v>37</v>
      </c>
      <c r="G145" s="16" t="s">
        <v>48</v>
      </c>
      <c r="H145" s="89" t="s">
        <v>39</v>
      </c>
      <c r="I145" s="55" t="s">
        <v>39</v>
      </c>
      <c r="J145" s="55" t="s">
        <v>39</v>
      </c>
      <c r="K145" s="19" t="s">
        <v>39</v>
      </c>
      <c r="L145" s="21" t="s">
        <v>39</v>
      </c>
      <c r="M145" s="90" t="s">
        <v>39</v>
      </c>
      <c r="N145" s="90" t="s">
        <v>39</v>
      </c>
      <c r="O145" s="90" t="s">
        <v>39</v>
      </c>
      <c r="P145" s="106"/>
      <c r="Q145" s="90" t="s">
        <v>39</v>
      </c>
      <c r="R145" s="90" t="s">
        <v>39</v>
      </c>
      <c r="S145" s="90" t="s">
        <v>39</v>
      </c>
      <c r="T145" s="44"/>
      <c r="U145" s="90" t="s">
        <v>39</v>
      </c>
      <c r="V145" s="90" t="s">
        <v>39</v>
      </c>
      <c r="W145" s="55" t="s">
        <v>39</v>
      </c>
      <c r="X145" s="115" t="s">
        <v>39</v>
      </c>
      <c r="Y145" s="115" t="s">
        <v>39</v>
      </c>
      <c r="Z145" s="115" t="s">
        <v>39</v>
      </c>
      <c r="AA145" s="115" t="s">
        <v>39</v>
      </c>
      <c r="AB145" s="46">
        <v>0.05</v>
      </c>
      <c r="AC145" s="118" t="s">
        <v>39</v>
      </c>
      <c r="AD145" s="48" t="s">
        <v>104</v>
      </c>
      <c r="AE145" s="25"/>
    </row>
    <row r="146" s="2" customFormat="1" ht="36" customHeight="1" spans="1:31">
      <c r="A146" s="13">
        <v>151</v>
      </c>
      <c r="B146" s="14" t="s">
        <v>550</v>
      </c>
      <c r="C146" s="15" t="s">
        <v>443</v>
      </c>
      <c r="D146" s="15" t="s">
        <v>506</v>
      </c>
      <c r="E146" s="15" t="s">
        <v>507</v>
      </c>
      <c r="F146" s="13" t="s">
        <v>81</v>
      </c>
      <c r="G146" s="16" t="s">
        <v>48</v>
      </c>
      <c r="H146" s="18" t="s">
        <v>39</v>
      </c>
      <c r="I146" s="43" t="s">
        <v>186</v>
      </c>
      <c r="J146" s="18" t="s">
        <v>509</v>
      </c>
      <c r="K146" s="20" t="s">
        <v>39</v>
      </c>
      <c r="L146" s="21">
        <v>564000</v>
      </c>
      <c r="M146" s="113">
        <v>0.18</v>
      </c>
      <c r="N146" s="24" t="s">
        <v>39</v>
      </c>
      <c r="O146" s="119"/>
      <c r="P146" s="24" t="s">
        <v>39</v>
      </c>
      <c r="Q146" s="24" t="s">
        <v>39</v>
      </c>
      <c r="R146" s="24" t="s">
        <v>39</v>
      </c>
      <c r="S146" s="24" t="s">
        <v>39</v>
      </c>
      <c r="T146" s="26">
        <v>1500</v>
      </c>
      <c r="U146" s="26"/>
      <c r="V146" s="24" t="s">
        <v>39</v>
      </c>
      <c r="W146" s="22">
        <v>0.501</v>
      </c>
      <c r="X146" s="51" t="s">
        <v>39</v>
      </c>
      <c r="Y146" s="51" t="s">
        <v>39</v>
      </c>
      <c r="Z146" s="51" t="s">
        <v>39</v>
      </c>
      <c r="AA146" s="51" t="s">
        <v>39</v>
      </c>
      <c r="AB146" s="51" t="s">
        <v>39</v>
      </c>
      <c r="AC146" s="46" t="s">
        <v>39</v>
      </c>
      <c r="AD146" s="120" t="s">
        <v>510</v>
      </c>
      <c r="AE146" s="25" t="s">
        <v>511</v>
      </c>
    </row>
    <row r="147" s="2" customFormat="1" ht="24" customHeight="1" spans="1:31">
      <c r="A147" s="13">
        <v>152</v>
      </c>
      <c r="B147" s="14" t="s">
        <v>554</v>
      </c>
      <c r="C147" s="15" t="s">
        <v>443</v>
      </c>
      <c r="D147" s="15" t="s">
        <v>506</v>
      </c>
      <c r="E147" s="15" t="s">
        <v>507</v>
      </c>
      <c r="F147" s="13" t="s">
        <v>81</v>
      </c>
      <c r="G147" s="16" t="s">
        <v>48</v>
      </c>
      <c r="H147" s="18" t="s">
        <v>39</v>
      </c>
      <c r="I147" s="43" t="s">
        <v>514</v>
      </c>
      <c r="J147" s="18" t="s">
        <v>515</v>
      </c>
      <c r="K147" s="20" t="s">
        <v>39</v>
      </c>
      <c r="L147" s="21">
        <v>924000</v>
      </c>
      <c r="M147" s="113">
        <v>0.19</v>
      </c>
      <c r="N147" s="24" t="s">
        <v>39</v>
      </c>
      <c r="O147" s="119"/>
      <c r="P147" s="24" t="s">
        <v>39</v>
      </c>
      <c r="Q147" s="24" t="s">
        <v>39</v>
      </c>
      <c r="R147" s="24" t="s">
        <v>39</v>
      </c>
      <c r="S147" s="24" t="s">
        <v>39</v>
      </c>
      <c r="T147" s="26">
        <v>1500</v>
      </c>
      <c r="U147" s="26"/>
      <c r="V147" s="24" t="s">
        <v>39</v>
      </c>
      <c r="W147" s="22">
        <v>0.501</v>
      </c>
      <c r="X147" s="51" t="s">
        <v>39</v>
      </c>
      <c r="Y147" s="51" t="s">
        <v>39</v>
      </c>
      <c r="Z147" s="51" t="s">
        <v>39</v>
      </c>
      <c r="AA147" s="51" t="s">
        <v>39</v>
      </c>
      <c r="AB147" s="51" t="s">
        <v>39</v>
      </c>
      <c r="AC147" s="46" t="s">
        <v>39</v>
      </c>
      <c r="AD147" s="120" t="s">
        <v>510</v>
      </c>
      <c r="AE147" s="25" t="s">
        <v>516</v>
      </c>
    </row>
    <row r="148" s="2" customFormat="1" ht="24" customHeight="1" spans="1:31">
      <c r="A148" s="13">
        <v>153</v>
      </c>
      <c r="B148" s="14" t="s">
        <v>558</v>
      </c>
      <c r="C148" s="15" t="s">
        <v>443</v>
      </c>
      <c r="D148" s="15" t="s">
        <v>506</v>
      </c>
      <c r="E148" s="15" t="s">
        <v>507</v>
      </c>
      <c r="F148" s="13" t="s">
        <v>81</v>
      </c>
      <c r="G148" s="16" t="s">
        <v>48</v>
      </c>
      <c r="H148" s="18" t="s">
        <v>39</v>
      </c>
      <c r="I148" s="43" t="s">
        <v>518</v>
      </c>
      <c r="J148" s="18" t="s">
        <v>519</v>
      </c>
      <c r="K148" s="20" t="s">
        <v>39</v>
      </c>
      <c r="L148" s="21">
        <v>384000</v>
      </c>
      <c r="M148" s="113">
        <v>0.19</v>
      </c>
      <c r="N148" s="24" t="s">
        <v>39</v>
      </c>
      <c r="O148" s="119"/>
      <c r="P148" s="24" t="s">
        <v>39</v>
      </c>
      <c r="Q148" s="24" t="s">
        <v>39</v>
      </c>
      <c r="R148" s="24" t="s">
        <v>39</v>
      </c>
      <c r="S148" s="24" t="s">
        <v>39</v>
      </c>
      <c r="T148" s="26">
        <v>1000</v>
      </c>
      <c r="U148" s="26"/>
      <c r="V148" s="24" t="s">
        <v>39</v>
      </c>
      <c r="W148" s="22">
        <v>0.501</v>
      </c>
      <c r="X148" s="51" t="s">
        <v>39</v>
      </c>
      <c r="Y148" s="51" t="s">
        <v>39</v>
      </c>
      <c r="Z148" s="51" t="s">
        <v>39</v>
      </c>
      <c r="AA148" s="51" t="s">
        <v>39</v>
      </c>
      <c r="AB148" s="51" t="s">
        <v>39</v>
      </c>
      <c r="AC148" s="46" t="s">
        <v>39</v>
      </c>
      <c r="AD148" s="121" t="s">
        <v>520</v>
      </c>
      <c r="AE148" s="25" t="s">
        <v>516</v>
      </c>
    </row>
    <row r="149" s="2" customFormat="1" ht="24" customHeight="1" spans="1:31">
      <c r="A149" s="13">
        <v>154</v>
      </c>
      <c r="B149" s="14" t="s">
        <v>561</v>
      </c>
      <c r="C149" s="15" t="s">
        <v>443</v>
      </c>
      <c r="D149" s="15" t="s">
        <v>506</v>
      </c>
      <c r="E149" s="15" t="s">
        <v>507</v>
      </c>
      <c r="F149" s="13" t="s">
        <v>81</v>
      </c>
      <c r="G149" s="16" t="s">
        <v>48</v>
      </c>
      <c r="H149" s="18" t="s">
        <v>39</v>
      </c>
      <c r="I149" s="43" t="s">
        <v>522</v>
      </c>
      <c r="J149" s="18" t="s">
        <v>523</v>
      </c>
      <c r="K149" s="20" t="s">
        <v>39</v>
      </c>
      <c r="L149" s="21">
        <v>588000</v>
      </c>
      <c r="M149" s="113">
        <v>0.19</v>
      </c>
      <c r="N149" s="24" t="s">
        <v>39</v>
      </c>
      <c r="O149" s="119"/>
      <c r="P149" s="24" t="s">
        <v>39</v>
      </c>
      <c r="Q149" s="24" t="s">
        <v>39</v>
      </c>
      <c r="R149" s="24" t="s">
        <v>39</v>
      </c>
      <c r="S149" s="24" t="s">
        <v>39</v>
      </c>
      <c r="T149" s="26">
        <v>1500</v>
      </c>
      <c r="U149" s="26"/>
      <c r="V149" s="24" t="s">
        <v>39</v>
      </c>
      <c r="W149" s="22">
        <v>0.501</v>
      </c>
      <c r="X149" s="51" t="s">
        <v>39</v>
      </c>
      <c r="Y149" s="51" t="s">
        <v>39</v>
      </c>
      <c r="Z149" s="51" t="s">
        <v>39</v>
      </c>
      <c r="AA149" s="51" t="s">
        <v>39</v>
      </c>
      <c r="AB149" s="51" t="s">
        <v>39</v>
      </c>
      <c r="AC149" s="46" t="s">
        <v>39</v>
      </c>
      <c r="AD149" s="120" t="s">
        <v>510</v>
      </c>
      <c r="AE149" s="25" t="s">
        <v>516</v>
      </c>
    </row>
    <row r="150" s="2" customFormat="1" ht="36" customHeight="1" spans="1:31">
      <c r="A150" s="13">
        <v>155</v>
      </c>
      <c r="B150" s="14" t="s">
        <v>565</v>
      </c>
      <c r="C150" s="15" t="s">
        <v>443</v>
      </c>
      <c r="D150" s="15" t="s">
        <v>506</v>
      </c>
      <c r="E150" s="15" t="s">
        <v>507</v>
      </c>
      <c r="F150" s="13" t="s">
        <v>81</v>
      </c>
      <c r="G150" s="16" t="s">
        <v>48</v>
      </c>
      <c r="H150" s="18" t="s">
        <v>39</v>
      </c>
      <c r="I150" s="43" t="s">
        <v>448</v>
      </c>
      <c r="J150" s="18" t="s">
        <v>525</v>
      </c>
      <c r="K150" s="20" t="s">
        <v>39</v>
      </c>
      <c r="L150" s="21">
        <v>660000</v>
      </c>
      <c r="M150" s="113">
        <v>0.19</v>
      </c>
      <c r="N150" s="24" t="s">
        <v>39</v>
      </c>
      <c r="O150" s="119"/>
      <c r="P150" s="24" t="s">
        <v>39</v>
      </c>
      <c r="Q150" s="24" t="s">
        <v>39</v>
      </c>
      <c r="R150" s="24" t="s">
        <v>39</v>
      </c>
      <c r="S150" s="24" t="s">
        <v>39</v>
      </c>
      <c r="T150" s="26">
        <v>1500</v>
      </c>
      <c r="U150" s="26"/>
      <c r="V150" s="24" t="s">
        <v>39</v>
      </c>
      <c r="W150" s="22">
        <v>0.501</v>
      </c>
      <c r="X150" s="51" t="s">
        <v>39</v>
      </c>
      <c r="Y150" s="51" t="s">
        <v>39</v>
      </c>
      <c r="Z150" s="51" t="s">
        <v>39</v>
      </c>
      <c r="AA150" s="51" t="s">
        <v>39</v>
      </c>
      <c r="AB150" s="51" t="s">
        <v>39</v>
      </c>
      <c r="AC150" s="46" t="s">
        <v>39</v>
      </c>
      <c r="AD150" s="120" t="s">
        <v>510</v>
      </c>
      <c r="AE150" s="25" t="s">
        <v>511</v>
      </c>
    </row>
    <row r="151" s="2" customFormat="1" ht="36" customHeight="1" spans="1:31">
      <c r="A151" s="13">
        <v>156</v>
      </c>
      <c r="B151" s="14" t="s">
        <v>568</v>
      </c>
      <c r="C151" s="15" t="s">
        <v>443</v>
      </c>
      <c r="D151" s="15" t="s">
        <v>506</v>
      </c>
      <c r="E151" s="15" t="s">
        <v>507</v>
      </c>
      <c r="F151" s="13" t="s">
        <v>81</v>
      </c>
      <c r="G151" s="16" t="s">
        <v>48</v>
      </c>
      <c r="H151" s="18" t="s">
        <v>39</v>
      </c>
      <c r="I151" s="43" t="s">
        <v>527</v>
      </c>
      <c r="J151" s="93" t="s">
        <v>528</v>
      </c>
      <c r="K151" s="20" t="s">
        <v>39</v>
      </c>
      <c r="L151" s="21">
        <v>660000</v>
      </c>
      <c r="M151" s="113">
        <v>0.19</v>
      </c>
      <c r="N151" s="24" t="s">
        <v>39</v>
      </c>
      <c r="O151" s="119"/>
      <c r="P151" s="24" t="s">
        <v>39</v>
      </c>
      <c r="Q151" s="24" t="s">
        <v>39</v>
      </c>
      <c r="R151" s="24" t="s">
        <v>39</v>
      </c>
      <c r="S151" s="24" t="s">
        <v>39</v>
      </c>
      <c r="T151" s="26">
        <v>1000</v>
      </c>
      <c r="U151" s="26"/>
      <c r="V151" s="24" t="s">
        <v>39</v>
      </c>
      <c r="W151" s="22">
        <v>0.501</v>
      </c>
      <c r="X151" s="51" t="s">
        <v>39</v>
      </c>
      <c r="Y151" s="51" t="s">
        <v>39</v>
      </c>
      <c r="Z151" s="51" t="s">
        <v>39</v>
      </c>
      <c r="AA151" s="51" t="s">
        <v>39</v>
      </c>
      <c r="AB151" s="51" t="s">
        <v>39</v>
      </c>
      <c r="AC151" s="46" t="s">
        <v>39</v>
      </c>
      <c r="AD151" s="121" t="s">
        <v>520</v>
      </c>
      <c r="AE151" s="25" t="s">
        <v>511</v>
      </c>
    </row>
    <row r="152" s="2" customFormat="1" ht="36" customHeight="1" spans="1:31">
      <c r="A152" s="13">
        <v>157</v>
      </c>
      <c r="B152" s="14" t="s">
        <v>571</v>
      </c>
      <c r="C152" s="15" t="s">
        <v>443</v>
      </c>
      <c r="D152" s="15" t="s">
        <v>506</v>
      </c>
      <c r="E152" s="15" t="s">
        <v>507</v>
      </c>
      <c r="F152" s="13" t="s">
        <v>81</v>
      </c>
      <c r="G152" s="16" t="s">
        <v>48</v>
      </c>
      <c r="H152" s="18" t="s">
        <v>39</v>
      </c>
      <c r="I152" s="43" t="s">
        <v>530</v>
      </c>
      <c r="J152" s="93" t="s">
        <v>531</v>
      </c>
      <c r="K152" s="20" t="s">
        <v>39</v>
      </c>
      <c r="L152" s="21">
        <v>588000</v>
      </c>
      <c r="M152" s="113">
        <v>0.16</v>
      </c>
      <c r="N152" s="24" t="s">
        <v>39</v>
      </c>
      <c r="O152" s="119"/>
      <c r="P152" s="24" t="s">
        <v>39</v>
      </c>
      <c r="Q152" s="24" t="s">
        <v>39</v>
      </c>
      <c r="R152" s="24" t="s">
        <v>39</v>
      </c>
      <c r="S152" s="24" t="s">
        <v>39</v>
      </c>
      <c r="T152" s="26">
        <v>1500</v>
      </c>
      <c r="U152" s="26"/>
      <c r="V152" s="24" t="s">
        <v>39</v>
      </c>
      <c r="W152" s="22">
        <v>0.501</v>
      </c>
      <c r="X152" s="51" t="s">
        <v>39</v>
      </c>
      <c r="Y152" s="51" t="s">
        <v>39</v>
      </c>
      <c r="Z152" s="51" t="s">
        <v>39</v>
      </c>
      <c r="AA152" s="51" t="s">
        <v>39</v>
      </c>
      <c r="AB152" s="51" t="s">
        <v>39</v>
      </c>
      <c r="AC152" s="46" t="s">
        <v>39</v>
      </c>
      <c r="AD152" s="120" t="s">
        <v>510</v>
      </c>
      <c r="AE152" s="25" t="s">
        <v>511</v>
      </c>
    </row>
    <row r="153" s="2" customFormat="1" ht="36" customHeight="1" spans="1:31">
      <c r="A153" s="13">
        <v>158</v>
      </c>
      <c r="B153" s="14" t="s">
        <v>574</v>
      </c>
      <c r="C153" s="15" t="s">
        <v>443</v>
      </c>
      <c r="D153" s="15" t="s">
        <v>506</v>
      </c>
      <c r="E153" s="15" t="s">
        <v>507</v>
      </c>
      <c r="F153" s="13" t="s">
        <v>81</v>
      </c>
      <c r="G153" s="16" t="s">
        <v>48</v>
      </c>
      <c r="H153" s="18" t="s">
        <v>39</v>
      </c>
      <c r="I153" s="43" t="s">
        <v>533</v>
      </c>
      <c r="J153" s="93" t="s">
        <v>534</v>
      </c>
      <c r="K153" s="20" t="s">
        <v>39</v>
      </c>
      <c r="L153" s="21">
        <v>564000</v>
      </c>
      <c r="M153" s="113">
        <v>0.19</v>
      </c>
      <c r="N153" s="24" t="s">
        <v>39</v>
      </c>
      <c r="O153" s="119"/>
      <c r="P153" s="24" t="s">
        <v>39</v>
      </c>
      <c r="Q153" s="24" t="s">
        <v>39</v>
      </c>
      <c r="R153" s="24" t="s">
        <v>39</v>
      </c>
      <c r="S153" s="24" t="s">
        <v>39</v>
      </c>
      <c r="T153" s="26">
        <v>1500</v>
      </c>
      <c r="U153" s="26"/>
      <c r="V153" s="24" t="s">
        <v>39</v>
      </c>
      <c r="W153" s="22">
        <v>0.501</v>
      </c>
      <c r="X153" s="51" t="s">
        <v>39</v>
      </c>
      <c r="Y153" s="51" t="s">
        <v>39</v>
      </c>
      <c r="Z153" s="51" t="s">
        <v>39</v>
      </c>
      <c r="AA153" s="51" t="s">
        <v>39</v>
      </c>
      <c r="AB153" s="51" t="s">
        <v>39</v>
      </c>
      <c r="AC153" s="46" t="s">
        <v>39</v>
      </c>
      <c r="AD153" s="120" t="s">
        <v>510</v>
      </c>
      <c r="AE153" s="25" t="s">
        <v>511</v>
      </c>
    </row>
    <row r="154" s="2" customFormat="1" ht="36" customHeight="1" spans="1:31">
      <c r="A154" s="13">
        <v>159</v>
      </c>
      <c r="B154" s="14" t="s">
        <v>579</v>
      </c>
      <c r="C154" s="15" t="s">
        <v>443</v>
      </c>
      <c r="D154" s="15" t="s">
        <v>506</v>
      </c>
      <c r="E154" s="15" t="s">
        <v>507</v>
      </c>
      <c r="F154" s="13" t="s">
        <v>81</v>
      </c>
      <c r="G154" s="16" t="s">
        <v>48</v>
      </c>
      <c r="H154" s="18" t="s">
        <v>39</v>
      </c>
      <c r="I154" s="43" t="s">
        <v>536</v>
      </c>
      <c r="J154" s="93" t="s">
        <v>537</v>
      </c>
      <c r="K154" s="20" t="s">
        <v>39</v>
      </c>
      <c r="L154" s="21">
        <v>672000</v>
      </c>
      <c r="M154" s="113">
        <v>0.16</v>
      </c>
      <c r="N154" s="24" t="s">
        <v>39</v>
      </c>
      <c r="O154" s="119"/>
      <c r="P154" s="24" t="s">
        <v>39</v>
      </c>
      <c r="Q154" s="24" t="s">
        <v>39</v>
      </c>
      <c r="R154" s="24" t="s">
        <v>39</v>
      </c>
      <c r="S154" s="24" t="s">
        <v>39</v>
      </c>
      <c r="T154" s="26">
        <v>1000</v>
      </c>
      <c r="U154" s="26"/>
      <c r="V154" s="24" t="s">
        <v>39</v>
      </c>
      <c r="W154" s="22">
        <v>0.501</v>
      </c>
      <c r="X154" s="51" t="s">
        <v>39</v>
      </c>
      <c r="Y154" s="51" t="s">
        <v>39</v>
      </c>
      <c r="Z154" s="51" t="s">
        <v>39</v>
      </c>
      <c r="AA154" s="51" t="s">
        <v>39</v>
      </c>
      <c r="AB154" s="51" t="s">
        <v>39</v>
      </c>
      <c r="AC154" s="46" t="s">
        <v>39</v>
      </c>
      <c r="AD154" s="121" t="s">
        <v>538</v>
      </c>
      <c r="AE154" s="25" t="s">
        <v>511</v>
      </c>
    </row>
    <row r="155" s="2" customFormat="1" ht="36" customHeight="1" spans="1:31">
      <c r="A155" s="13">
        <v>160</v>
      </c>
      <c r="B155" s="14" t="s">
        <v>584</v>
      </c>
      <c r="C155" s="15" t="s">
        <v>443</v>
      </c>
      <c r="D155" s="15" t="s">
        <v>506</v>
      </c>
      <c r="E155" s="15" t="s">
        <v>507</v>
      </c>
      <c r="F155" s="13" t="s">
        <v>81</v>
      </c>
      <c r="G155" s="16" t="s">
        <v>48</v>
      </c>
      <c r="H155" s="18" t="s">
        <v>39</v>
      </c>
      <c r="I155" s="43" t="s">
        <v>459</v>
      </c>
      <c r="J155" s="93" t="s">
        <v>540</v>
      </c>
      <c r="K155" s="20" t="s">
        <v>39</v>
      </c>
      <c r="L155" s="21">
        <v>588000</v>
      </c>
      <c r="M155" s="113">
        <v>0.19</v>
      </c>
      <c r="N155" s="24" t="s">
        <v>39</v>
      </c>
      <c r="O155" s="119"/>
      <c r="P155" s="24" t="s">
        <v>39</v>
      </c>
      <c r="Q155" s="24" t="s">
        <v>39</v>
      </c>
      <c r="R155" s="24" t="s">
        <v>39</v>
      </c>
      <c r="S155" s="24" t="s">
        <v>39</v>
      </c>
      <c r="T155" s="26">
        <v>600</v>
      </c>
      <c r="U155" s="26"/>
      <c r="V155" s="24" t="s">
        <v>39</v>
      </c>
      <c r="W155" s="22">
        <v>0.501</v>
      </c>
      <c r="X155" s="51" t="s">
        <v>39</v>
      </c>
      <c r="Y155" s="51" t="s">
        <v>39</v>
      </c>
      <c r="Z155" s="51" t="s">
        <v>39</v>
      </c>
      <c r="AA155" s="51" t="s">
        <v>39</v>
      </c>
      <c r="AB155" s="51" t="s">
        <v>39</v>
      </c>
      <c r="AC155" s="46" t="s">
        <v>39</v>
      </c>
      <c r="AD155" s="120" t="s">
        <v>541</v>
      </c>
      <c r="AE155" s="25" t="s">
        <v>511</v>
      </c>
    </row>
    <row r="156" s="2" customFormat="1" ht="36" customHeight="1" spans="1:31">
      <c r="A156" s="13">
        <v>161</v>
      </c>
      <c r="B156" s="14" t="s">
        <v>588</v>
      </c>
      <c r="C156" s="15" t="s">
        <v>443</v>
      </c>
      <c r="D156" s="15" t="s">
        <v>506</v>
      </c>
      <c r="E156" s="15" t="s">
        <v>507</v>
      </c>
      <c r="F156" s="13" t="s">
        <v>81</v>
      </c>
      <c r="G156" s="16" t="s">
        <v>48</v>
      </c>
      <c r="H156" s="18" t="s">
        <v>39</v>
      </c>
      <c r="I156" s="43" t="s">
        <v>98</v>
      </c>
      <c r="J156" s="93" t="s">
        <v>543</v>
      </c>
      <c r="K156" s="20" t="s">
        <v>39</v>
      </c>
      <c r="L156" s="21">
        <v>1056000</v>
      </c>
      <c r="M156" s="113">
        <v>0.16</v>
      </c>
      <c r="N156" s="24" t="s">
        <v>39</v>
      </c>
      <c r="O156" s="119"/>
      <c r="P156" s="24" t="s">
        <v>39</v>
      </c>
      <c r="Q156" s="24" t="s">
        <v>39</v>
      </c>
      <c r="R156" s="24" t="s">
        <v>39</v>
      </c>
      <c r="S156" s="24" t="s">
        <v>39</v>
      </c>
      <c r="T156" s="26">
        <v>1000</v>
      </c>
      <c r="U156" s="26"/>
      <c r="V156" s="24" t="s">
        <v>39</v>
      </c>
      <c r="W156" s="22">
        <v>0.501</v>
      </c>
      <c r="X156" s="51" t="s">
        <v>39</v>
      </c>
      <c r="Y156" s="51" t="s">
        <v>39</v>
      </c>
      <c r="Z156" s="51" t="s">
        <v>39</v>
      </c>
      <c r="AA156" s="51" t="s">
        <v>39</v>
      </c>
      <c r="AB156" s="51" t="s">
        <v>39</v>
      </c>
      <c r="AC156" s="46" t="s">
        <v>39</v>
      </c>
      <c r="AD156" s="120" t="s">
        <v>538</v>
      </c>
      <c r="AE156" s="25" t="s">
        <v>511</v>
      </c>
    </row>
    <row r="157" s="2" customFormat="1" ht="36" customHeight="1" spans="1:31">
      <c r="A157" s="13">
        <v>162</v>
      </c>
      <c r="B157" s="14" t="s">
        <v>592</v>
      </c>
      <c r="C157" s="15" t="s">
        <v>443</v>
      </c>
      <c r="D157" s="15" t="s">
        <v>506</v>
      </c>
      <c r="E157" s="15" t="s">
        <v>507</v>
      </c>
      <c r="F157" s="13" t="s">
        <v>81</v>
      </c>
      <c r="G157" s="16" t="s">
        <v>48</v>
      </c>
      <c r="H157" s="18" t="s">
        <v>39</v>
      </c>
      <c r="I157" s="43" t="s">
        <v>240</v>
      </c>
      <c r="J157" s="93" t="s">
        <v>545</v>
      </c>
      <c r="K157" s="20" t="s">
        <v>39</v>
      </c>
      <c r="L157" s="21">
        <v>1548000</v>
      </c>
      <c r="M157" s="113">
        <v>0.16</v>
      </c>
      <c r="N157" s="24" t="s">
        <v>39</v>
      </c>
      <c r="O157" s="119"/>
      <c r="P157" s="24" t="s">
        <v>39</v>
      </c>
      <c r="Q157" s="24" t="s">
        <v>39</v>
      </c>
      <c r="R157" s="24" t="s">
        <v>39</v>
      </c>
      <c r="S157" s="24" t="s">
        <v>39</v>
      </c>
      <c r="T157" s="26">
        <v>2500</v>
      </c>
      <c r="U157" s="26"/>
      <c r="V157" s="24" t="s">
        <v>39</v>
      </c>
      <c r="W157" s="22">
        <v>0.501</v>
      </c>
      <c r="X157" s="51" t="s">
        <v>39</v>
      </c>
      <c r="Y157" s="51" t="s">
        <v>39</v>
      </c>
      <c r="Z157" s="51" t="s">
        <v>39</v>
      </c>
      <c r="AA157" s="51" t="s">
        <v>39</v>
      </c>
      <c r="AB157" s="51" t="s">
        <v>39</v>
      </c>
      <c r="AC157" s="46" t="s">
        <v>39</v>
      </c>
      <c r="AD157" s="120" t="s">
        <v>546</v>
      </c>
      <c r="AE157" s="25" t="s">
        <v>511</v>
      </c>
    </row>
    <row r="158" s="2" customFormat="1" ht="36" customHeight="1" spans="1:31">
      <c r="A158" s="13">
        <v>163</v>
      </c>
      <c r="B158" s="14" t="s">
        <v>595</v>
      </c>
      <c r="C158" s="15" t="s">
        <v>443</v>
      </c>
      <c r="D158" s="15" t="s">
        <v>506</v>
      </c>
      <c r="E158" s="15" t="s">
        <v>507</v>
      </c>
      <c r="F158" s="13" t="s">
        <v>81</v>
      </c>
      <c r="G158" s="16" t="s">
        <v>48</v>
      </c>
      <c r="H158" s="18" t="s">
        <v>39</v>
      </c>
      <c r="I158" s="43" t="s">
        <v>548</v>
      </c>
      <c r="J158" s="93" t="s">
        <v>545</v>
      </c>
      <c r="K158" s="20" t="s">
        <v>39</v>
      </c>
      <c r="L158" s="21">
        <v>564000</v>
      </c>
      <c r="M158" s="113">
        <v>0.15</v>
      </c>
      <c r="N158" s="24" t="s">
        <v>39</v>
      </c>
      <c r="O158" s="119"/>
      <c r="P158" s="24" t="s">
        <v>39</v>
      </c>
      <c r="Q158" s="24" t="s">
        <v>39</v>
      </c>
      <c r="R158" s="24" t="s">
        <v>39</v>
      </c>
      <c r="S158" s="24" t="s">
        <v>39</v>
      </c>
      <c r="T158" s="26">
        <v>1500</v>
      </c>
      <c r="U158" s="26"/>
      <c r="V158" s="24" t="s">
        <v>39</v>
      </c>
      <c r="W158" s="22">
        <v>0.501</v>
      </c>
      <c r="X158" s="51" t="s">
        <v>39</v>
      </c>
      <c r="Y158" s="51" t="s">
        <v>39</v>
      </c>
      <c r="Z158" s="51" t="s">
        <v>39</v>
      </c>
      <c r="AA158" s="51" t="s">
        <v>39</v>
      </c>
      <c r="AB158" s="51" t="s">
        <v>39</v>
      </c>
      <c r="AC158" s="46" t="s">
        <v>39</v>
      </c>
      <c r="AD158" s="120" t="s">
        <v>549</v>
      </c>
      <c r="AE158" s="25" t="s">
        <v>511</v>
      </c>
    </row>
    <row r="159" s="2" customFormat="1" ht="36" customHeight="1" spans="1:31">
      <c r="A159" s="13">
        <v>164</v>
      </c>
      <c r="B159" s="14" t="s">
        <v>599</v>
      </c>
      <c r="C159" s="15" t="s">
        <v>443</v>
      </c>
      <c r="D159" s="15" t="s">
        <v>506</v>
      </c>
      <c r="E159" s="15" t="s">
        <v>507</v>
      </c>
      <c r="F159" s="13" t="s">
        <v>81</v>
      </c>
      <c r="G159" s="16" t="s">
        <v>48</v>
      </c>
      <c r="H159" s="18" t="s">
        <v>39</v>
      </c>
      <c r="I159" s="43" t="s">
        <v>551</v>
      </c>
      <c r="J159" s="93" t="s">
        <v>552</v>
      </c>
      <c r="K159" s="20" t="s">
        <v>39</v>
      </c>
      <c r="L159" s="21">
        <v>672000</v>
      </c>
      <c r="M159" s="113">
        <v>0.19</v>
      </c>
      <c r="N159" s="24" t="s">
        <v>39</v>
      </c>
      <c r="O159" s="119"/>
      <c r="P159" s="24" t="s">
        <v>39</v>
      </c>
      <c r="Q159" s="24" t="s">
        <v>39</v>
      </c>
      <c r="R159" s="24" t="s">
        <v>39</v>
      </c>
      <c r="S159" s="24" t="s">
        <v>39</v>
      </c>
      <c r="T159" s="26">
        <v>600</v>
      </c>
      <c r="U159" s="26"/>
      <c r="V159" s="24" t="s">
        <v>39</v>
      </c>
      <c r="W159" s="22">
        <v>0.501</v>
      </c>
      <c r="X159" s="51" t="s">
        <v>39</v>
      </c>
      <c r="Y159" s="51" t="s">
        <v>39</v>
      </c>
      <c r="Z159" s="51" t="s">
        <v>39</v>
      </c>
      <c r="AA159" s="51" t="s">
        <v>39</v>
      </c>
      <c r="AB159" s="51" t="s">
        <v>39</v>
      </c>
      <c r="AC159" s="46" t="s">
        <v>39</v>
      </c>
      <c r="AD159" s="120" t="s">
        <v>553</v>
      </c>
      <c r="AE159" s="25" t="s">
        <v>511</v>
      </c>
    </row>
    <row r="160" s="2" customFormat="1" ht="36" customHeight="1" spans="1:31">
      <c r="A160" s="13">
        <v>165</v>
      </c>
      <c r="B160" s="14" t="s">
        <v>601</v>
      </c>
      <c r="C160" s="15" t="s">
        <v>443</v>
      </c>
      <c r="D160" s="15" t="s">
        <v>506</v>
      </c>
      <c r="E160" s="15" t="s">
        <v>507</v>
      </c>
      <c r="F160" s="13" t="s">
        <v>81</v>
      </c>
      <c r="G160" s="16" t="s">
        <v>48</v>
      </c>
      <c r="H160" s="18" t="s">
        <v>39</v>
      </c>
      <c r="I160" s="43" t="s">
        <v>555</v>
      </c>
      <c r="J160" s="93" t="s">
        <v>556</v>
      </c>
      <c r="K160" s="20" t="s">
        <v>39</v>
      </c>
      <c r="L160" s="21">
        <v>660000</v>
      </c>
      <c r="M160" s="113">
        <v>0.19</v>
      </c>
      <c r="N160" s="24" t="s">
        <v>39</v>
      </c>
      <c r="O160" s="119"/>
      <c r="P160" s="24" t="s">
        <v>39</v>
      </c>
      <c r="Q160" s="24" t="s">
        <v>39</v>
      </c>
      <c r="R160" s="24" t="s">
        <v>39</v>
      </c>
      <c r="S160" s="24" t="s">
        <v>39</v>
      </c>
      <c r="T160" s="26">
        <v>800</v>
      </c>
      <c r="U160" s="26"/>
      <c r="V160" s="24" t="s">
        <v>39</v>
      </c>
      <c r="W160" s="22">
        <v>0.501</v>
      </c>
      <c r="X160" s="51" t="s">
        <v>39</v>
      </c>
      <c r="Y160" s="51" t="s">
        <v>39</v>
      </c>
      <c r="Z160" s="51" t="s">
        <v>39</v>
      </c>
      <c r="AA160" s="51" t="s">
        <v>39</v>
      </c>
      <c r="AB160" s="51" t="s">
        <v>39</v>
      </c>
      <c r="AC160" s="46" t="s">
        <v>39</v>
      </c>
      <c r="AD160" s="120" t="s">
        <v>557</v>
      </c>
      <c r="AE160" s="25" t="s">
        <v>511</v>
      </c>
    </row>
    <row r="161" s="2" customFormat="1" ht="36" customHeight="1" spans="1:31">
      <c r="A161" s="13">
        <v>166</v>
      </c>
      <c r="B161" s="14" t="s">
        <v>603</v>
      </c>
      <c r="C161" s="15" t="s">
        <v>443</v>
      </c>
      <c r="D161" s="15" t="s">
        <v>506</v>
      </c>
      <c r="E161" s="15" t="s">
        <v>507</v>
      </c>
      <c r="F161" s="13" t="s">
        <v>81</v>
      </c>
      <c r="G161" s="16" t="s">
        <v>48</v>
      </c>
      <c r="H161" s="18" t="s">
        <v>39</v>
      </c>
      <c r="I161" s="43" t="s">
        <v>559</v>
      </c>
      <c r="J161" s="93" t="s">
        <v>560</v>
      </c>
      <c r="K161" s="20" t="s">
        <v>39</v>
      </c>
      <c r="L161" s="21">
        <v>660000</v>
      </c>
      <c r="M161" s="113">
        <v>0.17</v>
      </c>
      <c r="N161" s="24" t="s">
        <v>39</v>
      </c>
      <c r="O161" s="119"/>
      <c r="P161" s="24" t="s">
        <v>39</v>
      </c>
      <c r="Q161" s="24" t="s">
        <v>39</v>
      </c>
      <c r="R161" s="24" t="s">
        <v>39</v>
      </c>
      <c r="S161" s="24" t="s">
        <v>39</v>
      </c>
      <c r="T161" s="26">
        <v>1500</v>
      </c>
      <c r="U161" s="26"/>
      <c r="V161" s="24" t="s">
        <v>39</v>
      </c>
      <c r="W161" s="22">
        <v>0.501</v>
      </c>
      <c r="X161" s="51" t="s">
        <v>39</v>
      </c>
      <c r="Y161" s="51" t="s">
        <v>39</v>
      </c>
      <c r="Z161" s="51" t="s">
        <v>39</v>
      </c>
      <c r="AA161" s="51" t="s">
        <v>39</v>
      </c>
      <c r="AB161" s="51" t="s">
        <v>39</v>
      </c>
      <c r="AC161" s="46" t="s">
        <v>39</v>
      </c>
      <c r="AD161" s="120" t="s">
        <v>510</v>
      </c>
      <c r="AE161" s="25" t="s">
        <v>511</v>
      </c>
    </row>
    <row r="162" s="2" customFormat="1" ht="36" customHeight="1" spans="1:31">
      <c r="A162" s="13">
        <v>167</v>
      </c>
      <c r="B162" s="14" t="s">
        <v>606</v>
      </c>
      <c r="C162" s="15" t="s">
        <v>443</v>
      </c>
      <c r="D162" s="15" t="s">
        <v>506</v>
      </c>
      <c r="E162" s="15" t="s">
        <v>507</v>
      </c>
      <c r="F162" s="13" t="s">
        <v>81</v>
      </c>
      <c r="G162" s="16" t="s">
        <v>48</v>
      </c>
      <c r="H162" s="18" t="s">
        <v>39</v>
      </c>
      <c r="I162" s="43" t="s">
        <v>562</v>
      </c>
      <c r="J162" s="93" t="s">
        <v>563</v>
      </c>
      <c r="K162" s="20" t="s">
        <v>39</v>
      </c>
      <c r="L162" s="21">
        <v>2004000</v>
      </c>
      <c r="M162" s="113">
        <v>0.15</v>
      </c>
      <c r="N162" s="24" t="s">
        <v>39</v>
      </c>
      <c r="O162" s="119"/>
      <c r="P162" s="24" t="s">
        <v>39</v>
      </c>
      <c r="Q162" s="24" t="s">
        <v>39</v>
      </c>
      <c r="R162" s="24" t="s">
        <v>39</v>
      </c>
      <c r="S162" s="24" t="s">
        <v>39</v>
      </c>
      <c r="T162" s="26">
        <v>2000</v>
      </c>
      <c r="U162" s="26"/>
      <c r="V162" s="24" t="s">
        <v>39</v>
      </c>
      <c r="W162" s="22">
        <v>0.501</v>
      </c>
      <c r="X162" s="51" t="s">
        <v>39</v>
      </c>
      <c r="Y162" s="51" t="s">
        <v>39</v>
      </c>
      <c r="Z162" s="51" t="s">
        <v>39</v>
      </c>
      <c r="AA162" s="51" t="s">
        <v>39</v>
      </c>
      <c r="AB162" s="51" t="s">
        <v>39</v>
      </c>
      <c r="AC162" s="46" t="s">
        <v>39</v>
      </c>
      <c r="AD162" s="120" t="s">
        <v>564</v>
      </c>
      <c r="AE162" s="25" t="s">
        <v>511</v>
      </c>
    </row>
    <row r="163" s="2" customFormat="1" ht="36" customHeight="1" spans="1:31">
      <c r="A163" s="13">
        <v>168</v>
      </c>
      <c r="B163" s="14" t="s">
        <v>609</v>
      </c>
      <c r="C163" s="15" t="s">
        <v>443</v>
      </c>
      <c r="D163" s="15" t="s">
        <v>506</v>
      </c>
      <c r="E163" s="15" t="s">
        <v>507</v>
      </c>
      <c r="F163" s="13" t="s">
        <v>81</v>
      </c>
      <c r="G163" s="16" t="s">
        <v>48</v>
      </c>
      <c r="H163" s="18" t="s">
        <v>39</v>
      </c>
      <c r="I163" s="43" t="s">
        <v>566</v>
      </c>
      <c r="J163" s="93" t="s">
        <v>567</v>
      </c>
      <c r="K163" s="20" t="s">
        <v>39</v>
      </c>
      <c r="L163" s="21">
        <v>348000</v>
      </c>
      <c r="M163" s="113">
        <v>0.19</v>
      </c>
      <c r="N163" s="24" t="s">
        <v>39</v>
      </c>
      <c r="O163" s="119"/>
      <c r="P163" s="24" t="s">
        <v>39</v>
      </c>
      <c r="Q163" s="24" t="s">
        <v>39</v>
      </c>
      <c r="R163" s="24" t="s">
        <v>39</v>
      </c>
      <c r="S163" s="24" t="s">
        <v>39</v>
      </c>
      <c r="T163" s="26">
        <v>1500</v>
      </c>
      <c r="U163" s="26"/>
      <c r="V163" s="24" t="s">
        <v>39</v>
      </c>
      <c r="W163" s="22">
        <v>0.501</v>
      </c>
      <c r="X163" s="51" t="s">
        <v>39</v>
      </c>
      <c r="Y163" s="51" t="s">
        <v>39</v>
      </c>
      <c r="Z163" s="51" t="s">
        <v>39</v>
      </c>
      <c r="AA163" s="51" t="s">
        <v>39</v>
      </c>
      <c r="AB163" s="51" t="s">
        <v>39</v>
      </c>
      <c r="AC163" s="46" t="s">
        <v>39</v>
      </c>
      <c r="AD163" s="120" t="s">
        <v>510</v>
      </c>
      <c r="AE163" s="25" t="s">
        <v>511</v>
      </c>
    </row>
    <row r="164" s="2" customFormat="1" ht="36" customHeight="1" spans="1:31">
      <c r="A164" s="13">
        <v>169</v>
      </c>
      <c r="B164" s="14" t="s">
        <v>612</v>
      </c>
      <c r="C164" s="15" t="s">
        <v>443</v>
      </c>
      <c r="D164" s="15" t="s">
        <v>506</v>
      </c>
      <c r="E164" s="15" t="s">
        <v>507</v>
      </c>
      <c r="F164" s="13" t="s">
        <v>81</v>
      </c>
      <c r="G164" s="16" t="s">
        <v>48</v>
      </c>
      <c r="H164" s="18" t="s">
        <v>39</v>
      </c>
      <c r="I164" s="43" t="s">
        <v>569</v>
      </c>
      <c r="J164" s="93" t="s">
        <v>570</v>
      </c>
      <c r="K164" s="20" t="s">
        <v>39</v>
      </c>
      <c r="L164" s="21">
        <v>1032000</v>
      </c>
      <c r="M164" s="113">
        <v>0.19</v>
      </c>
      <c r="N164" s="24" t="s">
        <v>39</v>
      </c>
      <c r="O164" s="119"/>
      <c r="P164" s="24" t="s">
        <v>39</v>
      </c>
      <c r="Q164" s="24" t="s">
        <v>39</v>
      </c>
      <c r="R164" s="24" t="s">
        <v>39</v>
      </c>
      <c r="S164" s="24" t="s">
        <v>39</v>
      </c>
      <c r="T164" s="26">
        <v>1500</v>
      </c>
      <c r="U164" s="26"/>
      <c r="V164" s="24" t="s">
        <v>39</v>
      </c>
      <c r="W164" s="22">
        <v>0.501</v>
      </c>
      <c r="X164" s="51" t="s">
        <v>39</v>
      </c>
      <c r="Y164" s="51" t="s">
        <v>39</v>
      </c>
      <c r="Z164" s="51" t="s">
        <v>39</v>
      </c>
      <c r="AA164" s="51" t="s">
        <v>39</v>
      </c>
      <c r="AB164" s="51" t="s">
        <v>39</v>
      </c>
      <c r="AC164" s="46" t="s">
        <v>39</v>
      </c>
      <c r="AD164" s="120" t="s">
        <v>510</v>
      </c>
      <c r="AE164" s="25" t="s">
        <v>511</v>
      </c>
    </row>
    <row r="165" s="2" customFormat="1" ht="36" customHeight="1" spans="1:31">
      <c r="A165" s="13">
        <v>170</v>
      </c>
      <c r="B165" s="14" t="s">
        <v>614</v>
      </c>
      <c r="C165" s="15" t="s">
        <v>443</v>
      </c>
      <c r="D165" s="15" t="s">
        <v>506</v>
      </c>
      <c r="E165" s="15" t="s">
        <v>507</v>
      </c>
      <c r="F165" s="13" t="s">
        <v>81</v>
      </c>
      <c r="G165" s="16" t="s">
        <v>48</v>
      </c>
      <c r="H165" s="18" t="s">
        <v>39</v>
      </c>
      <c r="I165" s="43" t="s">
        <v>572</v>
      </c>
      <c r="J165" s="93" t="s">
        <v>573</v>
      </c>
      <c r="K165" s="20" t="s">
        <v>39</v>
      </c>
      <c r="L165" s="21">
        <v>1128000</v>
      </c>
      <c r="M165" s="113">
        <v>0.18</v>
      </c>
      <c r="N165" s="24" t="s">
        <v>39</v>
      </c>
      <c r="O165" s="119"/>
      <c r="P165" s="24" t="s">
        <v>39</v>
      </c>
      <c r="Q165" s="24" t="s">
        <v>39</v>
      </c>
      <c r="R165" s="24" t="s">
        <v>39</v>
      </c>
      <c r="S165" s="24" t="s">
        <v>39</v>
      </c>
      <c r="T165" s="26">
        <v>1000</v>
      </c>
      <c r="U165" s="26"/>
      <c r="V165" s="24" t="s">
        <v>39</v>
      </c>
      <c r="W165" s="22">
        <v>0.501</v>
      </c>
      <c r="X165" s="51" t="s">
        <v>39</v>
      </c>
      <c r="Y165" s="51" t="s">
        <v>39</v>
      </c>
      <c r="Z165" s="51" t="s">
        <v>39</v>
      </c>
      <c r="AA165" s="51" t="s">
        <v>39</v>
      </c>
      <c r="AB165" s="51" t="s">
        <v>39</v>
      </c>
      <c r="AC165" s="46" t="s">
        <v>39</v>
      </c>
      <c r="AD165" s="120" t="s">
        <v>520</v>
      </c>
      <c r="AE165" s="25" t="s">
        <v>511</v>
      </c>
    </row>
    <row r="166" s="2" customFormat="1" ht="36" customHeight="1" spans="1:31">
      <c r="A166" s="13">
        <v>171</v>
      </c>
      <c r="B166" s="14" t="s">
        <v>617</v>
      </c>
      <c r="C166" s="15" t="s">
        <v>443</v>
      </c>
      <c r="D166" s="15" t="s">
        <v>506</v>
      </c>
      <c r="E166" s="15" t="s">
        <v>507</v>
      </c>
      <c r="F166" s="13" t="s">
        <v>81</v>
      </c>
      <c r="G166" s="16" t="s">
        <v>48</v>
      </c>
      <c r="H166" s="18" t="s">
        <v>39</v>
      </c>
      <c r="I166" s="43" t="s">
        <v>87</v>
      </c>
      <c r="J166" s="93" t="s">
        <v>575</v>
      </c>
      <c r="K166" s="20" t="s">
        <v>39</v>
      </c>
      <c r="L166" s="21">
        <v>912000</v>
      </c>
      <c r="M166" s="113">
        <v>0.19</v>
      </c>
      <c r="N166" s="24" t="s">
        <v>39</v>
      </c>
      <c r="O166" s="119"/>
      <c r="P166" s="24" t="s">
        <v>39</v>
      </c>
      <c r="Q166" s="24" t="s">
        <v>39</v>
      </c>
      <c r="R166" s="24" t="s">
        <v>39</v>
      </c>
      <c r="S166" s="24" t="s">
        <v>39</v>
      </c>
      <c r="T166" s="26">
        <v>600</v>
      </c>
      <c r="U166" s="26"/>
      <c r="V166" s="24" t="s">
        <v>39</v>
      </c>
      <c r="W166" s="22">
        <v>0.501</v>
      </c>
      <c r="X166" s="51" t="s">
        <v>39</v>
      </c>
      <c r="Y166" s="51" t="s">
        <v>39</v>
      </c>
      <c r="Z166" s="51" t="s">
        <v>39</v>
      </c>
      <c r="AA166" s="51" t="s">
        <v>39</v>
      </c>
      <c r="AB166" s="51" t="s">
        <v>39</v>
      </c>
      <c r="AC166" s="46" t="s">
        <v>39</v>
      </c>
      <c r="AD166" s="120" t="s">
        <v>553</v>
      </c>
      <c r="AE166" s="25" t="s">
        <v>511</v>
      </c>
    </row>
    <row r="167" s="2" customFormat="1" ht="12" customHeight="1" spans="1:31">
      <c r="A167" s="13">
        <v>172</v>
      </c>
      <c r="B167" s="14" t="s">
        <v>620</v>
      </c>
      <c r="C167" s="15" t="s">
        <v>443</v>
      </c>
      <c r="D167" s="15" t="s">
        <v>576</v>
      </c>
      <c r="E167" s="61" t="s">
        <v>577</v>
      </c>
      <c r="F167" s="88" t="s">
        <v>37</v>
      </c>
      <c r="G167" s="16" t="s">
        <v>578</v>
      </c>
      <c r="H167" s="55" t="s">
        <v>39</v>
      </c>
      <c r="I167" s="88" t="s">
        <v>39</v>
      </c>
      <c r="J167" s="55" t="s">
        <v>39</v>
      </c>
      <c r="K167" s="19" t="s">
        <v>39</v>
      </c>
      <c r="L167" s="21" t="s">
        <v>39</v>
      </c>
      <c r="M167" s="92" t="s">
        <v>39</v>
      </c>
      <c r="N167" s="90" t="s">
        <v>39</v>
      </c>
      <c r="O167" s="119"/>
      <c r="P167" s="106"/>
      <c r="Q167" s="90" t="s">
        <v>39</v>
      </c>
      <c r="R167" s="90" t="s">
        <v>39</v>
      </c>
      <c r="S167" s="90" t="s">
        <v>39</v>
      </c>
      <c r="T167" s="119"/>
      <c r="U167" s="119"/>
      <c r="V167" s="90" t="s">
        <v>39</v>
      </c>
      <c r="W167" s="55" t="s">
        <v>39</v>
      </c>
      <c r="X167" s="115" t="s">
        <v>39</v>
      </c>
      <c r="Y167" s="119"/>
      <c r="Z167" s="122"/>
      <c r="AA167" s="115" t="s">
        <v>39</v>
      </c>
      <c r="AB167" s="46">
        <v>0.05</v>
      </c>
      <c r="AC167" s="46">
        <v>0.005</v>
      </c>
      <c r="AD167" s="121" t="s">
        <v>104</v>
      </c>
      <c r="AE167" s="25"/>
    </row>
    <row r="168" s="2" customFormat="1" ht="48" customHeight="1" spans="1:31">
      <c r="A168" s="13">
        <v>173</v>
      </c>
      <c r="B168" s="14" t="s">
        <v>623</v>
      </c>
      <c r="C168" s="15" t="s">
        <v>443</v>
      </c>
      <c r="D168" s="15" t="s">
        <v>576</v>
      </c>
      <c r="E168" s="61" t="s">
        <v>577</v>
      </c>
      <c r="F168" s="13" t="s">
        <v>81</v>
      </c>
      <c r="G168" s="16" t="s">
        <v>578</v>
      </c>
      <c r="H168" s="16" t="s">
        <v>60</v>
      </c>
      <c r="I168" s="17" t="s">
        <v>580</v>
      </c>
      <c r="J168" s="123" t="s">
        <v>1506</v>
      </c>
      <c r="K168" s="20" t="s">
        <v>39</v>
      </c>
      <c r="L168" s="21" t="s">
        <v>39</v>
      </c>
      <c r="M168" s="116">
        <v>0.05</v>
      </c>
      <c r="N168" s="20" t="s">
        <v>39</v>
      </c>
      <c r="O168" s="90" t="s">
        <v>39</v>
      </c>
      <c r="P168" s="90" t="s">
        <v>39</v>
      </c>
      <c r="Q168" s="24" t="s">
        <v>39</v>
      </c>
      <c r="R168" s="24" t="s">
        <v>39</v>
      </c>
      <c r="S168" s="24" t="s">
        <v>39</v>
      </c>
      <c r="T168" s="59" t="s">
        <v>39</v>
      </c>
      <c r="U168" s="116">
        <v>0.06</v>
      </c>
      <c r="V168" s="26">
        <v>30000</v>
      </c>
      <c r="W168" s="44"/>
      <c r="X168" s="24" t="s">
        <v>39</v>
      </c>
      <c r="Y168" s="115" t="s">
        <v>39</v>
      </c>
      <c r="Z168" s="51" t="s">
        <v>39</v>
      </c>
      <c r="AA168" s="51" t="s">
        <v>39</v>
      </c>
      <c r="AB168" s="46" t="s">
        <v>39</v>
      </c>
      <c r="AC168" s="46" t="s">
        <v>39</v>
      </c>
      <c r="AD168" s="48" t="s">
        <v>582</v>
      </c>
      <c r="AE168" s="25" t="s">
        <v>288</v>
      </c>
    </row>
    <row r="169" s="2" customFormat="1" ht="60" customHeight="1" spans="1:31">
      <c r="A169" s="13">
        <v>174</v>
      </c>
      <c r="B169" s="14" t="s">
        <v>627</v>
      </c>
      <c r="C169" s="15" t="s">
        <v>443</v>
      </c>
      <c r="D169" s="15" t="s">
        <v>576</v>
      </c>
      <c r="E169" s="61" t="s">
        <v>577</v>
      </c>
      <c r="F169" s="13" t="s">
        <v>81</v>
      </c>
      <c r="G169" s="16" t="s">
        <v>578</v>
      </c>
      <c r="H169" s="16" t="s">
        <v>66</v>
      </c>
      <c r="I169" s="17" t="s">
        <v>585</v>
      </c>
      <c r="J169" s="93" t="s">
        <v>586</v>
      </c>
      <c r="K169" s="20" t="s">
        <v>39</v>
      </c>
      <c r="L169" s="21" t="s">
        <v>39</v>
      </c>
      <c r="M169" s="116">
        <v>0.19</v>
      </c>
      <c r="N169" s="20" t="s">
        <v>39</v>
      </c>
      <c r="O169" s="90" t="s">
        <v>39</v>
      </c>
      <c r="P169" s="92" t="s">
        <v>39</v>
      </c>
      <c r="Q169" s="24" t="s">
        <v>39</v>
      </c>
      <c r="R169" s="24" t="s">
        <v>39</v>
      </c>
      <c r="S169" s="24" t="s">
        <v>39</v>
      </c>
      <c r="T169" s="59" t="s">
        <v>39</v>
      </c>
      <c r="U169" s="116">
        <v>0.06</v>
      </c>
      <c r="V169" s="24" t="s">
        <v>39</v>
      </c>
      <c r="W169" s="50"/>
      <c r="X169" s="24" t="s">
        <v>39</v>
      </c>
      <c r="Y169" s="115" t="s">
        <v>39</v>
      </c>
      <c r="Z169" s="51" t="s">
        <v>39</v>
      </c>
      <c r="AA169" s="51" t="s">
        <v>39</v>
      </c>
      <c r="AB169" s="46" t="s">
        <v>39</v>
      </c>
      <c r="AC169" s="46" t="s">
        <v>39</v>
      </c>
      <c r="AD169" s="48" t="s">
        <v>587</v>
      </c>
      <c r="AE169" s="25" t="s">
        <v>288</v>
      </c>
    </row>
    <row r="170" s="2" customFormat="1" ht="36" customHeight="1" spans="1:31">
      <c r="A170" s="13">
        <v>175</v>
      </c>
      <c r="B170" s="14" t="s">
        <v>631</v>
      </c>
      <c r="C170" s="15" t="s">
        <v>443</v>
      </c>
      <c r="D170" s="15" t="s">
        <v>576</v>
      </c>
      <c r="E170" s="61" t="s">
        <v>577</v>
      </c>
      <c r="F170" s="13" t="s">
        <v>81</v>
      </c>
      <c r="G170" s="16" t="s">
        <v>578</v>
      </c>
      <c r="H170" s="16" t="s">
        <v>70</v>
      </c>
      <c r="I170" s="17" t="s">
        <v>589</v>
      </c>
      <c r="J170" s="93" t="s">
        <v>590</v>
      </c>
      <c r="K170" s="20" t="s">
        <v>39</v>
      </c>
      <c r="L170" s="21" t="s">
        <v>39</v>
      </c>
      <c r="M170" s="116">
        <v>0.165</v>
      </c>
      <c r="N170" s="20" t="s">
        <v>39</v>
      </c>
      <c r="O170" s="90" t="s">
        <v>39</v>
      </c>
      <c r="P170" s="92" t="s">
        <v>39</v>
      </c>
      <c r="Q170" s="24" t="s">
        <v>39</v>
      </c>
      <c r="R170" s="24" t="s">
        <v>39</v>
      </c>
      <c r="S170" s="24" t="s">
        <v>39</v>
      </c>
      <c r="T170" s="22">
        <v>0.035</v>
      </c>
      <c r="U170" s="116">
        <v>0.06</v>
      </c>
      <c r="V170" s="24" t="s">
        <v>39</v>
      </c>
      <c r="W170" s="50"/>
      <c r="X170" s="24" t="s">
        <v>39</v>
      </c>
      <c r="Y170" s="115" t="s">
        <v>39</v>
      </c>
      <c r="Z170" s="51" t="s">
        <v>39</v>
      </c>
      <c r="AA170" s="51" t="s">
        <v>39</v>
      </c>
      <c r="AB170" s="46" t="s">
        <v>39</v>
      </c>
      <c r="AC170" s="46" t="s">
        <v>39</v>
      </c>
      <c r="AD170" s="48" t="s">
        <v>591</v>
      </c>
      <c r="AE170" s="25" t="s">
        <v>288</v>
      </c>
    </row>
    <row r="171" s="2" customFormat="1" ht="48" customHeight="1" spans="1:31">
      <c r="A171" s="13">
        <v>176</v>
      </c>
      <c r="B171" s="14" t="s">
        <v>634</v>
      </c>
      <c r="C171" s="15" t="s">
        <v>443</v>
      </c>
      <c r="D171" s="15" t="s">
        <v>576</v>
      </c>
      <c r="E171" s="61" t="s">
        <v>577</v>
      </c>
      <c r="F171" s="13" t="s">
        <v>81</v>
      </c>
      <c r="G171" s="16" t="s">
        <v>578</v>
      </c>
      <c r="H171" s="16" t="s">
        <v>74</v>
      </c>
      <c r="I171" s="17" t="s">
        <v>240</v>
      </c>
      <c r="J171" s="93" t="s">
        <v>593</v>
      </c>
      <c r="K171" s="20" t="s">
        <v>39</v>
      </c>
      <c r="L171" s="21" t="s">
        <v>39</v>
      </c>
      <c r="M171" s="116">
        <v>0.135</v>
      </c>
      <c r="N171" s="20" t="s">
        <v>39</v>
      </c>
      <c r="O171" s="90" t="s">
        <v>39</v>
      </c>
      <c r="P171" s="92" t="s">
        <v>39</v>
      </c>
      <c r="Q171" s="24" t="s">
        <v>39</v>
      </c>
      <c r="R171" s="24" t="s">
        <v>39</v>
      </c>
      <c r="S171" s="24" t="s">
        <v>39</v>
      </c>
      <c r="T171" s="22">
        <v>0.035</v>
      </c>
      <c r="U171" s="116">
        <v>0.06</v>
      </c>
      <c r="V171" s="24" t="s">
        <v>39</v>
      </c>
      <c r="W171" s="50"/>
      <c r="X171" s="24" t="s">
        <v>39</v>
      </c>
      <c r="Y171" s="124">
        <v>4000</v>
      </c>
      <c r="Z171" s="51" t="s">
        <v>39</v>
      </c>
      <c r="AA171" s="51" t="s">
        <v>39</v>
      </c>
      <c r="AB171" s="46" t="s">
        <v>39</v>
      </c>
      <c r="AC171" s="46" t="s">
        <v>39</v>
      </c>
      <c r="AD171" s="48" t="s">
        <v>594</v>
      </c>
      <c r="AE171" s="125" t="s">
        <v>288</v>
      </c>
    </row>
    <row r="172" s="2" customFormat="1" ht="48" customHeight="1" spans="1:31">
      <c r="A172" s="13">
        <v>177</v>
      </c>
      <c r="B172" s="14" t="s">
        <v>638</v>
      </c>
      <c r="C172" s="15" t="s">
        <v>443</v>
      </c>
      <c r="D172" s="15" t="s">
        <v>576</v>
      </c>
      <c r="E172" s="61" t="s">
        <v>577</v>
      </c>
      <c r="F172" s="13" t="s">
        <v>81</v>
      </c>
      <c r="G172" s="16" t="s">
        <v>578</v>
      </c>
      <c r="H172" s="16" t="s">
        <v>265</v>
      </c>
      <c r="I172" s="17" t="s">
        <v>596</v>
      </c>
      <c r="J172" s="93" t="s">
        <v>597</v>
      </c>
      <c r="K172" s="20" t="s">
        <v>39</v>
      </c>
      <c r="L172" s="21" t="s">
        <v>39</v>
      </c>
      <c r="M172" s="116">
        <v>0.155</v>
      </c>
      <c r="N172" s="20" t="s">
        <v>39</v>
      </c>
      <c r="O172" s="90" t="s">
        <v>39</v>
      </c>
      <c r="P172" s="92" t="s">
        <v>39</v>
      </c>
      <c r="Q172" s="24" t="s">
        <v>39</v>
      </c>
      <c r="R172" s="24" t="s">
        <v>39</v>
      </c>
      <c r="S172" s="24" t="s">
        <v>39</v>
      </c>
      <c r="T172" s="22">
        <v>0.035</v>
      </c>
      <c r="U172" s="116">
        <v>0.06</v>
      </c>
      <c r="V172" s="24" t="s">
        <v>39</v>
      </c>
      <c r="W172" s="50"/>
      <c r="X172" s="24" t="s">
        <v>39</v>
      </c>
      <c r="Y172" s="126">
        <v>4000</v>
      </c>
      <c r="Z172" s="51" t="s">
        <v>39</v>
      </c>
      <c r="AA172" s="51" t="s">
        <v>39</v>
      </c>
      <c r="AB172" s="46" t="s">
        <v>39</v>
      </c>
      <c r="AC172" s="46" t="s">
        <v>39</v>
      </c>
      <c r="AD172" s="48" t="s">
        <v>598</v>
      </c>
      <c r="AE172" s="25" t="s">
        <v>288</v>
      </c>
    </row>
    <row r="173" s="2" customFormat="1" ht="36" customHeight="1" spans="1:31">
      <c r="A173" s="13">
        <v>178</v>
      </c>
      <c r="B173" s="14" t="s">
        <v>641</v>
      </c>
      <c r="C173" s="15" t="s">
        <v>443</v>
      </c>
      <c r="D173" s="15" t="s">
        <v>576</v>
      </c>
      <c r="E173" s="61" t="s">
        <v>577</v>
      </c>
      <c r="F173" s="13" t="s">
        <v>81</v>
      </c>
      <c r="G173" s="16" t="s">
        <v>578</v>
      </c>
      <c r="H173" s="16" t="s">
        <v>86</v>
      </c>
      <c r="I173" s="17" t="s">
        <v>419</v>
      </c>
      <c r="J173" s="55" t="s">
        <v>1507</v>
      </c>
      <c r="K173" s="20" t="s">
        <v>39</v>
      </c>
      <c r="L173" s="21" t="s">
        <v>39</v>
      </c>
      <c r="M173" s="116">
        <v>0.155</v>
      </c>
      <c r="N173" s="20" t="s">
        <v>39</v>
      </c>
      <c r="O173" s="90" t="s">
        <v>39</v>
      </c>
      <c r="P173" s="92" t="s">
        <v>39</v>
      </c>
      <c r="Q173" s="24" t="s">
        <v>39</v>
      </c>
      <c r="R173" s="24" t="s">
        <v>39</v>
      </c>
      <c r="S173" s="24" t="s">
        <v>39</v>
      </c>
      <c r="T173" s="22">
        <v>0.035</v>
      </c>
      <c r="U173" s="116">
        <v>0.06</v>
      </c>
      <c r="V173" s="24" t="s">
        <v>39</v>
      </c>
      <c r="W173" s="50"/>
      <c r="X173" s="24" t="s">
        <v>39</v>
      </c>
      <c r="Y173" s="115" t="s">
        <v>39</v>
      </c>
      <c r="Z173" s="51" t="s">
        <v>39</v>
      </c>
      <c r="AA173" s="51" t="s">
        <v>39</v>
      </c>
      <c r="AB173" s="46" t="s">
        <v>39</v>
      </c>
      <c r="AC173" s="46" t="s">
        <v>39</v>
      </c>
      <c r="AD173" s="48" t="s">
        <v>591</v>
      </c>
      <c r="AE173" s="25" t="s">
        <v>288</v>
      </c>
    </row>
    <row r="174" s="2" customFormat="1" ht="36" customHeight="1" spans="1:31">
      <c r="A174" s="13">
        <v>179</v>
      </c>
      <c r="B174" s="14" t="s">
        <v>646</v>
      </c>
      <c r="C174" s="15" t="s">
        <v>443</v>
      </c>
      <c r="D174" s="15" t="s">
        <v>576</v>
      </c>
      <c r="E174" s="61" t="s">
        <v>577</v>
      </c>
      <c r="F174" s="13" t="s">
        <v>81</v>
      </c>
      <c r="G174" s="16" t="s">
        <v>578</v>
      </c>
      <c r="H174" s="16" t="s">
        <v>272</v>
      </c>
      <c r="I174" s="17" t="s">
        <v>459</v>
      </c>
      <c r="J174" s="18" t="s">
        <v>602</v>
      </c>
      <c r="K174" s="20" t="s">
        <v>39</v>
      </c>
      <c r="L174" s="21" t="s">
        <v>39</v>
      </c>
      <c r="M174" s="116">
        <v>0.185</v>
      </c>
      <c r="N174" s="20" t="s">
        <v>39</v>
      </c>
      <c r="O174" s="90" t="s">
        <v>39</v>
      </c>
      <c r="P174" s="92" t="s">
        <v>39</v>
      </c>
      <c r="Q174" s="24" t="s">
        <v>39</v>
      </c>
      <c r="R174" s="24" t="s">
        <v>39</v>
      </c>
      <c r="S174" s="24" t="s">
        <v>39</v>
      </c>
      <c r="T174" s="22">
        <v>0.035</v>
      </c>
      <c r="U174" s="116">
        <v>0.06</v>
      </c>
      <c r="V174" s="24" t="s">
        <v>39</v>
      </c>
      <c r="W174" s="50"/>
      <c r="X174" s="24" t="s">
        <v>39</v>
      </c>
      <c r="Y174" s="115" t="s">
        <v>39</v>
      </c>
      <c r="Z174" s="51" t="s">
        <v>39</v>
      </c>
      <c r="AA174" s="51" t="s">
        <v>39</v>
      </c>
      <c r="AB174" s="46" t="s">
        <v>39</v>
      </c>
      <c r="AC174" s="46" t="s">
        <v>39</v>
      </c>
      <c r="AD174" s="48" t="s">
        <v>591</v>
      </c>
      <c r="AE174" s="25" t="s">
        <v>288</v>
      </c>
    </row>
    <row r="175" s="2" customFormat="1" ht="36" customHeight="1" spans="1:31">
      <c r="A175" s="13">
        <v>180</v>
      </c>
      <c r="B175" s="14" t="s">
        <v>652</v>
      </c>
      <c r="C175" s="15" t="s">
        <v>443</v>
      </c>
      <c r="D175" s="127" t="s">
        <v>576</v>
      </c>
      <c r="E175" s="61" t="s">
        <v>577</v>
      </c>
      <c r="F175" s="13" t="s">
        <v>81</v>
      </c>
      <c r="G175" s="16" t="s">
        <v>578</v>
      </c>
      <c r="H175" s="16" t="s">
        <v>276</v>
      </c>
      <c r="I175" s="17" t="s">
        <v>604</v>
      </c>
      <c r="J175" s="55" t="s">
        <v>1474</v>
      </c>
      <c r="K175" s="20" t="s">
        <v>39</v>
      </c>
      <c r="L175" s="21" t="s">
        <v>39</v>
      </c>
      <c r="M175" s="116">
        <v>0.185</v>
      </c>
      <c r="N175" s="20" t="s">
        <v>39</v>
      </c>
      <c r="O175" s="90" t="s">
        <v>39</v>
      </c>
      <c r="P175" s="92" t="s">
        <v>39</v>
      </c>
      <c r="Q175" s="24" t="s">
        <v>39</v>
      </c>
      <c r="R175" s="24" t="s">
        <v>39</v>
      </c>
      <c r="S175" s="24" t="s">
        <v>39</v>
      </c>
      <c r="T175" s="22">
        <v>0.035</v>
      </c>
      <c r="U175" s="116">
        <v>0.06</v>
      </c>
      <c r="V175" s="24" t="s">
        <v>39</v>
      </c>
      <c r="W175" s="50"/>
      <c r="X175" s="24" t="s">
        <v>39</v>
      </c>
      <c r="Y175" s="115" t="s">
        <v>39</v>
      </c>
      <c r="Z175" s="51" t="s">
        <v>39</v>
      </c>
      <c r="AA175" s="51" t="s">
        <v>39</v>
      </c>
      <c r="AB175" s="46" t="s">
        <v>39</v>
      </c>
      <c r="AC175" s="46" t="s">
        <v>39</v>
      </c>
      <c r="AD175" s="48" t="s">
        <v>591</v>
      </c>
      <c r="AE175" s="25" t="s">
        <v>288</v>
      </c>
    </row>
    <row r="176" s="2" customFormat="1" ht="36" customHeight="1" spans="1:31">
      <c r="A176" s="13">
        <v>181</v>
      </c>
      <c r="B176" s="14" t="s">
        <v>655</v>
      </c>
      <c r="C176" s="15" t="s">
        <v>443</v>
      </c>
      <c r="D176" s="127" t="s">
        <v>576</v>
      </c>
      <c r="E176" s="61" t="s">
        <v>577</v>
      </c>
      <c r="F176" s="13" t="s">
        <v>81</v>
      </c>
      <c r="G176" s="16" t="s">
        <v>578</v>
      </c>
      <c r="H176" s="16" t="s">
        <v>280</v>
      </c>
      <c r="I176" s="17" t="s">
        <v>607</v>
      </c>
      <c r="J176" s="18" t="s">
        <v>608</v>
      </c>
      <c r="K176" s="20" t="s">
        <v>39</v>
      </c>
      <c r="L176" s="21" t="s">
        <v>39</v>
      </c>
      <c r="M176" s="116">
        <v>0.175</v>
      </c>
      <c r="N176" s="20" t="s">
        <v>39</v>
      </c>
      <c r="O176" s="90" t="s">
        <v>39</v>
      </c>
      <c r="P176" s="92" t="s">
        <v>39</v>
      </c>
      <c r="Q176" s="24" t="s">
        <v>39</v>
      </c>
      <c r="R176" s="24" t="s">
        <v>39</v>
      </c>
      <c r="S176" s="24" t="s">
        <v>39</v>
      </c>
      <c r="T176" s="22">
        <v>0.035</v>
      </c>
      <c r="U176" s="116">
        <v>0.06</v>
      </c>
      <c r="V176" s="24" t="s">
        <v>39</v>
      </c>
      <c r="W176" s="50"/>
      <c r="X176" s="24" t="s">
        <v>39</v>
      </c>
      <c r="Y176" s="115" t="s">
        <v>39</v>
      </c>
      <c r="Z176" s="51" t="s">
        <v>39</v>
      </c>
      <c r="AA176" s="51" t="s">
        <v>39</v>
      </c>
      <c r="AB176" s="46" t="s">
        <v>39</v>
      </c>
      <c r="AC176" s="46" t="s">
        <v>39</v>
      </c>
      <c r="AD176" s="48" t="s">
        <v>591</v>
      </c>
      <c r="AE176" s="25" t="s">
        <v>288</v>
      </c>
    </row>
    <row r="177" s="2" customFormat="1" ht="48" customHeight="1" spans="1:31">
      <c r="A177" s="13">
        <v>182</v>
      </c>
      <c r="B177" s="14" t="s">
        <v>658</v>
      </c>
      <c r="C177" s="15" t="s">
        <v>443</v>
      </c>
      <c r="D177" s="127" t="s">
        <v>576</v>
      </c>
      <c r="E177" s="61" t="s">
        <v>577</v>
      </c>
      <c r="F177" s="13" t="s">
        <v>81</v>
      </c>
      <c r="G177" s="16" t="s">
        <v>578</v>
      </c>
      <c r="H177" s="16" t="s">
        <v>284</v>
      </c>
      <c r="I177" s="17" t="s">
        <v>488</v>
      </c>
      <c r="J177" s="55" t="s">
        <v>1508</v>
      </c>
      <c r="K177" s="20" t="s">
        <v>39</v>
      </c>
      <c r="L177" s="21" t="s">
        <v>39</v>
      </c>
      <c r="M177" s="116">
        <v>0.19</v>
      </c>
      <c r="N177" s="20" t="s">
        <v>39</v>
      </c>
      <c r="O177" s="90" t="s">
        <v>39</v>
      </c>
      <c r="P177" s="92" t="s">
        <v>39</v>
      </c>
      <c r="Q177" s="24" t="s">
        <v>39</v>
      </c>
      <c r="R177" s="24" t="s">
        <v>39</v>
      </c>
      <c r="S177" s="24" t="s">
        <v>39</v>
      </c>
      <c r="T177" s="59" t="s">
        <v>39</v>
      </c>
      <c r="U177" s="116">
        <v>0.06</v>
      </c>
      <c r="V177" s="24" t="s">
        <v>39</v>
      </c>
      <c r="W177" s="50"/>
      <c r="X177" s="24" t="s">
        <v>39</v>
      </c>
      <c r="Y177" s="115" t="s">
        <v>39</v>
      </c>
      <c r="Z177" s="51" t="s">
        <v>39</v>
      </c>
      <c r="AA177" s="51" t="s">
        <v>39</v>
      </c>
      <c r="AB177" s="46" t="s">
        <v>39</v>
      </c>
      <c r="AC177" s="46" t="s">
        <v>39</v>
      </c>
      <c r="AD177" s="48" t="s">
        <v>611</v>
      </c>
      <c r="AE177" s="25" t="s">
        <v>288</v>
      </c>
    </row>
    <row r="178" s="2" customFormat="1" ht="36" customHeight="1" spans="1:31">
      <c r="A178" s="13">
        <v>183</v>
      </c>
      <c r="B178" s="14" t="s">
        <v>661</v>
      </c>
      <c r="C178" s="15" t="s">
        <v>443</v>
      </c>
      <c r="D178" s="127" t="s">
        <v>576</v>
      </c>
      <c r="E178" s="61" t="s">
        <v>577</v>
      </c>
      <c r="F178" s="13" t="s">
        <v>81</v>
      </c>
      <c r="G178" s="16" t="s">
        <v>578</v>
      </c>
      <c r="H178" s="16" t="s">
        <v>322</v>
      </c>
      <c r="I178" s="17" t="s">
        <v>186</v>
      </c>
      <c r="J178" s="18" t="s">
        <v>613</v>
      </c>
      <c r="K178" s="20" t="s">
        <v>39</v>
      </c>
      <c r="L178" s="21" t="s">
        <v>39</v>
      </c>
      <c r="M178" s="116">
        <v>0.145</v>
      </c>
      <c r="N178" s="20" t="s">
        <v>39</v>
      </c>
      <c r="O178" s="90" t="s">
        <v>39</v>
      </c>
      <c r="P178" s="92" t="s">
        <v>39</v>
      </c>
      <c r="Q178" s="24" t="s">
        <v>39</v>
      </c>
      <c r="R178" s="24" t="s">
        <v>39</v>
      </c>
      <c r="S178" s="24" t="s">
        <v>39</v>
      </c>
      <c r="T178" s="22">
        <v>0.035</v>
      </c>
      <c r="U178" s="116">
        <v>0.06</v>
      </c>
      <c r="V178" s="24" t="s">
        <v>39</v>
      </c>
      <c r="W178" s="50"/>
      <c r="X178" s="24" t="s">
        <v>39</v>
      </c>
      <c r="Y178" s="115" t="s">
        <v>39</v>
      </c>
      <c r="Z178" s="51" t="s">
        <v>39</v>
      </c>
      <c r="AA178" s="51" t="s">
        <v>39</v>
      </c>
      <c r="AB178" s="46" t="s">
        <v>39</v>
      </c>
      <c r="AC178" s="46" t="s">
        <v>39</v>
      </c>
      <c r="AD178" s="48" t="s">
        <v>591</v>
      </c>
      <c r="AE178" s="25" t="s">
        <v>288</v>
      </c>
    </row>
    <row r="179" s="2" customFormat="1" ht="36" customHeight="1" spans="1:31">
      <c r="A179" s="13">
        <v>184</v>
      </c>
      <c r="B179" s="14" t="s">
        <v>664</v>
      </c>
      <c r="C179" s="15" t="s">
        <v>443</v>
      </c>
      <c r="D179" s="127" t="s">
        <v>576</v>
      </c>
      <c r="E179" s="61" t="s">
        <v>577</v>
      </c>
      <c r="F179" s="13" t="s">
        <v>81</v>
      </c>
      <c r="G179" s="16" t="s">
        <v>578</v>
      </c>
      <c r="H179" s="16" t="s">
        <v>329</v>
      </c>
      <c r="I179" s="17" t="s">
        <v>615</v>
      </c>
      <c r="J179" s="18" t="s">
        <v>616</v>
      </c>
      <c r="K179" s="20" t="s">
        <v>39</v>
      </c>
      <c r="L179" s="21" t="s">
        <v>39</v>
      </c>
      <c r="M179" s="116">
        <v>0.145</v>
      </c>
      <c r="N179" s="20" t="s">
        <v>39</v>
      </c>
      <c r="O179" s="90" t="s">
        <v>39</v>
      </c>
      <c r="P179" s="92" t="s">
        <v>39</v>
      </c>
      <c r="Q179" s="24" t="s">
        <v>39</v>
      </c>
      <c r="R179" s="24" t="s">
        <v>39</v>
      </c>
      <c r="S179" s="24" t="s">
        <v>39</v>
      </c>
      <c r="T179" s="22">
        <v>0.035</v>
      </c>
      <c r="U179" s="116">
        <v>0.06</v>
      </c>
      <c r="V179" s="24" t="s">
        <v>39</v>
      </c>
      <c r="W179" s="50"/>
      <c r="X179" s="24" t="s">
        <v>39</v>
      </c>
      <c r="Y179" s="115" t="s">
        <v>39</v>
      </c>
      <c r="Z179" s="51" t="s">
        <v>39</v>
      </c>
      <c r="AA179" s="51" t="s">
        <v>39</v>
      </c>
      <c r="AB179" s="46" t="s">
        <v>39</v>
      </c>
      <c r="AC179" s="46" t="s">
        <v>39</v>
      </c>
      <c r="AD179" s="48" t="s">
        <v>591</v>
      </c>
      <c r="AE179" s="25" t="s">
        <v>288</v>
      </c>
    </row>
    <row r="180" s="2" customFormat="1" ht="36" customHeight="1" spans="1:31">
      <c r="A180" s="13">
        <v>185</v>
      </c>
      <c r="B180" s="14" t="s">
        <v>667</v>
      </c>
      <c r="C180" s="15" t="s">
        <v>443</v>
      </c>
      <c r="D180" s="127" t="s">
        <v>576</v>
      </c>
      <c r="E180" s="61" t="s">
        <v>577</v>
      </c>
      <c r="F180" s="13" t="s">
        <v>81</v>
      </c>
      <c r="G180" s="16" t="s">
        <v>578</v>
      </c>
      <c r="H180" s="16" t="s">
        <v>333</v>
      </c>
      <c r="I180" s="17" t="s">
        <v>618</v>
      </c>
      <c r="J180" s="18" t="s">
        <v>619</v>
      </c>
      <c r="K180" s="20" t="s">
        <v>39</v>
      </c>
      <c r="L180" s="21" t="s">
        <v>39</v>
      </c>
      <c r="M180" s="116">
        <v>0.145</v>
      </c>
      <c r="N180" s="20" t="s">
        <v>39</v>
      </c>
      <c r="O180" s="90" t="s">
        <v>39</v>
      </c>
      <c r="P180" s="92" t="s">
        <v>39</v>
      </c>
      <c r="Q180" s="24" t="s">
        <v>39</v>
      </c>
      <c r="R180" s="24" t="s">
        <v>39</v>
      </c>
      <c r="S180" s="24" t="s">
        <v>39</v>
      </c>
      <c r="T180" s="22">
        <v>0.035</v>
      </c>
      <c r="U180" s="116">
        <v>0.06</v>
      </c>
      <c r="V180" s="24" t="s">
        <v>39</v>
      </c>
      <c r="W180" s="50"/>
      <c r="X180" s="24" t="s">
        <v>39</v>
      </c>
      <c r="Y180" s="115" t="s">
        <v>39</v>
      </c>
      <c r="Z180" s="51" t="s">
        <v>39</v>
      </c>
      <c r="AA180" s="51" t="s">
        <v>39</v>
      </c>
      <c r="AB180" s="46" t="s">
        <v>39</v>
      </c>
      <c r="AC180" s="46" t="s">
        <v>39</v>
      </c>
      <c r="AD180" s="48" t="s">
        <v>591</v>
      </c>
      <c r="AE180" s="25" t="s">
        <v>288</v>
      </c>
    </row>
    <row r="181" s="2" customFormat="1" ht="36" customHeight="1" spans="1:31">
      <c r="A181" s="13">
        <v>186</v>
      </c>
      <c r="B181" s="14" t="s">
        <v>669</v>
      </c>
      <c r="C181" s="15" t="s">
        <v>443</v>
      </c>
      <c r="D181" s="127" t="s">
        <v>576</v>
      </c>
      <c r="E181" s="61" t="s">
        <v>577</v>
      </c>
      <c r="F181" s="13" t="s">
        <v>81</v>
      </c>
      <c r="G181" s="16" t="s">
        <v>578</v>
      </c>
      <c r="H181" s="16" t="s">
        <v>621</v>
      </c>
      <c r="I181" s="17" t="s">
        <v>485</v>
      </c>
      <c r="J181" s="18" t="s">
        <v>622</v>
      </c>
      <c r="K181" s="20" t="s">
        <v>39</v>
      </c>
      <c r="L181" s="21" t="s">
        <v>39</v>
      </c>
      <c r="M181" s="116">
        <v>0.165</v>
      </c>
      <c r="N181" s="20" t="s">
        <v>39</v>
      </c>
      <c r="O181" s="90" t="s">
        <v>39</v>
      </c>
      <c r="P181" s="92" t="s">
        <v>39</v>
      </c>
      <c r="Q181" s="24" t="s">
        <v>39</v>
      </c>
      <c r="R181" s="24" t="s">
        <v>39</v>
      </c>
      <c r="S181" s="24" t="s">
        <v>39</v>
      </c>
      <c r="T181" s="22">
        <v>0.035</v>
      </c>
      <c r="U181" s="116">
        <v>0.06</v>
      </c>
      <c r="V181" s="24" t="s">
        <v>39</v>
      </c>
      <c r="W181" s="50"/>
      <c r="X181" s="24" t="s">
        <v>39</v>
      </c>
      <c r="Y181" s="115" t="s">
        <v>39</v>
      </c>
      <c r="Z181" s="51" t="s">
        <v>39</v>
      </c>
      <c r="AA181" s="51" t="s">
        <v>39</v>
      </c>
      <c r="AB181" s="46" t="s">
        <v>39</v>
      </c>
      <c r="AC181" s="46" t="s">
        <v>39</v>
      </c>
      <c r="AD181" s="48" t="s">
        <v>591</v>
      </c>
      <c r="AE181" s="25" t="s">
        <v>288</v>
      </c>
    </row>
    <row r="182" s="2" customFormat="1" ht="36" customHeight="1" spans="1:31">
      <c r="A182" s="13">
        <v>187</v>
      </c>
      <c r="B182" s="14" t="s">
        <v>672</v>
      </c>
      <c r="C182" s="15" t="s">
        <v>443</v>
      </c>
      <c r="D182" s="127" t="s">
        <v>576</v>
      </c>
      <c r="E182" s="61" t="s">
        <v>577</v>
      </c>
      <c r="F182" s="13" t="s">
        <v>81</v>
      </c>
      <c r="G182" s="16" t="s">
        <v>578</v>
      </c>
      <c r="H182" s="16" t="s">
        <v>624</v>
      </c>
      <c r="I182" s="17" t="s">
        <v>625</v>
      </c>
      <c r="J182" s="18" t="s">
        <v>626</v>
      </c>
      <c r="K182" s="20" t="s">
        <v>39</v>
      </c>
      <c r="L182" s="21" t="s">
        <v>39</v>
      </c>
      <c r="M182" s="116">
        <v>0.165</v>
      </c>
      <c r="N182" s="20" t="s">
        <v>39</v>
      </c>
      <c r="O182" s="90" t="s">
        <v>39</v>
      </c>
      <c r="P182" s="92" t="s">
        <v>39</v>
      </c>
      <c r="Q182" s="24" t="s">
        <v>39</v>
      </c>
      <c r="R182" s="24" t="s">
        <v>39</v>
      </c>
      <c r="S182" s="24" t="s">
        <v>39</v>
      </c>
      <c r="T182" s="22">
        <v>0.035</v>
      </c>
      <c r="U182" s="116">
        <v>0.06</v>
      </c>
      <c r="V182" s="24" t="s">
        <v>39</v>
      </c>
      <c r="W182" s="50"/>
      <c r="X182" s="24" t="s">
        <v>39</v>
      </c>
      <c r="Y182" s="115" t="s">
        <v>39</v>
      </c>
      <c r="Z182" s="51" t="s">
        <v>39</v>
      </c>
      <c r="AA182" s="51" t="s">
        <v>39</v>
      </c>
      <c r="AB182" s="46" t="s">
        <v>39</v>
      </c>
      <c r="AC182" s="46" t="s">
        <v>39</v>
      </c>
      <c r="AD182" s="48" t="s">
        <v>591</v>
      </c>
      <c r="AE182" s="25" t="s">
        <v>288</v>
      </c>
    </row>
    <row r="183" s="2" customFormat="1" ht="48" customHeight="1" spans="1:31">
      <c r="A183" s="13">
        <v>188</v>
      </c>
      <c r="B183" s="14" t="s">
        <v>675</v>
      </c>
      <c r="C183" s="15" t="s">
        <v>443</v>
      </c>
      <c r="D183" s="127" t="s">
        <v>576</v>
      </c>
      <c r="E183" s="61" t="s">
        <v>577</v>
      </c>
      <c r="F183" s="13" t="s">
        <v>81</v>
      </c>
      <c r="G183" s="16" t="s">
        <v>578</v>
      </c>
      <c r="H183" s="16" t="s">
        <v>628</v>
      </c>
      <c r="I183" s="17" t="s">
        <v>144</v>
      </c>
      <c r="J183" s="55" t="s">
        <v>479</v>
      </c>
      <c r="K183" s="20" t="s">
        <v>39</v>
      </c>
      <c r="L183" s="21" t="s">
        <v>39</v>
      </c>
      <c r="M183" s="116">
        <v>0.155</v>
      </c>
      <c r="N183" s="20" t="s">
        <v>39</v>
      </c>
      <c r="O183" s="90" t="s">
        <v>39</v>
      </c>
      <c r="P183" s="92" t="s">
        <v>39</v>
      </c>
      <c r="Q183" s="24" t="s">
        <v>39</v>
      </c>
      <c r="R183" s="24" t="s">
        <v>39</v>
      </c>
      <c r="S183" s="24" t="s">
        <v>39</v>
      </c>
      <c r="T183" s="22">
        <v>0.035</v>
      </c>
      <c r="U183" s="116">
        <v>0.06</v>
      </c>
      <c r="V183" s="24" t="s">
        <v>39</v>
      </c>
      <c r="W183" s="50"/>
      <c r="X183" s="24" t="s">
        <v>39</v>
      </c>
      <c r="Y183" s="124">
        <v>2000</v>
      </c>
      <c r="Z183" s="51" t="s">
        <v>39</v>
      </c>
      <c r="AA183" s="51" t="s">
        <v>39</v>
      </c>
      <c r="AB183" s="46" t="s">
        <v>39</v>
      </c>
      <c r="AC183" s="46" t="s">
        <v>39</v>
      </c>
      <c r="AD183" s="48" t="s">
        <v>630</v>
      </c>
      <c r="AE183" s="25" t="s">
        <v>288</v>
      </c>
    </row>
    <row r="184" s="2" customFormat="1" ht="36" customHeight="1" spans="1:31">
      <c r="A184" s="13">
        <v>189</v>
      </c>
      <c r="B184" s="14" t="s">
        <v>678</v>
      </c>
      <c r="C184" s="15" t="s">
        <v>443</v>
      </c>
      <c r="D184" s="127" t="s">
        <v>576</v>
      </c>
      <c r="E184" s="61" t="s">
        <v>577</v>
      </c>
      <c r="F184" s="13" t="s">
        <v>81</v>
      </c>
      <c r="G184" s="16" t="s">
        <v>578</v>
      </c>
      <c r="H184" s="16" t="s">
        <v>632</v>
      </c>
      <c r="I184" s="17" t="s">
        <v>214</v>
      </c>
      <c r="J184" s="55" t="s">
        <v>1509</v>
      </c>
      <c r="K184" s="20" t="s">
        <v>39</v>
      </c>
      <c r="L184" s="21" t="s">
        <v>39</v>
      </c>
      <c r="M184" s="116">
        <v>0.155</v>
      </c>
      <c r="N184" s="20" t="s">
        <v>39</v>
      </c>
      <c r="O184" s="90" t="s">
        <v>39</v>
      </c>
      <c r="P184" s="92" t="s">
        <v>39</v>
      </c>
      <c r="Q184" s="24" t="s">
        <v>39</v>
      </c>
      <c r="R184" s="24" t="s">
        <v>39</v>
      </c>
      <c r="S184" s="24" t="s">
        <v>39</v>
      </c>
      <c r="T184" s="22">
        <v>0.035</v>
      </c>
      <c r="U184" s="116">
        <v>0.06</v>
      </c>
      <c r="V184" s="24" t="s">
        <v>39</v>
      </c>
      <c r="W184" s="50"/>
      <c r="X184" s="24" t="s">
        <v>39</v>
      </c>
      <c r="Y184" s="115" t="s">
        <v>39</v>
      </c>
      <c r="Z184" s="51" t="s">
        <v>39</v>
      </c>
      <c r="AA184" s="51" t="s">
        <v>39</v>
      </c>
      <c r="AB184" s="46" t="s">
        <v>39</v>
      </c>
      <c r="AC184" s="46" t="s">
        <v>39</v>
      </c>
      <c r="AD184" s="48" t="s">
        <v>591</v>
      </c>
      <c r="AE184" s="25" t="s">
        <v>288</v>
      </c>
    </row>
    <row r="185" s="2" customFormat="1" ht="36" customHeight="1" spans="1:31">
      <c r="A185" s="13">
        <v>190</v>
      </c>
      <c r="B185" s="14" t="s">
        <v>681</v>
      </c>
      <c r="C185" s="15" t="s">
        <v>443</v>
      </c>
      <c r="D185" s="127" t="s">
        <v>576</v>
      </c>
      <c r="E185" s="61" t="s">
        <v>577</v>
      </c>
      <c r="F185" s="13" t="s">
        <v>81</v>
      </c>
      <c r="G185" s="16" t="s">
        <v>578</v>
      </c>
      <c r="H185" s="16" t="s">
        <v>635</v>
      </c>
      <c r="I185" s="17" t="s">
        <v>636</v>
      </c>
      <c r="J185" s="55" t="s">
        <v>1510</v>
      </c>
      <c r="K185" s="20" t="s">
        <v>39</v>
      </c>
      <c r="L185" s="21" t="s">
        <v>39</v>
      </c>
      <c r="M185" s="116">
        <v>0.135</v>
      </c>
      <c r="N185" s="20" t="s">
        <v>39</v>
      </c>
      <c r="O185" s="90" t="s">
        <v>39</v>
      </c>
      <c r="P185" s="92" t="s">
        <v>39</v>
      </c>
      <c r="Q185" s="24" t="s">
        <v>39</v>
      </c>
      <c r="R185" s="24" t="s">
        <v>39</v>
      </c>
      <c r="S185" s="24" t="s">
        <v>39</v>
      </c>
      <c r="T185" s="22">
        <v>0.035</v>
      </c>
      <c r="U185" s="116">
        <v>0.06</v>
      </c>
      <c r="V185" s="24" t="s">
        <v>39</v>
      </c>
      <c r="W185" s="50"/>
      <c r="X185" s="24" t="s">
        <v>39</v>
      </c>
      <c r="Y185" s="115" t="s">
        <v>39</v>
      </c>
      <c r="Z185" s="51" t="s">
        <v>39</v>
      </c>
      <c r="AA185" s="51" t="s">
        <v>39</v>
      </c>
      <c r="AB185" s="46" t="s">
        <v>39</v>
      </c>
      <c r="AC185" s="46" t="s">
        <v>39</v>
      </c>
      <c r="AD185" s="48" t="s">
        <v>591</v>
      </c>
      <c r="AE185" s="25" t="s">
        <v>288</v>
      </c>
    </row>
    <row r="186" s="2" customFormat="1" ht="12" customHeight="1" spans="1:31">
      <c r="A186" s="13">
        <v>191</v>
      </c>
      <c r="B186" s="14" t="s">
        <v>682</v>
      </c>
      <c r="C186" s="15" t="s">
        <v>443</v>
      </c>
      <c r="D186" s="127" t="s">
        <v>639</v>
      </c>
      <c r="E186" s="61" t="s">
        <v>640</v>
      </c>
      <c r="F186" s="13" t="s">
        <v>37</v>
      </c>
      <c r="G186" s="16" t="s">
        <v>178</v>
      </c>
      <c r="H186" s="16" t="s">
        <v>39</v>
      </c>
      <c r="I186" s="43" t="s">
        <v>39</v>
      </c>
      <c r="J186" s="16" t="s">
        <v>39</v>
      </c>
      <c r="K186" s="20" t="s">
        <v>39</v>
      </c>
      <c r="L186" s="21" t="s">
        <v>39</v>
      </c>
      <c r="M186" s="67" t="s">
        <v>39</v>
      </c>
      <c r="N186" s="47"/>
      <c r="O186" s="67" t="s">
        <v>39</v>
      </c>
      <c r="P186" s="47"/>
      <c r="Q186" s="67" t="s">
        <v>39</v>
      </c>
      <c r="R186" s="67" t="s">
        <v>39</v>
      </c>
      <c r="S186" s="67" t="s">
        <v>39</v>
      </c>
      <c r="T186" s="47"/>
      <c r="U186" s="47"/>
      <c r="V186" s="67" t="s">
        <v>39</v>
      </c>
      <c r="W186" s="44"/>
      <c r="X186" s="65" t="s">
        <v>39</v>
      </c>
      <c r="Y186" s="65" t="s">
        <v>39</v>
      </c>
      <c r="Z186" s="65" t="s">
        <v>39</v>
      </c>
      <c r="AA186" s="44"/>
      <c r="AB186" s="46">
        <v>0.05</v>
      </c>
      <c r="AC186" s="46" t="s">
        <v>39</v>
      </c>
      <c r="AD186" s="69"/>
      <c r="AE186" s="25"/>
    </row>
    <row r="187" s="2" customFormat="1" ht="24" customHeight="1" spans="1:31">
      <c r="A187" s="13">
        <v>192</v>
      </c>
      <c r="B187" s="14" t="s">
        <v>685</v>
      </c>
      <c r="C187" s="15" t="s">
        <v>443</v>
      </c>
      <c r="D187" s="127" t="s">
        <v>639</v>
      </c>
      <c r="E187" s="61" t="s">
        <v>640</v>
      </c>
      <c r="F187" s="13" t="s">
        <v>81</v>
      </c>
      <c r="G187" s="16" t="s">
        <v>178</v>
      </c>
      <c r="H187" s="18" t="s">
        <v>39</v>
      </c>
      <c r="I187" s="43" t="s">
        <v>589</v>
      </c>
      <c r="J187" s="16" t="s">
        <v>642</v>
      </c>
      <c r="K187" s="20" t="s">
        <v>39</v>
      </c>
      <c r="L187" s="21">
        <v>2352000</v>
      </c>
      <c r="M187" s="67">
        <v>0.15</v>
      </c>
      <c r="N187" s="67">
        <v>0.01</v>
      </c>
      <c r="O187" s="67" t="s">
        <v>39</v>
      </c>
      <c r="P187" s="67">
        <v>0.04</v>
      </c>
      <c r="Q187" s="67">
        <v>0.03</v>
      </c>
      <c r="R187" s="67">
        <v>0.01</v>
      </c>
      <c r="S187" s="67">
        <v>0.01</v>
      </c>
      <c r="T187" s="67"/>
      <c r="U187" s="66"/>
      <c r="V187" s="67" t="s">
        <v>39</v>
      </c>
      <c r="W187" s="128">
        <v>0.4</v>
      </c>
      <c r="X187" s="67" t="s">
        <v>39</v>
      </c>
      <c r="Y187" s="65" t="s">
        <v>39</v>
      </c>
      <c r="Z187" s="65" t="s">
        <v>39</v>
      </c>
      <c r="AA187" s="65" t="s">
        <v>39</v>
      </c>
      <c r="AB187" s="46" t="s">
        <v>39</v>
      </c>
      <c r="AC187" s="46" t="s">
        <v>39</v>
      </c>
      <c r="AD187" s="69" t="s">
        <v>643</v>
      </c>
      <c r="AE187" s="25" t="s">
        <v>644</v>
      </c>
    </row>
    <row r="188" s="2" customFormat="1" ht="36" customHeight="1" spans="1:31">
      <c r="A188" s="13">
        <v>193</v>
      </c>
      <c r="B188" s="14" t="s">
        <v>688</v>
      </c>
      <c r="C188" s="15" t="s">
        <v>443</v>
      </c>
      <c r="D188" s="127" t="s">
        <v>639</v>
      </c>
      <c r="E188" s="61" t="s">
        <v>640</v>
      </c>
      <c r="F188" s="13" t="s">
        <v>81</v>
      </c>
      <c r="G188" s="16" t="s">
        <v>178</v>
      </c>
      <c r="H188" s="18" t="s">
        <v>39</v>
      </c>
      <c r="I188" s="43" t="s">
        <v>647</v>
      </c>
      <c r="J188" s="16" t="s">
        <v>648</v>
      </c>
      <c r="K188" s="20" t="s">
        <v>39</v>
      </c>
      <c r="L188" s="21">
        <v>2280000</v>
      </c>
      <c r="M188" s="67" t="s">
        <v>649</v>
      </c>
      <c r="N188" s="67">
        <v>0.01</v>
      </c>
      <c r="O188" s="67" t="s">
        <v>39</v>
      </c>
      <c r="P188" s="67">
        <v>0.04</v>
      </c>
      <c r="Q188" s="67">
        <v>0.03</v>
      </c>
      <c r="R188" s="67">
        <v>0.01</v>
      </c>
      <c r="S188" s="67">
        <v>0.01</v>
      </c>
      <c r="T188" s="67"/>
      <c r="U188" s="66"/>
      <c r="V188" s="67" t="s">
        <v>39</v>
      </c>
      <c r="W188" s="128">
        <v>0.4</v>
      </c>
      <c r="X188" s="67" t="s">
        <v>39</v>
      </c>
      <c r="Y188" s="65" t="s">
        <v>39</v>
      </c>
      <c r="Z188" s="65" t="s">
        <v>39</v>
      </c>
      <c r="AA188" s="65" t="s">
        <v>39</v>
      </c>
      <c r="AB188" s="46" t="s">
        <v>39</v>
      </c>
      <c r="AC188" s="46" t="s">
        <v>39</v>
      </c>
      <c r="AD188" s="69" t="s">
        <v>650</v>
      </c>
      <c r="AE188" s="25" t="s">
        <v>651</v>
      </c>
    </row>
    <row r="189" s="2" customFormat="1" ht="36" customHeight="1" spans="1:31">
      <c r="A189" s="13">
        <v>194</v>
      </c>
      <c r="B189" s="14" t="s">
        <v>691</v>
      </c>
      <c r="C189" s="15" t="s">
        <v>443</v>
      </c>
      <c r="D189" s="127" t="s">
        <v>639</v>
      </c>
      <c r="E189" s="61" t="s">
        <v>640</v>
      </c>
      <c r="F189" s="13" t="s">
        <v>81</v>
      </c>
      <c r="G189" s="16" t="s">
        <v>178</v>
      </c>
      <c r="H189" s="18" t="s">
        <v>39</v>
      </c>
      <c r="I189" s="43" t="s">
        <v>653</v>
      </c>
      <c r="J189" s="16" t="s">
        <v>654</v>
      </c>
      <c r="K189" s="20" t="s">
        <v>39</v>
      </c>
      <c r="L189" s="21">
        <v>816000</v>
      </c>
      <c r="M189" s="67" t="s">
        <v>649</v>
      </c>
      <c r="N189" s="67">
        <v>0.01</v>
      </c>
      <c r="O189" s="67" t="s">
        <v>39</v>
      </c>
      <c r="P189" s="67">
        <v>0.04</v>
      </c>
      <c r="Q189" s="67">
        <v>0.03</v>
      </c>
      <c r="R189" s="67">
        <v>0.01</v>
      </c>
      <c r="S189" s="67">
        <v>0.01</v>
      </c>
      <c r="T189" s="67"/>
      <c r="U189" s="66"/>
      <c r="V189" s="67" t="s">
        <v>39</v>
      </c>
      <c r="W189" s="128">
        <v>0.4</v>
      </c>
      <c r="X189" s="67" t="s">
        <v>39</v>
      </c>
      <c r="Y189" s="65" t="s">
        <v>39</v>
      </c>
      <c r="Z189" s="65" t="s">
        <v>39</v>
      </c>
      <c r="AA189" s="65" t="s">
        <v>39</v>
      </c>
      <c r="AB189" s="46" t="s">
        <v>39</v>
      </c>
      <c r="AC189" s="46" t="s">
        <v>39</v>
      </c>
      <c r="AD189" s="69" t="s">
        <v>650</v>
      </c>
      <c r="AE189" s="25" t="s">
        <v>651</v>
      </c>
    </row>
    <row r="190" s="2" customFormat="1" ht="24" customHeight="1" spans="1:31">
      <c r="A190" s="13">
        <v>195</v>
      </c>
      <c r="B190" s="14" t="s">
        <v>694</v>
      </c>
      <c r="C190" s="15" t="s">
        <v>443</v>
      </c>
      <c r="D190" s="127" t="s">
        <v>639</v>
      </c>
      <c r="E190" s="61" t="s">
        <v>640</v>
      </c>
      <c r="F190" s="13" t="s">
        <v>81</v>
      </c>
      <c r="G190" s="16" t="s">
        <v>178</v>
      </c>
      <c r="H190" s="18" t="s">
        <v>39</v>
      </c>
      <c r="I190" s="43" t="s">
        <v>656</v>
      </c>
      <c r="J190" s="16" t="s">
        <v>657</v>
      </c>
      <c r="K190" s="20" t="s">
        <v>39</v>
      </c>
      <c r="L190" s="21">
        <v>700800</v>
      </c>
      <c r="M190" s="67">
        <v>0.1</v>
      </c>
      <c r="N190" s="67">
        <v>0.01</v>
      </c>
      <c r="O190" s="67" t="s">
        <v>39</v>
      </c>
      <c r="P190" s="67">
        <v>0.04</v>
      </c>
      <c r="Q190" s="67">
        <v>0.03</v>
      </c>
      <c r="R190" s="67">
        <v>0.01</v>
      </c>
      <c r="S190" s="67">
        <v>0.01</v>
      </c>
      <c r="T190" s="67"/>
      <c r="U190" s="66"/>
      <c r="V190" s="67" t="s">
        <v>39</v>
      </c>
      <c r="W190" s="128">
        <v>0.4</v>
      </c>
      <c r="X190" s="67" t="s">
        <v>39</v>
      </c>
      <c r="Y190" s="65" t="s">
        <v>39</v>
      </c>
      <c r="Z190" s="65" t="s">
        <v>39</v>
      </c>
      <c r="AA190" s="65" t="s">
        <v>39</v>
      </c>
      <c r="AB190" s="46" t="s">
        <v>39</v>
      </c>
      <c r="AC190" s="46" t="s">
        <v>39</v>
      </c>
      <c r="AD190" s="69" t="s">
        <v>643</v>
      </c>
      <c r="AE190" s="25" t="s">
        <v>644</v>
      </c>
    </row>
    <row r="191" s="2" customFormat="1" ht="24" customHeight="1" spans="1:31">
      <c r="A191" s="13">
        <v>196</v>
      </c>
      <c r="B191" s="14" t="s">
        <v>697</v>
      </c>
      <c r="C191" s="15" t="s">
        <v>443</v>
      </c>
      <c r="D191" s="127" t="s">
        <v>639</v>
      </c>
      <c r="E191" s="61" t="s">
        <v>640</v>
      </c>
      <c r="F191" s="13" t="s">
        <v>81</v>
      </c>
      <c r="G191" s="16" t="s">
        <v>178</v>
      </c>
      <c r="H191" s="18" t="s">
        <v>39</v>
      </c>
      <c r="I191" s="43" t="s">
        <v>659</v>
      </c>
      <c r="J191" s="16" t="s">
        <v>660</v>
      </c>
      <c r="K191" s="20" t="s">
        <v>39</v>
      </c>
      <c r="L191" s="21">
        <v>720000</v>
      </c>
      <c r="M191" s="67">
        <v>0.1</v>
      </c>
      <c r="N191" s="67">
        <v>0.01</v>
      </c>
      <c r="O191" s="67" t="s">
        <v>39</v>
      </c>
      <c r="P191" s="67">
        <v>0.04</v>
      </c>
      <c r="Q191" s="67">
        <v>0.03</v>
      </c>
      <c r="R191" s="67">
        <v>0.01</v>
      </c>
      <c r="S191" s="67">
        <v>0.01</v>
      </c>
      <c r="T191" s="67"/>
      <c r="U191" s="66"/>
      <c r="V191" s="67" t="s">
        <v>39</v>
      </c>
      <c r="W191" s="128">
        <v>0.4</v>
      </c>
      <c r="X191" s="67" t="s">
        <v>39</v>
      </c>
      <c r="Y191" s="65" t="s">
        <v>39</v>
      </c>
      <c r="Z191" s="65" t="s">
        <v>39</v>
      </c>
      <c r="AA191" s="65" t="s">
        <v>39</v>
      </c>
      <c r="AB191" s="46" t="s">
        <v>39</v>
      </c>
      <c r="AC191" s="46" t="s">
        <v>39</v>
      </c>
      <c r="AD191" s="69" t="s">
        <v>643</v>
      </c>
      <c r="AE191" s="25" t="s">
        <v>644</v>
      </c>
    </row>
    <row r="192" s="2" customFormat="1" ht="24" customHeight="1" spans="1:31">
      <c r="A192" s="13">
        <v>197</v>
      </c>
      <c r="B192" s="14" t="s">
        <v>699</v>
      </c>
      <c r="C192" s="15" t="s">
        <v>443</v>
      </c>
      <c r="D192" s="15" t="s">
        <v>639</v>
      </c>
      <c r="E192" s="61" t="s">
        <v>640</v>
      </c>
      <c r="F192" s="129" t="s">
        <v>81</v>
      </c>
      <c r="G192" s="130" t="s">
        <v>178</v>
      </c>
      <c r="H192" s="18" t="s">
        <v>39</v>
      </c>
      <c r="I192" s="43" t="s">
        <v>662</v>
      </c>
      <c r="J192" s="16" t="s">
        <v>663</v>
      </c>
      <c r="K192" s="20" t="s">
        <v>39</v>
      </c>
      <c r="L192" s="21">
        <v>960000</v>
      </c>
      <c r="M192" s="77">
        <v>0.1</v>
      </c>
      <c r="N192" s="77">
        <v>0.01</v>
      </c>
      <c r="O192" s="77" t="s">
        <v>39</v>
      </c>
      <c r="P192" s="77">
        <v>0.04</v>
      </c>
      <c r="Q192" s="77">
        <v>0.03</v>
      </c>
      <c r="R192" s="77">
        <v>0.01</v>
      </c>
      <c r="S192" s="77">
        <v>0.01</v>
      </c>
      <c r="T192" s="77"/>
      <c r="U192" s="73"/>
      <c r="V192" s="77" t="s">
        <v>39</v>
      </c>
      <c r="W192" s="131">
        <v>0.4</v>
      </c>
      <c r="X192" s="77" t="s">
        <v>39</v>
      </c>
      <c r="Y192" s="72" t="s">
        <v>39</v>
      </c>
      <c r="Z192" s="72" t="s">
        <v>39</v>
      </c>
      <c r="AA192" s="72" t="s">
        <v>39</v>
      </c>
      <c r="AB192" s="46" t="s">
        <v>39</v>
      </c>
      <c r="AC192" s="46" t="s">
        <v>39</v>
      </c>
      <c r="AD192" s="82" t="s">
        <v>643</v>
      </c>
      <c r="AE192" s="25" t="s">
        <v>644</v>
      </c>
    </row>
    <row r="193" s="2" customFormat="1" ht="24" customHeight="1" spans="1:31">
      <c r="A193" s="13">
        <v>198</v>
      </c>
      <c r="B193" s="14" t="s">
        <v>702</v>
      </c>
      <c r="C193" s="15" t="s">
        <v>443</v>
      </c>
      <c r="D193" s="15" t="s">
        <v>639</v>
      </c>
      <c r="E193" s="132" t="s">
        <v>640</v>
      </c>
      <c r="F193" s="133" t="s">
        <v>81</v>
      </c>
      <c r="G193" s="134" t="s">
        <v>178</v>
      </c>
      <c r="H193" s="18" t="s">
        <v>39</v>
      </c>
      <c r="I193" s="135" t="s">
        <v>665</v>
      </c>
      <c r="J193" s="136" t="s">
        <v>666</v>
      </c>
      <c r="K193" s="20" t="s">
        <v>39</v>
      </c>
      <c r="L193" s="21">
        <v>1032000</v>
      </c>
      <c r="M193" s="77">
        <v>0.1</v>
      </c>
      <c r="N193" s="77">
        <v>0.01</v>
      </c>
      <c r="O193" s="77" t="s">
        <v>39</v>
      </c>
      <c r="P193" s="77">
        <v>0.04</v>
      </c>
      <c r="Q193" s="77">
        <v>0.03</v>
      </c>
      <c r="R193" s="77">
        <v>0.01</v>
      </c>
      <c r="S193" s="77">
        <v>0.01</v>
      </c>
      <c r="T193" s="77"/>
      <c r="U193" s="73"/>
      <c r="V193" s="77" t="s">
        <v>39</v>
      </c>
      <c r="W193" s="131">
        <v>0.4</v>
      </c>
      <c r="X193" s="77" t="s">
        <v>39</v>
      </c>
      <c r="Y193" s="72" t="s">
        <v>39</v>
      </c>
      <c r="Z193" s="72" t="s">
        <v>39</v>
      </c>
      <c r="AA193" s="72" t="s">
        <v>39</v>
      </c>
      <c r="AB193" s="46" t="s">
        <v>39</v>
      </c>
      <c r="AC193" s="46" t="s">
        <v>39</v>
      </c>
      <c r="AD193" s="82" t="s">
        <v>643</v>
      </c>
      <c r="AE193" s="25" t="s">
        <v>644</v>
      </c>
    </row>
    <row r="194" s="2" customFormat="1" ht="24" customHeight="1" spans="1:31">
      <c r="A194" s="13">
        <v>199</v>
      </c>
      <c r="B194" s="14" t="s">
        <v>705</v>
      </c>
      <c r="C194" s="15" t="s">
        <v>443</v>
      </c>
      <c r="D194" s="15" t="s">
        <v>639</v>
      </c>
      <c r="E194" s="132" t="s">
        <v>640</v>
      </c>
      <c r="F194" s="133" t="s">
        <v>81</v>
      </c>
      <c r="G194" s="134" t="s">
        <v>178</v>
      </c>
      <c r="H194" s="18" t="s">
        <v>39</v>
      </c>
      <c r="I194" s="135" t="s">
        <v>530</v>
      </c>
      <c r="J194" s="136" t="s">
        <v>668</v>
      </c>
      <c r="K194" s="20" t="s">
        <v>39</v>
      </c>
      <c r="L194" s="21">
        <v>912000</v>
      </c>
      <c r="M194" s="77">
        <v>0.1</v>
      </c>
      <c r="N194" s="77">
        <v>0.01</v>
      </c>
      <c r="O194" s="77" t="s">
        <v>39</v>
      </c>
      <c r="P194" s="77">
        <v>0.04</v>
      </c>
      <c r="Q194" s="77">
        <v>0.03</v>
      </c>
      <c r="R194" s="77">
        <v>0.01</v>
      </c>
      <c r="S194" s="77">
        <v>0.01</v>
      </c>
      <c r="T194" s="77"/>
      <c r="U194" s="73"/>
      <c r="V194" s="77" t="s">
        <v>39</v>
      </c>
      <c r="W194" s="131">
        <v>0.4</v>
      </c>
      <c r="X194" s="77" t="s">
        <v>39</v>
      </c>
      <c r="Y194" s="72" t="s">
        <v>39</v>
      </c>
      <c r="Z194" s="72" t="s">
        <v>39</v>
      </c>
      <c r="AA194" s="72" t="s">
        <v>39</v>
      </c>
      <c r="AB194" s="46" t="s">
        <v>39</v>
      </c>
      <c r="AC194" s="46" t="s">
        <v>39</v>
      </c>
      <c r="AD194" s="82" t="s">
        <v>643</v>
      </c>
      <c r="AE194" s="25" t="s">
        <v>644</v>
      </c>
    </row>
    <row r="195" s="2" customFormat="1" ht="24" customHeight="1" spans="1:31">
      <c r="A195" s="13">
        <v>200</v>
      </c>
      <c r="B195" s="14" t="s">
        <v>708</v>
      </c>
      <c r="C195" s="15" t="s">
        <v>443</v>
      </c>
      <c r="D195" s="15" t="s">
        <v>639</v>
      </c>
      <c r="E195" s="132" t="s">
        <v>640</v>
      </c>
      <c r="F195" s="133" t="s">
        <v>81</v>
      </c>
      <c r="G195" s="134" t="s">
        <v>178</v>
      </c>
      <c r="H195" s="18" t="s">
        <v>39</v>
      </c>
      <c r="I195" s="135" t="s">
        <v>670</v>
      </c>
      <c r="J195" s="136" t="s">
        <v>671</v>
      </c>
      <c r="K195" s="20" t="s">
        <v>39</v>
      </c>
      <c r="L195" s="21">
        <v>792000</v>
      </c>
      <c r="M195" s="77">
        <v>0.1</v>
      </c>
      <c r="N195" s="77">
        <v>0.01</v>
      </c>
      <c r="O195" s="77" t="s">
        <v>39</v>
      </c>
      <c r="P195" s="77">
        <v>0.04</v>
      </c>
      <c r="Q195" s="77">
        <v>0.03</v>
      </c>
      <c r="R195" s="77">
        <v>0.01</v>
      </c>
      <c r="S195" s="77">
        <v>0.01</v>
      </c>
      <c r="T195" s="77"/>
      <c r="U195" s="73"/>
      <c r="V195" s="77" t="s">
        <v>39</v>
      </c>
      <c r="W195" s="131">
        <v>0.4</v>
      </c>
      <c r="X195" s="77" t="s">
        <v>39</v>
      </c>
      <c r="Y195" s="72" t="s">
        <v>39</v>
      </c>
      <c r="Z195" s="72" t="s">
        <v>39</v>
      </c>
      <c r="AA195" s="72" t="s">
        <v>39</v>
      </c>
      <c r="AB195" s="46" t="s">
        <v>39</v>
      </c>
      <c r="AC195" s="46" t="s">
        <v>39</v>
      </c>
      <c r="AD195" s="82" t="s">
        <v>643</v>
      </c>
      <c r="AE195" s="25" t="s">
        <v>644</v>
      </c>
    </row>
    <row r="196" s="2" customFormat="1" ht="24" customHeight="1" spans="1:31">
      <c r="A196" s="13">
        <v>201</v>
      </c>
      <c r="B196" s="14" t="s">
        <v>711</v>
      </c>
      <c r="C196" s="15" t="s">
        <v>443</v>
      </c>
      <c r="D196" s="15" t="s">
        <v>639</v>
      </c>
      <c r="E196" s="132" t="s">
        <v>640</v>
      </c>
      <c r="F196" s="133" t="s">
        <v>81</v>
      </c>
      <c r="G196" s="134" t="s">
        <v>178</v>
      </c>
      <c r="H196" s="18" t="s">
        <v>39</v>
      </c>
      <c r="I196" s="135" t="s">
        <v>673</v>
      </c>
      <c r="J196" s="136" t="s">
        <v>674</v>
      </c>
      <c r="K196" s="20" t="s">
        <v>39</v>
      </c>
      <c r="L196" s="21">
        <v>840000</v>
      </c>
      <c r="M196" s="77">
        <v>0.1</v>
      </c>
      <c r="N196" s="77">
        <v>0.01</v>
      </c>
      <c r="O196" s="77" t="s">
        <v>39</v>
      </c>
      <c r="P196" s="77">
        <v>0.04</v>
      </c>
      <c r="Q196" s="77">
        <v>0.03</v>
      </c>
      <c r="R196" s="77">
        <v>0.01</v>
      </c>
      <c r="S196" s="77">
        <v>0.01</v>
      </c>
      <c r="T196" s="77"/>
      <c r="U196" s="73"/>
      <c r="V196" s="77" t="s">
        <v>39</v>
      </c>
      <c r="W196" s="131">
        <v>0.4</v>
      </c>
      <c r="X196" s="77" t="s">
        <v>39</v>
      </c>
      <c r="Y196" s="72" t="s">
        <v>39</v>
      </c>
      <c r="Z196" s="72" t="s">
        <v>39</v>
      </c>
      <c r="AA196" s="72" t="s">
        <v>39</v>
      </c>
      <c r="AB196" s="46" t="s">
        <v>39</v>
      </c>
      <c r="AC196" s="46" t="s">
        <v>39</v>
      </c>
      <c r="AD196" s="82" t="s">
        <v>643</v>
      </c>
      <c r="AE196" s="25" t="s">
        <v>644</v>
      </c>
    </row>
    <row r="197" s="2" customFormat="1" ht="24" customHeight="1" spans="1:31">
      <c r="A197" s="13">
        <v>202</v>
      </c>
      <c r="B197" s="14" t="s">
        <v>713</v>
      </c>
      <c r="C197" s="15" t="s">
        <v>443</v>
      </c>
      <c r="D197" s="15" t="s">
        <v>639</v>
      </c>
      <c r="E197" s="132" t="s">
        <v>640</v>
      </c>
      <c r="F197" s="133" t="s">
        <v>81</v>
      </c>
      <c r="G197" s="134" t="s">
        <v>178</v>
      </c>
      <c r="H197" s="18" t="s">
        <v>39</v>
      </c>
      <c r="I197" s="135" t="s">
        <v>676</v>
      </c>
      <c r="J197" s="136" t="s">
        <v>677</v>
      </c>
      <c r="K197" s="20" t="s">
        <v>39</v>
      </c>
      <c r="L197" s="21">
        <v>912000</v>
      </c>
      <c r="M197" s="77">
        <v>0.1</v>
      </c>
      <c r="N197" s="77">
        <v>0.01</v>
      </c>
      <c r="O197" s="77" t="s">
        <v>39</v>
      </c>
      <c r="P197" s="77">
        <v>0.04</v>
      </c>
      <c r="Q197" s="77">
        <v>0.03</v>
      </c>
      <c r="R197" s="77">
        <v>0.01</v>
      </c>
      <c r="S197" s="77">
        <v>0.01</v>
      </c>
      <c r="T197" s="77"/>
      <c r="U197" s="73"/>
      <c r="V197" s="77" t="s">
        <v>39</v>
      </c>
      <c r="W197" s="131">
        <v>0.4</v>
      </c>
      <c r="X197" s="77" t="s">
        <v>39</v>
      </c>
      <c r="Y197" s="72" t="s">
        <v>39</v>
      </c>
      <c r="Z197" s="72" t="s">
        <v>39</v>
      </c>
      <c r="AA197" s="72" t="s">
        <v>39</v>
      </c>
      <c r="AB197" s="46" t="s">
        <v>39</v>
      </c>
      <c r="AC197" s="46" t="s">
        <v>39</v>
      </c>
      <c r="AD197" s="82" t="s">
        <v>643</v>
      </c>
      <c r="AE197" s="25" t="s">
        <v>644</v>
      </c>
    </row>
    <row r="198" s="2" customFormat="1" ht="24" customHeight="1" spans="1:31">
      <c r="A198" s="13">
        <v>203</v>
      </c>
      <c r="B198" s="14" t="s">
        <v>716</v>
      </c>
      <c r="C198" s="15" t="s">
        <v>443</v>
      </c>
      <c r="D198" s="15" t="s">
        <v>639</v>
      </c>
      <c r="E198" s="132" t="s">
        <v>640</v>
      </c>
      <c r="F198" s="133" t="s">
        <v>81</v>
      </c>
      <c r="G198" s="134" t="s">
        <v>178</v>
      </c>
      <c r="H198" s="18" t="s">
        <v>39</v>
      </c>
      <c r="I198" s="135" t="s">
        <v>679</v>
      </c>
      <c r="J198" s="136" t="s">
        <v>680</v>
      </c>
      <c r="K198" s="20" t="s">
        <v>39</v>
      </c>
      <c r="L198" s="21">
        <v>1020000</v>
      </c>
      <c r="M198" s="77">
        <v>0.1</v>
      </c>
      <c r="N198" s="77">
        <v>0.01</v>
      </c>
      <c r="O198" s="77" t="s">
        <v>39</v>
      </c>
      <c r="P198" s="77">
        <v>0.04</v>
      </c>
      <c r="Q198" s="77">
        <v>0.03</v>
      </c>
      <c r="R198" s="77">
        <v>0.01</v>
      </c>
      <c r="S198" s="77">
        <v>0.01</v>
      </c>
      <c r="T198" s="77"/>
      <c r="U198" s="73"/>
      <c r="V198" s="77" t="s">
        <v>39</v>
      </c>
      <c r="W198" s="131">
        <v>0.4</v>
      </c>
      <c r="X198" s="77" t="s">
        <v>39</v>
      </c>
      <c r="Y198" s="72" t="s">
        <v>39</v>
      </c>
      <c r="Z198" s="72" t="s">
        <v>39</v>
      </c>
      <c r="AA198" s="72" t="s">
        <v>39</v>
      </c>
      <c r="AB198" s="46" t="s">
        <v>39</v>
      </c>
      <c r="AC198" s="46" t="s">
        <v>39</v>
      </c>
      <c r="AD198" s="82" t="s">
        <v>643</v>
      </c>
      <c r="AE198" s="25" t="s">
        <v>644</v>
      </c>
    </row>
    <row r="199" s="2" customFormat="1" ht="24" customHeight="1" spans="1:31">
      <c r="A199" s="13">
        <v>204</v>
      </c>
      <c r="B199" s="14" t="s">
        <v>719</v>
      </c>
      <c r="C199" s="15" t="s">
        <v>443</v>
      </c>
      <c r="D199" s="15" t="s">
        <v>639</v>
      </c>
      <c r="E199" s="132" t="s">
        <v>640</v>
      </c>
      <c r="F199" s="133" t="s">
        <v>81</v>
      </c>
      <c r="G199" s="134" t="s">
        <v>178</v>
      </c>
      <c r="H199" s="18" t="s">
        <v>39</v>
      </c>
      <c r="I199" s="135" t="s">
        <v>618</v>
      </c>
      <c r="J199" s="136" t="s">
        <v>668</v>
      </c>
      <c r="K199" s="20" t="s">
        <v>39</v>
      </c>
      <c r="L199" s="21">
        <v>736800</v>
      </c>
      <c r="M199" s="77">
        <v>0.1</v>
      </c>
      <c r="N199" s="77">
        <v>0.01</v>
      </c>
      <c r="O199" s="77" t="s">
        <v>39</v>
      </c>
      <c r="P199" s="77">
        <v>0.04</v>
      </c>
      <c r="Q199" s="77">
        <v>0.03</v>
      </c>
      <c r="R199" s="77">
        <v>0.01</v>
      </c>
      <c r="S199" s="77">
        <v>0.01</v>
      </c>
      <c r="T199" s="77"/>
      <c r="U199" s="73"/>
      <c r="V199" s="77" t="s">
        <v>39</v>
      </c>
      <c r="W199" s="131">
        <v>0.4</v>
      </c>
      <c r="X199" s="77" t="s">
        <v>39</v>
      </c>
      <c r="Y199" s="72" t="s">
        <v>39</v>
      </c>
      <c r="Z199" s="72" t="s">
        <v>39</v>
      </c>
      <c r="AA199" s="72" t="s">
        <v>39</v>
      </c>
      <c r="AB199" s="46" t="s">
        <v>39</v>
      </c>
      <c r="AC199" s="46" t="s">
        <v>39</v>
      </c>
      <c r="AD199" s="82" t="s">
        <v>643</v>
      </c>
      <c r="AE199" s="25" t="s">
        <v>644</v>
      </c>
    </row>
    <row r="200" s="2" customFormat="1" ht="24" customHeight="1" spans="1:31">
      <c r="A200" s="13">
        <v>205</v>
      </c>
      <c r="B200" s="14" t="s">
        <v>722</v>
      </c>
      <c r="C200" s="15" t="s">
        <v>443</v>
      </c>
      <c r="D200" s="15" t="s">
        <v>639</v>
      </c>
      <c r="E200" s="132" t="s">
        <v>640</v>
      </c>
      <c r="F200" s="133" t="s">
        <v>81</v>
      </c>
      <c r="G200" s="134" t="s">
        <v>178</v>
      </c>
      <c r="H200" s="18" t="s">
        <v>39</v>
      </c>
      <c r="I200" s="135" t="s">
        <v>683</v>
      </c>
      <c r="J200" s="136" t="s">
        <v>684</v>
      </c>
      <c r="K200" s="20" t="s">
        <v>39</v>
      </c>
      <c r="L200" s="21">
        <v>948000</v>
      </c>
      <c r="M200" s="77">
        <v>0.1</v>
      </c>
      <c r="N200" s="77">
        <v>0.01</v>
      </c>
      <c r="O200" s="77" t="s">
        <v>39</v>
      </c>
      <c r="P200" s="77">
        <v>0.04</v>
      </c>
      <c r="Q200" s="77">
        <v>0.03</v>
      </c>
      <c r="R200" s="77">
        <v>0.01</v>
      </c>
      <c r="S200" s="77">
        <v>0.01</v>
      </c>
      <c r="T200" s="77"/>
      <c r="U200" s="73"/>
      <c r="V200" s="77" t="s">
        <v>39</v>
      </c>
      <c r="W200" s="131">
        <v>0.4</v>
      </c>
      <c r="X200" s="77" t="s">
        <v>39</v>
      </c>
      <c r="Y200" s="72" t="s">
        <v>39</v>
      </c>
      <c r="Z200" s="72" t="s">
        <v>39</v>
      </c>
      <c r="AA200" s="72" t="s">
        <v>39</v>
      </c>
      <c r="AB200" s="46" t="s">
        <v>39</v>
      </c>
      <c r="AC200" s="46" t="s">
        <v>39</v>
      </c>
      <c r="AD200" s="82" t="s">
        <v>643</v>
      </c>
      <c r="AE200" s="25" t="s">
        <v>644</v>
      </c>
    </row>
    <row r="201" s="2" customFormat="1" ht="24" customHeight="1" spans="1:31">
      <c r="A201" s="13">
        <v>206</v>
      </c>
      <c r="B201" s="14" t="s">
        <v>725</v>
      </c>
      <c r="C201" s="15" t="s">
        <v>443</v>
      </c>
      <c r="D201" s="15" t="s">
        <v>639</v>
      </c>
      <c r="E201" s="132" t="s">
        <v>640</v>
      </c>
      <c r="F201" s="133" t="s">
        <v>81</v>
      </c>
      <c r="G201" s="134" t="s">
        <v>178</v>
      </c>
      <c r="H201" s="18" t="s">
        <v>39</v>
      </c>
      <c r="I201" s="135" t="s">
        <v>686</v>
      </c>
      <c r="J201" s="136" t="s">
        <v>687</v>
      </c>
      <c r="K201" s="20" t="s">
        <v>39</v>
      </c>
      <c r="L201" s="21">
        <v>1464000</v>
      </c>
      <c r="M201" s="77">
        <v>0.1</v>
      </c>
      <c r="N201" s="77">
        <v>0.01</v>
      </c>
      <c r="O201" s="77" t="s">
        <v>39</v>
      </c>
      <c r="P201" s="77">
        <v>0.04</v>
      </c>
      <c r="Q201" s="77">
        <v>0.03</v>
      </c>
      <c r="R201" s="77">
        <v>0.01</v>
      </c>
      <c r="S201" s="77">
        <v>0.01</v>
      </c>
      <c r="T201" s="77"/>
      <c r="U201" s="73"/>
      <c r="V201" s="77" t="s">
        <v>39</v>
      </c>
      <c r="W201" s="131">
        <v>0.4</v>
      </c>
      <c r="X201" s="77" t="s">
        <v>39</v>
      </c>
      <c r="Y201" s="72" t="s">
        <v>39</v>
      </c>
      <c r="Z201" s="72" t="s">
        <v>39</v>
      </c>
      <c r="AA201" s="72" t="s">
        <v>39</v>
      </c>
      <c r="AB201" s="46" t="s">
        <v>39</v>
      </c>
      <c r="AC201" s="46" t="s">
        <v>39</v>
      </c>
      <c r="AD201" s="82" t="s">
        <v>643</v>
      </c>
      <c r="AE201" s="25" t="s">
        <v>644</v>
      </c>
    </row>
    <row r="202" s="2" customFormat="1" ht="24" customHeight="1" spans="1:31">
      <c r="A202" s="13">
        <v>207</v>
      </c>
      <c r="B202" s="14" t="s">
        <v>728</v>
      </c>
      <c r="C202" s="15" t="s">
        <v>443</v>
      </c>
      <c r="D202" s="15" t="s">
        <v>639</v>
      </c>
      <c r="E202" s="132" t="s">
        <v>640</v>
      </c>
      <c r="F202" s="133" t="s">
        <v>81</v>
      </c>
      <c r="G202" s="134" t="s">
        <v>178</v>
      </c>
      <c r="H202" s="18" t="s">
        <v>39</v>
      </c>
      <c r="I202" s="135" t="s">
        <v>689</v>
      </c>
      <c r="J202" s="136" t="s">
        <v>690</v>
      </c>
      <c r="K202" s="20" t="s">
        <v>39</v>
      </c>
      <c r="L202" s="21">
        <v>465600</v>
      </c>
      <c r="M202" s="77">
        <v>0.1</v>
      </c>
      <c r="N202" s="77">
        <v>0.01</v>
      </c>
      <c r="O202" s="77" t="s">
        <v>39</v>
      </c>
      <c r="P202" s="77">
        <v>0.04</v>
      </c>
      <c r="Q202" s="77">
        <v>0.03</v>
      </c>
      <c r="R202" s="77">
        <v>0.01</v>
      </c>
      <c r="S202" s="77">
        <v>0.01</v>
      </c>
      <c r="T202" s="77"/>
      <c r="U202" s="73"/>
      <c r="V202" s="77" t="s">
        <v>39</v>
      </c>
      <c r="W202" s="131">
        <v>0.4</v>
      </c>
      <c r="X202" s="77" t="s">
        <v>39</v>
      </c>
      <c r="Y202" s="72" t="s">
        <v>39</v>
      </c>
      <c r="Z202" s="72" t="s">
        <v>39</v>
      </c>
      <c r="AA202" s="72" t="s">
        <v>39</v>
      </c>
      <c r="AB202" s="46" t="s">
        <v>39</v>
      </c>
      <c r="AC202" s="46" t="s">
        <v>39</v>
      </c>
      <c r="AD202" s="82" t="s">
        <v>643</v>
      </c>
      <c r="AE202" s="25" t="s">
        <v>644</v>
      </c>
    </row>
    <row r="203" s="2" customFormat="1" spans="1:31">
      <c r="A203" s="13">
        <v>208</v>
      </c>
      <c r="B203" s="14" t="s">
        <v>730</v>
      </c>
      <c r="C203" s="15"/>
      <c r="D203" s="15"/>
      <c r="E203" s="132" t="s">
        <v>640</v>
      </c>
      <c r="F203" s="88" t="s">
        <v>81</v>
      </c>
      <c r="G203" s="134" t="s">
        <v>178</v>
      </c>
      <c r="H203" s="18"/>
      <c r="I203" s="137" t="s">
        <v>217</v>
      </c>
      <c r="J203" s="136" t="s">
        <v>1512</v>
      </c>
      <c r="K203" s="20"/>
      <c r="L203" s="21"/>
      <c r="M203" s="77"/>
      <c r="N203" s="77"/>
      <c r="O203" s="77"/>
      <c r="P203" s="77"/>
      <c r="Q203" s="77"/>
      <c r="R203" s="77"/>
      <c r="S203" s="77"/>
      <c r="T203" s="77"/>
      <c r="U203" s="73"/>
      <c r="V203" s="77"/>
      <c r="W203" s="131"/>
      <c r="X203" s="77"/>
      <c r="Y203" s="72"/>
      <c r="Z203" s="72"/>
      <c r="AA203" s="72"/>
      <c r="AB203" s="46"/>
      <c r="AC203" s="46"/>
      <c r="AD203" s="82"/>
      <c r="AE203" s="25"/>
    </row>
    <row r="204" s="2" customFormat="1" ht="24" customHeight="1" spans="1:31">
      <c r="A204" s="13">
        <v>209</v>
      </c>
      <c r="B204" s="14" t="s">
        <v>735</v>
      </c>
      <c r="C204" s="15" t="s">
        <v>443</v>
      </c>
      <c r="D204" s="15" t="s">
        <v>639</v>
      </c>
      <c r="E204" s="132" t="s">
        <v>640</v>
      </c>
      <c r="F204" s="133" t="s">
        <v>81</v>
      </c>
      <c r="G204" s="134" t="s">
        <v>178</v>
      </c>
      <c r="H204" s="18" t="s">
        <v>39</v>
      </c>
      <c r="I204" s="135" t="s">
        <v>692</v>
      </c>
      <c r="J204" s="136" t="s">
        <v>693</v>
      </c>
      <c r="K204" s="20" t="s">
        <v>39</v>
      </c>
      <c r="L204" s="21">
        <v>686400</v>
      </c>
      <c r="M204" s="77">
        <v>0.1</v>
      </c>
      <c r="N204" s="77">
        <v>0.01</v>
      </c>
      <c r="O204" s="77" t="s">
        <v>39</v>
      </c>
      <c r="P204" s="77">
        <v>0.04</v>
      </c>
      <c r="Q204" s="77">
        <v>0.03</v>
      </c>
      <c r="R204" s="77">
        <v>0.01</v>
      </c>
      <c r="S204" s="77">
        <v>0.01</v>
      </c>
      <c r="T204" s="77"/>
      <c r="U204" s="73"/>
      <c r="V204" s="77" t="s">
        <v>39</v>
      </c>
      <c r="W204" s="131">
        <v>0.4</v>
      </c>
      <c r="X204" s="77" t="s">
        <v>39</v>
      </c>
      <c r="Y204" s="72" t="s">
        <v>39</v>
      </c>
      <c r="Z204" s="72" t="s">
        <v>39</v>
      </c>
      <c r="AA204" s="72" t="s">
        <v>39</v>
      </c>
      <c r="AB204" s="46" t="s">
        <v>39</v>
      </c>
      <c r="AC204" s="46" t="s">
        <v>39</v>
      </c>
      <c r="AD204" s="82" t="s">
        <v>643</v>
      </c>
      <c r="AE204" s="25" t="s">
        <v>644</v>
      </c>
    </row>
    <row r="205" s="2" customFormat="1" ht="24" customHeight="1" spans="1:31">
      <c r="A205" s="13">
        <v>210</v>
      </c>
      <c r="B205" s="14" t="s">
        <v>741</v>
      </c>
      <c r="C205" s="15" t="s">
        <v>443</v>
      </c>
      <c r="D205" s="15" t="s">
        <v>639</v>
      </c>
      <c r="E205" s="132" t="s">
        <v>640</v>
      </c>
      <c r="F205" s="133" t="s">
        <v>81</v>
      </c>
      <c r="G205" s="134" t="s">
        <v>178</v>
      </c>
      <c r="H205" s="18" t="s">
        <v>39</v>
      </c>
      <c r="I205" s="135" t="s">
        <v>695</v>
      </c>
      <c r="J205" s="136" t="s">
        <v>696</v>
      </c>
      <c r="K205" s="20" t="s">
        <v>39</v>
      </c>
      <c r="L205" s="21">
        <v>720000</v>
      </c>
      <c r="M205" s="77">
        <v>0.1</v>
      </c>
      <c r="N205" s="77">
        <v>0.01</v>
      </c>
      <c r="O205" s="77" t="s">
        <v>39</v>
      </c>
      <c r="P205" s="77">
        <v>0.04</v>
      </c>
      <c r="Q205" s="77">
        <v>0.03</v>
      </c>
      <c r="R205" s="77">
        <v>0.01</v>
      </c>
      <c r="S205" s="77">
        <v>0.01</v>
      </c>
      <c r="T205" s="77"/>
      <c r="U205" s="73"/>
      <c r="V205" s="77" t="s">
        <v>39</v>
      </c>
      <c r="W205" s="131">
        <v>0.4</v>
      </c>
      <c r="X205" s="77" t="s">
        <v>39</v>
      </c>
      <c r="Y205" s="72" t="s">
        <v>39</v>
      </c>
      <c r="Z205" s="72" t="s">
        <v>39</v>
      </c>
      <c r="AA205" s="72" t="s">
        <v>39</v>
      </c>
      <c r="AB205" s="46" t="s">
        <v>39</v>
      </c>
      <c r="AC205" s="46" t="s">
        <v>39</v>
      </c>
      <c r="AD205" s="82" t="s">
        <v>643</v>
      </c>
      <c r="AE205" s="25" t="s">
        <v>644</v>
      </c>
    </row>
    <row r="206" s="2" customFormat="1" ht="24" customHeight="1" spans="1:31">
      <c r="A206" s="13">
        <v>211</v>
      </c>
      <c r="B206" s="14" t="s">
        <v>744</v>
      </c>
      <c r="C206" s="15" t="s">
        <v>443</v>
      </c>
      <c r="D206" s="15" t="s">
        <v>639</v>
      </c>
      <c r="E206" s="132" t="s">
        <v>640</v>
      </c>
      <c r="F206" s="133" t="s">
        <v>81</v>
      </c>
      <c r="G206" s="134" t="s">
        <v>178</v>
      </c>
      <c r="H206" s="18" t="s">
        <v>39</v>
      </c>
      <c r="I206" s="135" t="s">
        <v>319</v>
      </c>
      <c r="J206" s="136" t="s">
        <v>698</v>
      </c>
      <c r="K206" s="20" t="s">
        <v>39</v>
      </c>
      <c r="L206" s="21">
        <v>1128000</v>
      </c>
      <c r="M206" s="77">
        <v>0.1</v>
      </c>
      <c r="N206" s="77">
        <v>0.01</v>
      </c>
      <c r="O206" s="77" t="s">
        <v>39</v>
      </c>
      <c r="P206" s="77">
        <v>0.04</v>
      </c>
      <c r="Q206" s="77">
        <v>0.03</v>
      </c>
      <c r="R206" s="77">
        <v>0.01</v>
      </c>
      <c r="S206" s="77">
        <v>0.01</v>
      </c>
      <c r="T206" s="77"/>
      <c r="U206" s="73"/>
      <c r="V206" s="77" t="s">
        <v>39</v>
      </c>
      <c r="W206" s="131">
        <v>0.4</v>
      </c>
      <c r="X206" s="77" t="s">
        <v>39</v>
      </c>
      <c r="Y206" s="72" t="s">
        <v>39</v>
      </c>
      <c r="Z206" s="72" t="s">
        <v>39</v>
      </c>
      <c r="AA206" s="72" t="s">
        <v>39</v>
      </c>
      <c r="AB206" s="46" t="s">
        <v>39</v>
      </c>
      <c r="AC206" s="46" t="s">
        <v>39</v>
      </c>
      <c r="AD206" s="82" t="s">
        <v>643</v>
      </c>
      <c r="AE206" s="25" t="s">
        <v>644</v>
      </c>
    </row>
    <row r="207" s="2" customFormat="1" ht="24" customHeight="1" spans="1:31">
      <c r="A207" s="13">
        <v>212</v>
      </c>
      <c r="B207" s="14" t="s">
        <v>747</v>
      </c>
      <c r="C207" s="15" t="s">
        <v>443</v>
      </c>
      <c r="D207" s="15" t="s">
        <v>639</v>
      </c>
      <c r="E207" s="132" t="s">
        <v>640</v>
      </c>
      <c r="F207" s="133" t="s">
        <v>81</v>
      </c>
      <c r="G207" s="134" t="s">
        <v>178</v>
      </c>
      <c r="H207" s="18" t="s">
        <v>39</v>
      </c>
      <c r="I207" s="135" t="s">
        <v>700</v>
      </c>
      <c r="J207" s="136" t="s">
        <v>701</v>
      </c>
      <c r="K207" s="20" t="s">
        <v>39</v>
      </c>
      <c r="L207" s="21">
        <v>2244000</v>
      </c>
      <c r="M207" s="77">
        <v>0.1</v>
      </c>
      <c r="N207" s="77">
        <v>0.01</v>
      </c>
      <c r="O207" s="77" t="s">
        <v>39</v>
      </c>
      <c r="P207" s="77">
        <v>0.04</v>
      </c>
      <c r="Q207" s="77">
        <v>0.03</v>
      </c>
      <c r="R207" s="77">
        <v>0.01</v>
      </c>
      <c r="S207" s="77">
        <v>0.01</v>
      </c>
      <c r="T207" s="77"/>
      <c r="U207" s="73"/>
      <c r="V207" s="77" t="s">
        <v>39</v>
      </c>
      <c r="W207" s="131">
        <v>0.4</v>
      </c>
      <c r="X207" s="77" t="s">
        <v>39</v>
      </c>
      <c r="Y207" s="72" t="s">
        <v>39</v>
      </c>
      <c r="Z207" s="72" t="s">
        <v>39</v>
      </c>
      <c r="AA207" s="72" t="s">
        <v>39</v>
      </c>
      <c r="AB207" s="46" t="s">
        <v>39</v>
      </c>
      <c r="AC207" s="46" t="s">
        <v>39</v>
      </c>
      <c r="AD207" s="82" t="s">
        <v>643</v>
      </c>
      <c r="AE207" s="25" t="s">
        <v>644</v>
      </c>
    </row>
    <row r="208" s="2" customFormat="1" ht="24" customHeight="1" spans="1:31">
      <c r="A208" s="13">
        <v>213</v>
      </c>
      <c r="B208" s="14" t="s">
        <v>750</v>
      </c>
      <c r="C208" s="15" t="s">
        <v>443</v>
      </c>
      <c r="D208" s="15" t="s">
        <v>639</v>
      </c>
      <c r="E208" s="132" t="s">
        <v>640</v>
      </c>
      <c r="F208" s="133" t="s">
        <v>81</v>
      </c>
      <c r="G208" s="134" t="s">
        <v>178</v>
      </c>
      <c r="H208" s="18" t="s">
        <v>39</v>
      </c>
      <c r="I208" s="135" t="s">
        <v>703</v>
      </c>
      <c r="J208" s="136" t="s">
        <v>704</v>
      </c>
      <c r="K208" s="20" t="s">
        <v>39</v>
      </c>
      <c r="L208" s="21">
        <v>684000</v>
      </c>
      <c r="M208" s="77">
        <v>0.1</v>
      </c>
      <c r="N208" s="77">
        <v>0.01</v>
      </c>
      <c r="O208" s="77" t="s">
        <v>39</v>
      </c>
      <c r="P208" s="77">
        <v>0.04</v>
      </c>
      <c r="Q208" s="77">
        <v>0.03</v>
      </c>
      <c r="R208" s="77">
        <v>0.01</v>
      </c>
      <c r="S208" s="77">
        <v>0.01</v>
      </c>
      <c r="T208" s="77"/>
      <c r="U208" s="73"/>
      <c r="V208" s="77" t="s">
        <v>39</v>
      </c>
      <c r="W208" s="131">
        <v>0.4</v>
      </c>
      <c r="X208" s="77" t="s">
        <v>39</v>
      </c>
      <c r="Y208" s="72" t="s">
        <v>39</v>
      </c>
      <c r="Z208" s="72" t="s">
        <v>39</v>
      </c>
      <c r="AA208" s="72" t="s">
        <v>39</v>
      </c>
      <c r="AB208" s="46" t="s">
        <v>39</v>
      </c>
      <c r="AC208" s="46" t="s">
        <v>39</v>
      </c>
      <c r="AD208" s="82" t="s">
        <v>643</v>
      </c>
      <c r="AE208" s="25" t="s">
        <v>644</v>
      </c>
    </row>
    <row r="209" s="2" customFormat="1" ht="24" customHeight="1" spans="1:31">
      <c r="A209" s="13">
        <v>214</v>
      </c>
      <c r="B209" s="14" t="s">
        <v>756</v>
      </c>
      <c r="C209" s="15" t="s">
        <v>443</v>
      </c>
      <c r="D209" s="15" t="s">
        <v>639</v>
      </c>
      <c r="E209" s="132" t="s">
        <v>640</v>
      </c>
      <c r="F209" s="133" t="s">
        <v>81</v>
      </c>
      <c r="G209" s="134" t="s">
        <v>178</v>
      </c>
      <c r="H209" s="18" t="s">
        <v>39</v>
      </c>
      <c r="I209" s="135" t="s">
        <v>706</v>
      </c>
      <c r="J209" s="136" t="s">
        <v>707</v>
      </c>
      <c r="K209" s="20" t="s">
        <v>39</v>
      </c>
      <c r="L209" s="21">
        <v>816000</v>
      </c>
      <c r="M209" s="77">
        <v>0.1</v>
      </c>
      <c r="N209" s="77">
        <v>0.01</v>
      </c>
      <c r="O209" s="77" t="s">
        <v>39</v>
      </c>
      <c r="P209" s="77">
        <v>0.04</v>
      </c>
      <c r="Q209" s="77">
        <v>0.03</v>
      </c>
      <c r="R209" s="77">
        <v>0.01</v>
      </c>
      <c r="S209" s="77">
        <v>0.01</v>
      </c>
      <c r="T209" s="77"/>
      <c r="U209" s="73"/>
      <c r="V209" s="77" t="s">
        <v>39</v>
      </c>
      <c r="W209" s="131">
        <v>0.4</v>
      </c>
      <c r="X209" s="77" t="s">
        <v>39</v>
      </c>
      <c r="Y209" s="72" t="s">
        <v>39</v>
      </c>
      <c r="Z209" s="72" t="s">
        <v>39</v>
      </c>
      <c r="AA209" s="72" t="s">
        <v>39</v>
      </c>
      <c r="AB209" s="46" t="s">
        <v>39</v>
      </c>
      <c r="AC209" s="46" t="s">
        <v>39</v>
      </c>
      <c r="AD209" s="82" t="s">
        <v>643</v>
      </c>
      <c r="AE209" s="25" t="s">
        <v>644</v>
      </c>
    </row>
    <row r="210" s="2" customFormat="1" ht="12" customHeight="1" spans="1:31">
      <c r="A210" s="13">
        <v>215</v>
      </c>
      <c r="B210" s="14" t="s">
        <v>764</v>
      </c>
      <c r="C210" s="15"/>
      <c r="D210" s="15"/>
      <c r="E210" s="132" t="s">
        <v>640</v>
      </c>
      <c r="F210" s="88" t="s">
        <v>81</v>
      </c>
      <c r="G210" s="134" t="s">
        <v>178</v>
      </c>
      <c r="H210" s="55" t="s">
        <v>39</v>
      </c>
      <c r="I210" s="135" t="s">
        <v>1513</v>
      </c>
      <c r="J210" s="136" t="s">
        <v>1514</v>
      </c>
      <c r="K210" s="20"/>
      <c r="L210" s="21"/>
      <c r="M210" s="77"/>
      <c r="N210" s="77"/>
      <c r="O210" s="77"/>
      <c r="P210" s="77"/>
      <c r="Q210" s="77"/>
      <c r="R210" s="77"/>
      <c r="S210" s="77"/>
      <c r="T210" s="77"/>
      <c r="U210" s="73"/>
      <c r="V210" s="77"/>
      <c r="W210" s="131"/>
      <c r="X210" s="77"/>
      <c r="Y210" s="72"/>
      <c r="Z210" s="72"/>
      <c r="AA210" s="72"/>
      <c r="AB210" s="46"/>
      <c r="AC210" s="46"/>
      <c r="AD210" s="82"/>
      <c r="AE210" s="25"/>
    </row>
    <row r="211" s="2" customFormat="1" ht="24" customHeight="1" spans="1:31">
      <c r="A211" s="13">
        <v>216</v>
      </c>
      <c r="B211" s="14" t="s">
        <v>770</v>
      </c>
      <c r="C211" s="15" t="s">
        <v>443</v>
      </c>
      <c r="D211" s="15" t="s">
        <v>639</v>
      </c>
      <c r="E211" s="132" t="s">
        <v>640</v>
      </c>
      <c r="F211" s="133" t="s">
        <v>81</v>
      </c>
      <c r="G211" s="134" t="s">
        <v>178</v>
      </c>
      <c r="H211" s="18" t="s">
        <v>39</v>
      </c>
      <c r="I211" s="135" t="s">
        <v>709</v>
      </c>
      <c r="J211" s="136" t="s">
        <v>710</v>
      </c>
      <c r="K211" s="20" t="s">
        <v>39</v>
      </c>
      <c r="L211" s="21">
        <v>1015200</v>
      </c>
      <c r="M211" s="77">
        <v>0.1</v>
      </c>
      <c r="N211" s="77">
        <v>0.01</v>
      </c>
      <c r="O211" s="77" t="s">
        <v>39</v>
      </c>
      <c r="P211" s="77">
        <v>0.04</v>
      </c>
      <c r="Q211" s="77">
        <v>0.03</v>
      </c>
      <c r="R211" s="77">
        <v>0.01</v>
      </c>
      <c r="S211" s="77">
        <v>0.01</v>
      </c>
      <c r="T211" s="77"/>
      <c r="U211" s="73"/>
      <c r="V211" s="77" t="s">
        <v>39</v>
      </c>
      <c r="W211" s="131">
        <v>0.4</v>
      </c>
      <c r="X211" s="77" t="s">
        <v>39</v>
      </c>
      <c r="Y211" s="72" t="s">
        <v>39</v>
      </c>
      <c r="Z211" s="72" t="s">
        <v>39</v>
      </c>
      <c r="AA211" s="72" t="s">
        <v>39</v>
      </c>
      <c r="AB211" s="46" t="s">
        <v>39</v>
      </c>
      <c r="AC211" s="46" t="s">
        <v>39</v>
      </c>
      <c r="AD211" s="82" t="s">
        <v>643</v>
      </c>
      <c r="AE211" s="25" t="s">
        <v>644</v>
      </c>
    </row>
    <row r="212" s="2" customFormat="1" ht="24" customHeight="1" spans="1:31">
      <c r="A212" s="13">
        <v>217</v>
      </c>
      <c r="B212" s="14" t="s">
        <v>774</v>
      </c>
      <c r="C212" s="15" t="s">
        <v>443</v>
      </c>
      <c r="D212" s="15" t="s">
        <v>639</v>
      </c>
      <c r="E212" s="132" t="s">
        <v>640</v>
      </c>
      <c r="F212" s="133" t="s">
        <v>81</v>
      </c>
      <c r="G212" s="134" t="s">
        <v>178</v>
      </c>
      <c r="H212" s="18" t="s">
        <v>39</v>
      </c>
      <c r="I212" s="135" t="s">
        <v>485</v>
      </c>
      <c r="J212" s="136" t="s">
        <v>712</v>
      </c>
      <c r="K212" s="20" t="s">
        <v>39</v>
      </c>
      <c r="L212" s="21">
        <v>1363200</v>
      </c>
      <c r="M212" s="77">
        <v>0.1</v>
      </c>
      <c r="N212" s="77">
        <v>0.01</v>
      </c>
      <c r="O212" s="77" t="s">
        <v>39</v>
      </c>
      <c r="P212" s="77">
        <v>0.04</v>
      </c>
      <c r="Q212" s="77">
        <v>0.03</v>
      </c>
      <c r="R212" s="77">
        <v>0.01</v>
      </c>
      <c r="S212" s="77">
        <v>0.01</v>
      </c>
      <c r="T212" s="77"/>
      <c r="U212" s="73"/>
      <c r="V212" s="77" t="s">
        <v>39</v>
      </c>
      <c r="W212" s="131">
        <v>0.4</v>
      </c>
      <c r="X212" s="77" t="s">
        <v>39</v>
      </c>
      <c r="Y212" s="72" t="s">
        <v>39</v>
      </c>
      <c r="Z212" s="72" t="s">
        <v>39</v>
      </c>
      <c r="AA212" s="72" t="s">
        <v>39</v>
      </c>
      <c r="AB212" s="46" t="s">
        <v>39</v>
      </c>
      <c r="AC212" s="46" t="s">
        <v>39</v>
      </c>
      <c r="AD212" s="82" t="s">
        <v>643</v>
      </c>
      <c r="AE212" s="25" t="s">
        <v>644</v>
      </c>
    </row>
    <row r="213" s="2" customFormat="1" ht="24" customHeight="1" spans="1:31">
      <c r="A213" s="13">
        <v>218</v>
      </c>
      <c r="B213" s="14" t="s">
        <v>775</v>
      </c>
      <c r="C213" s="15" t="s">
        <v>443</v>
      </c>
      <c r="D213" s="15" t="s">
        <v>639</v>
      </c>
      <c r="E213" s="132" t="s">
        <v>640</v>
      </c>
      <c r="F213" s="133" t="s">
        <v>81</v>
      </c>
      <c r="G213" s="134" t="s">
        <v>178</v>
      </c>
      <c r="H213" s="18" t="s">
        <v>39</v>
      </c>
      <c r="I213" s="135" t="s">
        <v>714</v>
      </c>
      <c r="J213" s="136" t="s">
        <v>715</v>
      </c>
      <c r="K213" s="20" t="s">
        <v>39</v>
      </c>
      <c r="L213" s="21">
        <v>847200</v>
      </c>
      <c r="M213" s="77">
        <v>0.1</v>
      </c>
      <c r="N213" s="77">
        <v>0.01</v>
      </c>
      <c r="O213" s="77" t="s">
        <v>39</v>
      </c>
      <c r="P213" s="77">
        <v>0.04</v>
      </c>
      <c r="Q213" s="77">
        <v>0.03</v>
      </c>
      <c r="R213" s="77">
        <v>0.01</v>
      </c>
      <c r="S213" s="77">
        <v>0.01</v>
      </c>
      <c r="T213" s="77"/>
      <c r="U213" s="73"/>
      <c r="V213" s="77" t="s">
        <v>39</v>
      </c>
      <c r="W213" s="131">
        <v>0.4</v>
      </c>
      <c r="X213" s="77" t="s">
        <v>39</v>
      </c>
      <c r="Y213" s="72" t="s">
        <v>39</v>
      </c>
      <c r="Z213" s="72" t="s">
        <v>39</v>
      </c>
      <c r="AA213" s="72" t="s">
        <v>39</v>
      </c>
      <c r="AB213" s="46" t="s">
        <v>39</v>
      </c>
      <c r="AC213" s="46" t="s">
        <v>39</v>
      </c>
      <c r="AD213" s="82" t="s">
        <v>643</v>
      </c>
      <c r="AE213" s="25" t="s">
        <v>644</v>
      </c>
    </row>
    <row r="214" s="2" customFormat="1" ht="24" customHeight="1" spans="1:31">
      <c r="A214" s="13">
        <v>219</v>
      </c>
      <c r="B214" s="14" t="s">
        <v>777</v>
      </c>
      <c r="C214" s="15" t="s">
        <v>443</v>
      </c>
      <c r="D214" s="15" t="s">
        <v>639</v>
      </c>
      <c r="E214" s="132" t="s">
        <v>640</v>
      </c>
      <c r="F214" s="133" t="s">
        <v>81</v>
      </c>
      <c r="G214" s="134" t="s">
        <v>178</v>
      </c>
      <c r="H214" s="18" t="s">
        <v>39</v>
      </c>
      <c r="I214" s="135" t="s">
        <v>717</v>
      </c>
      <c r="J214" s="136" t="s">
        <v>718</v>
      </c>
      <c r="K214" s="20" t="s">
        <v>39</v>
      </c>
      <c r="L214" s="21">
        <v>936000</v>
      </c>
      <c r="M214" s="77">
        <v>0.1</v>
      </c>
      <c r="N214" s="77">
        <v>0.01</v>
      </c>
      <c r="O214" s="77" t="s">
        <v>39</v>
      </c>
      <c r="P214" s="77">
        <v>0.04</v>
      </c>
      <c r="Q214" s="77">
        <v>0.03</v>
      </c>
      <c r="R214" s="77">
        <v>0.01</v>
      </c>
      <c r="S214" s="77">
        <v>0.01</v>
      </c>
      <c r="T214" s="77"/>
      <c r="U214" s="73"/>
      <c r="V214" s="77" t="s">
        <v>39</v>
      </c>
      <c r="W214" s="131">
        <v>0.4</v>
      </c>
      <c r="X214" s="77" t="s">
        <v>39</v>
      </c>
      <c r="Y214" s="72" t="s">
        <v>39</v>
      </c>
      <c r="Z214" s="72" t="s">
        <v>39</v>
      </c>
      <c r="AA214" s="72" t="s">
        <v>39</v>
      </c>
      <c r="AB214" s="46" t="s">
        <v>39</v>
      </c>
      <c r="AC214" s="46" t="s">
        <v>39</v>
      </c>
      <c r="AD214" s="82" t="s">
        <v>643</v>
      </c>
      <c r="AE214" s="25" t="s">
        <v>644</v>
      </c>
    </row>
    <row r="215" s="2" customFormat="1" ht="24" customHeight="1" spans="1:31">
      <c r="A215" s="13">
        <v>220</v>
      </c>
      <c r="B215" s="14" t="s">
        <v>778</v>
      </c>
      <c r="C215" s="15" t="s">
        <v>443</v>
      </c>
      <c r="D215" s="15" t="s">
        <v>639</v>
      </c>
      <c r="E215" s="132" t="s">
        <v>640</v>
      </c>
      <c r="F215" s="133" t="s">
        <v>81</v>
      </c>
      <c r="G215" s="134" t="s">
        <v>178</v>
      </c>
      <c r="H215" s="18" t="s">
        <v>39</v>
      </c>
      <c r="I215" s="135" t="s">
        <v>720</v>
      </c>
      <c r="J215" s="136" t="s">
        <v>721</v>
      </c>
      <c r="K215" s="20" t="s">
        <v>39</v>
      </c>
      <c r="L215" s="21">
        <v>456000</v>
      </c>
      <c r="M215" s="77">
        <v>0.1</v>
      </c>
      <c r="N215" s="77">
        <v>0.01</v>
      </c>
      <c r="O215" s="77" t="s">
        <v>39</v>
      </c>
      <c r="P215" s="77">
        <v>0.04</v>
      </c>
      <c r="Q215" s="77">
        <v>0.03</v>
      </c>
      <c r="R215" s="77">
        <v>0.01</v>
      </c>
      <c r="S215" s="77">
        <v>0.01</v>
      </c>
      <c r="T215" s="77"/>
      <c r="U215" s="73"/>
      <c r="V215" s="77" t="s">
        <v>39</v>
      </c>
      <c r="W215" s="131">
        <v>0.4</v>
      </c>
      <c r="X215" s="77" t="s">
        <v>39</v>
      </c>
      <c r="Y215" s="72" t="s">
        <v>39</v>
      </c>
      <c r="Z215" s="72" t="s">
        <v>39</v>
      </c>
      <c r="AA215" s="72" t="s">
        <v>39</v>
      </c>
      <c r="AB215" s="46" t="s">
        <v>39</v>
      </c>
      <c r="AC215" s="46" t="s">
        <v>39</v>
      </c>
      <c r="AD215" s="82" t="s">
        <v>643</v>
      </c>
      <c r="AE215" s="25" t="s">
        <v>644</v>
      </c>
    </row>
    <row r="216" s="2" customFormat="1" ht="24" customHeight="1" spans="1:31">
      <c r="A216" s="13">
        <v>221</v>
      </c>
      <c r="B216" s="14" t="s">
        <v>781</v>
      </c>
      <c r="C216" s="15" t="s">
        <v>443</v>
      </c>
      <c r="D216" s="15" t="s">
        <v>639</v>
      </c>
      <c r="E216" s="132" t="s">
        <v>640</v>
      </c>
      <c r="F216" s="133" t="s">
        <v>81</v>
      </c>
      <c r="G216" s="134" t="s">
        <v>178</v>
      </c>
      <c r="H216" s="18" t="s">
        <v>39</v>
      </c>
      <c r="I216" s="135" t="s">
        <v>723</v>
      </c>
      <c r="J216" s="136" t="s">
        <v>724</v>
      </c>
      <c r="K216" s="20" t="s">
        <v>39</v>
      </c>
      <c r="L216" s="21">
        <v>676800</v>
      </c>
      <c r="M216" s="77">
        <v>0.1</v>
      </c>
      <c r="N216" s="77">
        <v>0.01</v>
      </c>
      <c r="O216" s="77" t="s">
        <v>39</v>
      </c>
      <c r="P216" s="77">
        <v>0.04</v>
      </c>
      <c r="Q216" s="77">
        <v>0.03</v>
      </c>
      <c r="R216" s="77">
        <v>0.01</v>
      </c>
      <c r="S216" s="77">
        <v>0.01</v>
      </c>
      <c r="T216" s="77"/>
      <c r="U216" s="73"/>
      <c r="V216" s="77" t="s">
        <v>39</v>
      </c>
      <c r="W216" s="131">
        <v>0.4</v>
      </c>
      <c r="X216" s="77" t="s">
        <v>39</v>
      </c>
      <c r="Y216" s="72" t="s">
        <v>39</v>
      </c>
      <c r="Z216" s="72" t="s">
        <v>39</v>
      </c>
      <c r="AA216" s="72" t="s">
        <v>39</v>
      </c>
      <c r="AB216" s="46" t="s">
        <v>39</v>
      </c>
      <c r="AC216" s="46" t="s">
        <v>39</v>
      </c>
      <c r="AD216" s="82" t="s">
        <v>643</v>
      </c>
      <c r="AE216" s="25" t="s">
        <v>644</v>
      </c>
    </row>
    <row r="217" s="2" customFormat="1" ht="24" customHeight="1" spans="1:31">
      <c r="A217" s="13">
        <v>222</v>
      </c>
      <c r="B217" s="14" t="s">
        <v>784</v>
      </c>
      <c r="C217" s="15" t="s">
        <v>443</v>
      </c>
      <c r="D217" s="15" t="s">
        <v>639</v>
      </c>
      <c r="E217" s="132" t="s">
        <v>640</v>
      </c>
      <c r="F217" s="133" t="s">
        <v>81</v>
      </c>
      <c r="G217" s="134" t="s">
        <v>178</v>
      </c>
      <c r="H217" s="18" t="s">
        <v>39</v>
      </c>
      <c r="I217" s="135" t="s">
        <v>726</v>
      </c>
      <c r="J217" s="136" t="s">
        <v>727</v>
      </c>
      <c r="K217" s="20" t="s">
        <v>39</v>
      </c>
      <c r="L217" s="21">
        <v>468000</v>
      </c>
      <c r="M217" s="77">
        <v>0.1</v>
      </c>
      <c r="N217" s="77">
        <v>0.01</v>
      </c>
      <c r="O217" s="77" t="s">
        <v>39</v>
      </c>
      <c r="P217" s="77">
        <v>0.04</v>
      </c>
      <c r="Q217" s="77">
        <v>0.03</v>
      </c>
      <c r="R217" s="77">
        <v>0.01</v>
      </c>
      <c r="S217" s="77">
        <v>0.01</v>
      </c>
      <c r="T217" s="77"/>
      <c r="U217" s="73"/>
      <c r="V217" s="77" t="s">
        <v>39</v>
      </c>
      <c r="W217" s="131">
        <v>0.4</v>
      </c>
      <c r="X217" s="77" t="s">
        <v>39</v>
      </c>
      <c r="Y217" s="72" t="s">
        <v>39</v>
      </c>
      <c r="Z217" s="72" t="s">
        <v>39</v>
      </c>
      <c r="AA217" s="72" t="s">
        <v>39</v>
      </c>
      <c r="AB217" s="46" t="s">
        <v>39</v>
      </c>
      <c r="AC217" s="46" t="s">
        <v>39</v>
      </c>
      <c r="AD217" s="82" t="s">
        <v>643</v>
      </c>
      <c r="AE217" s="25" t="s">
        <v>644</v>
      </c>
    </row>
    <row r="218" s="2" customFormat="1" ht="24" customHeight="1" spans="1:31">
      <c r="A218" s="13">
        <v>223</v>
      </c>
      <c r="B218" s="14" t="s">
        <v>787</v>
      </c>
      <c r="C218" s="15" t="s">
        <v>443</v>
      </c>
      <c r="D218" s="15" t="s">
        <v>639</v>
      </c>
      <c r="E218" s="132" t="s">
        <v>640</v>
      </c>
      <c r="F218" s="133" t="s">
        <v>81</v>
      </c>
      <c r="G218" s="134" t="s">
        <v>178</v>
      </c>
      <c r="H218" s="18" t="s">
        <v>39</v>
      </c>
      <c r="I218" s="135" t="s">
        <v>459</v>
      </c>
      <c r="J218" s="136" t="s">
        <v>729</v>
      </c>
      <c r="K218" s="20" t="s">
        <v>39</v>
      </c>
      <c r="L218" s="21">
        <v>460800</v>
      </c>
      <c r="M218" s="77">
        <v>0.1</v>
      </c>
      <c r="N218" s="77">
        <v>0.01</v>
      </c>
      <c r="O218" s="77" t="s">
        <v>39</v>
      </c>
      <c r="P218" s="77">
        <v>0.04</v>
      </c>
      <c r="Q218" s="77">
        <v>0.03</v>
      </c>
      <c r="R218" s="77">
        <v>0.01</v>
      </c>
      <c r="S218" s="77">
        <v>0.01</v>
      </c>
      <c r="T218" s="77"/>
      <c r="U218" s="73"/>
      <c r="V218" s="77" t="s">
        <v>39</v>
      </c>
      <c r="W218" s="131">
        <v>0.4</v>
      </c>
      <c r="X218" s="77" t="s">
        <v>39</v>
      </c>
      <c r="Y218" s="72" t="s">
        <v>39</v>
      </c>
      <c r="Z218" s="72" t="s">
        <v>39</v>
      </c>
      <c r="AA218" s="72" t="s">
        <v>39</v>
      </c>
      <c r="AB218" s="46" t="s">
        <v>39</v>
      </c>
      <c r="AC218" s="46" t="s">
        <v>39</v>
      </c>
      <c r="AD218" s="82" t="s">
        <v>643</v>
      </c>
      <c r="AE218" s="25" t="s">
        <v>644</v>
      </c>
    </row>
    <row r="219" s="2" customFormat="1" ht="24" customHeight="1" spans="1:31">
      <c r="A219" s="13">
        <v>224</v>
      </c>
      <c r="B219" s="14" t="s">
        <v>790</v>
      </c>
      <c r="C219" s="15" t="s">
        <v>443</v>
      </c>
      <c r="D219" s="15" t="s">
        <v>639</v>
      </c>
      <c r="E219" s="132" t="s">
        <v>640</v>
      </c>
      <c r="F219" s="133" t="s">
        <v>81</v>
      </c>
      <c r="G219" s="134" t="s">
        <v>178</v>
      </c>
      <c r="H219" s="18" t="s">
        <v>39</v>
      </c>
      <c r="I219" s="135" t="s">
        <v>731</v>
      </c>
      <c r="J219" s="136" t="s">
        <v>732</v>
      </c>
      <c r="K219" s="20" t="s">
        <v>39</v>
      </c>
      <c r="L219" s="21">
        <v>1363200</v>
      </c>
      <c r="M219" s="77">
        <v>0.06</v>
      </c>
      <c r="N219" s="77">
        <v>0.01</v>
      </c>
      <c r="O219" s="77" t="s">
        <v>39</v>
      </c>
      <c r="P219" s="77">
        <v>0.04</v>
      </c>
      <c r="Q219" s="77">
        <v>0.03</v>
      </c>
      <c r="R219" s="77">
        <v>0.01</v>
      </c>
      <c r="S219" s="77">
        <v>0.01</v>
      </c>
      <c r="T219" s="77"/>
      <c r="U219" s="73"/>
      <c r="V219" s="77" t="s">
        <v>39</v>
      </c>
      <c r="W219" s="131">
        <v>0.4</v>
      </c>
      <c r="X219" s="77" t="s">
        <v>39</v>
      </c>
      <c r="Y219" s="72" t="s">
        <v>39</v>
      </c>
      <c r="Z219" s="72" t="s">
        <v>39</v>
      </c>
      <c r="AA219" s="72" t="s">
        <v>39</v>
      </c>
      <c r="AB219" s="46" t="s">
        <v>39</v>
      </c>
      <c r="AC219" s="46" t="s">
        <v>39</v>
      </c>
      <c r="AD219" s="82" t="s">
        <v>643</v>
      </c>
      <c r="AE219" s="25" t="s">
        <v>644</v>
      </c>
    </row>
    <row r="220" s="2" customFormat="1" ht="12" customHeight="1" spans="1:31">
      <c r="A220" s="13">
        <v>225</v>
      </c>
      <c r="B220" s="14" t="s">
        <v>793</v>
      </c>
      <c r="C220" s="86" t="s">
        <v>443</v>
      </c>
      <c r="D220" s="86" t="s">
        <v>733</v>
      </c>
      <c r="E220" s="87" t="s">
        <v>734</v>
      </c>
      <c r="F220" s="88" t="s">
        <v>37</v>
      </c>
      <c r="G220" s="89" t="s">
        <v>178</v>
      </c>
      <c r="H220" s="55" t="s">
        <v>39</v>
      </c>
      <c r="I220" s="88" t="s">
        <v>39</v>
      </c>
      <c r="J220" s="89" t="s">
        <v>39</v>
      </c>
      <c r="K220" s="19" t="s">
        <v>39</v>
      </c>
      <c r="L220" s="21" t="s">
        <v>39</v>
      </c>
      <c r="M220" s="19" t="s">
        <v>39</v>
      </c>
      <c r="N220" s="47"/>
      <c r="O220" s="47"/>
      <c r="P220" s="47"/>
      <c r="Q220" s="19" t="s">
        <v>39</v>
      </c>
      <c r="R220" s="19" t="s">
        <v>39</v>
      </c>
      <c r="S220" s="19" t="s">
        <v>39</v>
      </c>
      <c r="T220" s="44"/>
      <c r="U220" s="106"/>
      <c r="V220" s="19" t="s">
        <v>39</v>
      </c>
      <c r="W220" s="138" t="s">
        <v>39</v>
      </c>
      <c r="X220" s="47"/>
      <c r="Y220" s="55" t="s">
        <v>39</v>
      </c>
      <c r="Z220" s="55" t="s">
        <v>39</v>
      </c>
      <c r="AA220" s="55" t="s">
        <v>39</v>
      </c>
      <c r="AB220" s="46">
        <v>0.045</v>
      </c>
      <c r="AC220" s="118" t="s">
        <v>39</v>
      </c>
      <c r="AD220" s="48" t="s">
        <v>104</v>
      </c>
      <c r="AE220" s="25"/>
    </row>
    <row r="221" s="2" customFormat="1" ht="24" customHeight="1" spans="1:31">
      <c r="A221" s="13">
        <v>226</v>
      </c>
      <c r="B221" s="14" t="s">
        <v>796</v>
      </c>
      <c r="C221" s="15" t="s">
        <v>443</v>
      </c>
      <c r="D221" s="15" t="s">
        <v>733</v>
      </c>
      <c r="E221" s="132" t="s">
        <v>734</v>
      </c>
      <c r="F221" s="133" t="s">
        <v>81</v>
      </c>
      <c r="G221" s="134" t="s">
        <v>178</v>
      </c>
      <c r="H221" s="16" t="s">
        <v>60</v>
      </c>
      <c r="I221" s="98" t="s">
        <v>736</v>
      </c>
      <c r="J221" s="139" t="s">
        <v>737</v>
      </c>
      <c r="K221" s="20" t="s">
        <v>39</v>
      </c>
      <c r="L221" s="21">
        <v>2400000</v>
      </c>
      <c r="M221" s="70">
        <v>0.03</v>
      </c>
      <c r="N221" s="70">
        <v>0.01</v>
      </c>
      <c r="O221" s="70">
        <v>0.06</v>
      </c>
      <c r="P221" s="70">
        <v>0.02</v>
      </c>
      <c r="Q221" s="70">
        <v>0.03</v>
      </c>
      <c r="R221" s="70">
        <v>0.01</v>
      </c>
      <c r="S221" s="70">
        <v>0.01</v>
      </c>
      <c r="T221" s="74"/>
      <c r="U221" s="94"/>
      <c r="V221" s="70">
        <v>0.002</v>
      </c>
      <c r="W221" s="79"/>
      <c r="X221" s="77" t="s">
        <v>39</v>
      </c>
      <c r="Y221" s="72" t="s">
        <v>39</v>
      </c>
      <c r="Z221" s="77" t="s">
        <v>39</v>
      </c>
      <c r="AA221" s="77" t="s">
        <v>39</v>
      </c>
      <c r="AB221" s="46" t="s">
        <v>39</v>
      </c>
      <c r="AC221" s="46" t="s">
        <v>39</v>
      </c>
      <c r="AD221" s="82" t="s">
        <v>738</v>
      </c>
      <c r="AE221" s="25" t="s">
        <v>739</v>
      </c>
    </row>
    <row r="222" s="2" customFormat="1" ht="24" customHeight="1" spans="1:31">
      <c r="A222" s="13">
        <v>227</v>
      </c>
      <c r="B222" s="14" t="s">
        <v>799</v>
      </c>
      <c r="C222" s="15" t="s">
        <v>443</v>
      </c>
      <c r="D222" s="15" t="s">
        <v>733</v>
      </c>
      <c r="E222" s="132" t="s">
        <v>734</v>
      </c>
      <c r="F222" s="133" t="s">
        <v>81</v>
      </c>
      <c r="G222" s="134" t="s">
        <v>178</v>
      </c>
      <c r="H222" s="16" t="s">
        <v>66</v>
      </c>
      <c r="I222" s="98" t="s">
        <v>742</v>
      </c>
      <c r="J222" s="139" t="s">
        <v>743</v>
      </c>
      <c r="K222" s="20" t="s">
        <v>39</v>
      </c>
      <c r="L222" s="21">
        <v>640000</v>
      </c>
      <c r="M222" s="70">
        <v>0.03</v>
      </c>
      <c r="N222" s="70">
        <v>0.01</v>
      </c>
      <c r="O222" s="70">
        <v>0.06</v>
      </c>
      <c r="P222" s="70">
        <v>0.02</v>
      </c>
      <c r="Q222" s="70">
        <v>0.03</v>
      </c>
      <c r="R222" s="70">
        <v>0.01</v>
      </c>
      <c r="S222" s="70">
        <v>0.01</v>
      </c>
      <c r="T222" s="74"/>
      <c r="U222" s="94"/>
      <c r="V222" s="70">
        <v>0.002</v>
      </c>
      <c r="W222" s="79"/>
      <c r="X222" s="77" t="s">
        <v>39</v>
      </c>
      <c r="Y222" s="72" t="s">
        <v>39</v>
      </c>
      <c r="Z222" s="77" t="s">
        <v>39</v>
      </c>
      <c r="AA222" s="77" t="s">
        <v>39</v>
      </c>
      <c r="AB222" s="46" t="s">
        <v>39</v>
      </c>
      <c r="AC222" s="46" t="s">
        <v>39</v>
      </c>
      <c r="AD222" s="82" t="s">
        <v>738</v>
      </c>
      <c r="AE222" s="25" t="s">
        <v>739</v>
      </c>
    </row>
    <row r="223" s="2" customFormat="1" ht="24" customHeight="1" spans="1:31">
      <c r="A223" s="13">
        <v>228</v>
      </c>
      <c r="B223" s="14" t="s">
        <v>801</v>
      </c>
      <c r="C223" s="15" t="s">
        <v>443</v>
      </c>
      <c r="D223" s="15" t="s">
        <v>733</v>
      </c>
      <c r="E223" s="132" t="s">
        <v>734</v>
      </c>
      <c r="F223" s="133" t="s">
        <v>81</v>
      </c>
      <c r="G223" s="134" t="s">
        <v>178</v>
      </c>
      <c r="H223" s="16" t="s">
        <v>70</v>
      </c>
      <c r="I223" s="98" t="s">
        <v>745</v>
      </c>
      <c r="J223" s="139" t="s">
        <v>746</v>
      </c>
      <c r="K223" s="20" t="s">
        <v>39</v>
      </c>
      <c r="L223" s="21">
        <v>640000</v>
      </c>
      <c r="M223" s="70">
        <v>0.03</v>
      </c>
      <c r="N223" s="70">
        <v>0.01</v>
      </c>
      <c r="O223" s="70">
        <v>0.06</v>
      </c>
      <c r="P223" s="70">
        <v>0.02</v>
      </c>
      <c r="Q223" s="70">
        <v>0.03</v>
      </c>
      <c r="R223" s="70">
        <v>0.01</v>
      </c>
      <c r="S223" s="70">
        <v>0.01</v>
      </c>
      <c r="T223" s="74"/>
      <c r="U223" s="94"/>
      <c r="V223" s="70">
        <v>0.002</v>
      </c>
      <c r="W223" s="79"/>
      <c r="X223" s="77" t="s">
        <v>39</v>
      </c>
      <c r="Y223" s="72" t="s">
        <v>39</v>
      </c>
      <c r="Z223" s="77" t="s">
        <v>39</v>
      </c>
      <c r="AA223" s="77" t="s">
        <v>39</v>
      </c>
      <c r="AB223" s="46" t="s">
        <v>39</v>
      </c>
      <c r="AC223" s="46" t="s">
        <v>39</v>
      </c>
      <c r="AD223" s="82" t="s">
        <v>738</v>
      </c>
      <c r="AE223" s="25" t="s">
        <v>739</v>
      </c>
    </row>
    <row r="224" s="2" customFormat="1" ht="24" customHeight="1" spans="1:31">
      <c r="A224" s="13">
        <v>229</v>
      </c>
      <c r="B224" s="14" t="s">
        <v>806</v>
      </c>
      <c r="C224" s="15" t="s">
        <v>443</v>
      </c>
      <c r="D224" s="15" t="s">
        <v>733</v>
      </c>
      <c r="E224" s="132" t="s">
        <v>734</v>
      </c>
      <c r="F224" s="133" t="s">
        <v>81</v>
      </c>
      <c r="G224" s="134" t="s">
        <v>178</v>
      </c>
      <c r="H224" s="16" t="s">
        <v>74</v>
      </c>
      <c r="I224" s="98" t="s">
        <v>748</v>
      </c>
      <c r="J224" s="139" t="s">
        <v>749</v>
      </c>
      <c r="K224" s="20" t="s">
        <v>39</v>
      </c>
      <c r="L224" s="21">
        <v>640000</v>
      </c>
      <c r="M224" s="70">
        <v>0.03</v>
      </c>
      <c r="N224" s="70">
        <v>0.01</v>
      </c>
      <c r="O224" s="70">
        <v>0.06</v>
      </c>
      <c r="P224" s="70">
        <v>0.02</v>
      </c>
      <c r="Q224" s="70">
        <v>0.03</v>
      </c>
      <c r="R224" s="70">
        <v>0.01</v>
      </c>
      <c r="S224" s="70">
        <v>0.01</v>
      </c>
      <c r="T224" s="74"/>
      <c r="U224" s="94"/>
      <c r="V224" s="70">
        <v>0.002</v>
      </c>
      <c r="W224" s="79"/>
      <c r="X224" s="77" t="s">
        <v>39</v>
      </c>
      <c r="Y224" s="72" t="s">
        <v>39</v>
      </c>
      <c r="Z224" s="77" t="s">
        <v>39</v>
      </c>
      <c r="AA224" s="77" t="s">
        <v>39</v>
      </c>
      <c r="AB224" s="46" t="s">
        <v>39</v>
      </c>
      <c r="AC224" s="46" t="s">
        <v>39</v>
      </c>
      <c r="AD224" s="82" t="s">
        <v>738</v>
      </c>
      <c r="AE224" s="25" t="s">
        <v>739</v>
      </c>
    </row>
    <row r="225" s="2" customFormat="1" ht="24" customHeight="1" spans="1:31">
      <c r="A225" s="13">
        <v>230</v>
      </c>
      <c r="B225" s="14" t="s">
        <v>812</v>
      </c>
      <c r="C225" s="15" t="s">
        <v>443</v>
      </c>
      <c r="D225" s="15" t="s">
        <v>733</v>
      </c>
      <c r="E225" s="132" t="s">
        <v>734</v>
      </c>
      <c r="F225" s="133" t="s">
        <v>81</v>
      </c>
      <c r="G225" s="134" t="s">
        <v>178</v>
      </c>
      <c r="H225" s="16" t="s">
        <v>265</v>
      </c>
      <c r="I225" s="98" t="s">
        <v>751</v>
      </c>
      <c r="J225" s="139" t="s">
        <v>752</v>
      </c>
      <c r="K225" s="20" t="s">
        <v>39</v>
      </c>
      <c r="L225" s="21">
        <v>640000</v>
      </c>
      <c r="M225" s="70">
        <v>0.03</v>
      </c>
      <c r="N225" s="70">
        <v>0.01</v>
      </c>
      <c r="O225" s="70">
        <v>0.06</v>
      </c>
      <c r="P225" s="70">
        <v>0.02</v>
      </c>
      <c r="Q225" s="70">
        <v>0.03</v>
      </c>
      <c r="R225" s="70">
        <v>0.01</v>
      </c>
      <c r="S225" s="70">
        <v>0.01</v>
      </c>
      <c r="T225" s="74"/>
      <c r="U225" s="94"/>
      <c r="V225" s="70">
        <v>0.002</v>
      </c>
      <c r="W225" s="79"/>
      <c r="X225" s="77" t="s">
        <v>39</v>
      </c>
      <c r="Y225" s="72" t="s">
        <v>39</v>
      </c>
      <c r="Z225" s="77" t="s">
        <v>39</v>
      </c>
      <c r="AA225" s="77" t="s">
        <v>39</v>
      </c>
      <c r="AB225" s="46" t="s">
        <v>39</v>
      </c>
      <c r="AC225" s="46" t="s">
        <v>39</v>
      </c>
      <c r="AD225" s="82" t="s">
        <v>738</v>
      </c>
      <c r="AE225" s="53" t="s">
        <v>753</v>
      </c>
    </row>
    <row r="226" s="2" customFormat="1" ht="12" customHeight="1" spans="1:31">
      <c r="A226" s="13">
        <v>231</v>
      </c>
      <c r="B226" s="14" t="s">
        <v>817</v>
      </c>
      <c r="C226" s="86" t="s">
        <v>443</v>
      </c>
      <c r="D226" s="86" t="s">
        <v>754</v>
      </c>
      <c r="E226" s="87" t="s">
        <v>755</v>
      </c>
      <c r="F226" s="88" t="s">
        <v>37</v>
      </c>
      <c r="G226" s="89" t="s">
        <v>178</v>
      </c>
      <c r="H226" s="89" t="s">
        <v>39</v>
      </c>
      <c r="I226" s="55" t="s">
        <v>39</v>
      </c>
      <c r="J226" s="55" t="s">
        <v>39</v>
      </c>
      <c r="K226" s="19" t="s">
        <v>39</v>
      </c>
      <c r="L226" s="21" t="s">
        <v>39</v>
      </c>
      <c r="M226" s="90" t="s">
        <v>39</v>
      </c>
      <c r="N226" s="90" t="s">
        <v>39</v>
      </c>
      <c r="O226" s="90" t="s">
        <v>39</v>
      </c>
      <c r="P226" s="140"/>
      <c r="Q226" s="59" t="s">
        <v>39</v>
      </c>
      <c r="R226" s="90" t="s">
        <v>39</v>
      </c>
      <c r="S226" s="19" t="s">
        <v>39</v>
      </c>
      <c r="T226" s="44"/>
      <c r="U226" s="106"/>
      <c r="V226" s="19" t="s">
        <v>39</v>
      </c>
      <c r="W226" s="19" t="s">
        <v>39</v>
      </c>
      <c r="X226" s="47"/>
      <c r="Y226" s="55" t="s">
        <v>39</v>
      </c>
      <c r="Z226" s="19" t="s">
        <v>39</v>
      </c>
      <c r="AA226" s="19" t="s">
        <v>39</v>
      </c>
      <c r="AB226" s="89" t="s">
        <v>39</v>
      </c>
      <c r="AC226" s="118" t="s">
        <v>39</v>
      </c>
      <c r="AD226" s="48" t="s">
        <v>104</v>
      </c>
      <c r="AE226" s="53"/>
    </row>
    <row r="227" s="2" customFormat="1" ht="60" customHeight="1" spans="1:31">
      <c r="A227" s="13">
        <v>232</v>
      </c>
      <c r="B227" s="14" t="s">
        <v>820</v>
      </c>
      <c r="C227" s="15" t="s">
        <v>443</v>
      </c>
      <c r="D227" s="15" t="s">
        <v>754</v>
      </c>
      <c r="E227" s="132" t="s">
        <v>755</v>
      </c>
      <c r="F227" s="133" t="s">
        <v>81</v>
      </c>
      <c r="G227" s="134" t="s">
        <v>178</v>
      </c>
      <c r="H227" s="16" t="s">
        <v>60</v>
      </c>
      <c r="I227" s="98" t="s">
        <v>757</v>
      </c>
      <c r="J227" s="139" t="s">
        <v>758</v>
      </c>
      <c r="K227" s="20" t="s">
        <v>39</v>
      </c>
      <c r="L227" s="21">
        <v>1200000</v>
      </c>
      <c r="M227" s="71">
        <v>10000</v>
      </c>
      <c r="N227" s="71"/>
      <c r="O227" s="71"/>
      <c r="P227" s="81" t="s">
        <v>39</v>
      </c>
      <c r="Q227" s="81" t="s">
        <v>39</v>
      </c>
      <c r="R227" s="71"/>
      <c r="S227" s="77" t="s">
        <v>39</v>
      </c>
      <c r="T227" s="72"/>
      <c r="U227" s="71"/>
      <c r="V227" s="77" t="s">
        <v>39</v>
      </c>
      <c r="W227" s="79"/>
      <c r="X227" s="77" t="s">
        <v>39</v>
      </c>
      <c r="Y227" s="72" t="s">
        <v>39</v>
      </c>
      <c r="Z227" s="77" t="s">
        <v>39</v>
      </c>
      <c r="AA227" s="77" t="s">
        <v>39</v>
      </c>
      <c r="AB227" s="16" t="s">
        <v>39</v>
      </c>
      <c r="AC227" s="46" t="s">
        <v>39</v>
      </c>
      <c r="AD227" s="82" t="s">
        <v>759</v>
      </c>
      <c r="AE227" s="53" t="s">
        <v>760</v>
      </c>
    </row>
    <row r="228" s="2" customFormat="1" ht="12" customHeight="1" spans="1:31">
      <c r="A228" s="13">
        <v>233</v>
      </c>
      <c r="B228" s="14" t="s">
        <v>826</v>
      </c>
      <c r="C228" s="86" t="s">
        <v>443</v>
      </c>
      <c r="D228" s="86" t="s">
        <v>762</v>
      </c>
      <c r="E228" s="87" t="s">
        <v>763</v>
      </c>
      <c r="F228" s="88" t="s">
        <v>37</v>
      </c>
      <c r="G228" s="89" t="s">
        <v>178</v>
      </c>
      <c r="H228" s="55" t="s">
        <v>39</v>
      </c>
      <c r="I228" s="55" t="s">
        <v>39</v>
      </c>
      <c r="J228" s="55" t="s">
        <v>39</v>
      </c>
      <c r="K228" s="19" t="s">
        <v>39</v>
      </c>
      <c r="L228" s="21" t="s">
        <v>39</v>
      </c>
      <c r="M228" s="92" t="s">
        <v>39</v>
      </c>
      <c r="N228" s="140"/>
      <c r="O228" s="140"/>
      <c r="P228" s="140"/>
      <c r="Q228" s="140"/>
      <c r="R228" s="140"/>
      <c r="S228" s="19" t="s">
        <v>39</v>
      </c>
      <c r="T228" s="106"/>
      <c r="U228" s="106"/>
      <c r="V228" s="64"/>
      <c r="W228" s="44"/>
      <c r="X228" s="55" t="s">
        <v>39</v>
      </c>
      <c r="Y228" s="55" t="s">
        <v>39</v>
      </c>
      <c r="Z228" s="55" t="s">
        <v>39</v>
      </c>
      <c r="AA228" s="55" t="s">
        <v>39</v>
      </c>
      <c r="AB228" s="46">
        <v>0.05</v>
      </c>
      <c r="AC228" s="118" t="s">
        <v>39</v>
      </c>
      <c r="AD228" s="48" t="s">
        <v>104</v>
      </c>
      <c r="AE228" s="25"/>
    </row>
    <row r="229" s="2" customFormat="1" ht="84" customHeight="1" spans="1:31">
      <c r="A229" s="13">
        <v>234</v>
      </c>
      <c r="B229" s="14" t="s">
        <v>828</v>
      </c>
      <c r="C229" s="15" t="s">
        <v>443</v>
      </c>
      <c r="D229" s="15" t="s">
        <v>762</v>
      </c>
      <c r="E229" s="132" t="s">
        <v>763</v>
      </c>
      <c r="F229" s="13" t="s">
        <v>81</v>
      </c>
      <c r="G229" s="16" t="s">
        <v>178</v>
      </c>
      <c r="H229" s="18" t="s">
        <v>39</v>
      </c>
      <c r="I229" s="17" t="s">
        <v>765</v>
      </c>
      <c r="J229" s="139" t="s">
        <v>766</v>
      </c>
      <c r="K229" s="20" t="s">
        <v>39</v>
      </c>
      <c r="L229" s="21" t="s">
        <v>39</v>
      </c>
      <c r="M229" s="84">
        <v>0.23</v>
      </c>
      <c r="N229" s="81" t="s">
        <v>39</v>
      </c>
      <c r="O229" s="81" t="s">
        <v>39</v>
      </c>
      <c r="P229" s="81" t="s">
        <v>39</v>
      </c>
      <c r="Q229" s="81" t="s">
        <v>39</v>
      </c>
      <c r="R229" s="81" t="s">
        <v>39</v>
      </c>
      <c r="S229" s="77" t="s">
        <v>39</v>
      </c>
      <c r="T229" s="71" t="s">
        <v>39</v>
      </c>
      <c r="U229" s="70" t="s">
        <v>39</v>
      </c>
      <c r="V229" s="71" t="s">
        <v>39</v>
      </c>
      <c r="W229" s="74"/>
      <c r="X229" s="72" t="s">
        <v>39</v>
      </c>
      <c r="Y229" s="72" t="s">
        <v>39</v>
      </c>
      <c r="Z229" s="72" t="s">
        <v>39</v>
      </c>
      <c r="AA229" s="72" t="s">
        <v>39</v>
      </c>
      <c r="AB229" s="16" t="s">
        <v>39</v>
      </c>
      <c r="AC229" s="46" t="s">
        <v>39</v>
      </c>
      <c r="AD229" s="76" t="s">
        <v>767</v>
      </c>
      <c r="AE229" s="25" t="s">
        <v>768</v>
      </c>
    </row>
    <row r="230" s="2" customFormat="1" ht="24" customHeight="1" spans="1:31">
      <c r="A230" s="13">
        <v>235</v>
      </c>
      <c r="B230" s="14" t="s">
        <v>829</v>
      </c>
      <c r="C230" s="15" t="s">
        <v>443</v>
      </c>
      <c r="D230" s="15" t="s">
        <v>762</v>
      </c>
      <c r="E230" s="61" t="s">
        <v>763</v>
      </c>
      <c r="F230" s="13" t="s">
        <v>81</v>
      </c>
      <c r="G230" s="16" t="s">
        <v>178</v>
      </c>
      <c r="H230" s="18" t="s">
        <v>39</v>
      </c>
      <c r="I230" s="43" t="s">
        <v>771</v>
      </c>
      <c r="J230" s="16" t="s">
        <v>772</v>
      </c>
      <c r="K230" s="20" t="s">
        <v>39</v>
      </c>
      <c r="L230" s="21">
        <v>250000</v>
      </c>
      <c r="M230" s="84">
        <v>0.12</v>
      </c>
      <c r="N230" s="84">
        <v>0.02</v>
      </c>
      <c r="O230" s="84">
        <v>0.02</v>
      </c>
      <c r="P230" s="84">
        <v>0.02</v>
      </c>
      <c r="Q230" s="84">
        <v>0.02</v>
      </c>
      <c r="R230" s="84">
        <v>0.01</v>
      </c>
      <c r="S230" s="71" t="s">
        <v>39</v>
      </c>
      <c r="T230" s="84">
        <v>0.02</v>
      </c>
      <c r="U230" s="84">
        <v>0.05</v>
      </c>
      <c r="V230" s="71" t="s">
        <v>39</v>
      </c>
      <c r="W230" s="94"/>
      <c r="X230" s="72" t="s">
        <v>39</v>
      </c>
      <c r="Y230" s="72" t="s">
        <v>39</v>
      </c>
      <c r="Z230" s="71" t="s">
        <v>39</v>
      </c>
      <c r="AA230" s="71" t="s">
        <v>39</v>
      </c>
      <c r="AB230" s="16" t="s">
        <v>39</v>
      </c>
      <c r="AC230" s="46" t="s">
        <v>39</v>
      </c>
      <c r="AD230" s="141"/>
      <c r="AE230" s="25" t="s">
        <v>773</v>
      </c>
    </row>
    <row r="231" s="2" customFormat="1" ht="24" customHeight="1" spans="1:31">
      <c r="A231" s="13">
        <v>236</v>
      </c>
      <c r="B231" s="14" t="s">
        <v>832</v>
      </c>
      <c r="C231" s="15" t="s">
        <v>443</v>
      </c>
      <c r="D231" s="15" t="s">
        <v>762</v>
      </c>
      <c r="E231" s="61" t="s">
        <v>763</v>
      </c>
      <c r="F231" s="13" t="s">
        <v>81</v>
      </c>
      <c r="G231" s="16" t="s">
        <v>178</v>
      </c>
      <c r="H231" s="18" t="s">
        <v>39</v>
      </c>
      <c r="I231" s="43" t="s">
        <v>589</v>
      </c>
      <c r="J231" s="16" t="s">
        <v>642</v>
      </c>
      <c r="K231" s="20" t="s">
        <v>39</v>
      </c>
      <c r="L231" s="21">
        <v>530000</v>
      </c>
      <c r="M231" s="84">
        <v>0.12</v>
      </c>
      <c r="N231" s="84">
        <v>0.02</v>
      </c>
      <c r="O231" s="84">
        <v>0.02</v>
      </c>
      <c r="P231" s="84">
        <v>0.02</v>
      </c>
      <c r="Q231" s="84">
        <v>0.02</v>
      </c>
      <c r="R231" s="84">
        <v>0.01</v>
      </c>
      <c r="S231" s="71" t="s">
        <v>39</v>
      </c>
      <c r="T231" s="84">
        <v>0.02</v>
      </c>
      <c r="U231" s="84">
        <v>0.05</v>
      </c>
      <c r="V231" s="71" t="s">
        <v>39</v>
      </c>
      <c r="W231" s="94"/>
      <c r="X231" s="72" t="s">
        <v>39</v>
      </c>
      <c r="Y231" s="72" t="s">
        <v>39</v>
      </c>
      <c r="Z231" s="71" t="s">
        <v>39</v>
      </c>
      <c r="AA231" s="71" t="s">
        <v>39</v>
      </c>
      <c r="AB231" s="16" t="s">
        <v>39</v>
      </c>
      <c r="AC231" s="46" t="s">
        <v>39</v>
      </c>
      <c r="AD231" s="141"/>
      <c r="AE231" s="25" t="s">
        <v>773</v>
      </c>
    </row>
    <row r="232" s="2" customFormat="1" ht="24" customHeight="1" spans="1:31">
      <c r="A232" s="13">
        <v>237</v>
      </c>
      <c r="B232" s="14" t="s">
        <v>834</v>
      </c>
      <c r="C232" s="15" t="s">
        <v>443</v>
      </c>
      <c r="D232" s="15" t="s">
        <v>762</v>
      </c>
      <c r="E232" s="61" t="s">
        <v>763</v>
      </c>
      <c r="F232" s="13" t="s">
        <v>81</v>
      </c>
      <c r="G232" s="16" t="s">
        <v>178</v>
      </c>
      <c r="H232" s="18" t="s">
        <v>39</v>
      </c>
      <c r="I232" s="43" t="s">
        <v>240</v>
      </c>
      <c r="J232" s="16" t="s">
        <v>776</v>
      </c>
      <c r="K232" s="20" t="s">
        <v>39</v>
      </c>
      <c r="L232" s="21">
        <v>1240000</v>
      </c>
      <c r="M232" s="84">
        <v>0.1</v>
      </c>
      <c r="N232" s="84">
        <v>0.01</v>
      </c>
      <c r="O232" s="84">
        <v>0.01</v>
      </c>
      <c r="P232" s="84">
        <v>0.02</v>
      </c>
      <c r="Q232" s="84">
        <v>0.01</v>
      </c>
      <c r="R232" s="84">
        <v>0.01</v>
      </c>
      <c r="S232" s="71" t="s">
        <v>39</v>
      </c>
      <c r="T232" s="84">
        <v>0.01</v>
      </c>
      <c r="U232" s="84">
        <v>0.05</v>
      </c>
      <c r="V232" s="71" t="s">
        <v>39</v>
      </c>
      <c r="W232" s="94"/>
      <c r="X232" s="72" t="s">
        <v>39</v>
      </c>
      <c r="Y232" s="72" t="s">
        <v>39</v>
      </c>
      <c r="Z232" s="71" t="s">
        <v>39</v>
      </c>
      <c r="AA232" s="71" t="s">
        <v>39</v>
      </c>
      <c r="AB232" s="16" t="s">
        <v>39</v>
      </c>
      <c r="AC232" s="46" t="s">
        <v>39</v>
      </c>
      <c r="AD232" s="141"/>
      <c r="AE232" s="25" t="s">
        <v>773</v>
      </c>
    </row>
    <row r="233" s="2" customFormat="1" ht="24" customHeight="1" spans="1:31">
      <c r="A233" s="13">
        <v>238</v>
      </c>
      <c r="B233" s="14" t="s">
        <v>836</v>
      </c>
      <c r="C233" s="15" t="s">
        <v>443</v>
      </c>
      <c r="D233" s="15" t="s">
        <v>762</v>
      </c>
      <c r="E233" s="61" t="s">
        <v>763</v>
      </c>
      <c r="F233" s="13" t="s">
        <v>81</v>
      </c>
      <c r="G233" s="16" t="s">
        <v>178</v>
      </c>
      <c r="H233" s="18" t="s">
        <v>39</v>
      </c>
      <c r="I233" s="43" t="s">
        <v>485</v>
      </c>
      <c r="J233" s="16" t="s">
        <v>772</v>
      </c>
      <c r="K233" s="20" t="s">
        <v>39</v>
      </c>
      <c r="L233" s="21">
        <v>700000</v>
      </c>
      <c r="M233" s="84">
        <v>0.12</v>
      </c>
      <c r="N233" s="84">
        <v>0.02</v>
      </c>
      <c r="O233" s="84">
        <v>0.02</v>
      </c>
      <c r="P233" s="84">
        <v>0.02</v>
      </c>
      <c r="Q233" s="84">
        <v>0.02</v>
      </c>
      <c r="R233" s="84">
        <v>0.01</v>
      </c>
      <c r="S233" s="71" t="s">
        <v>39</v>
      </c>
      <c r="T233" s="84">
        <v>0.02</v>
      </c>
      <c r="U233" s="84">
        <v>0.05</v>
      </c>
      <c r="V233" s="71" t="s">
        <v>39</v>
      </c>
      <c r="W233" s="94"/>
      <c r="X233" s="72" t="s">
        <v>39</v>
      </c>
      <c r="Y233" s="72" t="s">
        <v>39</v>
      </c>
      <c r="Z233" s="71" t="s">
        <v>39</v>
      </c>
      <c r="AA233" s="71" t="s">
        <v>39</v>
      </c>
      <c r="AB233" s="16" t="s">
        <v>39</v>
      </c>
      <c r="AC233" s="46" t="s">
        <v>39</v>
      </c>
      <c r="AD233" s="141"/>
      <c r="AE233" s="25" t="s">
        <v>773</v>
      </c>
    </row>
    <row r="234" s="2" customFormat="1" ht="24" customHeight="1" spans="1:31">
      <c r="A234" s="13">
        <v>239</v>
      </c>
      <c r="B234" s="14" t="s">
        <v>839</v>
      </c>
      <c r="C234" s="15" t="s">
        <v>443</v>
      </c>
      <c r="D234" s="15" t="s">
        <v>762</v>
      </c>
      <c r="E234" s="61" t="s">
        <v>763</v>
      </c>
      <c r="F234" s="13" t="s">
        <v>81</v>
      </c>
      <c r="G234" s="16" t="s">
        <v>178</v>
      </c>
      <c r="H234" s="18" t="s">
        <v>39</v>
      </c>
      <c r="I234" s="43" t="s">
        <v>779</v>
      </c>
      <c r="J234" s="16" t="s">
        <v>780</v>
      </c>
      <c r="K234" s="20" t="s">
        <v>39</v>
      </c>
      <c r="L234" s="21">
        <v>500000</v>
      </c>
      <c r="M234" s="84">
        <v>0.12</v>
      </c>
      <c r="N234" s="84">
        <v>0.02</v>
      </c>
      <c r="O234" s="84">
        <v>0.02</v>
      </c>
      <c r="P234" s="84">
        <v>0.02</v>
      </c>
      <c r="Q234" s="84">
        <v>0.02</v>
      </c>
      <c r="R234" s="84">
        <v>0.01</v>
      </c>
      <c r="S234" s="71" t="s">
        <v>39</v>
      </c>
      <c r="T234" s="84">
        <v>0.02</v>
      </c>
      <c r="U234" s="84">
        <v>0.05</v>
      </c>
      <c r="V234" s="71" t="s">
        <v>39</v>
      </c>
      <c r="W234" s="94"/>
      <c r="X234" s="72" t="s">
        <v>39</v>
      </c>
      <c r="Y234" s="72" t="s">
        <v>39</v>
      </c>
      <c r="Z234" s="71" t="s">
        <v>39</v>
      </c>
      <c r="AA234" s="71" t="s">
        <v>39</v>
      </c>
      <c r="AB234" s="16" t="s">
        <v>39</v>
      </c>
      <c r="AC234" s="46" t="s">
        <v>39</v>
      </c>
      <c r="AD234" s="141"/>
      <c r="AE234" s="25" t="s">
        <v>773</v>
      </c>
    </row>
    <row r="235" s="2" customFormat="1" ht="24" customHeight="1" spans="1:31">
      <c r="A235" s="13">
        <v>240</v>
      </c>
      <c r="B235" s="14" t="s">
        <v>842</v>
      </c>
      <c r="C235" s="15" t="s">
        <v>443</v>
      </c>
      <c r="D235" s="15" t="s">
        <v>762</v>
      </c>
      <c r="E235" s="61" t="s">
        <v>763</v>
      </c>
      <c r="F235" s="13" t="s">
        <v>81</v>
      </c>
      <c r="G235" s="16" t="s">
        <v>178</v>
      </c>
      <c r="H235" s="18" t="s">
        <v>39</v>
      </c>
      <c r="I235" s="43" t="s">
        <v>782</v>
      </c>
      <c r="J235" s="16" t="s">
        <v>783</v>
      </c>
      <c r="K235" s="20" t="s">
        <v>39</v>
      </c>
      <c r="L235" s="21">
        <v>540000</v>
      </c>
      <c r="M235" s="84">
        <v>0.12</v>
      </c>
      <c r="N235" s="84">
        <v>0.02</v>
      </c>
      <c r="O235" s="84">
        <v>0.02</v>
      </c>
      <c r="P235" s="84">
        <v>0.02</v>
      </c>
      <c r="Q235" s="84">
        <v>0.02</v>
      </c>
      <c r="R235" s="84">
        <v>0.01</v>
      </c>
      <c r="S235" s="71" t="s">
        <v>39</v>
      </c>
      <c r="T235" s="84">
        <v>0.02</v>
      </c>
      <c r="U235" s="84">
        <v>0.05</v>
      </c>
      <c r="V235" s="71" t="s">
        <v>39</v>
      </c>
      <c r="W235" s="94"/>
      <c r="X235" s="72" t="s">
        <v>39</v>
      </c>
      <c r="Y235" s="72" t="s">
        <v>39</v>
      </c>
      <c r="Z235" s="71" t="s">
        <v>39</v>
      </c>
      <c r="AA235" s="71" t="s">
        <v>39</v>
      </c>
      <c r="AB235" s="16" t="s">
        <v>39</v>
      </c>
      <c r="AC235" s="46" t="s">
        <v>39</v>
      </c>
      <c r="AD235" s="141"/>
      <c r="AE235" s="25" t="s">
        <v>773</v>
      </c>
    </row>
    <row r="236" s="2" customFormat="1" ht="24" customHeight="1" spans="1:31">
      <c r="A236" s="13">
        <v>241</v>
      </c>
      <c r="B236" s="14" t="s">
        <v>845</v>
      </c>
      <c r="C236" s="15" t="s">
        <v>443</v>
      </c>
      <c r="D236" s="15" t="s">
        <v>762</v>
      </c>
      <c r="E236" s="61" t="s">
        <v>763</v>
      </c>
      <c r="F236" s="13" t="s">
        <v>81</v>
      </c>
      <c r="G236" s="16" t="s">
        <v>178</v>
      </c>
      <c r="H236" s="18" t="s">
        <v>39</v>
      </c>
      <c r="I236" s="43" t="s">
        <v>785</v>
      </c>
      <c r="J236" s="16" t="s">
        <v>786</v>
      </c>
      <c r="K236" s="20" t="s">
        <v>39</v>
      </c>
      <c r="L236" s="21">
        <v>600000</v>
      </c>
      <c r="M236" s="84">
        <v>0.12</v>
      </c>
      <c r="N236" s="84">
        <v>0.02</v>
      </c>
      <c r="O236" s="84">
        <v>0.02</v>
      </c>
      <c r="P236" s="84">
        <v>0.02</v>
      </c>
      <c r="Q236" s="84">
        <v>0.02</v>
      </c>
      <c r="R236" s="84">
        <v>0.01</v>
      </c>
      <c r="S236" s="71" t="s">
        <v>39</v>
      </c>
      <c r="T236" s="84">
        <v>0.02</v>
      </c>
      <c r="U236" s="84">
        <v>0.05</v>
      </c>
      <c r="V236" s="71" t="s">
        <v>39</v>
      </c>
      <c r="W236" s="94"/>
      <c r="X236" s="72" t="s">
        <v>39</v>
      </c>
      <c r="Y236" s="72" t="s">
        <v>39</v>
      </c>
      <c r="Z236" s="71" t="s">
        <v>39</v>
      </c>
      <c r="AA236" s="71" t="s">
        <v>39</v>
      </c>
      <c r="AB236" s="16" t="s">
        <v>39</v>
      </c>
      <c r="AC236" s="46" t="s">
        <v>39</v>
      </c>
      <c r="AD236" s="141"/>
      <c r="AE236" s="25" t="s">
        <v>773</v>
      </c>
    </row>
    <row r="237" s="2" customFormat="1" ht="24" customHeight="1" spans="1:31">
      <c r="A237" s="13">
        <v>242</v>
      </c>
      <c r="B237" s="14" t="s">
        <v>848</v>
      </c>
      <c r="C237" s="15" t="s">
        <v>443</v>
      </c>
      <c r="D237" s="15" t="s">
        <v>762</v>
      </c>
      <c r="E237" s="61" t="s">
        <v>763</v>
      </c>
      <c r="F237" s="13" t="s">
        <v>81</v>
      </c>
      <c r="G237" s="16" t="s">
        <v>178</v>
      </c>
      <c r="H237" s="18" t="s">
        <v>39</v>
      </c>
      <c r="I237" s="43" t="s">
        <v>788</v>
      </c>
      <c r="J237" s="16" t="s">
        <v>789</v>
      </c>
      <c r="K237" s="20" t="s">
        <v>39</v>
      </c>
      <c r="L237" s="21">
        <v>370000</v>
      </c>
      <c r="M237" s="84">
        <v>0.12</v>
      </c>
      <c r="N237" s="84">
        <v>0.01</v>
      </c>
      <c r="O237" s="84">
        <v>0.01</v>
      </c>
      <c r="P237" s="84">
        <v>0.01</v>
      </c>
      <c r="Q237" s="84">
        <v>0.01</v>
      </c>
      <c r="R237" s="84">
        <v>0.01</v>
      </c>
      <c r="S237" s="71" t="s">
        <v>39</v>
      </c>
      <c r="T237" s="84">
        <v>0.01</v>
      </c>
      <c r="U237" s="84">
        <v>0.04</v>
      </c>
      <c r="V237" s="71" t="s">
        <v>39</v>
      </c>
      <c r="W237" s="94"/>
      <c r="X237" s="72" t="s">
        <v>39</v>
      </c>
      <c r="Y237" s="72" t="s">
        <v>39</v>
      </c>
      <c r="Z237" s="71" t="s">
        <v>39</v>
      </c>
      <c r="AA237" s="71" t="s">
        <v>39</v>
      </c>
      <c r="AB237" s="16" t="s">
        <v>39</v>
      </c>
      <c r="AC237" s="46" t="s">
        <v>39</v>
      </c>
      <c r="AD237" s="141"/>
      <c r="AE237" s="25" t="s">
        <v>773</v>
      </c>
    </row>
    <row r="238" s="2" customFormat="1" ht="24" customHeight="1" spans="1:31">
      <c r="A238" s="13">
        <v>243</v>
      </c>
      <c r="B238" s="14" t="s">
        <v>854</v>
      </c>
      <c r="C238" s="15" t="s">
        <v>443</v>
      </c>
      <c r="D238" s="15" t="s">
        <v>762</v>
      </c>
      <c r="E238" s="61" t="s">
        <v>763</v>
      </c>
      <c r="F238" s="13" t="s">
        <v>81</v>
      </c>
      <c r="G238" s="16" t="s">
        <v>178</v>
      </c>
      <c r="H238" s="18" t="s">
        <v>39</v>
      </c>
      <c r="I238" s="17" t="s">
        <v>791</v>
      </c>
      <c r="J238" s="16" t="s">
        <v>792</v>
      </c>
      <c r="K238" s="20" t="s">
        <v>39</v>
      </c>
      <c r="L238" s="21">
        <v>250000</v>
      </c>
      <c r="M238" s="84">
        <v>0.12</v>
      </c>
      <c r="N238" s="84">
        <v>0.01</v>
      </c>
      <c r="O238" s="84">
        <v>0.01</v>
      </c>
      <c r="P238" s="84">
        <v>0.01</v>
      </c>
      <c r="Q238" s="84">
        <v>0.01</v>
      </c>
      <c r="R238" s="84">
        <v>0.01</v>
      </c>
      <c r="S238" s="71" t="s">
        <v>39</v>
      </c>
      <c r="T238" s="84">
        <v>0.01</v>
      </c>
      <c r="U238" s="84">
        <v>0.05</v>
      </c>
      <c r="V238" s="71" t="s">
        <v>39</v>
      </c>
      <c r="W238" s="94"/>
      <c r="X238" s="72" t="s">
        <v>39</v>
      </c>
      <c r="Y238" s="72" t="s">
        <v>39</v>
      </c>
      <c r="Z238" s="71" t="s">
        <v>39</v>
      </c>
      <c r="AA238" s="71" t="s">
        <v>39</v>
      </c>
      <c r="AB238" s="16" t="s">
        <v>39</v>
      </c>
      <c r="AC238" s="46" t="s">
        <v>39</v>
      </c>
      <c r="AD238" s="141"/>
      <c r="AE238" s="25" t="s">
        <v>773</v>
      </c>
    </row>
    <row r="239" s="2" customFormat="1" ht="24" customHeight="1" spans="1:31">
      <c r="A239" s="13">
        <v>244</v>
      </c>
      <c r="B239" s="14" t="s">
        <v>859</v>
      </c>
      <c r="C239" s="15" t="s">
        <v>443</v>
      </c>
      <c r="D239" s="15" t="s">
        <v>762</v>
      </c>
      <c r="E239" s="61" t="s">
        <v>763</v>
      </c>
      <c r="F239" s="13" t="s">
        <v>81</v>
      </c>
      <c r="G239" s="16" t="s">
        <v>178</v>
      </c>
      <c r="H239" s="18" t="s">
        <v>39</v>
      </c>
      <c r="I239" s="43" t="s">
        <v>794</v>
      </c>
      <c r="J239" s="16" t="s">
        <v>795</v>
      </c>
      <c r="K239" s="20" t="s">
        <v>39</v>
      </c>
      <c r="L239" s="21">
        <v>300000</v>
      </c>
      <c r="M239" s="84">
        <v>0.12</v>
      </c>
      <c r="N239" s="84">
        <v>0.01</v>
      </c>
      <c r="O239" s="84">
        <v>0.01</v>
      </c>
      <c r="P239" s="84">
        <v>0.01</v>
      </c>
      <c r="Q239" s="84">
        <v>0.01</v>
      </c>
      <c r="R239" s="84">
        <v>0.01</v>
      </c>
      <c r="S239" s="71" t="s">
        <v>39</v>
      </c>
      <c r="T239" s="84">
        <v>0.02</v>
      </c>
      <c r="U239" s="84">
        <v>0.05</v>
      </c>
      <c r="V239" s="71" t="s">
        <v>39</v>
      </c>
      <c r="W239" s="94"/>
      <c r="X239" s="72" t="s">
        <v>39</v>
      </c>
      <c r="Y239" s="72" t="s">
        <v>39</v>
      </c>
      <c r="Z239" s="71" t="s">
        <v>39</v>
      </c>
      <c r="AA239" s="71" t="s">
        <v>39</v>
      </c>
      <c r="AB239" s="16" t="s">
        <v>39</v>
      </c>
      <c r="AC239" s="46" t="s">
        <v>39</v>
      </c>
      <c r="AD239" s="142"/>
      <c r="AE239" s="25" t="s">
        <v>773</v>
      </c>
    </row>
    <row r="240" s="2" customFormat="1" ht="24" customHeight="1" spans="1:31">
      <c r="A240" s="13">
        <v>245</v>
      </c>
      <c r="B240" s="14" t="s">
        <v>864</v>
      </c>
      <c r="C240" s="15" t="s">
        <v>443</v>
      </c>
      <c r="D240" s="15" t="s">
        <v>762</v>
      </c>
      <c r="E240" s="61" t="s">
        <v>763</v>
      </c>
      <c r="F240" s="13" t="s">
        <v>81</v>
      </c>
      <c r="G240" s="16" t="s">
        <v>178</v>
      </c>
      <c r="H240" s="18" t="s">
        <v>39</v>
      </c>
      <c r="I240" s="43" t="s">
        <v>797</v>
      </c>
      <c r="J240" s="16" t="s">
        <v>798</v>
      </c>
      <c r="K240" s="20" t="s">
        <v>39</v>
      </c>
      <c r="L240" s="21">
        <v>360000</v>
      </c>
      <c r="M240" s="84">
        <v>0.12</v>
      </c>
      <c r="N240" s="84">
        <v>0.02</v>
      </c>
      <c r="O240" s="84">
        <v>0.02</v>
      </c>
      <c r="P240" s="84">
        <v>0.02</v>
      </c>
      <c r="Q240" s="84">
        <v>0.02</v>
      </c>
      <c r="R240" s="84">
        <v>0.01</v>
      </c>
      <c r="S240" s="71" t="s">
        <v>39</v>
      </c>
      <c r="T240" s="84">
        <v>0.02</v>
      </c>
      <c r="U240" s="84">
        <v>0.05</v>
      </c>
      <c r="V240" s="71" t="s">
        <v>39</v>
      </c>
      <c r="W240" s="94"/>
      <c r="X240" s="72" t="s">
        <v>39</v>
      </c>
      <c r="Y240" s="72" t="s">
        <v>39</v>
      </c>
      <c r="Z240" s="71" t="s">
        <v>39</v>
      </c>
      <c r="AA240" s="71" t="s">
        <v>39</v>
      </c>
      <c r="AB240" s="16" t="s">
        <v>39</v>
      </c>
      <c r="AC240" s="46" t="s">
        <v>39</v>
      </c>
      <c r="AD240" s="142"/>
      <c r="AE240" s="25" t="s">
        <v>773</v>
      </c>
    </row>
    <row r="241" s="2" customFormat="1" ht="24" customHeight="1" spans="1:31">
      <c r="A241" s="13">
        <v>246</v>
      </c>
      <c r="B241" s="14" t="s">
        <v>869</v>
      </c>
      <c r="C241" s="15" t="s">
        <v>443</v>
      </c>
      <c r="D241" s="15" t="s">
        <v>762</v>
      </c>
      <c r="E241" s="61" t="s">
        <v>763</v>
      </c>
      <c r="F241" s="13" t="s">
        <v>81</v>
      </c>
      <c r="G241" s="16" t="s">
        <v>178</v>
      </c>
      <c r="H241" s="18" t="s">
        <v>39</v>
      </c>
      <c r="I241" s="43" t="s">
        <v>316</v>
      </c>
      <c r="J241" s="16" t="s">
        <v>800</v>
      </c>
      <c r="K241" s="20" t="s">
        <v>39</v>
      </c>
      <c r="L241" s="21">
        <v>250000</v>
      </c>
      <c r="M241" s="84">
        <v>0.12</v>
      </c>
      <c r="N241" s="84">
        <v>0.02</v>
      </c>
      <c r="O241" s="84">
        <v>0.02</v>
      </c>
      <c r="P241" s="84">
        <v>0.02</v>
      </c>
      <c r="Q241" s="84">
        <v>0.02</v>
      </c>
      <c r="R241" s="84">
        <v>0.01</v>
      </c>
      <c r="S241" s="71" t="s">
        <v>39</v>
      </c>
      <c r="T241" s="84">
        <v>0.02</v>
      </c>
      <c r="U241" s="84">
        <v>0.05</v>
      </c>
      <c r="V241" s="71" t="s">
        <v>39</v>
      </c>
      <c r="W241" s="94"/>
      <c r="X241" s="72" t="s">
        <v>39</v>
      </c>
      <c r="Y241" s="72" t="s">
        <v>39</v>
      </c>
      <c r="Z241" s="71" t="s">
        <v>39</v>
      </c>
      <c r="AA241" s="71" t="s">
        <v>39</v>
      </c>
      <c r="AB241" s="16" t="s">
        <v>39</v>
      </c>
      <c r="AC241" s="46" t="s">
        <v>39</v>
      </c>
      <c r="AD241" s="142"/>
      <c r="AE241" s="25" t="s">
        <v>773</v>
      </c>
    </row>
    <row r="242" s="2" customFormat="1" ht="72" customHeight="1" spans="1:31">
      <c r="A242" s="13">
        <v>247</v>
      </c>
      <c r="B242" s="14" t="s">
        <v>873</v>
      </c>
      <c r="C242" s="15" t="s">
        <v>443</v>
      </c>
      <c r="D242" s="15" t="s">
        <v>762</v>
      </c>
      <c r="E242" s="61" t="s">
        <v>763</v>
      </c>
      <c r="F242" s="13" t="s">
        <v>81</v>
      </c>
      <c r="G242" s="16" t="s">
        <v>178</v>
      </c>
      <c r="H242" s="18" t="s">
        <v>39</v>
      </c>
      <c r="I242" s="17" t="s">
        <v>802</v>
      </c>
      <c r="J242" s="16" t="s">
        <v>803</v>
      </c>
      <c r="K242" s="20" t="s">
        <v>39</v>
      </c>
      <c r="L242" s="21">
        <v>340000</v>
      </c>
      <c r="M242" s="71">
        <v>8000</v>
      </c>
      <c r="N242" s="71" t="s">
        <v>39</v>
      </c>
      <c r="O242" s="71" t="s">
        <v>39</v>
      </c>
      <c r="P242" s="71" t="s">
        <v>39</v>
      </c>
      <c r="Q242" s="71" t="s">
        <v>39</v>
      </c>
      <c r="R242" s="84" t="s">
        <v>39</v>
      </c>
      <c r="S242" s="71" t="s">
        <v>39</v>
      </c>
      <c r="T242" s="71" t="s">
        <v>39</v>
      </c>
      <c r="U242" s="94"/>
      <c r="V242" s="71" t="s">
        <v>39</v>
      </c>
      <c r="W242" s="94"/>
      <c r="X242" s="72" t="s">
        <v>39</v>
      </c>
      <c r="Y242" s="72" t="s">
        <v>39</v>
      </c>
      <c r="Z242" s="71" t="s">
        <v>39</v>
      </c>
      <c r="AA242" s="71" t="s">
        <v>39</v>
      </c>
      <c r="AB242" s="16" t="s">
        <v>39</v>
      </c>
      <c r="AC242" s="46" t="s">
        <v>39</v>
      </c>
      <c r="AD242" s="82" t="s">
        <v>804</v>
      </c>
      <c r="AE242" s="25" t="s">
        <v>805</v>
      </c>
    </row>
    <row r="243" s="2" customFormat="1" ht="72" customHeight="1" spans="1:31">
      <c r="A243" s="13">
        <v>248</v>
      </c>
      <c r="B243" s="14" t="s">
        <v>877</v>
      </c>
      <c r="C243" s="15" t="s">
        <v>443</v>
      </c>
      <c r="D243" s="15" t="s">
        <v>762</v>
      </c>
      <c r="E243" s="61" t="s">
        <v>763</v>
      </c>
      <c r="F243" s="13" t="s">
        <v>81</v>
      </c>
      <c r="G243" s="16" t="s">
        <v>178</v>
      </c>
      <c r="H243" s="18" t="s">
        <v>39</v>
      </c>
      <c r="I243" s="17" t="s">
        <v>807</v>
      </c>
      <c r="J243" s="16" t="s">
        <v>808</v>
      </c>
      <c r="K243" s="20" t="s">
        <v>39</v>
      </c>
      <c r="L243" s="21">
        <v>320000</v>
      </c>
      <c r="M243" s="71">
        <v>9000</v>
      </c>
      <c r="N243" s="71" t="s">
        <v>39</v>
      </c>
      <c r="O243" s="71" t="s">
        <v>39</v>
      </c>
      <c r="P243" s="71" t="s">
        <v>39</v>
      </c>
      <c r="Q243" s="71" t="s">
        <v>39</v>
      </c>
      <c r="R243" s="84" t="s">
        <v>39</v>
      </c>
      <c r="S243" s="71" t="s">
        <v>39</v>
      </c>
      <c r="T243" s="71" t="s">
        <v>39</v>
      </c>
      <c r="U243" s="94"/>
      <c r="V243" s="71" t="s">
        <v>39</v>
      </c>
      <c r="W243" s="94"/>
      <c r="X243" s="72" t="s">
        <v>39</v>
      </c>
      <c r="Y243" s="72" t="s">
        <v>39</v>
      </c>
      <c r="Z243" s="71" t="s">
        <v>39</v>
      </c>
      <c r="AA243" s="71" t="s">
        <v>39</v>
      </c>
      <c r="AB243" s="16" t="s">
        <v>39</v>
      </c>
      <c r="AC243" s="46" t="s">
        <v>39</v>
      </c>
      <c r="AD243" s="82" t="s">
        <v>804</v>
      </c>
      <c r="AE243" s="25" t="s">
        <v>809</v>
      </c>
    </row>
    <row r="244" s="2" customFormat="1" ht="12" customHeight="1" spans="1:31">
      <c r="A244" s="13">
        <v>249</v>
      </c>
      <c r="B244" s="14" t="s">
        <v>881</v>
      </c>
      <c r="C244" s="86" t="s">
        <v>443</v>
      </c>
      <c r="D244" s="86" t="s">
        <v>810</v>
      </c>
      <c r="E244" s="87" t="s">
        <v>811</v>
      </c>
      <c r="F244" s="88" t="s">
        <v>37</v>
      </c>
      <c r="G244" s="89" t="s">
        <v>178</v>
      </c>
      <c r="H244" s="55" t="s">
        <v>39</v>
      </c>
      <c r="I244" s="88" t="s">
        <v>39</v>
      </c>
      <c r="J244" s="88" t="s">
        <v>39</v>
      </c>
      <c r="K244" s="19" t="s">
        <v>39</v>
      </c>
      <c r="L244" s="21" t="s">
        <v>39</v>
      </c>
      <c r="M244" s="19" t="s">
        <v>39</v>
      </c>
      <c r="N244" s="47"/>
      <c r="O244" s="47"/>
      <c r="P244" s="47"/>
      <c r="Q244" s="19" t="s">
        <v>39</v>
      </c>
      <c r="R244" s="47"/>
      <c r="S244" s="19" t="s">
        <v>39</v>
      </c>
      <c r="T244" s="47"/>
      <c r="U244" s="47"/>
      <c r="V244" s="66"/>
      <c r="W244" s="44"/>
      <c r="X244" s="19" t="s">
        <v>39</v>
      </c>
      <c r="Y244" s="55" t="s">
        <v>39</v>
      </c>
      <c r="Z244" s="55" t="s">
        <v>39</v>
      </c>
      <c r="AA244" s="55" t="s">
        <v>39</v>
      </c>
      <c r="AB244" s="46">
        <v>0.05</v>
      </c>
      <c r="AC244" s="118" t="s">
        <v>39</v>
      </c>
      <c r="AD244" s="48" t="s">
        <v>104</v>
      </c>
      <c r="AE244" s="25"/>
    </row>
    <row r="245" s="2" customFormat="1" ht="24" customHeight="1" spans="1:31">
      <c r="A245" s="13">
        <v>250</v>
      </c>
      <c r="B245" s="14" t="s">
        <v>884</v>
      </c>
      <c r="C245" s="15" t="s">
        <v>443</v>
      </c>
      <c r="D245" s="15" t="s">
        <v>810</v>
      </c>
      <c r="E245" s="61" t="s">
        <v>811</v>
      </c>
      <c r="F245" s="13" t="s">
        <v>81</v>
      </c>
      <c r="G245" s="16" t="s">
        <v>178</v>
      </c>
      <c r="H245" s="18" t="s">
        <v>39</v>
      </c>
      <c r="I245" s="43" t="s">
        <v>813</v>
      </c>
      <c r="J245" s="143" t="s">
        <v>814</v>
      </c>
      <c r="K245" s="20" t="s">
        <v>39</v>
      </c>
      <c r="L245" s="21">
        <v>732000</v>
      </c>
      <c r="M245" s="77">
        <v>0.14</v>
      </c>
      <c r="N245" s="77">
        <v>0.01</v>
      </c>
      <c r="O245" s="77">
        <v>0.02</v>
      </c>
      <c r="P245" s="77">
        <v>0.01</v>
      </c>
      <c r="Q245" s="77">
        <v>0.02</v>
      </c>
      <c r="R245" s="77">
        <v>0.03</v>
      </c>
      <c r="S245" s="77">
        <v>0.02</v>
      </c>
      <c r="T245" s="77">
        <v>0.02</v>
      </c>
      <c r="U245" s="77">
        <v>0.02</v>
      </c>
      <c r="V245" s="73">
        <v>50</v>
      </c>
      <c r="W245" s="77">
        <v>0.5</v>
      </c>
      <c r="X245" s="77" t="s">
        <v>39</v>
      </c>
      <c r="Y245" s="72" t="s">
        <v>39</v>
      </c>
      <c r="Z245" s="72" t="s">
        <v>39</v>
      </c>
      <c r="AA245" s="72" t="s">
        <v>39</v>
      </c>
      <c r="AB245" s="51" t="s">
        <v>39</v>
      </c>
      <c r="AC245" s="46" t="s">
        <v>39</v>
      </c>
      <c r="AD245" s="82"/>
      <c r="AE245" s="25" t="s">
        <v>815</v>
      </c>
    </row>
    <row r="246" s="2" customFormat="1" ht="24" customHeight="1" spans="1:31">
      <c r="A246" s="13">
        <v>251</v>
      </c>
      <c r="B246" s="14" t="s">
        <v>887</v>
      </c>
      <c r="C246" s="15" t="s">
        <v>443</v>
      </c>
      <c r="D246" s="15" t="s">
        <v>810</v>
      </c>
      <c r="E246" s="61" t="s">
        <v>811</v>
      </c>
      <c r="F246" s="13" t="s">
        <v>81</v>
      </c>
      <c r="G246" s="16" t="s">
        <v>178</v>
      </c>
      <c r="H246" s="18" t="s">
        <v>39</v>
      </c>
      <c r="I246" s="43" t="s">
        <v>818</v>
      </c>
      <c r="J246" s="143" t="s">
        <v>819</v>
      </c>
      <c r="K246" s="20" t="s">
        <v>39</v>
      </c>
      <c r="L246" s="21">
        <v>316800</v>
      </c>
      <c r="M246" s="77">
        <v>0.14</v>
      </c>
      <c r="N246" s="77">
        <v>0.01</v>
      </c>
      <c r="O246" s="77">
        <v>0.02</v>
      </c>
      <c r="P246" s="77">
        <v>0.01</v>
      </c>
      <c r="Q246" s="77">
        <v>0.02</v>
      </c>
      <c r="R246" s="77">
        <v>0.03</v>
      </c>
      <c r="S246" s="77">
        <v>0.02</v>
      </c>
      <c r="T246" s="77">
        <v>0.02</v>
      </c>
      <c r="U246" s="77">
        <v>0.02</v>
      </c>
      <c r="V246" s="73">
        <v>50</v>
      </c>
      <c r="W246" s="77">
        <v>0.5</v>
      </c>
      <c r="X246" s="77" t="s">
        <v>39</v>
      </c>
      <c r="Y246" s="72" t="s">
        <v>39</v>
      </c>
      <c r="Z246" s="72" t="s">
        <v>39</v>
      </c>
      <c r="AA246" s="72" t="s">
        <v>39</v>
      </c>
      <c r="AB246" s="51" t="s">
        <v>39</v>
      </c>
      <c r="AC246" s="46" t="s">
        <v>39</v>
      </c>
      <c r="AD246" s="82"/>
      <c r="AE246" s="25" t="s">
        <v>815</v>
      </c>
    </row>
    <row r="247" s="2" customFormat="1" ht="108" customHeight="1" spans="1:31">
      <c r="A247" s="13">
        <v>252</v>
      </c>
      <c r="B247" s="14" t="s">
        <v>890</v>
      </c>
      <c r="C247" s="15" t="s">
        <v>443</v>
      </c>
      <c r="D247" s="15" t="s">
        <v>810</v>
      </c>
      <c r="E247" s="61" t="s">
        <v>811</v>
      </c>
      <c r="F247" s="13" t="s">
        <v>81</v>
      </c>
      <c r="G247" s="16" t="s">
        <v>178</v>
      </c>
      <c r="H247" s="18" t="s">
        <v>39</v>
      </c>
      <c r="I247" s="43" t="s">
        <v>821</v>
      </c>
      <c r="J247" s="143" t="s">
        <v>822</v>
      </c>
      <c r="K247" s="20" t="s">
        <v>39</v>
      </c>
      <c r="L247" s="21">
        <v>667200</v>
      </c>
      <c r="M247" s="77" t="s">
        <v>823</v>
      </c>
      <c r="N247" s="77" t="s">
        <v>39</v>
      </c>
      <c r="O247" s="77" t="s">
        <v>39</v>
      </c>
      <c r="P247" s="77" t="s">
        <v>39</v>
      </c>
      <c r="Q247" s="77" t="s">
        <v>39</v>
      </c>
      <c r="R247" s="77" t="s">
        <v>39</v>
      </c>
      <c r="S247" s="77" t="s">
        <v>39</v>
      </c>
      <c r="T247" s="77" t="s">
        <v>39</v>
      </c>
      <c r="U247" s="77" t="s">
        <v>39</v>
      </c>
      <c r="V247" s="73">
        <v>50</v>
      </c>
      <c r="W247" s="77">
        <v>0.5</v>
      </c>
      <c r="X247" s="77" t="s">
        <v>39</v>
      </c>
      <c r="Y247" s="72" t="s">
        <v>39</v>
      </c>
      <c r="Z247" s="72" t="s">
        <v>39</v>
      </c>
      <c r="AA247" s="72" t="s">
        <v>39</v>
      </c>
      <c r="AB247" s="51" t="s">
        <v>39</v>
      </c>
      <c r="AC247" s="46" t="s">
        <v>39</v>
      </c>
      <c r="AD247" s="82" t="s">
        <v>824</v>
      </c>
      <c r="AE247" s="25" t="s">
        <v>825</v>
      </c>
    </row>
    <row r="248" s="2" customFormat="1" ht="12" customHeight="1" spans="1:31">
      <c r="A248" s="13">
        <v>253</v>
      </c>
      <c r="B248" s="14" t="s">
        <v>893</v>
      </c>
      <c r="C248" s="15"/>
      <c r="D248" s="15"/>
      <c r="E248" s="61" t="s">
        <v>811</v>
      </c>
      <c r="F248" s="13" t="s">
        <v>81</v>
      </c>
      <c r="G248" s="16" t="s">
        <v>178</v>
      </c>
      <c r="H248" s="55" t="s">
        <v>39</v>
      </c>
      <c r="I248" s="43" t="s">
        <v>1522</v>
      </c>
      <c r="J248" s="143" t="s">
        <v>1523</v>
      </c>
      <c r="K248" s="20"/>
      <c r="L248" s="21"/>
      <c r="M248" s="77"/>
      <c r="N248" s="77"/>
      <c r="O248" s="77"/>
      <c r="P248" s="77"/>
      <c r="Q248" s="77"/>
      <c r="R248" s="77"/>
      <c r="S248" s="77"/>
      <c r="T248" s="77"/>
      <c r="U248" s="77"/>
      <c r="V248" s="73"/>
      <c r="W248" s="77"/>
      <c r="X248" s="77"/>
      <c r="Y248" s="72"/>
      <c r="Z248" s="72"/>
      <c r="AA248" s="72"/>
      <c r="AB248" s="51"/>
      <c r="AC248" s="46"/>
      <c r="AD248" s="82"/>
      <c r="AE248" s="25"/>
    </row>
    <row r="249" s="2" customFormat="1" ht="24" customHeight="1" spans="1:31">
      <c r="A249" s="13">
        <v>254</v>
      </c>
      <c r="B249" s="14" t="s">
        <v>896</v>
      </c>
      <c r="C249" s="15" t="s">
        <v>443</v>
      </c>
      <c r="D249" s="15" t="s">
        <v>810</v>
      </c>
      <c r="E249" s="61" t="s">
        <v>811</v>
      </c>
      <c r="F249" s="13" t="s">
        <v>81</v>
      </c>
      <c r="G249" s="16" t="s">
        <v>178</v>
      </c>
      <c r="H249" s="18" t="s">
        <v>39</v>
      </c>
      <c r="I249" s="43" t="s">
        <v>240</v>
      </c>
      <c r="J249" s="143" t="s">
        <v>827</v>
      </c>
      <c r="K249" s="20" t="s">
        <v>39</v>
      </c>
      <c r="L249" s="21">
        <v>1519200</v>
      </c>
      <c r="M249" s="77">
        <v>0.12</v>
      </c>
      <c r="N249" s="77">
        <v>0.01</v>
      </c>
      <c r="O249" s="77">
        <v>0.02</v>
      </c>
      <c r="P249" s="77">
        <v>0.01</v>
      </c>
      <c r="Q249" s="77">
        <v>0.02</v>
      </c>
      <c r="R249" s="77">
        <v>0.01</v>
      </c>
      <c r="S249" s="77">
        <v>0.01</v>
      </c>
      <c r="T249" s="77">
        <v>0.01</v>
      </c>
      <c r="U249" s="77">
        <v>0.01</v>
      </c>
      <c r="V249" s="73">
        <v>50</v>
      </c>
      <c r="W249" s="77">
        <v>0.5</v>
      </c>
      <c r="X249" s="77" t="s">
        <v>39</v>
      </c>
      <c r="Y249" s="72" t="s">
        <v>39</v>
      </c>
      <c r="Z249" s="72" t="s">
        <v>39</v>
      </c>
      <c r="AA249" s="72" t="s">
        <v>39</v>
      </c>
      <c r="AB249" s="51" t="s">
        <v>39</v>
      </c>
      <c r="AC249" s="46" t="s">
        <v>39</v>
      </c>
      <c r="AD249" s="82"/>
      <c r="AE249" s="25" t="s">
        <v>644</v>
      </c>
    </row>
    <row r="250" s="2" customFormat="1" ht="24" customHeight="1" spans="1:31">
      <c r="A250" s="13">
        <v>255</v>
      </c>
      <c r="B250" s="14" t="s">
        <v>899</v>
      </c>
      <c r="C250" s="15" t="s">
        <v>443</v>
      </c>
      <c r="D250" s="15" t="s">
        <v>810</v>
      </c>
      <c r="E250" s="61" t="s">
        <v>811</v>
      </c>
      <c r="F250" s="13" t="s">
        <v>81</v>
      </c>
      <c r="G250" s="16" t="s">
        <v>178</v>
      </c>
      <c r="H250" s="18" t="s">
        <v>39</v>
      </c>
      <c r="I250" s="43" t="s">
        <v>589</v>
      </c>
      <c r="J250" s="144" t="s">
        <v>1524</v>
      </c>
      <c r="K250" s="20" t="s">
        <v>39</v>
      </c>
      <c r="L250" s="21">
        <v>868800</v>
      </c>
      <c r="M250" s="77">
        <v>0.14</v>
      </c>
      <c r="N250" s="77">
        <v>0.01</v>
      </c>
      <c r="O250" s="77">
        <v>0.02</v>
      </c>
      <c r="P250" s="77">
        <v>0.01</v>
      </c>
      <c r="Q250" s="77">
        <v>0.02</v>
      </c>
      <c r="R250" s="77">
        <v>0.03</v>
      </c>
      <c r="S250" s="77">
        <v>0.02</v>
      </c>
      <c r="T250" s="77">
        <v>0.01</v>
      </c>
      <c r="U250" s="77">
        <v>0.02</v>
      </c>
      <c r="V250" s="73">
        <v>50</v>
      </c>
      <c r="W250" s="77">
        <v>0.5</v>
      </c>
      <c r="X250" s="77" t="s">
        <v>39</v>
      </c>
      <c r="Y250" s="72" t="s">
        <v>39</v>
      </c>
      <c r="Z250" s="72" t="s">
        <v>39</v>
      </c>
      <c r="AA250" s="72" t="s">
        <v>39</v>
      </c>
      <c r="AB250" s="51" t="s">
        <v>39</v>
      </c>
      <c r="AC250" s="46" t="s">
        <v>39</v>
      </c>
      <c r="AD250" s="82"/>
      <c r="AE250" s="25" t="s">
        <v>644</v>
      </c>
    </row>
    <row r="251" s="2" customFormat="1" ht="24" customHeight="1" spans="1:31">
      <c r="A251" s="13">
        <v>256</v>
      </c>
      <c r="B251" s="14" t="s">
        <v>902</v>
      </c>
      <c r="C251" s="15" t="s">
        <v>443</v>
      </c>
      <c r="D251" s="15" t="s">
        <v>810</v>
      </c>
      <c r="E251" s="61" t="s">
        <v>811</v>
      </c>
      <c r="F251" s="13" t="s">
        <v>81</v>
      </c>
      <c r="G251" s="16" t="s">
        <v>178</v>
      </c>
      <c r="H251" s="18" t="s">
        <v>39</v>
      </c>
      <c r="I251" s="43" t="s">
        <v>830</v>
      </c>
      <c r="J251" s="143" t="s">
        <v>831</v>
      </c>
      <c r="K251" s="20" t="s">
        <v>39</v>
      </c>
      <c r="L251" s="21">
        <v>780000</v>
      </c>
      <c r="M251" s="77">
        <v>0.14</v>
      </c>
      <c r="N251" s="77">
        <v>0.01</v>
      </c>
      <c r="O251" s="77">
        <v>0.02</v>
      </c>
      <c r="P251" s="77">
        <v>0.01</v>
      </c>
      <c r="Q251" s="77">
        <v>0.02</v>
      </c>
      <c r="R251" s="77">
        <v>0.03</v>
      </c>
      <c r="S251" s="77">
        <v>0.02</v>
      </c>
      <c r="T251" s="77">
        <v>0.02</v>
      </c>
      <c r="U251" s="77">
        <v>0.02</v>
      </c>
      <c r="V251" s="73">
        <v>50</v>
      </c>
      <c r="W251" s="77">
        <v>0.5</v>
      </c>
      <c r="X251" s="77" t="s">
        <v>39</v>
      </c>
      <c r="Y251" s="72" t="s">
        <v>39</v>
      </c>
      <c r="Z251" s="72" t="s">
        <v>39</v>
      </c>
      <c r="AA251" s="72" t="s">
        <v>39</v>
      </c>
      <c r="AB251" s="51" t="s">
        <v>39</v>
      </c>
      <c r="AC251" s="46" t="s">
        <v>39</v>
      </c>
      <c r="AD251" s="82"/>
      <c r="AE251" s="25" t="s">
        <v>815</v>
      </c>
    </row>
    <row r="252" s="2" customFormat="1" ht="24" customHeight="1" spans="1:31">
      <c r="A252" s="13">
        <v>257</v>
      </c>
      <c r="B252" s="14" t="s">
        <v>904</v>
      </c>
      <c r="C252" s="15" t="s">
        <v>443</v>
      </c>
      <c r="D252" s="15" t="s">
        <v>810</v>
      </c>
      <c r="E252" s="61" t="s">
        <v>811</v>
      </c>
      <c r="F252" s="13" t="s">
        <v>81</v>
      </c>
      <c r="G252" s="16" t="s">
        <v>178</v>
      </c>
      <c r="H252" s="18" t="s">
        <v>39</v>
      </c>
      <c r="I252" s="43" t="s">
        <v>673</v>
      </c>
      <c r="J252" s="143" t="s">
        <v>833</v>
      </c>
      <c r="K252" s="20" t="s">
        <v>39</v>
      </c>
      <c r="L252" s="21">
        <v>333600</v>
      </c>
      <c r="M252" s="77">
        <v>0.14</v>
      </c>
      <c r="N252" s="77">
        <v>0.01</v>
      </c>
      <c r="O252" s="77">
        <v>0.02</v>
      </c>
      <c r="P252" s="77">
        <v>0.01</v>
      </c>
      <c r="Q252" s="77">
        <v>0.02</v>
      </c>
      <c r="R252" s="77">
        <v>0.03</v>
      </c>
      <c r="S252" s="77">
        <v>0.02</v>
      </c>
      <c r="T252" s="77">
        <v>0.02</v>
      </c>
      <c r="U252" s="77">
        <v>0.02</v>
      </c>
      <c r="V252" s="73">
        <v>50</v>
      </c>
      <c r="W252" s="77">
        <v>0.5</v>
      </c>
      <c r="X252" s="77" t="s">
        <v>39</v>
      </c>
      <c r="Y252" s="72" t="s">
        <v>39</v>
      </c>
      <c r="Z252" s="72" t="s">
        <v>39</v>
      </c>
      <c r="AA252" s="72" t="s">
        <v>39</v>
      </c>
      <c r="AB252" s="51" t="s">
        <v>39</v>
      </c>
      <c r="AC252" s="46" t="s">
        <v>39</v>
      </c>
      <c r="AD252" s="82"/>
      <c r="AE252" s="25" t="s">
        <v>644</v>
      </c>
    </row>
    <row r="253" s="2" customFormat="1" ht="24" customHeight="1" spans="1:31">
      <c r="A253" s="13">
        <v>258</v>
      </c>
      <c r="B253" s="14" t="s">
        <v>907</v>
      </c>
      <c r="C253" s="15" t="s">
        <v>443</v>
      </c>
      <c r="D253" s="15" t="s">
        <v>810</v>
      </c>
      <c r="E253" s="61" t="s">
        <v>811</v>
      </c>
      <c r="F253" s="13" t="s">
        <v>81</v>
      </c>
      <c r="G253" s="16" t="s">
        <v>178</v>
      </c>
      <c r="H253" s="18" t="s">
        <v>39</v>
      </c>
      <c r="I253" s="43" t="s">
        <v>91</v>
      </c>
      <c r="J253" s="143" t="s">
        <v>835</v>
      </c>
      <c r="K253" s="20" t="s">
        <v>39</v>
      </c>
      <c r="L253" s="21">
        <v>254400</v>
      </c>
      <c r="M253" s="77">
        <v>0.14</v>
      </c>
      <c r="N253" s="77">
        <v>0.01</v>
      </c>
      <c r="O253" s="77">
        <v>0.02</v>
      </c>
      <c r="P253" s="77">
        <v>0.01</v>
      </c>
      <c r="Q253" s="77">
        <v>0.02</v>
      </c>
      <c r="R253" s="77">
        <v>0.03</v>
      </c>
      <c r="S253" s="77">
        <v>0.02</v>
      </c>
      <c r="T253" s="77">
        <v>0.02</v>
      </c>
      <c r="U253" s="77">
        <v>0.02</v>
      </c>
      <c r="V253" s="73">
        <v>50</v>
      </c>
      <c r="W253" s="77">
        <v>0.5</v>
      </c>
      <c r="X253" s="77" t="s">
        <v>39</v>
      </c>
      <c r="Y253" s="72" t="s">
        <v>39</v>
      </c>
      <c r="Z253" s="72" t="s">
        <v>39</v>
      </c>
      <c r="AA253" s="72" t="s">
        <v>39</v>
      </c>
      <c r="AB253" s="51" t="s">
        <v>39</v>
      </c>
      <c r="AC253" s="46" t="s">
        <v>39</v>
      </c>
      <c r="AD253" s="76"/>
      <c r="AE253" s="25" t="s">
        <v>644</v>
      </c>
    </row>
    <row r="254" s="2" customFormat="1" ht="24" customHeight="1" spans="1:31">
      <c r="A254" s="13">
        <v>259</v>
      </c>
      <c r="B254" s="14" t="s">
        <v>909</v>
      </c>
      <c r="C254" s="15" t="s">
        <v>443</v>
      </c>
      <c r="D254" s="15" t="s">
        <v>810</v>
      </c>
      <c r="E254" s="61" t="s">
        <v>811</v>
      </c>
      <c r="F254" s="13" t="s">
        <v>81</v>
      </c>
      <c r="G254" s="16" t="s">
        <v>178</v>
      </c>
      <c r="H254" s="18" t="s">
        <v>39</v>
      </c>
      <c r="I254" s="43" t="s">
        <v>837</v>
      </c>
      <c r="J254" s="143" t="s">
        <v>838</v>
      </c>
      <c r="K254" s="20" t="s">
        <v>39</v>
      </c>
      <c r="L254" s="21">
        <v>892800</v>
      </c>
      <c r="M254" s="77">
        <v>0.14</v>
      </c>
      <c r="N254" s="77">
        <v>0.01</v>
      </c>
      <c r="O254" s="77">
        <v>0.02</v>
      </c>
      <c r="P254" s="77">
        <v>0.01</v>
      </c>
      <c r="Q254" s="77">
        <v>0.02</v>
      </c>
      <c r="R254" s="77">
        <v>0.03</v>
      </c>
      <c r="S254" s="77">
        <v>0.02</v>
      </c>
      <c r="T254" s="77">
        <v>0.02</v>
      </c>
      <c r="U254" s="77">
        <v>0.02</v>
      </c>
      <c r="V254" s="73">
        <v>50</v>
      </c>
      <c r="W254" s="77">
        <v>0.5</v>
      </c>
      <c r="X254" s="77" t="s">
        <v>39</v>
      </c>
      <c r="Y254" s="72" t="s">
        <v>39</v>
      </c>
      <c r="Z254" s="72" t="s">
        <v>39</v>
      </c>
      <c r="AA254" s="72" t="s">
        <v>39</v>
      </c>
      <c r="AB254" s="51" t="s">
        <v>39</v>
      </c>
      <c r="AC254" s="46" t="s">
        <v>39</v>
      </c>
      <c r="AD254" s="76"/>
      <c r="AE254" s="25" t="s">
        <v>644</v>
      </c>
    </row>
    <row r="255" s="2" customFormat="1" ht="24" customHeight="1" spans="1:31">
      <c r="A255" s="13">
        <v>260</v>
      </c>
      <c r="B255" s="14" t="s">
        <v>911</v>
      </c>
      <c r="C255" s="15" t="s">
        <v>443</v>
      </c>
      <c r="D255" s="15" t="s">
        <v>810</v>
      </c>
      <c r="E255" s="61" t="s">
        <v>811</v>
      </c>
      <c r="F255" s="13" t="s">
        <v>81</v>
      </c>
      <c r="G255" s="16" t="s">
        <v>178</v>
      </c>
      <c r="H255" s="18" t="s">
        <v>39</v>
      </c>
      <c r="I255" s="43" t="s">
        <v>840</v>
      </c>
      <c r="J255" s="143" t="s">
        <v>800</v>
      </c>
      <c r="K255" s="20" t="s">
        <v>39</v>
      </c>
      <c r="L255" s="21">
        <v>340800</v>
      </c>
      <c r="M255" s="77">
        <v>0.14</v>
      </c>
      <c r="N255" s="77">
        <v>0.01</v>
      </c>
      <c r="O255" s="77">
        <v>0.02</v>
      </c>
      <c r="P255" s="77">
        <v>0.01</v>
      </c>
      <c r="Q255" s="77">
        <v>0.02</v>
      </c>
      <c r="R255" s="77">
        <v>0.03</v>
      </c>
      <c r="S255" s="77">
        <v>0.02</v>
      </c>
      <c r="T255" s="77">
        <v>0.02</v>
      </c>
      <c r="U255" s="77">
        <v>0.02</v>
      </c>
      <c r="V255" s="73">
        <v>50</v>
      </c>
      <c r="W255" s="74"/>
      <c r="X255" s="72" t="s">
        <v>39</v>
      </c>
      <c r="Y255" s="72" t="s">
        <v>39</v>
      </c>
      <c r="Z255" s="72" t="s">
        <v>39</v>
      </c>
      <c r="AA255" s="72" t="s">
        <v>39</v>
      </c>
      <c r="AB255" s="51" t="s">
        <v>39</v>
      </c>
      <c r="AC255" s="46" t="s">
        <v>39</v>
      </c>
      <c r="AD255" s="76"/>
      <c r="AE255" s="25" t="s">
        <v>644</v>
      </c>
    </row>
    <row r="256" s="2" customFormat="1" ht="24" customHeight="1" spans="1:31">
      <c r="A256" s="13">
        <v>261</v>
      </c>
      <c r="B256" s="14" t="s">
        <v>913</v>
      </c>
      <c r="C256" s="15" t="s">
        <v>443</v>
      </c>
      <c r="D256" s="15" t="s">
        <v>810</v>
      </c>
      <c r="E256" s="61" t="s">
        <v>811</v>
      </c>
      <c r="F256" s="13" t="s">
        <v>81</v>
      </c>
      <c r="G256" s="16" t="s">
        <v>178</v>
      </c>
      <c r="H256" s="18" t="s">
        <v>39</v>
      </c>
      <c r="I256" s="43" t="s">
        <v>843</v>
      </c>
      <c r="J256" s="143" t="s">
        <v>844</v>
      </c>
      <c r="K256" s="20" t="s">
        <v>39</v>
      </c>
      <c r="L256" s="21">
        <v>360000</v>
      </c>
      <c r="M256" s="77">
        <v>0.14</v>
      </c>
      <c r="N256" s="77">
        <v>0.01</v>
      </c>
      <c r="O256" s="77">
        <v>0.02</v>
      </c>
      <c r="P256" s="77">
        <v>0.01</v>
      </c>
      <c r="Q256" s="77">
        <v>0.02</v>
      </c>
      <c r="R256" s="77">
        <v>0.03</v>
      </c>
      <c r="S256" s="77">
        <v>0.02</v>
      </c>
      <c r="T256" s="77">
        <v>0.02</v>
      </c>
      <c r="U256" s="77">
        <v>0.02</v>
      </c>
      <c r="V256" s="73">
        <v>50</v>
      </c>
      <c r="W256" s="77">
        <v>0.5</v>
      </c>
      <c r="X256" s="77" t="s">
        <v>39</v>
      </c>
      <c r="Y256" s="72" t="s">
        <v>39</v>
      </c>
      <c r="Z256" s="72" t="s">
        <v>39</v>
      </c>
      <c r="AA256" s="72" t="s">
        <v>39</v>
      </c>
      <c r="AB256" s="51" t="s">
        <v>39</v>
      </c>
      <c r="AC256" s="46" t="s">
        <v>39</v>
      </c>
      <c r="AD256" s="82"/>
      <c r="AE256" s="25" t="s">
        <v>644</v>
      </c>
    </row>
    <row r="257" s="2" customFormat="1" ht="24" customHeight="1" spans="1:31">
      <c r="A257" s="13">
        <v>262</v>
      </c>
      <c r="B257" s="14" t="s">
        <v>914</v>
      </c>
      <c r="C257" s="15" t="s">
        <v>443</v>
      </c>
      <c r="D257" s="15" t="s">
        <v>810</v>
      </c>
      <c r="E257" s="61" t="s">
        <v>811</v>
      </c>
      <c r="F257" s="13" t="s">
        <v>81</v>
      </c>
      <c r="G257" s="16" t="s">
        <v>178</v>
      </c>
      <c r="H257" s="18" t="s">
        <v>39</v>
      </c>
      <c r="I257" s="43" t="s">
        <v>846</v>
      </c>
      <c r="J257" s="143" t="s">
        <v>847</v>
      </c>
      <c r="K257" s="20" t="s">
        <v>39</v>
      </c>
      <c r="L257" s="21">
        <v>592800</v>
      </c>
      <c r="M257" s="77">
        <v>0.14</v>
      </c>
      <c r="N257" s="77">
        <v>0.01</v>
      </c>
      <c r="O257" s="77">
        <v>0.02</v>
      </c>
      <c r="P257" s="77">
        <v>0.01</v>
      </c>
      <c r="Q257" s="77">
        <v>0.02</v>
      </c>
      <c r="R257" s="77">
        <v>0.03</v>
      </c>
      <c r="S257" s="77">
        <v>0.02</v>
      </c>
      <c r="T257" s="77">
        <v>0.02</v>
      </c>
      <c r="U257" s="77">
        <v>0.02</v>
      </c>
      <c r="V257" s="73">
        <v>50</v>
      </c>
      <c r="W257" s="77">
        <v>0.5</v>
      </c>
      <c r="X257" s="77" t="s">
        <v>39</v>
      </c>
      <c r="Y257" s="72" t="s">
        <v>39</v>
      </c>
      <c r="Z257" s="72" t="s">
        <v>39</v>
      </c>
      <c r="AA257" s="72" t="s">
        <v>39</v>
      </c>
      <c r="AB257" s="51" t="s">
        <v>39</v>
      </c>
      <c r="AC257" s="46" t="s">
        <v>39</v>
      </c>
      <c r="AD257" s="82"/>
      <c r="AE257" s="25" t="s">
        <v>644</v>
      </c>
    </row>
    <row r="258" s="2" customFormat="1" ht="84" customHeight="1" spans="1:31">
      <c r="A258" s="13">
        <v>263</v>
      </c>
      <c r="B258" s="14" t="s">
        <v>917</v>
      </c>
      <c r="C258" s="15" t="s">
        <v>443</v>
      </c>
      <c r="D258" s="15" t="s">
        <v>810</v>
      </c>
      <c r="E258" s="61" t="s">
        <v>811</v>
      </c>
      <c r="F258" s="13" t="s">
        <v>81</v>
      </c>
      <c r="G258" s="16" t="s">
        <v>178</v>
      </c>
      <c r="H258" s="13" t="s">
        <v>624</v>
      </c>
      <c r="I258" s="17" t="s">
        <v>849</v>
      </c>
      <c r="J258" s="143" t="s">
        <v>850</v>
      </c>
      <c r="K258" s="20" t="s">
        <v>39</v>
      </c>
      <c r="L258" s="21">
        <v>540000</v>
      </c>
      <c r="M258" s="72">
        <v>11250</v>
      </c>
      <c r="N258" s="77" t="s">
        <v>39</v>
      </c>
      <c r="O258" s="77" t="s">
        <v>39</v>
      </c>
      <c r="P258" s="81" t="s">
        <v>39</v>
      </c>
      <c r="Q258" s="81" t="s">
        <v>39</v>
      </c>
      <c r="R258" s="81" t="s">
        <v>39</v>
      </c>
      <c r="S258" s="81" t="s">
        <v>39</v>
      </c>
      <c r="T258" s="71" t="s">
        <v>39</v>
      </c>
      <c r="U258" s="95"/>
      <c r="V258" s="73">
        <v>50</v>
      </c>
      <c r="W258" s="77">
        <v>0.6</v>
      </c>
      <c r="X258" s="77" t="s">
        <v>39</v>
      </c>
      <c r="Y258" s="72" t="s">
        <v>39</v>
      </c>
      <c r="Z258" s="72" t="s">
        <v>39</v>
      </c>
      <c r="AA258" s="72" t="s">
        <v>39</v>
      </c>
      <c r="AB258" s="51" t="s">
        <v>39</v>
      </c>
      <c r="AC258" s="46" t="s">
        <v>39</v>
      </c>
      <c r="AD258" s="82" t="s">
        <v>851</v>
      </c>
      <c r="AE258" s="25" t="s">
        <v>852</v>
      </c>
    </row>
    <row r="259" s="2" customFormat="1" ht="24" customHeight="1" spans="1:31">
      <c r="A259" s="13">
        <v>264</v>
      </c>
      <c r="B259" s="14" t="s">
        <v>920</v>
      </c>
      <c r="C259" s="15" t="s">
        <v>443</v>
      </c>
      <c r="D259" s="15" t="s">
        <v>810</v>
      </c>
      <c r="E259" s="61" t="s">
        <v>811</v>
      </c>
      <c r="F259" s="13" t="s">
        <v>81</v>
      </c>
      <c r="G259" s="16" t="s">
        <v>178</v>
      </c>
      <c r="H259" s="13" t="s">
        <v>628</v>
      </c>
      <c r="I259" s="17" t="s">
        <v>855</v>
      </c>
      <c r="J259" s="143" t="s">
        <v>856</v>
      </c>
      <c r="K259" s="20" t="s">
        <v>39</v>
      </c>
      <c r="L259" s="21">
        <v>780000</v>
      </c>
      <c r="M259" s="77">
        <v>0.12</v>
      </c>
      <c r="N259" s="77">
        <v>0.01</v>
      </c>
      <c r="O259" s="77">
        <v>0.01</v>
      </c>
      <c r="P259" s="77">
        <v>0.03</v>
      </c>
      <c r="Q259" s="77">
        <v>0.01</v>
      </c>
      <c r="R259" s="77">
        <v>0.01</v>
      </c>
      <c r="S259" s="77">
        <v>0.01</v>
      </c>
      <c r="T259" s="71" t="s">
        <v>39</v>
      </c>
      <c r="U259" s="72"/>
      <c r="V259" s="77" t="s">
        <v>39</v>
      </c>
      <c r="W259" s="77">
        <v>0.6</v>
      </c>
      <c r="X259" s="77" t="s">
        <v>39</v>
      </c>
      <c r="Y259" s="72" t="s">
        <v>39</v>
      </c>
      <c r="Z259" s="72" t="s">
        <v>39</v>
      </c>
      <c r="AA259" s="72" t="s">
        <v>39</v>
      </c>
      <c r="AB259" s="51" t="s">
        <v>39</v>
      </c>
      <c r="AC259" s="46" t="s">
        <v>39</v>
      </c>
      <c r="AD259" s="145" t="s">
        <v>857</v>
      </c>
      <c r="AE259" s="25" t="s">
        <v>858</v>
      </c>
    </row>
    <row r="260" s="2" customFormat="1" ht="108" customHeight="1" spans="1:31">
      <c r="A260" s="13">
        <v>265</v>
      </c>
      <c r="B260" s="14" t="s">
        <v>925</v>
      </c>
      <c r="C260" s="15" t="s">
        <v>443</v>
      </c>
      <c r="D260" s="15" t="s">
        <v>810</v>
      </c>
      <c r="E260" s="61" t="s">
        <v>811</v>
      </c>
      <c r="F260" s="13" t="s">
        <v>81</v>
      </c>
      <c r="G260" s="16" t="s">
        <v>178</v>
      </c>
      <c r="H260" s="18" t="s">
        <v>39</v>
      </c>
      <c r="I260" s="43" t="s">
        <v>860</v>
      </c>
      <c r="J260" s="143" t="s">
        <v>861</v>
      </c>
      <c r="K260" s="20" t="s">
        <v>39</v>
      </c>
      <c r="L260" s="21">
        <v>1020000</v>
      </c>
      <c r="M260" s="72">
        <v>10000</v>
      </c>
      <c r="N260" s="77" t="s">
        <v>39</v>
      </c>
      <c r="O260" s="77" t="s">
        <v>39</v>
      </c>
      <c r="P260" s="77" t="s">
        <v>39</v>
      </c>
      <c r="Q260" s="77" t="s">
        <v>39</v>
      </c>
      <c r="R260" s="77" t="s">
        <v>39</v>
      </c>
      <c r="S260" s="77" t="s">
        <v>39</v>
      </c>
      <c r="T260" s="77" t="s">
        <v>39</v>
      </c>
      <c r="U260" s="70" t="s">
        <v>39</v>
      </c>
      <c r="V260" s="77" t="s">
        <v>39</v>
      </c>
      <c r="W260" s="74"/>
      <c r="X260" s="77" t="s">
        <v>39</v>
      </c>
      <c r="Y260" s="72" t="s">
        <v>39</v>
      </c>
      <c r="Z260" s="72" t="s">
        <v>39</v>
      </c>
      <c r="AA260" s="72" t="s">
        <v>39</v>
      </c>
      <c r="AB260" s="51" t="s">
        <v>39</v>
      </c>
      <c r="AC260" s="46" t="s">
        <v>39</v>
      </c>
      <c r="AD260" s="82" t="s">
        <v>862</v>
      </c>
      <c r="AE260" s="25" t="s">
        <v>863</v>
      </c>
    </row>
    <row r="261" s="2" customFormat="1" ht="96" customHeight="1" spans="1:31">
      <c r="A261" s="13">
        <v>266</v>
      </c>
      <c r="B261" s="14" t="s">
        <v>927</v>
      </c>
      <c r="C261" s="15" t="s">
        <v>443</v>
      </c>
      <c r="D261" s="15" t="s">
        <v>810</v>
      </c>
      <c r="E261" s="61" t="s">
        <v>811</v>
      </c>
      <c r="F261" s="13" t="s">
        <v>81</v>
      </c>
      <c r="G261" s="16" t="s">
        <v>178</v>
      </c>
      <c r="H261" s="18" t="s">
        <v>39</v>
      </c>
      <c r="I261" s="43" t="s">
        <v>865</v>
      </c>
      <c r="J261" s="143" t="s">
        <v>866</v>
      </c>
      <c r="K261" s="20" t="s">
        <v>39</v>
      </c>
      <c r="L261" s="21">
        <v>328800</v>
      </c>
      <c r="M261" s="72">
        <v>7500</v>
      </c>
      <c r="N261" s="77" t="s">
        <v>39</v>
      </c>
      <c r="O261" s="77" t="s">
        <v>39</v>
      </c>
      <c r="P261" s="77" t="s">
        <v>39</v>
      </c>
      <c r="Q261" s="77" t="s">
        <v>39</v>
      </c>
      <c r="R261" s="77" t="s">
        <v>39</v>
      </c>
      <c r="S261" s="77" t="s">
        <v>39</v>
      </c>
      <c r="T261" s="77" t="s">
        <v>39</v>
      </c>
      <c r="U261" s="95"/>
      <c r="V261" s="77" t="s">
        <v>39</v>
      </c>
      <c r="W261" s="74"/>
      <c r="X261" s="77" t="s">
        <v>39</v>
      </c>
      <c r="Y261" s="72" t="s">
        <v>39</v>
      </c>
      <c r="Z261" s="72" t="s">
        <v>39</v>
      </c>
      <c r="AA261" s="72" t="s">
        <v>39</v>
      </c>
      <c r="AB261" s="51" t="s">
        <v>39</v>
      </c>
      <c r="AC261" s="46" t="s">
        <v>39</v>
      </c>
      <c r="AD261" s="82" t="s">
        <v>867</v>
      </c>
      <c r="AE261" s="25" t="s">
        <v>868</v>
      </c>
    </row>
    <row r="262" s="2" customFormat="1" ht="96" customHeight="1" spans="1:31">
      <c r="A262" s="13">
        <v>267</v>
      </c>
      <c r="B262" s="14" t="s">
        <v>929</v>
      </c>
      <c r="C262" s="15" t="s">
        <v>443</v>
      </c>
      <c r="D262" s="15" t="s">
        <v>810</v>
      </c>
      <c r="E262" s="61" t="s">
        <v>811</v>
      </c>
      <c r="F262" s="13" t="s">
        <v>81</v>
      </c>
      <c r="G262" s="16" t="s">
        <v>178</v>
      </c>
      <c r="H262" s="18" t="s">
        <v>39</v>
      </c>
      <c r="I262" s="43" t="s">
        <v>870</v>
      </c>
      <c r="J262" s="143" t="s">
        <v>871</v>
      </c>
      <c r="K262" s="20" t="s">
        <v>39</v>
      </c>
      <c r="L262" s="21">
        <v>285600</v>
      </c>
      <c r="M262" s="72">
        <v>8750</v>
      </c>
      <c r="N262" s="77" t="s">
        <v>39</v>
      </c>
      <c r="O262" s="77" t="s">
        <v>39</v>
      </c>
      <c r="P262" s="77" t="s">
        <v>39</v>
      </c>
      <c r="Q262" s="77" t="s">
        <v>39</v>
      </c>
      <c r="R262" s="77" t="s">
        <v>39</v>
      </c>
      <c r="S262" s="77" t="s">
        <v>39</v>
      </c>
      <c r="T262" s="77" t="s">
        <v>39</v>
      </c>
      <c r="U262" s="95"/>
      <c r="V262" s="77" t="s">
        <v>39</v>
      </c>
      <c r="W262" s="74"/>
      <c r="X262" s="77" t="s">
        <v>39</v>
      </c>
      <c r="Y262" s="72" t="s">
        <v>39</v>
      </c>
      <c r="Z262" s="72" t="s">
        <v>39</v>
      </c>
      <c r="AA262" s="72" t="s">
        <v>39</v>
      </c>
      <c r="AB262" s="51" t="s">
        <v>39</v>
      </c>
      <c r="AC262" s="46" t="s">
        <v>39</v>
      </c>
      <c r="AD262" s="82" t="s">
        <v>867</v>
      </c>
      <c r="AE262" s="25" t="s">
        <v>872</v>
      </c>
    </row>
    <row r="263" s="2" customFormat="1" ht="12" customHeight="1" spans="1:31">
      <c r="A263" s="13">
        <v>268</v>
      </c>
      <c r="B263" s="14" t="s">
        <v>931</v>
      </c>
      <c r="C263" s="15"/>
      <c r="D263" s="15"/>
      <c r="E263" s="61" t="s">
        <v>811</v>
      </c>
      <c r="F263" s="13" t="s">
        <v>81</v>
      </c>
      <c r="G263" s="16" t="s">
        <v>178</v>
      </c>
      <c r="H263" s="18" t="s">
        <v>39</v>
      </c>
      <c r="I263" s="43" t="s">
        <v>709</v>
      </c>
      <c r="J263" s="143" t="s">
        <v>1530</v>
      </c>
      <c r="K263" s="20"/>
      <c r="L263" s="21"/>
      <c r="M263" s="72"/>
      <c r="N263" s="77"/>
      <c r="O263" s="77"/>
      <c r="P263" s="77"/>
      <c r="Q263" s="77"/>
      <c r="R263" s="77"/>
      <c r="S263" s="77"/>
      <c r="T263" s="77"/>
      <c r="U263" s="95"/>
      <c r="V263" s="77"/>
      <c r="W263" s="74"/>
      <c r="X263" s="77"/>
      <c r="Y263" s="72"/>
      <c r="Z263" s="72"/>
      <c r="AA263" s="72"/>
      <c r="AB263" s="51"/>
      <c r="AC263" s="46"/>
      <c r="AD263" s="82"/>
      <c r="AE263" s="25"/>
    </row>
    <row r="264" s="2" customFormat="1" ht="12" customHeight="1" spans="1:31">
      <c r="A264" s="13">
        <v>269</v>
      </c>
      <c r="B264" s="14" t="s">
        <v>936</v>
      </c>
      <c r="C264" s="15" t="s">
        <v>874</v>
      </c>
      <c r="D264" s="15" t="s">
        <v>875</v>
      </c>
      <c r="E264" s="15" t="s">
        <v>876</v>
      </c>
      <c r="F264" s="13" t="s">
        <v>37</v>
      </c>
      <c r="G264" s="16" t="s">
        <v>48</v>
      </c>
      <c r="H264" s="16" t="s">
        <v>39</v>
      </c>
      <c r="I264" s="43" t="s">
        <v>39</v>
      </c>
      <c r="J264" s="16" t="s">
        <v>39</v>
      </c>
      <c r="K264" s="20" t="s">
        <v>39</v>
      </c>
      <c r="L264" s="21" t="s">
        <v>39</v>
      </c>
      <c r="M264" s="97" t="s">
        <v>39</v>
      </c>
      <c r="N264" s="97" t="s">
        <v>39</v>
      </c>
      <c r="O264" s="97" t="s">
        <v>39</v>
      </c>
      <c r="P264" s="97" t="s">
        <v>39</v>
      </c>
      <c r="Q264" s="97" t="s">
        <v>39</v>
      </c>
      <c r="R264" s="97" t="s">
        <v>39</v>
      </c>
      <c r="S264" s="97" t="s">
        <v>39</v>
      </c>
      <c r="T264" s="97" t="s">
        <v>39</v>
      </c>
      <c r="U264" s="97" t="s">
        <v>39</v>
      </c>
      <c r="V264" s="97" t="s">
        <v>39</v>
      </c>
      <c r="W264" s="80"/>
      <c r="X264" s="146" t="s">
        <v>39</v>
      </c>
      <c r="Y264" s="146" t="s">
        <v>39</v>
      </c>
      <c r="Z264" s="146" t="s">
        <v>39</v>
      </c>
      <c r="AA264" s="146" t="s">
        <v>39</v>
      </c>
      <c r="AB264" s="46">
        <v>0.045</v>
      </c>
      <c r="AC264" s="46" t="s">
        <v>39</v>
      </c>
      <c r="AD264" s="98"/>
      <c r="AE264" s="25"/>
    </row>
    <row r="265" s="2" customFormat="1" ht="72" customHeight="1" spans="1:31">
      <c r="A265" s="13">
        <v>270</v>
      </c>
      <c r="B265" s="14" t="s">
        <v>938</v>
      </c>
      <c r="C265" s="15" t="s">
        <v>874</v>
      </c>
      <c r="D265" s="15" t="s">
        <v>875</v>
      </c>
      <c r="E265" s="15" t="s">
        <v>876</v>
      </c>
      <c r="F265" s="13" t="s">
        <v>81</v>
      </c>
      <c r="G265" s="16" t="s">
        <v>48</v>
      </c>
      <c r="H265" s="18" t="s">
        <v>39</v>
      </c>
      <c r="I265" s="43" t="s">
        <v>316</v>
      </c>
      <c r="J265" s="18" t="s">
        <v>878</v>
      </c>
      <c r="K265" s="20" t="s">
        <v>39</v>
      </c>
      <c r="L265" s="21">
        <v>592800</v>
      </c>
      <c r="M265" s="147">
        <v>0.18</v>
      </c>
      <c r="N265" s="85" t="s">
        <v>39</v>
      </c>
      <c r="O265" s="85" t="s">
        <v>39</v>
      </c>
      <c r="P265" s="85" t="s">
        <v>39</v>
      </c>
      <c r="Q265" s="85" t="s">
        <v>39</v>
      </c>
      <c r="R265" s="85" t="s">
        <v>39</v>
      </c>
      <c r="S265" s="85" t="s">
        <v>39</v>
      </c>
      <c r="T265" s="97">
        <v>0.03</v>
      </c>
      <c r="U265" s="147">
        <v>0.03</v>
      </c>
      <c r="V265" s="85" t="s">
        <v>39</v>
      </c>
      <c r="W265" s="80"/>
      <c r="X265" s="146" t="s">
        <v>39</v>
      </c>
      <c r="Y265" s="146" t="s">
        <v>39</v>
      </c>
      <c r="Z265" s="146" t="s">
        <v>39</v>
      </c>
      <c r="AA265" s="146" t="s">
        <v>39</v>
      </c>
      <c r="AB265" s="51" t="s">
        <v>39</v>
      </c>
      <c r="AC265" s="46" t="s">
        <v>39</v>
      </c>
      <c r="AD265" s="148" t="s">
        <v>879</v>
      </c>
      <c r="AE265" s="25" t="s">
        <v>880</v>
      </c>
    </row>
    <row r="266" s="2" customFormat="1" ht="72" customHeight="1" spans="1:31">
      <c r="A266" s="13">
        <v>271</v>
      </c>
      <c r="B266" s="14" t="s">
        <v>941</v>
      </c>
      <c r="C266" s="15" t="s">
        <v>874</v>
      </c>
      <c r="D266" s="15" t="s">
        <v>875</v>
      </c>
      <c r="E266" s="15" t="s">
        <v>876</v>
      </c>
      <c r="F266" s="13" t="s">
        <v>81</v>
      </c>
      <c r="G266" s="16" t="s">
        <v>48</v>
      </c>
      <c r="H266" s="18" t="s">
        <v>39</v>
      </c>
      <c r="I266" s="43" t="s">
        <v>882</v>
      </c>
      <c r="J266" s="55" t="s">
        <v>1531</v>
      </c>
      <c r="K266" s="20" t="s">
        <v>39</v>
      </c>
      <c r="L266" s="21">
        <v>626400</v>
      </c>
      <c r="M266" s="147">
        <v>0.15</v>
      </c>
      <c r="N266" s="85" t="s">
        <v>39</v>
      </c>
      <c r="O266" s="85" t="s">
        <v>39</v>
      </c>
      <c r="P266" s="85" t="s">
        <v>39</v>
      </c>
      <c r="Q266" s="85" t="s">
        <v>39</v>
      </c>
      <c r="R266" s="85" t="s">
        <v>39</v>
      </c>
      <c r="S266" s="85" t="s">
        <v>39</v>
      </c>
      <c r="T266" s="102">
        <v>0.015</v>
      </c>
      <c r="U266" s="149">
        <v>0.015</v>
      </c>
      <c r="V266" s="85" t="s">
        <v>39</v>
      </c>
      <c r="W266" s="80"/>
      <c r="X266" s="146" t="s">
        <v>39</v>
      </c>
      <c r="Y266" s="146" t="s">
        <v>39</v>
      </c>
      <c r="Z266" s="146" t="s">
        <v>39</v>
      </c>
      <c r="AA266" s="146" t="s">
        <v>39</v>
      </c>
      <c r="AB266" s="51" t="s">
        <v>39</v>
      </c>
      <c r="AC266" s="46" t="s">
        <v>39</v>
      </c>
      <c r="AD266" s="148" t="s">
        <v>879</v>
      </c>
      <c r="AE266" s="25" t="s">
        <v>880</v>
      </c>
    </row>
    <row r="267" s="2" customFormat="1" ht="72" customHeight="1" spans="1:31">
      <c r="A267" s="13">
        <v>272</v>
      </c>
      <c r="B267" s="14" t="s">
        <v>944</v>
      </c>
      <c r="C267" s="15" t="s">
        <v>874</v>
      </c>
      <c r="D267" s="15" t="s">
        <v>875</v>
      </c>
      <c r="E267" s="15" t="s">
        <v>876</v>
      </c>
      <c r="F267" s="13" t="s">
        <v>81</v>
      </c>
      <c r="G267" s="16" t="s">
        <v>48</v>
      </c>
      <c r="H267" s="18" t="s">
        <v>39</v>
      </c>
      <c r="I267" s="43" t="s">
        <v>885</v>
      </c>
      <c r="J267" s="18" t="s">
        <v>886</v>
      </c>
      <c r="K267" s="20" t="s">
        <v>39</v>
      </c>
      <c r="L267" s="21">
        <v>343200</v>
      </c>
      <c r="M267" s="147">
        <v>0.2</v>
      </c>
      <c r="N267" s="85" t="s">
        <v>39</v>
      </c>
      <c r="O267" s="85" t="s">
        <v>39</v>
      </c>
      <c r="P267" s="85" t="s">
        <v>39</v>
      </c>
      <c r="Q267" s="85" t="s">
        <v>39</v>
      </c>
      <c r="R267" s="85" t="s">
        <v>39</v>
      </c>
      <c r="S267" s="85" t="s">
        <v>39</v>
      </c>
      <c r="T267" s="97">
        <v>0.03</v>
      </c>
      <c r="U267" s="147">
        <v>0.03</v>
      </c>
      <c r="V267" s="85" t="s">
        <v>39</v>
      </c>
      <c r="W267" s="80"/>
      <c r="X267" s="146" t="s">
        <v>39</v>
      </c>
      <c r="Y267" s="146" t="s">
        <v>39</v>
      </c>
      <c r="Z267" s="146" t="s">
        <v>39</v>
      </c>
      <c r="AA267" s="146" t="s">
        <v>39</v>
      </c>
      <c r="AB267" s="51" t="s">
        <v>39</v>
      </c>
      <c r="AC267" s="46" t="s">
        <v>39</v>
      </c>
      <c r="AD267" s="148" t="s">
        <v>879</v>
      </c>
      <c r="AE267" s="25" t="s">
        <v>880</v>
      </c>
    </row>
    <row r="268" s="2" customFormat="1" ht="72" customHeight="1" spans="1:31">
      <c r="A268" s="13">
        <v>273</v>
      </c>
      <c r="B268" s="14" t="s">
        <v>947</v>
      </c>
      <c r="C268" s="15" t="s">
        <v>874</v>
      </c>
      <c r="D268" s="15" t="s">
        <v>875</v>
      </c>
      <c r="E268" s="15" t="s">
        <v>876</v>
      </c>
      <c r="F268" s="13" t="s">
        <v>81</v>
      </c>
      <c r="G268" s="16" t="s">
        <v>48</v>
      </c>
      <c r="H268" s="18" t="s">
        <v>39</v>
      </c>
      <c r="I268" s="43" t="s">
        <v>888</v>
      </c>
      <c r="J268" s="18" t="s">
        <v>889</v>
      </c>
      <c r="K268" s="20" t="s">
        <v>39</v>
      </c>
      <c r="L268" s="21">
        <v>676800</v>
      </c>
      <c r="M268" s="147">
        <v>0.19</v>
      </c>
      <c r="N268" s="85" t="s">
        <v>39</v>
      </c>
      <c r="O268" s="85" t="s">
        <v>39</v>
      </c>
      <c r="P268" s="85" t="s">
        <v>39</v>
      </c>
      <c r="Q268" s="85" t="s">
        <v>39</v>
      </c>
      <c r="R268" s="85" t="s">
        <v>39</v>
      </c>
      <c r="S268" s="85" t="s">
        <v>39</v>
      </c>
      <c r="T268" s="97">
        <v>0.03</v>
      </c>
      <c r="U268" s="147">
        <v>0.03</v>
      </c>
      <c r="V268" s="85" t="s">
        <v>39</v>
      </c>
      <c r="W268" s="80"/>
      <c r="X268" s="146" t="s">
        <v>39</v>
      </c>
      <c r="Y268" s="146" t="s">
        <v>39</v>
      </c>
      <c r="Z268" s="146" t="s">
        <v>39</v>
      </c>
      <c r="AA268" s="146" t="s">
        <v>39</v>
      </c>
      <c r="AB268" s="51" t="s">
        <v>39</v>
      </c>
      <c r="AC268" s="46" t="s">
        <v>39</v>
      </c>
      <c r="AD268" s="148" t="s">
        <v>879</v>
      </c>
      <c r="AE268" s="25" t="s">
        <v>880</v>
      </c>
    </row>
    <row r="269" s="2" customFormat="1" ht="72" customHeight="1" spans="1:31">
      <c r="A269" s="13">
        <v>274</v>
      </c>
      <c r="B269" s="14" t="s">
        <v>951</v>
      </c>
      <c r="C269" s="15" t="s">
        <v>874</v>
      </c>
      <c r="D269" s="15" t="s">
        <v>875</v>
      </c>
      <c r="E269" s="15" t="s">
        <v>876</v>
      </c>
      <c r="F269" s="13" t="s">
        <v>81</v>
      </c>
      <c r="G269" s="16" t="s">
        <v>48</v>
      </c>
      <c r="H269" s="18" t="s">
        <v>39</v>
      </c>
      <c r="I269" s="43" t="s">
        <v>891</v>
      </c>
      <c r="J269" s="18" t="s">
        <v>892</v>
      </c>
      <c r="K269" s="20" t="s">
        <v>39</v>
      </c>
      <c r="L269" s="21">
        <v>408000</v>
      </c>
      <c r="M269" s="147">
        <v>0.2</v>
      </c>
      <c r="N269" s="85" t="s">
        <v>39</v>
      </c>
      <c r="O269" s="85" t="s">
        <v>39</v>
      </c>
      <c r="P269" s="85" t="s">
        <v>39</v>
      </c>
      <c r="Q269" s="85" t="s">
        <v>39</v>
      </c>
      <c r="R269" s="85" t="s">
        <v>39</v>
      </c>
      <c r="S269" s="85" t="s">
        <v>39</v>
      </c>
      <c r="T269" s="97">
        <v>0.03</v>
      </c>
      <c r="U269" s="147">
        <v>0.03</v>
      </c>
      <c r="V269" s="85" t="s">
        <v>39</v>
      </c>
      <c r="W269" s="80"/>
      <c r="X269" s="146" t="s">
        <v>39</v>
      </c>
      <c r="Y269" s="146" t="s">
        <v>39</v>
      </c>
      <c r="Z269" s="146" t="s">
        <v>39</v>
      </c>
      <c r="AA269" s="146" t="s">
        <v>39</v>
      </c>
      <c r="AB269" s="51" t="s">
        <v>39</v>
      </c>
      <c r="AC269" s="46" t="s">
        <v>39</v>
      </c>
      <c r="AD269" s="148" t="s">
        <v>879</v>
      </c>
      <c r="AE269" s="25" t="s">
        <v>880</v>
      </c>
    </row>
    <row r="270" s="2" customFormat="1" ht="72" customHeight="1" spans="1:31">
      <c r="A270" s="13">
        <v>275</v>
      </c>
      <c r="B270" s="14" t="s">
        <v>954</v>
      </c>
      <c r="C270" s="15" t="s">
        <v>874</v>
      </c>
      <c r="D270" s="15" t="s">
        <v>875</v>
      </c>
      <c r="E270" s="15" t="s">
        <v>876</v>
      </c>
      <c r="F270" s="13" t="s">
        <v>81</v>
      </c>
      <c r="G270" s="16" t="s">
        <v>48</v>
      </c>
      <c r="H270" s="18" t="s">
        <v>39</v>
      </c>
      <c r="I270" s="43" t="s">
        <v>894</v>
      </c>
      <c r="J270" s="18" t="s">
        <v>895</v>
      </c>
      <c r="K270" s="20" t="s">
        <v>39</v>
      </c>
      <c r="L270" s="21">
        <v>595200</v>
      </c>
      <c r="M270" s="147">
        <v>0.21</v>
      </c>
      <c r="N270" s="85" t="s">
        <v>39</v>
      </c>
      <c r="O270" s="85" t="s">
        <v>39</v>
      </c>
      <c r="P270" s="85" t="s">
        <v>39</v>
      </c>
      <c r="Q270" s="85" t="s">
        <v>39</v>
      </c>
      <c r="R270" s="85" t="s">
        <v>39</v>
      </c>
      <c r="S270" s="85" t="s">
        <v>39</v>
      </c>
      <c r="T270" s="97">
        <v>0.02</v>
      </c>
      <c r="U270" s="147">
        <v>0.02</v>
      </c>
      <c r="V270" s="85" t="s">
        <v>39</v>
      </c>
      <c r="W270" s="80"/>
      <c r="X270" s="146" t="s">
        <v>39</v>
      </c>
      <c r="Y270" s="146" t="s">
        <v>39</v>
      </c>
      <c r="Z270" s="146" t="s">
        <v>39</v>
      </c>
      <c r="AA270" s="146" t="s">
        <v>39</v>
      </c>
      <c r="AB270" s="51" t="s">
        <v>39</v>
      </c>
      <c r="AC270" s="46" t="s">
        <v>39</v>
      </c>
      <c r="AD270" s="148" t="s">
        <v>879</v>
      </c>
      <c r="AE270" s="25" t="s">
        <v>880</v>
      </c>
    </row>
    <row r="271" s="2" customFormat="1" ht="72" customHeight="1" spans="1:31">
      <c r="A271" s="13">
        <v>276</v>
      </c>
      <c r="B271" s="14" t="s">
        <v>957</v>
      </c>
      <c r="C271" s="15" t="s">
        <v>874</v>
      </c>
      <c r="D271" s="15" t="s">
        <v>875</v>
      </c>
      <c r="E271" s="15" t="s">
        <v>876</v>
      </c>
      <c r="F271" s="13" t="s">
        <v>81</v>
      </c>
      <c r="G271" s="16" t="s">
        <v>48</v>
      </c>
      <c r="H271" s="18" t="s">
        <v>39</v>
      </c>
      <c r="I271" s="43" t="s">
        <v>897</v>
      </c>
      <c r="J271" s="18" t="s">
        <v>898</v>
      </c>
      <c r="K271" s="20" t="s">
        <v>39</v>
      </c>
      <c r="L271" s="21">
        <v>595200</v>
      </c>
      <c r="M271" s="147">
        <v>0.2</v>
      </c>
      <c r="N271" s="85" t="s">
        <v>39</v>
      </c>
      <c r="O271" s="85" t="s">
        <v>39</v>
      </c>
      <c r="P271" s="85" t="s">
        <v>39</v>
      </c>
      <c r="Q271" s="85" t="s">
        <v>39</v>
      </c>
      <c r="R271" s="85" t="s">
        <v>39</v>
      </c>
      <c r="S271" s="85" t="s">
        <v>39</v>
      </c>
      <c r="T271" s="97">
        <v>0.03</v>
      </c>
      <c r="U271" s="147">
        <v>0.03</v>
      </c>
      <c r="V271" s="85" t="s">
        <v>39</v>
      </c>
      <c r="W271" s="80"/>
      <c r="X271" s="146" t="s">
        <v>39</v>
      </c>
      <c r="Y271" s="146" t="s">
        <v>39</v>
      </c>
      <c r="Z271" s="146" t="s">
        <v>39</v>
      </c>
      <c r="AA271" s="146" t="s">
        <v>39</v>
      </c>
      <c r="AB271" s="51" t="s">
        <v>39</v>
      </c>
      <c r="AC271" s="46" t="s">
        <v>39</v>
      </c>
      <c r="AD271" s="150" t="s">
        <v>879</v>
      </c>
      <c r="AE271" s="25" t="s">
        <v>880</v>
      </c>
    </row>
    <row r="272" s="2" customFormat="1" ht="72" customHeight="1" spans="1:31">
      <c r="A272" s="13">
        <v>277</v>
      </c>
      <c r="B272" s="14" t="s">
        <v>960</v>
      </c>
      <c r="C272" s="15" t="s">
        <v>874</v>
      </c>
      <c r="D272" s="15" t="s">
        <v>875</v>
      </c>
      <c r="E272" s="15" t="s">
        <v>876</v>
      </c>
      <c r="F272" s="13" t="s">
        <v>81</v>
      </c>
      <c r="G272" s="16" t="s">
        <v>48</v>
      </c>
      <c r="H272" s="18" t="s">
        <v>39</v>
      </c>
      <c r="I272" s="43" t="s">
        <v>900</v>
      </c>
      <c r="J272" s="18" t="s">
        <v>901</v>
      </c>
      <c r="K272" s="20" t="s">
        <v>39</v>
      </c>
      <c r="L272" s="21">
        <v>626400</v>
      </c>
      <c r="M272" s="147">
        <v>0.19</v>
      </c>
      <c r="N272" s="85" t="s">
        <v>39</v>
      </c>
      <c r="O272" s="85" t="s">
        <v>39</v>
      </c>
      <c r="P272" s="85" t="s">
        <v>39</v>
      </c>
      <c r="Q272" s="85" t="s">
        <v>39</v>
      </c>
      <c r="R272" s="85" t="s">
        <v>39</v>
      </c>
      <c r="S272" s="85" t="s">
        <v>39</v>
      </c>
      <c r="T272" s="97">
        <v>0.03</v>
      </c>
      <c r="U272" s="147">
        <v>0.03</v>
      </c>
      <c r="V272" s="85" t="s">
        <v>39</v>
      </c>
      <c r="W272" s="80"/>
      <c r="X272" s="146" t="s">
        <v>39</v>
      </c>
      <c r="Y272" s="146" t="s">
        <v>39</v>
      </c>
      <c r="Z272" s="146" t="s">
        <v>39</v>
      </c>
      <c r="AA272" s="146" t="s">
        <v>39</v>
      </c>
      <c r="AB272" s="51" t="s">
        <v>39</v>
      </c>
      <c r="AC272" s="46" t="s">
        <v>39</v>
      </c>
      <c r="AD272" s="150" t="s">
        <v>879</v>
      </c>
      <c r="AE272" s="25" t="s">
        <v>880</v>
      </c>
    </row>
    <row r="273" s="2" customFormat="1" ht="72" customHeight="1" spans="1:31">
      <c r="A273" s="13">
        <v>278</v>
      </c>
      <c r="B273" s="14" t="s">
        <v>962</v>
      </c>
      <c r="C273" s="15" t="s">
        <v>874</v>
      </c>
      <c r="D273" s="15" t="s">
        <v>875</v>
      </c>
      <c r="E273" s="15" t="s">
        <v>876</v>
      </c>
      <c r="F273" s="13" t="s">
        <v>81</v>
      </c>
      <c r="G273" s="16" t="s">
        <v>48</v>
      </c>
      <c r="H273" s="18" t="s">
        <v>39</v>
      </c>
      <c r="I273" s="43" t="s">
        <v>589</v>
      </c>
      <c r="J273" s="18" t="s">
        <v>903</v>
      </c>
      <c r="K273" s="20" t="s">
        <v>39</v>
      </c>
      <c r="L273" s="21">
        <v>984000</v>
      </c>
      <c r="M273" s="147">
        <v>0.2</v>
      </c>
      <c r="N273" s="85" t="s">
        <v>39</v>
      </c>
      <c r="O273" s="85" t="s">
        <v>39</v>
      </c>
      <c r="P273" s="85" t="s">
        <v>39</v>
      </c>
      <c r="Q273" s="85" t="s">
        <v>39</v>
      </c>
      <c r="R273" s="85" t="s">
        <v>39</v>
      </c>
      <c r="S273" s="85" t="s">
        <v>39</v>
      </c>
      <c r="T273" s="97">
        <v>0.03</v>
      </c>
      <c r="U273" s="147">
        <v>0.03</v>
      </c>
      <c r="V273" s="85" t="s">
        <v>39</v>
      </c>
      <c r="W273" s="80"/>
      <c r="X273" s="146" t="s">
        <v>39</v>
      </c>
      <c r="Y273" s="146" t="s">
        <v>39</v>
      </c>
      <c r="Z273" s="146" t="s">
        <v>39</v>
      </c>
      <c r="AA273" s="146" t="s">
        <v>39</v>
      </c>
      <c r="AB273" s="51" t="s">
        <v>39</v>
      </c>
      <c r="AC273" s="46" t="s">
        <v>39</v>
      </c>
      <c r="AD273" s="150" t="s">
        <v>879</v>
      </c>
      <c r="AE273" s="25" t="s">
        <v>880</v>
      </c>
    </row>
    <row r="274" s="2" customFormat="1" ht="72" customHeight="1" spans="1:31">
      <c r="A274" s="13">
        <v>279</v>
      </c>
      <c r="B274" s="14" t="s">
        <v>964</v>
      </c>
      <c r="C274" s="15" t="s">
        <v>874</v>
      </c>
      <c r="D274" s="15" t="s">
        <v>875</v>
      </c>
      <c r="E274" s="15" t="s">
        <v>876</v>
      </c>
      <c r="F274" s="13" t="s">
        <v>81</v>
      </c>
      <c r="G274" s="16" t="s">
        <v>48</v>
      </c>
      <c r="H274" s="18" t="s">
        <v>39</v>
      </c>
      <c r="I274" s="43" t="s">
        <v>905</v>
      </c>
      <c r="J274" s="18" t="s">
        <v>906</v>
      </c>
      <c r="K274" s="20" t="s">
        <v>39</v>
      </c>
      <c r="L274" s="21">
        <v>626400</v>
      </c>
      <c r="M274" s="113">
        <v>0.19</v>
      </c>
      <c r="N274" s="24" t="s">
        <v>39</v>
      </c>
      <c r="O274" s="24" t="s">
        <v>39</v>
      </c>
      <c r="P274" s="24" t="s">
        <v>39</v>
      </c>
      <c r="Q274" s="24" t="s">
        <v>39</v>
      </c>
      <c r="R274" s="24" t="s">
        <v>39</v>
      </c>
      <c r="S274" s="24" t="s">
        <v>39</v>
      </c>
      <c r="T274" s="20">
        <v>0.03</v>
      </c>
      <c r="U274" s="113">
        <v>0.03</v>
      </c>
      <c r="V274" s="24" t="s">
        <v>39</v>
      </c>
      <c r="W274" s="44"/>
      <c r="X274" s="51" t="s">
        <v>39</v>
      </c>
      <c r="Y274" s="51" t="s">
        <v>39</v>
      </c>
      <c r="Z274" s="51" t="s">
        <v>39</v>
      </c>
      <c r="AA274" s="51" t="s">
        <v>39</v>
      </c>
      <c r="AB274" s="51" t="s">
        <v>39</v>
      </c>
      <c r="AC274" s="46" t="s">
        <v>39</v>
      </c>
      <c r="AD274" s="48" t="s">
        <v>879</v>
      </c>
      <c r="AE274" s="25" t="s">
        <v>880</v>
      </c>
    </row>
    <row r="275" s="2" customFormat="1" ht="72" customHeight="1" spans="1:31">
      <c r="A275" s="13">
        <v>280</v>
      </c>
      <c r="B275" s="14" t="s">
        <v>967</v>
      </c>
      <c r="C275" s="15" t="s">
        <v>874</v>
      </c>
      <c r="D275" s="15" t="s">
        <v>875</v>
      </c>
      <c r="E275" s="15" t="s">
        <v>876</v>
      </c>
      <c r="F275" s="13" t="s">
        <v>81</v>
      </c>
      <c r="G275" s="16" t="s">
        <v>48</v>
      </c>
      <c r="H275" s="18" t="s">
        <v>39</v>
      </c>
      <c r="I275" s="43" t="s">
        <v>424</v>
      </c>
      <c r="J275" s="93" t="s">
        <v>908</v>
      </c>
      <c r="K275" s="20" t="s">
        <v>39</v>
      </c>
      <c r="L275" s="21">
        <v>626400</v>
      </c>
      <c r="M275" s="113">
        <v>0.2</v>
      </c>
      <c r="N275" s="24" t="s">
        <v>39</v>
      </c>
      <c r="O275" s="24" t="s">
        <v>39</v>
      </c>
      <c r="P275" s="24" t="s">
        <v>39</v>
      </c>
      <c r="Q275" s="24" t="s">
        <v>39</v>
      </c>
      <c r="R275" s="24" t="s">
        <v>39</v>
      </c>
      <c r="S275" s="24" t="s">
        <v>39</v>
      </c>
      <c r="T275" s="20">
        <v>0.03</v>
      </c>
      <c r="U275" s="113">
        <v>0.03</v>
      </c>
      <c r="V275" s="24" t="s">
        <v>39</v>
      </c>
      <c r="W275" s="44"/>
      <c r="X275" s="51" t="s">
        <v>39</v>
      </c>
      <c r="Y275" s="51" t="s">
        <v>39</v>
      </c>
      <c r="Z275" s="51" t="s">
        <v>39</v>
      </c>
      <c r="AA275" s="51" t="s">
        <v>39</v>
      </c>
      <c r="AB275" s="51" t="s">
        <v>39</v>
      </c>
      <c r="AC275" s="46" t="s">
        <v>39</v>
      </c>
      <c r="AD275" s="48" t="s">
        <v>879</v>
      </c>
      <c r="AE275" s="25" t="s">
        <v>880</v>
      </c>
    </row>
    <row r="276" s="2" customFormat="1" ht="72" customHeight="1" spans="1:31">
      <c r="A276" s="13">
        <v>281</v>
      </c>
      <c r="B276" s="14" t="s">
        <v>969</v>
      </c>
      <c r="C276" s="15" t="s">
        <v>874</v>
      </c>
      <c r="D276" s="15" t="s">
        <v>875</v>
      </c>
      <c r="E276" s="15" t="s">
        <v>876</v>
      </c>
      <c r="F276" s="13" t="s">
        <v>81</v>
      </c>
      <c r="G276" s="16" t="s">
        <v>48</v>
      </c>
      <c r="H276" s="18" t="s">
        <v>39</v>
      </c>
      <c r="I276" s="43" t="s">
        <v>223</v>
      </c>
      <c r="J276" s="93" t="s">
        <v>910</v>
      </c>
      <c r="K276" s="20" t="s">
        <v>39</v>
      </c>
      <c r="L276" s="21">
        <v>408000</v>
      </c>
      <c r="M276" s="113">
        <v>0.18</v>
      </c>
      <c r="N276" s="24" t="s">
        <v>39</v>
      </c>
      <c r="O276" s="24" t="s">
        <v>39</v>
      </c>
      <c r="P276" s="24" t="s">
        <v>39</v>
      </c>
      <c r="Q276" s="24" t="s">
        <v>39</v>
      </c>
      <c r="R276" s="24" t="s">
        <v>39</v>
      </c>
      <c r="S276" s="24" t="s">
        <v>39</v>
      </c>
      <c r="T276" s="20">
        <v>0.03</v>
      </c>
      <c r="U276" s="113">
        <v>0.03</v>
      </c>
      <c r="V276" s="24" t="s">
        <v>39</v>
      </c>
      <c r="W276" s="44"/>
      <c r="X276" s="51" t="s">
        <v>39</v>
      </c>
      <c r="Y276" s="51" t="s">
        <v>39</v>
      </c>
      <c r="Z276" s="51" t="s">
        <v>39</v>
      </c>
      <c r="AA276" s="51" t="s">
        <v>39</v>
      </c>
      <c r="AB276" s="51" t="s">
        <v>39</v>
      </c>
      <c r="AC276" s="46" t="s">
        <v>39</v>
      </c>
      <c r="AD276" s="48" t="s">
        <v>879</v>
      </c>
      <c r="AE276" s="25" t="s">
        <v>880</v>
      </c>
    </row>
    <row r="277" s="2" customFormat="1" ht="72" customHeight="1" spans="1:31">
      <c r="A277" s="13">
        <v>282</v>
      </c>
      <c r="B277" s="14" t="s">
        <v>971</v>
      </c>
      <c r="C277" s="15" t="s">
        <v>874</v>
      </c>
      <c r="D277" s="15" t="s">
        <v>875</v>
      </c>
      <c r="E277" s="15" t="s">
        <v>876</v>
      </c>
      <c r="F277" s="13" t="s">
        <v>81</v>
      </c>
      <c r="G277" s="16" t="s">
        <v>48</v>
      </c>
      <c r="H277" s="18" t="s">
        <v>39</v>
      </c>
      <c r="I277" s="43" t="s">
        <v>709</v>
      </c>
      <c r="J277" s="93" t="s">
        <v>912</v>
      </c>
      <c r="K277" s="20" t="s">
        <v>39</v>
      </c>
      <c r="L277" s="21">
        <v>626400</v>
      </c>
      <c r="M277" s="113">
        <v>0.2</v>
      </c>
      <c r="N277" s="24" t="s">
        <v>39</v>
      </c>
      <c r="O277" s="24" t="s">
        <v>39</v>
      </c>
      <c r="P277" s="24" t="s">
        <v>39</v>
      </c>
      <c r="Q277" s="24" t="s">
        <v>39</v>
      </c>
      <c r="R277" s="24" t="s">
        <v>39</v>
      </c>
      <c r="S277" s="24" t="s">
        <v>39</v>
      </c>
      <c r="T277" s="20">
        <v>0.03</v>
      </c>
      <c r="U277" s="113">
        <v>0.03</v>
      </c>
      <c r="V277" s="24" t="s">
        <v>39</v>
      </c>
      <c r="W277" s="44"/>
      <c r="X277" s="51" t="s">
        <v>39</v>
      </c>
      <c r="Y277" s="51" t="s">
        <v>39</v>
      </c>
      <c r="Z277" s="51" t="s">
        <v>39</v>
      </c>
      <c r="AA277" s="51" t="s">
        <v>39</v>
      </c>
      <c r="AB277" s="51" t="s">
        <v>39</v>
      </c>
      <c r="AC277" s="46" t="s">
        <v>39</v>
      </c>
      <c r="AD277" s="48" t="s">
        <v>879</v>
      </c>
      <c r="AE277" s="25" t="s">
        <v>880</v>
      </c>
    </row>
    <row r="278" s="2" customFormat="1" ht="72" customHeight="1" spans="1:31">
      <c r="A278" s="13">
        <v>283</v>
      </c>
      <c r="B278" s="14" t="s">
        <v>973</v>
      </c>
      <c r="C278" s="15" t="s">
        <v>874</v>
      </c>
      <c r="D278" s="15" t="s">
        <v>875</v>
      </c>
      <c r="E278" s="15" t="s">
        <v>876</v>
      </c>
      <c r="F278" s="13" t="s">
        <v>81</v>
      </c>
      <c r="G278" s="16" t="s">
        <v>48</v>
      </c>
      <c r="H278" s="18" t="s">
        <v>39</v>
      </c>
      <c r="I278" s="43" t="s">
        <v>791</v>
      </c>
      <c r="J278" s="93" t="s">
        <v>912</v>
      </c>
      <c r="K278" s="20" t="s">
        <v>39</v>
      </c>
      <c r="L278" s="21">
        <v>319200</v>
      </c>
      <c r="M278" s="113">
        <v>0.12</v>
      </c>
      <c r="N278" s="24" t="s">
        <v>39</v>
      </c>
      <c r="O278" s="24" t="s">
        <v>39</v>
      </c>
      <c r="P278" s="24" t="s">
        <v>39</v>
      </c>
      <c r="Q278" s="24" t="s">
        <v>39</v>
      </c>
      <c r="R278" s="24" t="s">
        <v>39</v>
      </c>
      <c r="S278" s="24" t="s">
        <v>39</v>
      </c>
      <c r="T278" s="24" t="s">
        <v>39</v>
      </c>
      <c r="U278" s="116" t="s">
        <v>39</v>
      </c>
      <c r="V278" s="24" t="s">
        <v>39</v>
      </c>
      <c r="W278" s="44"/>
      <c r="X278" s="51" t="s">
        <v>39</v>
      </c>
      <c r="Y278" s="51" t="s">
        <v>39</v>
      </c>
      <c r="Z278" s="51" t="s">
        <v>39</v>
      </c>
      <c r="AA278" s="51" t="s">
        <v>39</v>
      </c>
      <c r="AB278" s="51" t="s">
        <v>39</v>
      </c>
      <c r="AC278" s="46" t="s">
        <v>39</v>
      </c>
      <c r="AD278" s="48" t="s">
        <v>879</v>
      </c>
      <c r="AE278" s="25" t="s">
        <v>880</v>
      </c>
    </row>
    <row r="279" s="2" customFormat="1" ht="72" customHeight="1" spans="1:31">
      <c r="A279" s="13">
        <v>284</v>
      </c>
      <c r="B279" s="14" t="s">
        <v>975</v>
      </c>
      <c r="C279" s="15" t="s">
        <v>874</v>
      </c>
      <c r="D279" s="15" t="s">
        <v>875</v>
      </c>
      <c r="E279" s="15" t="s">
        <v>876</v>
      </c>
      <c r="F279" s="13" t="s">
        <v>81</v>
      </c>
      <c r="G279" s="16" t="s">
        <v>48</v>
      </c>
      <c r="H279" s="18" t="s">
        <v>39</v>
      </c>
      <c r="I279" s="43" t="s">
        <v>915</v>
      </c>
      <c r="J279" s="93" t="s">
        <v>916</v>
      </c>
      <c r="K279" s="20" t="s">
        <v>39</v>
      </c>
      <c r="L279" s="21">
        <v>592800</v>
      </c>
      <c r="M279" s="113">
        <v>0.18</v>
      </c>
      <c r="N279" s="24" t="s">
        <v>39</v>
      </c>
      <c r="O279" s="24" t="s">
        <v>39</v>
      </c>
      <c r="P279" s="24" t="s">
        <v>39</v>
      </c>
      <c r="Q279" s="24" t="s">
        <v>39</v>
      </c>
      <c r="R279" s="24" t="s">
        <v>39</v>
      </c>
      <c r="S279" s="24" t="s">
        <v>39</v>
      </c>
      <c r="T279" s="20">
        <v>0.03</v>
      </c>
      <c r="U279" s="113">
        <v>0.03</v>
      </c>
      <c r="V279" s="24" t="s">
        <v>39</v>
      </c>
      <c r="W279" s="44"/>
      <c r="X279" s="51" t="s">
        <v>39</v>
      </c>
      <c r="Y279" s="51" t="s">
        <v>39</v>
      </c>
      <c r="Z279" s="51" t="s">
        <v>39</v>
      </c>
      <c r="AA279" s="51" t="s">
        <v>39</v>
      </c>
      <c r="AB279" s="51" t="s">
        <v>39</v>
      </c>
      <c r="AC279" s="46" t="s">
        <v>39</v>
      </c>
      <c r="AD279" s="48" t="s">
        <v>879</v>
      </c>
      <c r="AE279" s="25" t="s">
        <v>880</v>
      </c>
    </row>
    <row r="280" s="2" customFormat="1" ht="12" customHeight="1" spans="1:31">
      <c r="A280" s="13">
        <v>285</v>
      </c>
      <c r="B280" s="14" t="s">
        <v>977</v>
      </c>
      <c r="C280" s="15"/>
      <c r="D280" s="15"/>
      <c r="E280" s="15" t="s">
        <v>876</v>
      </c>
      <c r="F280" s="13" t="s">
        <v>81</v>
      </c>
      <c r="G280" s="16" t="s">
        <v>48</v>
      </c>
      <c r="H280" s="88" t="s">
        <v>39</v>
      </c>
      <c r="I280" s="17" t="s">
        <v>882</v>
      </c>
      <c r="J280" s="93" t="s">
        <v>883</v>
      </c>
      <c r="K280" s="20"/>
      <c r="L280" s="21"/>
      <c r="M280" s="24"/>
      <c r="N280" s="24"/>
      <c r="O280" s="24"/>
      <c r="P280" s="24"/>
      <c r="Q280" s="24"/>
      <c r="R280" s="24"/>
      <c r="S280" s="24"/>
      <c r="T280" s="18"/>
      <c r="U280" s="24"/>
      <c r="V280" s="24"/>
      <c r="W280" s="18"/>
      <c r="X280" s="51"/>
      <c r="Y280" s="51"/>
      <c r="Z280" s="51"/>
      <c r="AA280" s="51"/>
      <c r="AB280" s="46"/>
      <c r="AC280" s="46"/>
      <c r="AD280" s="17"/>
      <c r="AE280" s="25"/>
    </row>
    <row r="281" s="2" customFormat="1" ht="12" customHeight="1" spans="1:31">
      <c r="A281" s="13">
        <v>286</v>
      </c>
      <c r="B281" s="14" t="s">
        <v>980</v>
      </c>
      <c r="C281" s="15" t="s">
        <v>874</v>
      </c>
      <c r="D281" s="15" t="s">
        <v>918</v>
      </c>
      <c r="E281" s="15" t="s">
        <v>919</v>
      </c>
      <c r="F281" s="13" t="s">
        <v>53</v>
      </c>
      <c r="G281" s="16" t="s">
        <v>48</v>
      </c>
      <c r="H281" s="13" t="s">
        <v>39</v>
      </c>
      <c r="I281" s="17" t="s">
        <v>39</v>
      </c>
      <c r="J281" s="93" t="s">
        <v>39</v>
      </c>
      <c r="K281" s="20" t="s">
        <v>39</v>
      </c>
      <c r="L281" s="21">
        <v>908000</v>
      </c>
      <c r="M281" s="24" t="s">
        <v>39</v>
      </c>
      <c r="N281" s="24" t="s">
        <v>39</v>
      </c>
      <c r="O281" s="24" t="s">
        <v>39</v>
      </c>
      <c r="P281" s="24" t="s">
        <v>39</v>
      </c>
      <c r="Q281" s="24" t="s">
        <v>39</v>
      </c>
      <c r="R281" s="24" t="s">
        <v>39</v>
      </c>
      <c r="S281" s="24" t="s">
        <v>39</v>
      </c>
      <c r="T281" s="18" t="s">
        <v>39</v>
      </c>
      <c r="U281" s="24" t="s">
        <v>39</v>
      </c>
      <c r="V281" s="24" t="s">
        <v>39</v>
      </c>
      <c r="W281" s="18" t="s">
        <v>39</v>
      </c>
      <c r="X281" s="51" t="s">
        <v>39</v>
      </c>
      <c r="Y281" s="51" t="s">
        <v>39</v>
      </c>
      <c r="Z281" s="51" t="s">
        <v>39</v>
      </c>
      <c r="AA281" s="51" t="s">
        <v>39</v>
      </c>
      <c r="AB281" s="46">
        <v>0.11</v>
      </c>
      <c r="AC281" s="46" t="s">
        <v>39</v>
      </c>
      <c r="AD281" s="17"/>
      <c r="AE281" s="25"/>
    </row>
    <row r="282" s="2" customFormat="1" ht="12" customHeight="1" spans="1:31">
      <c r="A282" s="13">
        <v>287</v>
      </c>
      <c r="B282" s="14" t="s">
        <v>983</v>
      </c>
      <c r="C282" s="15" t="s">
        <v>874</v>
      </c>
      <c r="D282" s="15" t="s">
        <v>921</v>
      </c>
      <c r="E282" s="15" t="s">
        <v>922</v>
      </c>
      <c r="F282" s="13" t="s">
        <v>47</v>
      </c>
      <c r="G282" s="16" t="s">
        <v>48</v>
      </c>
      <c r="H282" s="16" t="s">
        <v>39</v>
      </c>
      <c r="I282" s="17" t="s">
        <v>923</v>
      </c>
      <c r="J282" s="93" t="s">
        <v>924</v>
      </c>
      <c r="K282" s="20" t="s">
        <v>39</v>
      </c>
      <c r="L282" s="21" t="s">
        <v>39</v>
      </c>
      <c r="M282" s="24" t="s">
        <v>39</v>
      </c>
      <c r="N282" s="24" t="s">
        <v>39</v>
      </c>
      <c r="O282" s="24" t="s">
        <v>39</v>
      </c>
      <c r="P282" s="24" t="s">
        <v>39</v>
      </c>
      <c r="Q282" s="24" t="s">
        <v>39</v>
      </c>
      <c r="R282" s="24" t="s">
        <v>39</v>
      </c>
      <c r="S282" s="24" t="s">
        <v>39</v>
      </c>
      <c r="T282" s="18" t="s">
        <v>39</v>
      </c>
      <c r="U282" s="24" t="s">
        <v>39</v>
      </c>
      <c r="V282" s="24" t="s">
        <v>39</v>
      </c>
      <c r="W282" s="50"/>
      <c r="X282" s="51" t="s">
        <v>39</v>
      </c>
      <c r="Y282" s="51" t="s">
        <v>39</v>
      </c>
      <c r="Z282" s="51" t="s">
        <v>39</v>
      </c>
      <c r="AA282" s="51" t="s">
        <v>39</v>
      </c>
      <c r="AB282" s="46">
        <v>0.035</v>
      </c>
      <c r="AC282" s="46" t="s">
        <v>39</v>
      </c>
      <c r="AD282" s="17"/>
      <c r="AE282" s="25"/>
    </row>
    <row r="283" s="2" customFormat="1" ht="12" customHeight="1" spans="1:31">
      <c r="A283" s="13">
        <v>288</v>
      </c>
      <c r="B283" s="14" t="s">
        <v>986</v>
      </c>
      <c r="C283" s="15" t="s">
        <v>874</v>
      </c>
      <c r="D283" s="15" t="s">
        <v>921</v>
      </c>
      <c r="E283" s="15" t="s">
        <v>922</v>
      </c>
      <c r="F283" s="13" t="s">
        <v>47</v>
      </c>
      <c r="G283" s="16" t="s">
        <v>48</v>
      </c>
      <c r="H283" s="16" t="s">
        <v>39</v>
      </c>
      <c r="I283" s="17" t="s">
        <v>926</v>
      </c>
      <c r="J283" s="93" t="s">
        <v>924</v>
      </c>
      <c r="K283" s="20" t="s">
        <v>39</v>
      </c>
      <c r="L283" s="21" t="s">
        <v>39</v>
      </c>
      <c r="M283" s="24" t="s">
        <v>39</v>
      </c>
      <c r="N283" s="24" t="s">
        <v>39</v>
      </c>
      <c r="O283" s="24" t="s">
        <v>39</v>
      </c>
      <c r="P283" s="24" t="s">
        <v>39</v>
      </c>
      <c r="Q283" s="24" t="s">
        <v>39</v>
      </c>
      <c r="R283" s="24" t="s">
        <v>39</v>
      </c>
      <c r="S283" s="24" t="s">
        <v>39</v>
      </c>
      <c r="T283" s="18" t="s">
        <v>39</v>
      </c>
      <c r="U283" s="24" t="s">
        <v>39</v>
      </c>
      <c r="V283" s="24" t="s">
        <v>39</v>
      </c>
      <c r="W283" s="50"/>
      <c r="X283" s="51" t="s">
        <v>39</v>
      </c>
      <c r="Y283" s="51" t="s">
        <v>39</v>
      </c>
      <c r="Z283" s="51" t="s">
        <v>39</v>
      </c>
      <c r="AA283" s="51" t="s">
        <v>39</v>
      </c>
      <c r="AB283" s="46">
        <v>0.035</v>
      </c>
      <c r="AC283" s="46" t="s">
        <v>39</v>
      </c>
      <c r="AD283" s="17"/>
      <c r="AE283" s="25"/>
    </row>
    <row r="284" s="2" customFormat="1" ht="12" customHeight="1" spans="1:31">
      <c r="A284" s="13">
        <v>289</v>
      </c>
      <c r="B284" s="14" t="s">
        <v>990</v>
      </c>
      <c r="C284" s="15" t="s">
        <v>874</v>
      </c>
      <c r="D284" s="15" t="s">
        <v>921</v>
      </c>
      <c r="E284" s="15" t="s">
        <v>922</v>
      </c>
      <c r="F284" s="13" t="s">
        <v>47</v>
      </c>
      <c r="G284" s="16" t="s">
        <v>48</v>
      </c>
      <c r="H284" s="16" t="s">
        <v>39</v>
      </c>
      <c r="I284" s="17" t="s">
        <v>928</v>
      </c>
      <c r="J284" s="93" t="s">
        <v>924</v>
      </c>
      <c r="K284" s="20" t="s">
        <v>39</v>
      </c>
      <c r="L284" s="21" t="s">
        <v>39</v>
      </c>
      <c r="M284" s="24" t="s">
        <v>39</v>
      </c>
      <c r="N284" s="24" t="s">
        <v>39</v>
      </c>
      <c r="O284" s="24" t="s">
        <v>39</v>
      </c>
      <c r="P284" s="24" t="s">
        <v>39</v>
      </c>
      <c r="Q284" s="24" t="s">
        <v>39</v>
      </c>
      <c r="R284" s="24" t="s">
        <v>39</v>
      </c>
      <c r="S284" s="24" t="s">
        <v>39</v>
      </c>
      <c r="T284" s="18" t="s">
        <v>39</v>
      </c>
      <c r="U284" s="24" t="s">
        <v>39</v>
      </c>
      <c r="V284" s="24" t="s">
        <v>39</v>
      </c>
      <c r="W284" s="50"/>
      <c r="X284" s="51" t="s">
        <v>39</v>
      </c>
      <c r="Y284" s="51" t="s">
        <v>39</v>
      </c>
      <c r="Z284" s="51" t="s">
        <v>39</v>
      </c>
      <c r="AA284" s="51" t="s">
        <v>39</v>
      </c>
      <c r="AB284" s="46">
        <v>0.035</v>
      </c>
      <c r="AC284" s="46" t="s">
        <v>39</v>
      </c>
      <c r="AD284" s="17"/>
      <c r="AE284" s="25"/>
    </row>
    <row r="285" s="2" customFormat="1" ht="12" customHeight="1" spans="1:31">
      <c r="A285" s="13">
        <v>290</v>
      </c>
      <c r="B285" s="14" t="s">
        <v>993</v>
      </c>
      <c r="C285" s="15" t="s">
        <v>874</v>
      </c>
      <c r="D285" s="15" t="s">
        <v>921</v>
      </c>
      <c r="E285" s="15" t="s">
        <v>922</v>
      </c>
      <c r="F285" s="13" t="s">
        <v>47</v>
      </c>
      <c r="G285" s="16" t="s">
        <v>48</v>
      </c>
      <c r="H285" s="16" t="s">
        <v>39</v>
      </c>
      <c r="I285" s="17" t="s">
        <v>930</v>
      </c>
      <c r="J285" s="93" t="s">
        <v>924</v>
      </c>
      <c r="K285" s="20" t="s">
        <v>39</v>
      </c>
      <c r="L285" s="21" t="s">
        <v>39</v>
      </c>
      <c r="M285" s="24" t="s">
        <v>39</v>
      </c>
      <c r="N285" s="24" t="s">
        <v>39</v>
      </c>
      <c r="O285" s="24" t="s">
        <v>39</v>
      </c>
      <c r="P285" s="24" t="s">
        <v>39</v>
      </c>
      <c r="Q285" s="24" t="s">
        <v>39</v>
      </c>
      <c r="R285" s="24" t="s">
        <v>39</v>
      </c>
      <c r="S285" s="24" t="s">
        <v>39</v>
      </c>
      <c r="T285" s="18" t="s">
        <v>39</v>
      </c>
      <c r="U285" s="24" t="s">
        <v>39</v>
      </c>
      <c r="V285" s="24" t="s">
        <v>39</v>
      </c>
      <c r="W285" s="50"/>
      <c r="X285" s="51" t="s">
        <v>39</v>
      </c>
      <c r="Y285" s="51" t="s">
        <v>39</v>
      </c>
      <c r="Z285" s="51" t="s">
        <v>39</v>
      </c>
      <c r="AA285" s="51" t="s">
        <v>39</v>
      </c>
      <c r="AB285" s="46">
        <v>0.035</v>
      </c>
      <c r="AC285" s="46" t="s">
        <v>39</v>
      </c>
      <c r="AD285" s="17"/>
      <c r="AE285" s="25"/>
    </row>
    <row r="286" s="2" customFormat="1" ht="36" customHeight="1" spans="1:31">
      <c r="A286" s="13">
        <v>291</v>
      </c>
      <c r="B286" s="14" t="s">
        <v>995</v>
      </c>
      <c r="C286" s="15" t="s">
        <v>874</v>
      </c>
      <c r="D286" s="15" t="s">
        <v>921</v>
      </c>
      <c r="E286" s="15" t="s">
        <v>922</v>
      </c>
      <c r="F286" s="13" t="s">
        <v>47</v>
      </c>
      <c r="G286" s="16" t="s">
        <v>48</v>
      </c>
      <c r="H286" s="18" t="s">
        <v>60</v>
      </c>
      <c r="I286" s="43" t="s">
        <v>932</v>
      </c>
      <c r="J286" s="93" t="s">
        <v>933</v>
      </c>
      <c r="K286" s="20" t="s">
        <v>39</v>
      </c>
      <c r="L286" s="21">
        <v>1200000</v>
      </c>
      <c r="M286" s="113">
        <v>0.13</v>
      </c>
      <c r="N286" s="24" t="s">
        <v>39</v>
      </c>
      <c r="O286" s="24" t="s">
        <v>39</v>
      </c>
      <c r="P286" s="24" t="s">
        <v>39</v>
      </c>
      <c r="Q286" s="24" t="s">
        <v>39</v>
      </c>
      <c r="R286" s="24" t="s">
        <v>39</v>
      </c>
      <c r="S286" s="24" t="s">
        <v>39</v>
      </c>
      <c r="T286" s="18">
        <v>3000</v>
      </c>
      <c r="U286" s="24">
        <v>4000</v>
      </c>
      <c r="V286" s="24" t="s">
        <v>39</v>
      </c>
      <c r="W286" s="18" t="s">
        <v>934</v>
      </c>
      <c r="X286" s="51" t="s">
        <v>39</v>
      </c>
      <c r="Y286" s="51" t="s">
        <v>39</v>
      </c>
      <c r="Z286" s="51" t="s">
        <v>39</v>
      </c>
      <c r="AA286" s="51" t="s">
        <v>39</v>
      </c>
      <c r="AB286" s="51" t="s">
        <v>39</v>
      </c>
      <c r="AC286" s="46" t="s">
        <v>39</v>
      </c>
      <c r="AD286" s="17"/>
      <c r="AE286" s="25" t="s">
        <v>935</v>
      </c>
    </row>
    <row r="287" s="2" customFormat="1" ht="36" customHeight="1" spans="1:31">
      <c r="A287" s="13">
        <v>292</v>
      </c>
      <c r="B287" s="14" t="s">
        <v>997</v>
      </c>
      <c r="C287" s="15" t="s">
        <v>874</v>
      </c>
      <c r="D287" s="15" t="s">
        <v>921</v>
      </c>
      <c r="E287" s="15" t="s">
        <v>922</v>
      </c>
      <c r="F287" s="13" t="s">
        <v>47</v>
      </c>
      <c r="G287" s="16" t="s">
        <v>48</v>
      </c>
      <c r="H287" s="18" t="s">
        <v>66</v>
      </c>
      <c r="I287" s="43" t="s">
        <v>818</v>
      </c>
      <c r="J287" s="93" t="s">
        <v>937</v>
      </c>
      <c r="K287" s="20" t="s">
        <v>39</v>
      </c>
      <c r="L287" s="21">
        <v>540000</v>
      </c>
      <c r="M287" s="113">
        <v>0.23</v>
      </c>
      <c r="N287" s="24" t="s">
        <v>39</v>
      </c>
      <c r="O287" s="24" t="s">
        <v>39</v>
      </c>
      <c r="P287" s="24" t="s">
        <v>39</v>
      </c>
      <c r="Q287" s="24" t="s">
        <v>39</v>
      </c>
      <c r="R287" s="24" t="s">
        <v>39</v>
      </c>
      <c r="S287" s="24" t="s">
        <v>39</v>
      </c>
      <c r="T287" s="24" t="s">
        <v>39</v>
      </c>
      <c r="U287" s="24" t="s">
        <v>39</v>
      </c>
      <c r="V287" s="24" t="s">
        <v>39</v>
      </c>
      <c r="W287" s="18" t="s">
        <v>934</v>
      </c>
      <c r="X287" s="51" t="s">
        <v>39</v>
      </c>
      <c r="Y287" s="51" t="s">
        <v>39</v>
      </c>
      <c r="Z287" s="51" t="s">
        <v>39</v>
      </c>
      <c r="AA287" s="51" t="s">
        <v>39</v>
      </c>
      <c r="AB287" s="51" t="s">
        <v>39</v>
      </c>
      <c r="AC287" s="46" t="s">
        <v>39</v>
      </c>
      <c r="AD287" s="17"/>
      <c r="AE287" s="25" t="s">
        <v>935</v>
      </c>
    </row>
    <row r="288" s="2" customFormat="1" ht="36" customHeight="1" spans="1:31">
      <c r="A288" s="13">
        <v>293</v>
      </c>
      <c r="B288" s="14" t="s">
        <v>1000</v>
      </c>
      <c r="C288" s="15" t="s">
        <v>874</v>
      </c>
      <c r="D288" s="15" t="s">
        <v>921</v>
      </c>
      <c r="E288" s="15" t="s">
        <v>922</v>
      </c>
      <c r="F288" s="13" t="s">
        <v>47</v>
      </c>
      <c r="G288" s="16" t="s">
        <v>48</v>
      </c>
      <c r="H288" s="18" t="s">
        <v>70</v>
      </c>
      <c r="I288" s="43" t="s">
        <v>939</v>
      </c>
      <c r="J288" s="93" t="s">
        <v>940</v>
      </c>
      <c r="K288" s="20" t="s">
        <v>39</v>
      </c>
      <c r="L288" s="21">
        <v>720000</v>
      </c>
      <c r="M288" s="113">
        <v>0.05</v>
      </c>
      <c r="N288" s="24" t="s">
        <v>39</v>
      </c>
      <c r="O288" s="24" t="s">
        <v>39</v>
      </c>
      <c r="P288" s="24" t="s">
        <v>39</v>
      </c>
      <c r="Q288" s="24" t="s">
        <v>39</v>
      </c>
      <c r="R288" s="24" t="s">
        <v>39</v>
      </c>
      <c r="S288" s="24" t="s">
        <v>39</v>
      </c>
      <c r="T288" s="24" t="s">
        <v>39</v>
      </c>
      <c r="U288" s="24" t="s">
        <v>39</v>
      </c>
      <c r="V288" s="24" t="s">
        <v>39</v>
      </c>
      <c r="W288" s="18" t="s">
        <v>934</v>
      </c>
      <c r="X288" s="51" t="s">
        <v>39</v>
      </c>
      <c r="Y288" s="51" t="s">
        <v>39</v>
      </c>
      <c r="Z288" s="51" t="s">
        <v>39</v>
      </c>
      <c r="AA288" s="51" t="s">
        <v>39</v>
      </c>
      <c r="AB288" s="51" t="s">
        <v>39</v>
      </c>
      <c r="AC288" s="46" t="s">
        <v>39</v>
      </c>
      <c r="AD288" s="17"/>
      <c r="AE288" s="25" t="s">
        <v>935</v>
      </c>
    </row>
    <row r="289" s="2" customFormat="1" ht="36" customHeight="1" spans="1:31">
      <c r="A289" s="13">
        <v>294</v>
      </c>
      <c r="B289" s="14" t="s">
        <v>1003</v>
      </c>
      <c r="C289" s="15" t="s">
        <v>874</v>
      </c>
      <c r="D289" s="15" t="s">
        <v>921</v>
      </c>
      <c r="E289" s="15" t="s">
        <v>922</v>
      </c>
      <c r="F289" s="13" t="s">
        <v>47</v>
      </c>
      <c r="G289" s="16" t="s">
        <v>48</v>
      </c>
      <c r="H289" s="18" t="s">
        <v>74</v>
      </c>
      <c r="I289" s="43" t="s">
        <v>942</v>
      </c>
      <c r="J289" s="93" t="s">
        <v>943</v>
      </c>
      <c r="K289" s="20" t="s">
        <v>39</v>
      </c>
      <c r="L289" s="21">
        <v>360000</v>
      </c>
      <c r="M289" s="113">
        <v>0.1</v>
      </c>
      <c r="N289" s="24" t="s">
        <v>39</v>
      </c>
      <c r="O289" s="24" t="s">
        <v>39</v>
      </c>
      <c r="P289" s="24" t="s">
        <v>39</v>
      </c>
      <c r="Q289" s="24" t="s">
        <v>39</v>
      </c>
      <c r="R289" s="24" t="s">
        <v>39</v>
      </c>
      <c r="S289" s="24" t="s">
        <v>39</v>
      </c>
      <c r="T289" s="24" t="s">
        <v>39</v>
      </c>
      <c r="U289" s="24" t="s">
        <v>39</v>
      </c>
      <c r="V289" s="24" t="s">
        <v>39</v>
      </c>
      <c r="W289" s="18" t="s">
        <v>934</v>
      </c>
      <c r="X289" s="51" t="s">
        <v>39</v>
      </c>
      <c r="Y289" s="51" t="s">
        <v>39</v>
      </c>
      <c r="Z289" s="51" t="s">
        <v>39</v>
      </c>
      <c r="AA289" s="51" t="s">
        <v>39</v>
      </c>
      <c r="AB289" s="51" t="s">
        <v>39</v>
      </c>
      <c r="AC289" s="46" t="s">
        <v>39</v>
      </c>
      <c r="AD289" s="17"/>
      <c r="AE289" s="25" t="s">
        <v>935</v>
      </c>
    </row>
    <row r="290" s="2" customFormat="1" ht="12" customHeight="1" spans="1:31">
      <c r="A290" s="13">
        <v>295</v>
      </c>
      <c r="B290" s="14" t="s">
        <v>1006</v>
      </c>
      <c r="C290" s="15" t="s">
        <v>874</v>
      </c>
      <c r="D290" s="15" t="s">
        <v>945</v>
      </c>
      <c r="E290" s="15" t="s">
        <v>946</v>
      </c>
      <c r="F290" s="13" t="s">
        <v>37</v>
      </c>
      <c r="G290" s="16" t="s">
        <v>48</v>
      </c>
      <c r="H290" s="16" t="s">
        <v>39</v>
      </c>
      <c r="I290" s="43" t="s">
        <v>39</v>
      </c>
      <c r="J290" s="134" t="s">
        <v>39</v>
      </c>
      <c r="K290" s="20" t="s">
        <v>39</v>
      </c>
      <c r="L290" s="21" t="s">
        <v>39</v>
      </c>
      <c r="M290" s="20" t="s">
        <v>39</v>
      </c>
      <c r="N290" s="20" t="s">
        <v>39</v>
      </c>
      <c r="O290" s="20" t="s">
        <v>39</v>
      </c>
      <c r="P290" s="20" t="s">
        <v>39</v>
      </c>
      <c r="Q290" s="20" t="s">
        <v>39</v>
      </c>
      <c r="R290" s="20" t="s">
        <v>39</v>
      </c>
      <c r="S290" s="20" t="s">
        <v>39</v>
      </c>
      <c r="T290" s="20" t="s">
        <v>39</v>
      </c>
      <c r="U290" s="24" t="s">
        <v>39</v>
      </c>
      <c r="V290" s="20" t="s">
        <v>39</v>
      </c>
      <c r="W290" s="51" t="s">
        <v>39</v>
      </c>
      <c r="X290" s="51" t="s">
        <v>39</v>
      </c>
      <c r="Y290" s="51" t="s">
        <v>39</v>
      </c>
      <c r="Z290" s="51" t="s">
        <v>39</v>
      </c>
      <c r="AA290" s="51" t="s">
        <v>39</v>
      </c>
      <c r="AB290" s="46">
        <v>0.045</v>
      </c>
      <c r="AC290" s="46" t="s">
        <v>39</v>
      </c>
      <c r="AD290" s="17"/>
      <c r="AE290" s="25"/>
    </row>
    <row r="291" s="2" customFormat="1" ht="24" customHeight="1" spans="1:31">
      <c r="A291" s="13">
        <v>296</v>
      </c>
      <c r="B291" s="14" t="s">
        <v>1008</v>
      </c>
      <c r="C291" s="15" t="s">
        <v>874</v>
      </c>
      <c r="D291" s="15" t="s">
        <v>945</v>
      </c>
      <c r="E291" s="15" t="s">
        <v>946</v>
      </c>
      <c r="F291" s="13" t="s">
        <v>81</v>
      </c>
      <c r="G291" s="16" t="s">
        <v>48</v>
      </c>
      <c r="H291" s="18" t="s">
        <v>39</v>
      </c>
      <c r="I291" s="43" t="s">
        <v>240</v>
      </c>
      <c r="J291" s="18" t="s">
        <v>948</v>
      </c>
      <c r="K291" s="20" t="s">
        <v>39</v>
      </c>
      <c r="L291" s="21">
        <v>1488000</v>
      </c>
      <c r="M291" s="113">
        <v>0.11</v>
      </c>
      <c r="N291" s="113">
        <v>0.01</v>
      </c>
      <c r="O291" s="24" t="s">
        <v>39</v>
      </c>
      <c r="P291" s="113">
        <v>0.02</v>
      </c>
      <c r="Q291" s="113">
        <v>0.01</v>
      </c>
      <c r="R291" s="113">
        <v>0.01</v>
      </c>
      <c r="S291" s="24" t="s">
        <v>39</v>
      </c>
      <c r="T291" s="26"/>
      <c r="U291" s="26"/>
      <c r="V291" s="24" t="s">
        <v>39</v>
      </c>
      <c r="W291" s="20">
        <v>0.5</v>
      </c>
      <c r="X291" s="51" t="s">
        <v>39</v>
      </c>
      <c r="Y291" s="51" t="s">
        <v>39</v>
      </c>
      <c r="Z291" s="51" t="s">
        <v>39</v>
      </c>
      <c r="AA291" s="51" t="s">
        <v>39</v>
      </c>
      <c r="AB291" s="51" t="s">
        <v>39</v>
      </c>
      <c r="AC291" s="46" t="s">
        <v>39</v>
      </c>
      <c r="AD291" s="17"/>
      <c r="AE291" s="25" t="s">
        <v>949</v>
      </c>
    </row>
    <row r="292" s="2" customFormat="1" ht="24" customHeight="1" spans="1:31">
      <c r="A292" s="13">
        <v>297</v>
      </c>
      <c r="B292" s="14" t="s">
        <v>1010</v>
      </c>
      <c r="C292" s="15" t="s">
        <v>874</v>
      </c>
      <c r="D292" s="15" t="s">
        <v>945</v>
      </c>
      <c r="E292" s="15" t="s">
        <v>946</v>
      </c>
      <c r="F292" s="13" t="s">
        <v>81</v>
      </c>
      <c r="G292" s="16" t="s">
        <v>48</v>
      </c>
      <c r="H292" s="18" t="s">
        <v>39</v>
      </c>
      <c r="I292" s="43" t="s">
        <v>952</v>
      </c>
      <c r="J292" s="18" t="s">
        <v>953</v>
      </c>
      <c r="K292" s="20" t="s">
        <v>39</v>
      </c>
      <c r="L292" s="21">
        <v>510000</v>
      </c>
      <c r="M292" s="113">
        <v>0.13</v>
      </c>
      <c r="N292" s="113">
        <v>0.01</v>
      </c>
      <c r="O292" s="24" t="s">
        <v>39</v>
      </c>
      <c r="P292" s="113">
        <v>0.02</v>
      </c>
      <c r="Q292" s="113">
        <v>0.01</v>
      </c>
      <c r="R292" s="113">
        <v>0.01</v>
      </c>
      <c r="S292" s="24" t="s">
        <v>39</v>
      </c>
      <c r="T292" s="20">
        <v>0.04</v>
      </c>
      <c r="U292" s="113">
        <v>0.01</v>
      </c>
      <c r="V292" s="24" t="s">
        <v>39</v>
      </c>
      <c r="W292" s="20">
        <v>0.5</v>
      </c>
      <c r="X292" s="51" t="s">
        <v>39</v>
      </c>
      <c r="Y292" s="51" t="s">
        <v>39</v>
      </c>
      <c r="Z292" s="51" t="s">
        <v>39</v>
      </c>
      <c r="AA292" s="51" t="s">
        <v>39</v>
      </c>
      <c r="AB292" s="51" t="s">
        <v>39</v>
      </c>
      <c r="AC292" s="46" t="s">
        <v>39</v>
      </c>
      <c r="AD292" s="17"/>
      <c r="AE292" s="25" t="s">
        <v>949</v>
      </c>
    </row>
    <row r="293" s="2" customFormat="1" ht="24" customHeight="1" spans="1:31">
      <c r="A293" s="13">
        <v>298</v>
      </c>
      <c r="B293" s="14" t="s">
        <v>1014</v>
      </c>
      <c r="C293" s="15" t="s">
        <v>874</v>
      </c>
      <c r="D293" s="15" t="s">
        <v>945</v>
      </c>
      <c r="E293" s="15" t="s">
        <v>946</v>
      </c>
      <c r="F293" s="13" t="s">
        <v>81</v>
      </c>
      <c r="G293" s="16" t="s">
        <v>48</v>
      </c>
      <c r="H293" s="18" t="s">
        <v>39</v>
      </c>
      <c r="I293" s="43" t="s">
        <v>955</v>
      </c>
      <c r="J293" s="18" t="s">
        <v>956</v>
      </c>
      <c r="K293" s="20" t="s">
        <v>39</v>
      </c>
      <c r="L293" s="21">
        <v>510000</v>
      </c>
      <c r="M293" s="113">
        <v>0.11</v>
      </c>
      <c r="N293" s="113">
        <v>0.01</v>
      </c>
      <c r="O293" s="24" t="s">
        <v>39</v>
      </c>
      <c r="P293" s="113">
        <v>0.02</v>
      </c>
      <c r="Q293" s="113">
        <v>0.01</v>
      </c>
      <c r="R293" s="113">
        <v>0.01</v>
      </c>
      <c r="S293" s="24" t="s">
        <v>39</v>
      </c>
      <c r="T293" s="26"/>
      <c r="U293" s="26"/>
      <c r="V293" s="24" t="s">
        <v>39</v>
      </c>
      <c r="W293" s="20">
        <v>0.5</v>
      </c>
      <c r="X293" s="51" t="s">
        <v>39</v>
      </c>
      <c r="Y293" s="51" t="s">
        <v>39</v>
      </c>
      <c r="Z293" s="51" t="s">
        <v>39</v>
      </c>
      <c r="AA293" s="51" t="s">
        <v>39</v>
      </c>
      <c r="AB293" s="51" t="s">
        <v>39</v>
      </c>
      <c r="AC293" s="46" t="s">
        <v>39</v>
      </c>
      <c r="AD293" s="17"/>
      <c r="AE293" s="25" t="s">
        <v>949</v>
      </c>
    </row>
    <row r="294" s="2" customFormat="1" ht="24" customHeight="1" spans="1:31">
      <c r="A294" s="13">
        <v>299</v>
      </c>
      <c r="B294" s="14" t="s">
        <v>1017</v>
      </c>
      <c r="C294" s="15" t="s">
        <v>874</v>
      </c>
      <c r="D294" s="15" t="s">
        <v>945</v>
      </c>
      <c r="E294" s="15" t="s">
        <v>946</v>
      </c>
      <c r="F294" s="13" t="s">
        <v>81</v>
      </c>
      <c r="G294" s="16" t="s">
        <v>48</v>
      </c>
      <c r="H294" s="18" t="s">
        <v>39</v>
      </c>
      <c r="I294" s="43" t="s">
        <v>958</v>
      </c>
      <c r="J294" s="18" t="s">
        <v>959</v>
      </c>
      <c r="K294" s="20" t="s">
        <v>39</v>
      </c>
      <c r="L294" s="21">
        <v>759428.571428571</v>
      </c>
      <c r="M294" s="113">
        <v>0.13</v>
      </c>
      <c r="N294" s="113">
        <v>0.01</v>
      </c>
      <c r="O294" s="24" t="s">
        <v>39</v>
      </c>
      <c r="P294" s="113">
        <v>0.02</v>
      </c>
      <c r="Q294" s="113">
        <v>0.01</v>
      </c>
      <c r="R294" s="113">
        <v>0.01</v>
      </c>
      <c r="S294" s="24" t="s">
        <v>39</v>
      </c>
      <c r="T294" s="26"/>
      <c r="U294" s="26"/>
      <c r="V294" s="24" t="s">
        <v>39</v>
      </c>
      <c r="W294" s="20">
        <v>0.5</v>
      </c>
      <c r="X294" s="51" t="s">
        <v>39</v>
      </c>
      <c r="Y294" s="51" t="s">
        <v>39</v>
      </c>
      <c r="Z294" s="51" t="s">
        <v>39</v>
      </c>
      <c r="AA294" s="51" t="s">
        <v>39</v>
      </c>
      <c r="AB294" s="51" t="s">
        <v>39</v>
      </c>
      <c r="AC294" s="46" t="s">
        <v>39</v>
      </c>
      <c r="AD294" s="17"/>
      <c r="AE294" s="25" t="s">
        <v>949</v>
      </c>
    </row>
    <row r="295" s="2" customFormat="1" ht="24" customHeight="1" spans="1:31">
      <c r="A295" s="13">
        <v>300</v>
      </c>
      <c r="B295" s="14" t="s">
        <v>1019</v>
      </c>
      <c r="C295" s="15" t="s">
        <v>874</v>
      </c>
      <c r="D295" s="15" t="s">
        <v>945</v>
      </c>
      <c r="E295" s="15" t="s">
        <v>946</v>
      </c>
      <c r="F295" s="13" t="s">
        <v>81</v>
      </c>
      <c r="G295" s="16" t="s">
        <v>48</v>
      </c>
      <c r="H295" s="18" t="s">
        <v>39</v>
      </c>
      <c r="I295" s="43" t="s">
        <v>522</v>
      </c>
      <c r="J295" s="18" t="s">
        <v>961</v>
      </c>
      <c r="K295" s="20" t="s">
        <v>39</v>
      </c>
      <c r="L295" s="21">
        <v>807428.571428571</v>
      </c>
      <c r="M295" s="113">
        <v>0.13</v>
      </c>
      <c r="N295" s="113">
        <v>0.01</v>
      </c>
      <c r="O295" s="24" t="s">
        <v>39</v>
      </c>
      <c r="P295" s="113">
        <v>0.02</v>
      </c>
      <c r="Q295" s="113">
        <v>0.01</v>
      </c>
      <c r="R295" s="113">
        <v>0.01</v>
      </c>
      <c r="S295" s="24" t="s">
        <v>39</v>
      </c>
      <c r="T295" s="26"/>
      <c r="U295" s="26"/>
      <c r="V295" s="24" t="s">
        <v>39</v>
      </c>
      <c r="W295" s="20">
        <v>0.5</v>
      </c>
      <c r="X295" s="51" t="s">
        <v>39</v>
      </c>
      <c r="Y295" s="51" t="s">
        <v>39</v>
      </c>
      <c r="Z295" s="51" t="s">
        <v>39</v>
      </c>
      <c r="AA295" s="51" t="s">
        <v>39</v>
      </c>
      <c r="AB295" s="51" t="s">
        <v>39</v>
      </c>
      <c r="AC295" s="46" t="s">
        <v>39</v>
      </c>
      <c r="AD295" s="17"/>
      <c r="AE295" s="25" t="s">
        <v>949</v>
      </c>
    </row>
    <row r="296" s="2" customFormat="1" ht="24" customHeight="1" spans="1:31">
      <c r="A296" s="13">
        <v>301</v>
      </c>
      <c r="B296" s="14" t="s">
        <v>1021</v>
      </c>
      <c r="C296" s="15" t="s">
        <v>874</v>
      </c>
      <c r="D296" s="15" t="s">
        <v>945</v>
      </c>
      <c r="E296" s="15" t="s">
        <v>946</v>
      </c>
      <c r="F296" s="13" t="s">
        <v>81</v>
      </c>
      <c r="G296" s="16" t="s">
        <v>48</v>
      </c>
      <c r="H296" s="18" t="s">
        <v>39</v>
      </c>
      <c r="I296" s="43" t="s">
        <v>186</v>
      </c>
      <c r="J296" s="18" t="s">
        <v>963</v>
      </c>
      <c r="K296" s="20" t="s">
        <v>39</v>
      </c>
      <c r="L296" s="21">
        <v>1014857.14285714</v>
      </c>
      <c r="M296" s="113">
        <v>0.12</v>
      </c>
      <c r="N296" s="113">
        <v>0.01</v>
      </c>
      <c r="O296" s="24" t="s">
        <v>39</v>
      </c>
      <c r="P296" s="113">
        <v>0.02</v>
      </c>
      <c r="Q296" s="113">
        <v>0.01</v>
      </c>
      <c r="R296" s="113">
        <v>0.01</v>
      </c>
      <c r="S296" s="24" t="s">
        <v>39</v>
      </c>
      <c r="T296" s="26"/>
      <c r="U296" s="26"/>
      <c r="V296" s="24" t="s">
        <v>39</v>
      </c>
      <c r="W296" s="20">
        <v>0.5</v>
      </c>
      <c r="X296" s="51" t="s">
        <v>39</v>
      </c>
      <c r="Y296" s="51" t="s">
        <v>39</v>
      </c>
      <c r="Z296" s="51" t="s">
        <v>39</v>
      </c>
      <c r="AA296" s="51" t="s">
        <v>39</v>
      </c>
      <c r="AB296" s="51" t="s">
        <v>39</v>
      </c>
      <c r="AC296" s="46" t="s">
        <v>39</v>
      </c>
      <c r="AD296" s="17"/>
      <c r="AE296" s="25" t="s">
        <v>949</v>
      </c>
    </row>
    <row r="297" s="2" customFormat="1" ht="24" customHeight="1" spans="1:31">
      <c r="A297" s="13">
        <v>302</v>
      </c>
      <c r="B297" s="14" t="s">
        <v>1024</v>
      </c>
      <c r="C297" s="15" t="s">
        <v>874</v>
      </c>
      <c r="D297" s="15" t="s">
        <v>945</v>
      </c>
      <c r="E297" s="15" t="s">
        <v>946</v>
      </c>
      <c r="F297" s="13" t="s">
        <v>81</v>
      </c>
      <c r="G297" s="16" t="s">
        <v>48</v>
      </c>
      <c r="H297" s="18" t="s">
        <v>39</v>
      </c>
      <c r="I297" s="43" t="s">
        <v>965</v>
      </c>
      <c r="J297" s="18" t="s">
        <v>966</v>
      </c>
      <c r="K297" s="20" t="s">
        <v>39</v>
      </c>
      <c r="L297" s="21">
        <v>750857.142857143</v>
      </c>
      <c r="M297" s="113">
        <v>0.15</v>
      </c>
      <c r="N297" s="113">
        <v>0.01</v>
      </c>
      <c r="O297" s="24" t="s">
        <v>39</v>
      </c>
      <c r="P297" s="113">
        <v>0.02</v>
      </c>
      <c r="Q297" s="113">
        <v>0.01</v>
      </c>
      <c r="R297" s="113">
        <v>0.01</v>
      </c>
      <c r="S297" s="24" t="s">
        <v>39</v>
      </c>
      <c r="T297" s="26"/>
      <c r="U297" s="26"/>
      <c r="V297" s="24" t="s">
        <v>39</v>
      </c>
      <c r="W297" s="20">
        <v>0.5</v>
      </c>
      <c r="X297" s="51" t="s">
        <v>39</v>
      </c>
      <c r="Y297" s="51" t="s">
        <v>39</v>
      </c>
      <c r="Z297" s="51" t="s">
        <v>39</v>
      </c>
      <c r="AA297" s="51" t="s">
        <v>39</v>
      </c>
      <c r="AB297" s="51" t="s">
        <v>39</v>
      </c>
      <c r="AC297" s="46" t="s">
        <v>39</v>
      </c>
      <c r="AD297" s="17"/>
      <c r="AE297" s="25" t="s">
        <v>949</v>
      </c>
    </row>
    <row r="298" s="2" customFormat="1" ht="24" customHeight="1" spans="1:31">
      <c r="A298" s="13">
        <v>303</v>
      </c>
      <c r="B298" s="14" t="s">
        <v>1028</v>
      </c>
      <c r="C298" s="15" t="s">
        <v>874</v>
      </c>
      <c r="D298" s="15" t="s">
        <v>945</v>
      </c>
      <c r="E298" s="15" t="s">
        <v>946</v>
      </c>
      <c r="F298" s="13" t="s">
        <v>81</v>
      </c>
      <c r="G298" s="16" t="s">
        <v>48</v>
      </c>
      <c r="H298" s="18" t="s">
        <v>39</v>
      </c>
      <c r="I298" s="43" t="s">
        <v>485</v>
      </c>
      <c r="J298" s="18" t="s">
        <v>968</v>
      </c>
      <c r="K298" s="20" t="s">
        <v>39</v>
      </c>
      <c r="L298" s="21">
        <v>992571.428571428</v>
      </c>
      <c r="M298" s="113">
        <v>0.11</v>
      </c>
      <c r="N298" s="113">
        <v>0.01</v>
      </c>
      <c r="O298" s="24" t="s">
        <v>39</v>
      </c>
      <c r="P298" s="113">
        <v>0.02</v>
      </c>
      <c r="Q298" s="113">
        <v>0.01</v>
      </c>
      <c r="R298" s="113">
        <v>0.01</v>
      </c>
      <c r="S298" s="24" t="s">
        <v>39</v>
      </c>
      <c r="T298" s="26"/>
      <c r="U298" s="26"/>
      <c r="V298" s="24" t="s">
        <v>39</v>
      </c>
      <c r="W298" s="20">
        <v>0.5</v>
      </c>
      <c r="X298" s="51" t="s">
        <v>39</v>
      </c>
      <c r="Y298" s="51" t="s">
        <v>39</v>
      </c>
      <c r="Z298" s="51" t="s">
        <v>39</v>
      </c>
      <c r="AA298" s="51" t="s">
        <v>39</v>
      </c>
      <c r="AB298" s="51" t="s">
        <v>39</v>
      </c>
      <c r="AC298" s="46" t="s">
        <v>39</v>
      </c>
      <c r="AD298" s="17"/>
      <c r="AE298" s="25" t="s">
        <v>949</v>
      </c>
    </row>
    <row r="299" s="2" customFormat="1" ht="24" customHeight="1" spans="1:31">
      <c r="A299" s="13">
        <v>304</v>
      </c>
      <c r="B299" s="14" t="s">
        <v>1033</v>
      </c>
      <c r="C299" s="15" t="s">
        <v>874</v>
      </c>
      <c r="D299" s="15" t="s">
        <v>945</v>
      </c>
      <c r="E299" s="15" t="s">
        <v>946</v>
      </c>
      <c r="F299" s="13" t="s">
        <v>81</v>
      </c>
      <c r="G299" s="16" t="s">
        <v>48</v>
      </c>
      <c r="H299" s="18" t="s">
        <v>39</v>
      </c>
      <c r="I299" s="43" t="s">
        <v>240</v>
      </c>
      <c r="J299" s="18" t="s">
        <v>970</v>
      </c>
      <c r="K299" s="20" t="s">
        <v>39</v>
      </c>
      <c r="L299" s="21">
        <v>480000</v>
      </c>
      <c r="M299" s="113">
        <v>0.06</v>
      </c>
      <c r="N299" s="113">
        <v>0.01</v>
      </c>
      <c r="O299" s="24" t="s">
        <v>39</v>
      </c>
      <c r="P299" s="113">
        <v>0.02</v>
      </c>
      <c r="Q299" s="113">
        <v>0.01</v>
      </c>
      <c r="R299" s="113">
        <v>0.01</v>
      </c>
      <c r="S299" s="24" t="s">
        <v>39</v>
      </c>
      <c r="T299" s="20">
        <v>0.04</v>
      </c>
      <c r="U299" s="113">
        <v>0.01</v>
      </c>
      <c r="V299" s="24" t="s">
        <v>39</v>
      </c>
      <c r="W299" s="20">
        <v>0.5</v>
      </c>
      <c r="X299" s="51" t="s">
        <v>39</v>
      </c>
      <c r="Y299" s="51" t="s">
        <v>39</v>
      </c>
      <c r="Z299" s="51" t="s">
        <v>39</v>
      </c>
      <c r="AA299" s="51" t="s">
        <v>39</v>
      </c>
      <c r="AB299" s="51" t="s">
        <v>39</v>
      </c>
      <c r="AC299" s="46" t="s">
        <v>39</v>
      </c>
      <c r="AD299" s="17"/>
      <c r="AE299" s="25" t="s">
        <v>949</v>
      </c>
    </row>
    <row r="300" s="2" customFormat="1" ht="24" customHeight="1" spans="1:31">
      <c r="A300" s="13">
        <v>305</v>
      </c>
      <c r="B300" s="14" t="s">
        <v>1035</v>
      </c>
      <c r="C300" s="15" t="s">
        <v>874</v>
      </c>
      <c r="D300" s="15" t="s">
        <v>945</v>
      </c>
      <c r="E300" s="15" t="s">
        <v>946</v>
      </c>
      <c r="F300" s="13" t="s">
        <v>81</v>
      </c>
      <c r="G300" s="16" t="s">
        <v>48</v>
      </c>
      <c r="H300" s="18" t="s">
        <v>39</v>
      </c>
      <c r="I300" s="43" t="s">
        <v>818</v>
      </c>
      <c r="J300" s="18" t="s">
        <v>972</v>
      </c>
      <c r="K300" s="20" t="s">
        <v>39</v>
      </c>
      <c r="L300" s="21">
        <v>510000</v>
      </c>
      <c r="M300" s="113">
        <v>0.14</v>
      </c>
      <c r="N300" s="113">
        <v>0.01</v>
      </c>
      <c r="O300" s="24" t="s">
        <v>39</v>
      </c>
      <c r="P300" s="113">
        <v>0.02</v>
      </c>
      <c r="Q300" s="113">
        <v>0.01</v>
      </c>
      <c r="R300" s="113">
        <v>0.01</v>
      </c>
      <c r="S300" s="24" t="s">
        <v>39</v>
      </c>
      <c r="T300" s="26"/>
      <c r="U300" s="26"/>
      <c r="V300" s="24" t="s">
        <v>39</v>
      </c>
      <c r="W300" s="20">
        <v>0.5</v>
      </c>
      <c r="X300" s="51" t="s">
        <v>39</v>
      </c>
      <c r="Y300" s="51" t="s">
        <v>39</v>
      </c>
      <c r="Z300" s="51" t="s">
        <v>39</v>
      </c>
      <c r="AA300" s="51" t="s">
        <v>39</v>
      </c>
      <c r="AB300" s="51" t="s">
        <v>39</v>
      </c>
      <c r="AC300" s="46" t="s">
        <v>39</v>
      </c>
      <c r="AD300" s="17"/>
      <c r="AE300" s="25" t="s">
        <v>949</v>
      </c>
    </row>
    <row r="301" s="2" customFormat="1" ht="24" customHeight="1" spans="1:31">
      <c r="A301" s="13">
        <v>306</v>
      </c>
      <c r="B301" s="14" t="s">
        <v>1038</v>
      </c>
      <c r="C301" s="15" t="s">
        <v>874</v>
      </c>
      <c r="D301" s="15" t="s">
        <v>945</v>
      </c>
      <c r="E301" s="15" t="s">
        <v>946</v>
      </c>
      <c r="F301" s="13" t="s">
        <v>81</v>
      </c>
      <c r="G301" s="16" t="s">
        <v>48</v>
      </c>
      <c r="H301" s="18" t="s">
        <v>39</v>
      </c>
      <c r="I301" s="43" t="s">
        <v>888</v>
      </c>
      <c r="J301" s="93" t="s">
        <v>974</v>
      </c>
      <c r="K301" s="20" t="s">
        <v>39</v>
      </c>
      <c r="L301" s="21">
        <v>396000</v>
      </c>
      <c r="M301" s="113">
        <v>0.15</v>
      </c>
      <c r="N301" s="113">
        <v>0.01</v>
      </c>
      <c r="O301" s="24" t="s">
        <v>39</v>
      </c>
      <c r="P301" s="113">
        <v>0.02</v>
      </c>
      <c r="Q301" s="113">
        <v>0.01</v>
      </c>
      <c r="R301" s="113">
        <v>0.01</v>
      </c>
      <c r="S301" s="24" t="s">
        <v>39</v>
      </c>
      <c r="T301" s="26"/>
      <c r="U301" s="26"/>
      <c r="V301" s="24" t="s">
        <v>39</v>
      </c>
      <c r="W301" s="20">
        <v>0.5</v>
      </c>
      <c r="X301" s="51" t="s">
        <v>39</v>
      </c>
      <c r="Y301" s="51" t="s">
        <v>39</v>
      </c>
      <c r="Z301" s="51" t="s">
        <v>39</v>
      </c>
      <c r="AA301" s="51" t="s">
        <v>39</v>
      </c>
      <c r="AB301" s="51" t="s">
        <v>39</v>
      </c>
      <c r="AC301" s="46" t="s">
        <v>39</v>
      </c>
      <c r="AD301" s="17"/>
      <c r="AE301" s="25" t="s">
        <v>949</v>
      </c>
    </row>
    <row r="302" s="2" customFormat="1" ht="24" customHeight="1" spans="1:31">
      <c r="A302" s="13">
        <v>307</v>
      </c>
      <c r="B302" s="14" t="s">
        <v>1041</v>
      </c>
      <c r="C302" s="15" t="s">
        <v>874</v>
      </c>
      <c r="D302" s="15" t="s">
        <v>945</v>
      </c>
      <c r="E302" s="15" t="s">
        <v>946</v>
      </c>
      <c r="F302" s="13" t="s">
        <v>81</v>
      </c>
      <c r="G302" s="16" t="s">
        <v>48</v>
      </c>
      <c r="H302" s="18" t="s">
        <v>39</v>
      </c>
      <c r="I302" s="43" t="s">
        <v>709</v>
      </c>
      <c r="J302" s="93" t="s">
        <v>976</v>
      </c>
      <c r="K302" s="20" t="s">
        <v>39</v>
      </c>
      <c r="L302" s="21">
        <v>466285.714285714</v>
      </c>
      <c r="M302" s="113">
        <v>0.15</v>
      </c>
      <c r="N302" s="113">
        <v>0.01</v>
      </c>
      <c r="O302" s="24" t="s">
        <v>39</v>
      </c>
      <c r="P302" s="113">
        <v>0.02</v>
      </c>
      <c r="Q302" s="113">
        <v>0.01</v>
      </c>
      <c r="R302" s="113">
        <v>0.01</v>
      </c>
      <c r="S302" s="24" t="s">
        <v>39</v>
      </c>
      <c r="T302" s="26"/>
      <c r="U302" s="26"/>
      <c r="V302" s="24" t="s">
        <v>39</v>
      </c>
      <c r="W302" s="20">
        <v>0.5</v>
      </c>
      <c r="X302" s="51" t="s">
        <v>39</v>
      </c>
      <c r="Y302" s="51" t="s">
        <v>39</v>
      </c>
      <c r="Z302" s="51" t="s">
        <v>39</v>
      </c>
      <c r="AA302" s="51" t="s">
        <v>39</v>
      </c>
      <c r="AB302" s="51" t="s">
        <v>39</v>
      </c>
      <c r="AC302" s="46" t="s">
        <v>39</v>
      </c>
      <c r="AD302" s="17"/>
      <c r="AE302" s="25" t="s">
        <v>949</v>
      </c>
    </row>
    <row r="303" s="2" customFormat="1" ht="24" customHeight="1" spans="1:31">
      <c r="A303" s="13">
        <v>308</v>
      </c>
      <c r="B303" s="14" t="s">
        <v>1044</v>
      </c>
      <c r="C303" s="15" t="s">
        <v>874</v>
      </c>
      <c r="D303" s="15" t="s">
        <v>945</v>
      </c>
      <c r="E303" s="15" t="s">
        <v>946</v>
      </c>
      <c r="F303" s="13" t="s">
        <v>81</v>
      </c>
      <c r="G303" s="16" t="s">
        <v>48</v>
      </c>
      <c r="H303" s="18" t="s">
        <v>39</v>
      </c>
      <c r="I303" s="43" t="s">
        <v>978</v>
      </c>
      <c r="J303" s="93" t="s">
        <v>979</v>
      </c>
      <c r="K303" s="20" t="s">
        <v>39</v>
      </c>
      <c r="L303" s="21">
        <v>690857.142857143</v>
      </c>
      <c r="M303" s="113">
        <v>0.13</v>
      </c>
      <c r="N303" s="113">
        <v>0.01</v>
      </c>
      <c r="O303" s="24" t="s">
        <v>39</v>
      </c>
      <c r="P303" s="113">
        <v>0.02</v>
      </c>
      <c r="Q303" s="113">
        <v>0.01</v>
      </c>
      <c r="R303" s="113">
        <v>0.01</v>
      </c>
      <c r="S303" s="24" t="s">
        <v>39</v>
      </c>
      <c r="T303" s="26"/>
      <c r="U303" s="26"/>
      <c r="V303" s="24" t="s">
        <v>39</v>
      </c>
      <c r="W303" s="20">
        <v>0.5</v>
      </c>
      <c r="X303" s="51" t="s">
        <v>39</v>
      </c>
      <c r="Y303" s="51" t="s">
        <v>39</v>
      </c>
      <c r="Z303" s="51" t="s">
        <v>39</v>
      </c>
      <c r="AA303" s="51" t="s">
        <v>39</v>
      </c>
      <c r="AB303" s="51" t="s">
        <v>39</v>
      </c>
      <c r="AC303" s="46" t="s">
        <v>39</v>
      </c>
      <c r="AD303" s="17"/>
      <c r="AE303" s="25" t="s">
        <v>949</v>
      </c>
    </row>
    <row r="304" s="2" customFormat="1" ht="24" customHeight="1" spans="1:31">
      <c r="A304" s="13">
        <v>309</v>
      </c>
      <c r="B304" s="14" t="s">
        <v>1047</v>
      </c>
      <c r="C304" s="15" t="s">
        <v>874</v>
      </c>
      <c r="D304" s="15" t="s">
        <v>945</v>
      </c>
      <c r="E304" s="15" t="s">
        <v>946</v>
      </c>
      <c r="F304" s="13" t="s">
        <v>81</v>
      </c>
      <c r="G304" s="16" t="s">
        <v>48</v>
      </c>
      <c r="H304" s="18" t="s">
        <v>39</v>
      </c>
      <c r="I304" s="43" t="s">
        <v>488</v>
      </c>
      <c r="J304" s="93" t="s">
        <v>981</v>
      </c>
      <c r="K304" s="20" t="s">
        <v>39</v>
      </c>
      <c r="L304" s="21">
        <v>459428.571428571</v>
      </c>
      <c r="M304" s="113">
        <v>0.07</v>
      </c>
      <c r="N304" s="113">
        <v>0.01</v>
      </c>
      <c r="O304" s="24" t="s">
        <v>39</v>
      </c>
      <c r="P304" s="24" t="s">
        <v>39</v>
      </c>
      <c r="Q304" s="113">
        <v>0.01</v>
      </c>
      <c r="R304" s="113">
        <v>0.01</v>
      </c>
      <c r="S304" s="24" t="s">
        <v>39</v>
      </c>
      <c r="T304" s="26"/>
      <c r="U304" s="26"/>
      <c r="V304" s="24" t="s">
        <v>39</v>
      </c>
      <c r="W304" s="20">
        <v>0.5</v>
      </c>
      <c r="X304" s="51" t="s">
        <v>39</v>
      </c>
      <c r="Y304" s="51" t="s">
        <v>39</v>
      </c>
      <c r="Z304" s="51" t="s">
        <v>39</v>
      </c>
      <c r="AA304" s="51" t="s">
        <v>39</v>
      </c>
      <c r="AB304" s="51" t="s">
        <v>39</v>
      </c>
      <c r="AC304" s="46" t="s">
        <v>39</v>
      </c>
      <c r="AD304" s="17"/>
      <c r="AE304" s="25" t="s">
        <v>949</v>
      </c>
    </row>
    <row r="305" s="2" customFormat="1" ht="12" customHeight="1" spans="1:31">
      <c r="A305" s="13">
        <v>310</v>
      </c>
      <c r="B305" s="14" t="s">
        <v>1051</v>
      </c>
      <c r="C305" s="15" t="s">
        <v>874</v>
      </c>
      <c r="D305" s="15" t="s">
        <v>984</v>
      </c>
      <c r="E305" s="15" t="s">
        <v>985</v>
      </c>
      <c r="F305" s="13" t="s">
        <v>37</v>
      </c>
      <c r="G305" s="16" t="s">
        <v>48</v>
      </c>
      <c r="H305" s="16" t="s">
        <v>39</v>
      </c>
      <c r="I305" s="43" t="s">
        <v>39</v>
      </c>
      <c r="J305" s="134" t="s">
        <v>39</v>
      </c>
      <c r="K305" s="20" t="s">
        <v>39</v>
      </c>
      <c r="L305" s="21" t="s">
        <v>39</v>
      </c>
      <c r="M305" s="20" t="s">
        <v>39</v>
      </c>
      <c r="N305" s="20" t="s">
        <v>39</v>
      </c>
      <c r="O305" s="20" t="s">
        <v>39</v>
      </c>
      <c r="P305" s="20" t="s">
        <v>39</v>
      </c>
      <c r="Q305" s="20" t="s">
        <v>39</v>
      </c>
      <c r="R305" s="20" t="s">
        <v>39</v>
      </c>
      <c r="S305" s="20" t="s">
        <v>39</v>
      </c>
      <c r="T305" s="20" t="s">
        <v>39</v>
      </c>
      <c r="U305" s="18" t="s">
        <v>39</v>
      </c>
      <c r="V305" s="20" t="s">
        <v>39</v>
      </c>
      <c r="W305" s="18" t="s">
        <v>39</v>
      </c>
      <c r="X305" s="51" t="s">
        <v>39</v>
      </c>
      <c r="Y305" s="51" t="s">
        <v>39</v>
      </c>
      <c r="Z305" s="51" t="s">
        <v>39</v>
      </c>
      <c r="AA305" s="51" t="s">
        <v>39</v>
      </c>
      <c r="AB305" s="46">
        <v>0.045</v>
      </c>
      <c r="AC305" s="46" t="s">
        <v>39</v>
      </c>
      <c r="AD305" s="17"/>
      <c r="AE305" s="25"/>
    </row>
    <row r="306" s="2" customFormat="1" ht="24" customHeight="1" spans="1:31">
      <c r="A306" s="13">
        <v>311</v>
      </c>
      <c r="B306" s="14" t="s">
        <v>1054</v>
      </c>
      <c r="C306" s="15" t="s">
        <v>874</v>
      </c>
      <c r="D306" s="15" t="s">
        <v>984</v>
      </c>
      <c r="E306" s="15" t="s">
        <v>985</v>
      </c>
      <c r="F306" s="13" t="s">
        <v>81</v>
      </c>
      <c r="G306" s="16" t="s">
        <v>48</v>
      </c>
      <c r="H306" s="18" t="s">
        <v>39</v>
      </c>
      <c r="I306" s="43" t="s">
        <v>987</v>
      </c>
      <c r="J306" s="93" t="s">
        <v>988</v>
      </c>
      <c r="K306" s="20" t="s">
        <v>39</v>
      </c>
      <c r="L306" s="21">
        <v>1140000</v>
      </c>
      <c r="M306" s="113">
        <v>0.17</v>
      </c>
      <c r="N306" s="24" t="s">
        <v>39</v>
      </c>
      <c r="O306" s="24" t="s">
        <v>39</v>
      </c>
      <c r="P306" s="24" t="s">
        <v>39</v>
      </c>
      <c r="Q306" s="24" t="s">
        <v>39</v>
      </c>
      <c r="R306" s="24" t="s">
        <v>39</v>
      </c>
      <c r="S306" s="24" t="s">
        <v>39</v>
      </c>
      <c r="T306" s="26"/>
      <c r="U306" s="26"/>
      <c r="V306" s="24" t="s">
        <v>39</v>
      </c>
      <c r="W306" s="20">
        <v>0.4</v>
      </c>
      <c r="X306" s="51" t="s">
        <v>39</v>
      </c>
      <c r="Y306" s="51" t="s">
        <v>39</v>
      </c>
      <c r="Z306" s="51" t="s">
        <v>39</v>
      </c>
      <c r="AA306" s="51" t="s">
        <v>39</v>
      </c>
      <c r="AB306" s="51" t="s">
        <v>39</v>
      </c>
      <c r="AC306" s="46" t="s">
        <v>39</v>
      </c>
      <c r="AD306" s="17"/>
      <c r="AE306" s="25" t="s">
        <v>949</v>
      </c>
    </row>
    <row r="307" s="2" customFormat="1" ht="24" customHeight="1" spans="1:31">
      <c r="A307" s="13">
        <v>312</v>
      </c>
      <c r="B307" s="14" t="s">
        <v>1057</v>
      </c>
      <c r="C307" s="15" t="s">
        <v>874</v>
      </c>
      <c r="D307" s="15" t="s">
        <v>984</v>
      </c>
      <c r="E307" s="15" t="s">
        <v>985</v>
      </c>
      <c r="F307" s="13" t="s">
        <v>81</v>
      </c>
      <c r="G307" s="16" t="s">
        <v>48</v>
      </c>
      <c r="H307" s="18" t="s">
        <v>39</v>
      </c>
      <c r="I307" s="43" t="s">
        <v>991</v>
      </c>
      <c r="J307" s="93" t="s">
        <v>992</v>
      </c>
      <c r="K307" s="20" t="s">
        <v>39</v>
      </c>
      <c r="L307" s="21">
        <v>1106000</v>
      </c>
      <c r="M307" s="113">
        <v>0.17</v>
      </c>
      <c r="N307" s="24" t="s">
        <v>39</v>
      </c>
      <c r="O307" s="24" t="s">
        <v>39</v>
      </c>
      <c r="P307" s="24" t="s">
        <v>39</v>
      </c>
      <c r="Q307" s="24" t="s">
        <v>39</v>
      </c>
      <c r="R307" s="24" t="s">
        <v>39</v>
      </c>
      <c r="S307" s="24" t="s">
        <v>39</v>
      </c>
      <c r="T307" s="26"/>
      <c r="U307" s="26"/>
      <c r="V307" s="24" t="s">
        <v>39</v>
      </c>
      <c r="W307" s="20">
        <v>0.4</v>
      </c>
      <c r="X307" s="51" t="s">
        <v>39</v>
      </c>
      <c r="Y307" s="51" t="s">
        <v>39</v>
      </c>
      <c r="Z307" s="51" t="s">
        <v>39</v>
      </c>
      <c r="AA307" s="51" t="s">
        <v>39</v>
      </c>
      <c r="AB307" s="51" t="s">
        <v>39</v>
      </c>
      <c r="AC307" s="46" t="s">
        <v>39</v>
      </c>
      <c r="AD307" s="17"/>
      <c r="AE307" s="25" t="s">
        <v>949</v>
      </c>
    </row>
    <row r="308" s="2" customFormat="1" ht="24" customHeight="1" spans="1:31">
      <c r="A308" s="13">
        <v>313</v>
      </c>
      <c r="B308" s="14" t="s">
        <v>1060</v>
      </c>
      <c r="C308" s="15" t="s">
        <v>874</v>
      </c>
      <c r="D308" s="15" t="s">
        <v>984</v>
      </c>
      <c r="E308" s="15" t="s">
        <v>985</v>
      </c>
      <c r="F308" s="13" t="s">
        <v>81</v>
      </c>
      <c r="G308" s="16" t="s">
        <v>48</v>
      </c>
      <c r="H308" s="18" t="s">
        <v>39</v>
      </c>
      <c r="I308" s="43" t="s">
        <v>888</v>
      </c>
      <c r="J308" s="93" t="s">
        <v>994</v>
      </c>
      <c r="K308" s="20" t="s">
        <v>39</v>
      </c>
      <c r="L308" s="21">
        <v>680000</v>
      </c>
      <c r="M308" s="113">
        <v>0.2</v>
      </c>
      <c r="N308" s="24" t="s">
        <v>39</v>
      </c>
      <c r="O308" s="24" t="s">
        <v>39</v>
      </c>
      <c r="P308" s="24" t="s">
        <v>39</v>
      </c>
      <c r="Q308" s="24" t="s">
        <v>39</v>
      </c>
      <c r="R308" s="24" t="s">
        <v>39</v>
      </c>
      <c r="S308" s="24" t="s">
        <v>39</v>
      </c>
      <c r="T308" s="26"/>
      <c r="U308" s="26"/>
      <c r="V308" s="24" t="s">
        <v>39</v>
      </c>
      <c r="W308" s="20">
        <v>0.4</v>
      </c>
      <c r="X308" s="51" t="s">
        <v>39</v>
      </c>
      <c r="Y308" s="51" t="s">
        <v>39</v>
      </c>
      <c r="Z308" s="51" t="s">
        <v>39</v>
      </c>
      <c r="AA308" s="51" t="s">
        <v>39</v>
      </c>
      <c r="AB308" s="51" t="s">
        <v>39</v>
      </c>
      <c r="AC308" s="46" t="s">
        <v>39</v>
      </c>
      <c r="AD308" s="17"/>
      <c r="AE308" s="25" t="s">
        <v>949</v>
      </c>
    </row>
    <row r="309" s="2" customFormat="1" ht="24" customHeight="1" spans="1:31">
      <c r="A309" s="13">
        <v>314</v>
      </c>
      <c r="B309" s="14" t="s">
        <v>1064</v>
      </c>
      <c r="C309" s="15" t="s">
        <v>874</v>
      </c>
      <c r="D309" s="15" t="s">
        <v>984</v>
      </c>
      <c r="E309" s="15" t="s">
        <v>985</v>
      </c>
      <c r="F309" s="13" t="s">
        <v>81</v>
      </c>
      <c r="G309" s="16" t="s">
        <v>48</v>
      </c>
      <c r="H309" s="18" t="s">
        <v>39</v>
      </c>
      <c r="I309" s="43" t="s">
        <v>319</v>
      </c>
      <c r="J309" s="93" t="s">
        <v>996</v>
      </c>
      <c r="K309" s="20" t="s">
        <v>39</v>
      </c>
      <c r="L309" s="21">
        <v>780000</v>
      </c>
      <c r="M309" s="113">
        <v>0.2</v>
      </c>
      <c r="N309" s="24" t="s">
        <v>39</v>
      </c>
      <c r="O309" s="24" t="s">
        <v>39</v>
      </c>
      <c r="P309" s="24" t="s">
        <v>39</v>
      </c>
      <c r="Q309" s="24" t="s">
        <v>39</v>
      </c>
      <c r="R309" s="24" t="s">
        <v>39</v>
      </c>
      <c r="S309" s="24" t="s">
        <v>39</v>
      </c>
      <c r="T309" s="26"/>
      <c r="U309" s="26"/>
      <c r="V309" s="24" t="s">
        <v>39</v>
      </c>
      <c r="W309" s="20">
        <v>0.4</v>
      </c>
      <c r="X309" s="51" t="s">
        <v>39</v>
      </c>
      <c r="Y309" s="51" t="s">
        <v>39</v>
      </c>
      <c r="Z309" s="51" t="s">
        <v>39</v>
      </c>
      <c r="AA309" s="51" t="s">
        <v>39</v>
      </c>
      <c r="AB309" s="51" t="s">
        <v>39</v>
      </c>
      <c r="AC309" s="46" t="s">
        <v>39</v>
      </c>
      <c r="AD309" s="17"/>
      <c r="AE309" s="25" t="s">
        <v>949</v>
      </c>
    </row>
    <row r="310" s="2" customFormat="1" ht="24" customHeight="1" spans="1:31">
      <c r="A310" s="13">
        <v>315</v>
      </c>
      <c r="B310" s="14" t="s">
        <v>1066</v>
      </c>
      <c r="C310" s="15" t="s">
        <v>874</v>
      </c>
      <c r="D310" s="15" t="s">
        <v>984</v>
      </c>
      <c r="E310" s="15" t="s">
        <v>985</v>
      </c>
      <c r="F310" s="13" t="s">
        <v>81</v>
      </c>
      <c r="G310" s="16" t="s">
        <v>48</v>
      </c>
      <c r="H310" s="18" t="s">
        <v>39</v>
      </c>
      <c r="I310" s="43" t="s">
        <v>998</v>
      </c>
      <c r="J310" s="93" t="s">
        <v>999</v>
      </c>
      <c r="K310" s="20" t="s">
        <v>39</v>
      </c>
      <c r="L310" s="21">
        <v>700000</v>
      </c>
      <c r="M310" s="113">
        <v>0.2</v>
      </c>
      <c r="N310" s="24" t="s">
        <v>39</v>
      </c>
      <c r="O310" s="24" t="s">
        <v>39</v>
      </c>
      <c r="P310" s="24" t="s">
        <v>39</v>
      </c>
      <c r="Q310" s="24" t="s">
        <v>39</v>
      </c>
      <c r="R310" s="24" t="s">
        <v>39</v>
      </c>
      <c r="S310" s="24" t="s">
        <v>39</v>
      </c>
      <c r="T310" s="26"/>
      <c r="U310" s="26"/>
      <c r="V310" s="24" t="s">
        <v>39</v>
      </c>
      <c r="W310" s="20">
        <v>0.4</v>
      </c>
      <c r="X310" s="51" t="s">
        <v>39</v>
      </c>
      <c r="Y310" s="51" t="s">
        <v>39</v>
      </c>
      <c r="Z310" s="51" t="s">
        <v>39</v>
      </c>
      <c r="AA310" s="51" t="s">
        <v>39</v>
      </c>
      <c r="AB310" s="51" t="s">
        <v>39</v>
      </c>
      <c r="AC310" s="46" t="s">
        <v>39</v>
      </c>
      <c r="AD310" s="17"/>
      <c r="AE310" s="25" t="s">
        <v>949</v>
      </c>
    </row>
    <row r="311" s="2" customFormat="1" ht="24" customHeight="1" spans="1:31">
      <c r="A311" s="13">
        <v>316</v>
      </c>
      <c r="B311" s="14" t="s">
        <v>1068</v>
      </c>
      <c r="C311" s="15" t="s">
        <v>874</v>
      </c>
      <c r="D311" s="15" t="s">
        <v>984</v>
      </c>
      <c r="E311" s="15" t="s">
        <v>985</v>
      </c>
      <c r="F311" s="13" t="s">
        <v>81</v>
      </c>
      <c r="G311" s="16" t="s">
        <v>48</v>
      </c>
      <c r="H311" s="18" t="s">
        <v>39</v>
      </c>
      <c r="I311" s="43" t="s">
        <v>1001</v>
      </c>
      <c r="J311" s="93" t="s">
        <v>1002</v>
      </c>
      <c r="K311" s="20" t="s">
        <v>39</v>
      </c>
      <c r="L311" s="21">
        <v>620000</v>
      </c>
      <c r="M311" s="113">
        <v>0.17</v>
      </c>
      <c r="N311" s="24" t="s">
        <v>39</v>
      </c>
      <c r="O311" s="24" t="s">
        <v>39</v>
      </c>
      <c r="P311" s="24" t="s">
        <v>39</v>
      </c>
      <c r="Q311" s="24" t="s">
        <v>39</v>
      </c>
      <c r="R311" s="24" t="s">
        <v>39</v>
      </c>
      <c r="S311" s="24" t="s">
        <v>39</v>
      </c>
      <c r="T311" s="26"/>
      <c r="U311" s="26"/>
      <c r="V311" s="24" t="s">
        <v>39</v>
      </c>
      <c r="W311" s="20">
        <v>0.4</v>
      </c>
      <c r="X311" s="51" t="s">
        <v>39</v>
      </c>
      <c r="Y311" s="51" t="s">
        <v>39</v>
      </c>
      <c r="Z311" s="51" t="s">
        <v>39</v>
      </c>
      <c r="AA311" s="51" t="s">
        <v>39</v>
      </c>
      <c r="AB311" s="51" t="s">
        <v>39</v>
      </c>
      <c r="AC311" s="46" t="s">
        <v>39</v>
      </c>
      <c r="AD311" s="17"/>
      <c r="AE311" s="25" t="s">
        <v>949</v>
      </c>
    </row>
    <row r="312" s="2" customFormat="1" ht="24" customHeight="1" spans="1:31">
      <c r="A312" s="13">
        <v>317</v>
      </c>
      <c r="B312" s="14" t="s">
        <v>1070</v>
      </c>
      <c r="C312" s="15" t="s">
        <v>874</v>
      </c>
      <c r="D312" s="15" t="s">
        <v>984</v>
      </c>
      <c r="E312" s="15" t="s">
        <v>985</v>
      </c>
      <c r="F312" s="13" t="s">
        <v>81</v>
      </c>
      <c r="G312" s="16" t="s">
        <v>48</v>
      </c>
      <c r="H312" s="18" t="s">
        <v>39</v>
      </c>
      <c r="I312" s="43" t="s">
        <v>1004</v>
      </c>
      <c r="J312" s="93" t="s">
        <v>1005</v>
      </c>
      <c r="K312" s="20" t="s">
        <v>39</v>
      </c>
      <c r="L312" s="21">
        <v>620000</v>
      </c>
      <c r="M312" s="113">
        <v>0.19</v>
      </c>
      <c r="N312" s="24" t="s">
        <v>39</v>
      </c>
      <c r="O312" s="24" t="s">
        <v>39</v>
      </c>
      <c r="P312" s="24" t="s">
        <v>39</v>
      </c>
      <c r="Q312" s="24" t="s">
        <v>39</v>
      </c>
      <c r="R312" s="24" t="s">
        <v>39</v>
      </c>
      <c r="S312" s="24" t="s">
        <v>39</v>
      </c>
      <c r="T312" s="26"/>
      <c r="U312" s="26"/>
      <c r="V312" s="24" t="s">
        <v>39</v>
      </c>
      <c r="W312" s="20">
        <v>0.4</v>
      </c>
      <c r="X312" s="51" t="s">
        <v>39</v>
      </c>
      <c r="Y312" s="51" t="s">
        <v>39</v>
      </c>
      <c r="Z312" s="51" t="s">
        <v>39</v>
      </c>
      <c r="AA312" s="51" t="s">
        <v>39</v>
      </c>
      <c r="AB312" s="51" t="s">
        <v>39</v>
      </c>
      <c r="AC312" s="46" t="s">
        <v>39</v>
      </c>
      <c r="AD312" s="17"/>
      <c r="AE312" s="25" t="s">
        <v>949</v>
      </c>
    </row>
    <row r="313" s="2" customFormat="1" ht="24" customHeight="1" spans="1:31">
      <c r="A313" s="13">
        <v>318</v>
      </c>
      <c r="B313" s="14" t="s">
        <v>1073</v>
      </c>
      <c r="C313" s="15" t="s">
        <v>874</v>
      </c>
      <c r="D313" s="15" t="s">
        <v>984</v>
      </c>
      <c r="E313" s="15" t="s">
        <v>985</v>
      </c>
      <c r="F313" s="13" t="s">
        <v>81</v>
      </c>
      <c r="G313" s="16" t="s">
        <v>48</v>
      </c>
      <c r="H313" s="18" t="s">
        <v>39</v>
      </c>
      <c r="I313" s="43" t="s">
        <v>1007</v>
      </c>
      <c r="J313" s="93" t="s">
        <v>1005</v>
      </c>
      <c r="K313" s="20" t="s">
        <v>39</v>
      </c>
      <c r="L313" s="21">
        <v>640000</v>
      </c>
      <c r="M313" s="113">
        <v>0.19</v>
      </c>
      <c r="N313" s="24" t="s">
        <v>39</v>
      </c>
      <c r="O313" s="24" t="s">
        <v>39</v>
      </c>
      <c r="P313" s="24" t="s">
        <v>39</v>
      </c>
      <c r="Q313" s="24" t="s">
        <v>39</v>
      </c>
      <c r="R313" s="24" t="s">
        <v>39</v>
      </c>
      <c r="S313" s="24" t="s">
        <v>39</v>
      </c>
      <c r="T313" s="26"/>
      <c r="U313" s="26"/>
      <c r="V313" s="24" t="s">
        <v>39</v>
      </c>
      <c r="W313" s="20">
        <v>0.4</v>
      </c>
      <c r="X313" s="51" t="s">
        <v>39</v>
      </c>
      <c r="Y313" s="51" t="s">
        <v>39</v>
      </c>
      <c r="Z313" s="51" t="s">
        <v>39</v>
      </c>
      <c r="AA313" s="51" t="s">
        <v>39</v>
      </c>
      <c r="AB313" s="51" t="s">
        <v>39</v>
      </c>
      <c r="AC313" s="46" t="s">
        <v>39</v>
      </c>
      <c r="AD313" s="17"/>
      <c r="AE313" s="25" t="s">
        <v>949</v>
      </c>
    </row>
    <row r="314" s="2" customFormat="1" ht="24" customHeight="1" spans="1:31">
      <c r="A314" s="13">
        <v>319</v>
      </c>
      <c r="B314" s="14" t="s">
        <v>1075</v>
      </c>
      <c r="C314" s="15" t="s">
        <v>874</v>
      </c>
      <c r="D314" s="15" t="s">
        <v>984</v>
      </c>
      <c r="E314" s="15" t="s">
        <v>985</v>
      </c>
      <c r="F314" s="13" t="s">
        <v>81</v>
      </c>
      <c r="G314" s="16" t="s">
        <v>48</v>
      </c>
      <c r="H314" s="18" t="s">
        <v>39</v>
      </c>
      <c r="I314" s="43" t="s">
        <v>1009</v>
      </c>
      <c r="J314" s="93" t="s">
        <v>966</v>
      </c>
      <c r="K314" s="20" t="s">
        <v>39</v>
      </c>
      <c r="L314" s="21">
        <v>560000</v>
      </c>
      <c r="M314" s="113">
        <v>0.2</v>
      </c>
      <c r="N314" s="24" t="s">
        <v>39</v>
      </c>
      <c r="O314" s="24" t="s">
        <v>39</v>
      </c>
      <c r="P314" s="24" t="s">
        <v>39</v>
      </c>
      <c r="Q314" s="24" t="s">
        <v>39</v>
      </c>
      <c r="R314" s="24" t="s">
        <v>39</v>
      </c>
      <c r="S314" s="24" t="s">
        <v>39</v>
      </c>
      <c r="T314" s="26"/>
      <c r="U314" s="26"/>
      <c r="V314" s="24" t="s">
        <v>39</v>
      </c>
      <c r="W314" s="20">
        <v>0.4</v>
      </c>
      <c r="X314" s="51" t="s">
        <v>39</v>
      </c>
      <c r="Y314" s="51" t="s">
        <v>39</v>
      </c>
      <c r="Z314" s="51" t="s">
        <v>39</v>
      </c>
      <c r="AA314" s="51" t="s">
        <v>39</v>
      </c>
      <c r="AB314" s="51" t="s">
        <v>39</v>
      </c>
      <c r="AC314" s="46" t="s">
        <v>39</v>
      </c>
      <c r="AD314" s="17"/>
      <c r="AE314" s="25" t="s">
        <v>949</v>
      </c>
    </row>
    <row r="315" s="2" customFormat="1" ht="24" customHeight="1" spans="1:31">
      <c r="A315" s="13">
        <v>320</v>
      </c>
      <c r="B315" s="14" t="s">
        <v>1078</v>
      </c>
      <c r="C315" s="15" t="s">
        <v>874</v>
      </c>
      <c r="D315" s="15" t="s">
        <v>984</v>
      </c>
      <c r="E315" s="15" t="s">
        <v>985</v>
      </c>
      <c r="F315" s="13" t="s">
        <v>81</v>
      </c>
      <c r="G315" s="16" t="s">
        <v>48</v>
      </c>
      <c r="H315" s="18" t="s">
        <v>39</v>
      </c>
      <c r="I315" s="43" t="s">
        <v>1011</v>
      </c>
      <c r="J315" s="18" t="s">
        <v>1012</v>
      </c>
      <c r="K315" s="20" t="s">
        <v>39</v>
      </c>
      <c r="L315" s="21">
        <v>360000</v>
      </c>
      <c r="M315" s="24">
        <v>120000</v>
      </c>
      <c r="N315" s="24" t="s">
        <v>39</v>
      </c>
      <c r="O315" s="24" t="s">
        <v>39</v>
      </c>
      <c r="P315" s="116">
        <v>0.045</v>
      </c>
      <c r="Q315" s="24" t="s">
        <v>39</v>
      </c>
      <c r="R315" s="24" t="s">
        <v>39</v>
      </c>
      <c r="S315" s="24" t="s">
        <v>39</v>
      </c>
      <c r="T315" s="138" t="s">
        <v>39</v>
      </c>
      <c r="U315" s="26"/>
      <c r="V315" s="24" t="s">
        <v>39</v>
      </c>
      <c r="W315" s="20">
        <v>0.4</v>
      </c>
      <c r="X315" s="51" t="s">
        <v>39</v>
      </c>
      <c r="Y315" s="51" t="s">
        <v>39</v>
      </c>
      <c r="Z315" s="51" t="s">
        <v>39</v>
      </c>
      <c r="AA315" s="51" t="s">
        <v>39</v>
      </c>
      <c r="AB315" s="51" t="s">
        <v>39</v>
      </c>
      <c r="AC315" s="46" t="s">
        <v>39</v>
      </c>
      <c r="AD315" s="48" t="s">
        <v>1013</v>
      </c>
      <c r="AE315" s="25" t="s">
        <v>949</v>
      </c>
    </row>
    <row r="316" s="2" customFormat="1" ht="24" customHeight="1" spans="1:31">
      <c r="A316" s="13">
        <v>321</v>
      </c>
      <c r="B316" s="14" t="s">
        <v>1082</v>
      </c>
      <c r="C316" s="15" t="s">
        <v>874</v>
      </c>
      <c r="D316" s="15" t="s">
        <v>984</v>
      </c>
      <c r="E316" s="15" t="s">
        <v>985</v>
      </c>
      <c r="F316" s="13" t="s">
        <v>81</v>
      </c>
      <c r="G316" s="16" t="s">
        <v>48</v>
      </c>
      <c r="H316" s="18" t="s">
        <v>39</v>
      </c>
      <c r="I316" s="43" t="s">
        <v>1015</v>
      </c>
      <c r="J316" s="93" t="s">
        <v>1016</v>
      </c>
      <c r="K316" s="20" t="s">
        <v>39</v>
      </c>
      <c r="L316" s="21">
        <v>920000</v>
      </c>
      <c r="M316" s="113">
        <v>0.2</v>
      </c>
      <c r="N316" s="24" t="s">
        <v>39</v>
      </c>
      <c r="O316" s="24" t="s">
        <v>39</v>
      </c>
      <c r="P316" s="24" t="s">
        <v>39</v>
      </c>
      <c r="Q316" s="24" t="s">
        <v>39</v>
      </c>
      <c r="R316" s="24" t="s">
        <v>39</v>
      </c>
      <c r="S316" s="24" t="s">
        <v>39</v>
      </c>
      <c r="T316" s="26"/>
      <c r="U316" s="26"/>
      <c r="V316" s="24" t="s">
        <v>39</v>
      </c>
      <c r="W316" s="20">
        <v>0.4</v>
      </c>
      <c r="X316" s="51" t="s">
        <v>39</v>
      </c>
      <c r="Y316" s="51" t="s">
        <v>39</v>
      </c>
      <c r="Z316" s="51" t="s">
        <v>39</v>
      </c>
      <c r="AA316" s="51" t="s">
        <v>39</v>
      </c>
      <c r="AB316" s="51" t="s">
        <v>39</v>
      </c>
      <c r="AC316" s="46" t="s">
        <v>39</v>
      </c>
      <c r="AD316" s="17"/>
      <c r="AE316" s="25" t="s">
        <v>949</v>
      </c>
    </row>
    <row r="317" s="2" customFormat="1" ht="24" customHeight="1" spans="1:31">
      <c r="A317" s="13">
        <v>322</v>
      </c>
      <c r="B317" s="14" t="s">
        <v>1085</v>
      </c>
      <c r="C317" s="15" t="s">
        <v>874</v>
      </c>
      <c r="D317" s="15" t="s">
        <v>984</v>
      </c>
      <c r="E317" s="15" t="s">
        <v>985</v>
      </c>
      <c r="F317" s="13" t="s">
        <v>81</v>
      </c>
      <c r="G317" s="16" t="s">
        <v>48</v>
      </c>
      <c r="H317" s="18" t="s">
        <v>39</v>
      </c>
      <c r="I317" s="43" t="s">
        <v>1018</v>
      </c>
      <c r="J317" s="93" t="s">
        <v>1016</v>
      </c>
      <c r="K317" s="20" t="s">
        <v>39</v>
      </c>
      <c r="L317" s="21">
        <v>700000</v>
      </c>
      <c r="M317" s="113">
        <v>0.1</v>
      </c>
      <c r="N317" s="24" t="s">
        <v>39</v>
      </c>
      <c r="O317" s="24" t="s">
        <v>39</v>
      </c>
      <c r="P317" s="24" t="s">
        <v>39</v>
      </c>
      <c r="Q317" s="24" t="s">
        <v>39</v>
      </c>
      <c r="R317" s="24" t="s">
        <v>39</v>
      </c>
      <c r="S317" s="24" t="s">
        <v>39</v>
      </c>
      <c r="T317" s="26"/>
      <c r="U317" s="26"/>
      <c r="V317" s="24" t="s">
        <v>39</v>
      </c>
      <c r="W317" s="20">
        <v>0.4</v>
      </c>
      <c r="X317" s="51" t="s">
        <v>39</v>
      </c>
      <c r="Y317" s="51" t="s">
        <v>39</v>
      </c>
      <c r="Z317" s="51" t="s">
        <v>39</v>
      </c>
      <c r="AA317" s="51" t="s">
        <v>39</v>
      </c>
      <c r="AB317" s="51" t="s">
        <v>39</v>
      </c>
      <c r="AC317" s="46" t="s">
        <v>39</v>
      </c>
      <c r="AD317" s="17"/>
      <c r="AE317" s="25" t="s">
        <v>949</v>
      </c>
    </row>
    <row r="318" s="2" customFormat="1" ht="24" customHeight="1" spans="1:31">
      <c r="A318" s="13">
        <v>323</v>
      </c>
      <c r="B318" s="14" t="s">
        <v>1089</v>
      </c>
      <c r="C318" s="15" t="s">
        <v>874</v>
      </c>
      <c r="D318" s="15" t="s">
        <v>984</v>
      </c>
      <c r="E318" s="15" t="s">
        <v>985</v>
      </c>
      <c r="F318" s="13" t="s">
        <v>81</v>
      </c>
      <c r="G318" s="16" t="s">
        <v>48</v>
      </c>
      <c r="H318" s="18" t="s">
        <v>39</v>
      </c>
      <c r="I318" s="43" t="s">
        <v>459</v>
      </c>
      <c r="J318" s="93" t="s">
        <v>1020</v>
      </c>
      <c r="K318" s="20" t="s">
        <v>39</v>
      </c>
      <c r="L318" s="21">
        <v>230000</v>
      </c>
      <c r="M318" s="113">
        <v>0.18</v>
      </c>
      <c r="N318" s="24" t="s">
        <v>39</v>
      </c>
      <c r="O318" s="24" t="s">
        <v>39</v>
      </c>
      <c r="P318" s="24" t="s">
        <v>39</v>
      </c>
      <c r="Q318" s="24" t="s">
        <v>39</v>
      </c>
      <c r="R318" s="24" t="s">
        <v>39</v>
      </c>
      <c r="S318" s="24" t="s">
        <v>39</v>
      </c>
      <c r="T318" s="26"/>
      <c r="U318" s="26"/>
      <c r="V318" s="24" t="s">
        <v>39</v>
      </c>
      <c r="W318" s="20">
        <v>0.4</v>
      </c>
      <c r="X318" s="51" t="s">
        <v>39</v>
      </c>
      <c r="Y318" s="51" t="s">
        <v>39</v>
      </c>
      <c r="Z318" s="51" t="s">
        <v>39</v>
      </c>
      <c r="AA318" s="51" t="s">
        <v>39</v>
      </c>
      <c r="AB318" s="51" t="s">
        <v>39</v>
      </c>
      <c r="AC318" s="46" t="s">
        <v>39</v>
      </c>
      <c r="AD318" s="17"/>
      <c r="AE318" s="25" t="s">
        <v>949</v>
      </c>
    </row>
    <row r="319" s="2" customFormat="1" ht="24" customHeight="1" spans="1:31">
      <c r="A319" s="13">
        <v>324</v>
      </c>
      <c r="B319" s="14" t="s">
        <v>1091</v>
      </c>
      <c r="C319" s="15" t="s">
        <v>874</v>
      </c>
      <c r="D319" s="15" t="s">
        <v>984</v>
      </c>
      <c r="E319" s="15" t="s">
        <v>985</v>
      </c>
      <c r="F319" s="13" t="s">
        <v>81</v>
      </c>
      <c r="G319" s="16" t="s">
        <v>48</v>
      </c>
      <c r="H319" s="18" t="s">
        <v>39</v>
      </c>
      <c r="I319" s="43" t="s">
        <v>87</v>
      </c>
      <c r="J319" s="93" t="s">
        <v>912</v>
      </c>
      <c r="K319" s="20" t="s">
        <v>39</v>
      </c>
      <c r="L319" s="21">
        <v>520000</v>
      </c>
      <c r="M319" s="24">
        <v>200000</v>
      </c>
      <c r="N319" s="24" t="s">
        <v>39</v>
      </c>
      <c r="O319" s="24" t="s">
        <v>39</v>
      </c>
      <c r="P319" s="24" t="s">
        <v>39</v>
      </c>
      <c r="Q319" s="24" t="s">
        <v>39</v>
      </c>
      <c r="R319" s="24" t="s">
        <v>39</v>
      </c>
      <c r="S319" s="24" t="s">
        <v>39</v>
      </c>
      <c r="T319" s="55" t="s">
        <v>39</v>
      </c>
      <c r="U319" s="18"/>
      <c r="V319" s="24" t="s">
        <v>39</v>
      </c>
      <c r="W319" s="55" t="s">
        <v>39</v>
      </c>
      <c r="X319" s="51" t="s">
        <v>39</v>
      </c>
      <c r="Y319" s="51" t="s">
        <v>39</v>
      </c>
      <c r="Z319" s="51" t="s">
        <v>39</v>
      </c>
      <c r="AA319" s="51" t="s">
        <v>39</v>
      </c>
      <c r="AB319" s="51" t="s">
        <v>39</v>
      </c>
      <c r="AC319" s="46" t="s">
        <v>39</v>
      </c>
      <c r="AD319" s="48" t="s">
        <v>1022</v>
      </c>
      <c r="AE319" s="25" t="s">
        <v>1023</v>
      </c>
    </row>
    <row r="320" s="2" customFormat="1" ht="12" customHeight="1" spans="1:31">
      <c r="A320" s="13">
        <v>325</v>
      </c>
      <c r="B320" s="14" t="s">
        <v>1094</v>
      </c>
      <c r="C320" s="15" t="s">
        <v>874</v>
      </c>
      <c r="D320" s="15" t="s">
        <v>1025</v>
      </c>
      <c r="E320" s="15" t="s">
        <v>1026</v>
      </c>
      <c r="F320" s="13" t="s">
        <v>37</v>
      </c>
      <c r="G320" s="16" t="s">
        <v>38</v>
      </c>
      <c r="H320" s="18" t="s">
        <v>39</v>
      </c>
      <c r="I320" s="43" t="s">
        <v>39</v>
      </c>
      <c r="J320" s="134" t="s">
        <v>39</v>
      </c>
      <c r="K320" s="20" t="s">
        <v>39</v>
      </c>
      <c r="L320" s="21" t="s">
        <v>39</v>
      </c>
      <c r="M320" s="20" t="s">
        <v>39</v>
      </c>
      <c r="N320" s="20" t="s">
        <v>39</v>
      </c>
      <c r="O320" s="20" t="s">
        <v>39</v>
      </c>
      <c r="P320" s="20" t="s">
        <v>39</v>
      </c>
      <c r="Q320" s="20" t="s">
        <v>39</v>
      </c>
      <c r="R320" s="20" t="s">
        <v>39</v>
      </c>
      <c r="S320" s="20" t="s">
        <v>39</v>
      </c>
      <c r="T320" s="20" t="s">
        <v>39</v>
      </c>
      <c r="U320" s="20" t="s">
        <v>39</v>
      </c>
      <c r="V320" s="20" t="s">
        <v>39</v>
      </c>
      <c r="W320" s="151">
        <v>0.52</v>
      </c>
      <c r="X320" s="45" t="s">
        <v>39</v>
      </c>
      <c r="Y320" s="45" t="s">
        <v>39</v>
      </c>
      <c r="Z320" s="45" t="s">
        <v>39</v>
      </c>
      <c r="AA320" s="45" t="s">
        <v>39</v>
      </c>
      <c r="AB320" s="46">
        <v>0.06</v>
      </c>
      <c r="AC320" s="46">
        <v>0.005</v>
      </c>
      <c r="AD320" s="17" t="s">
        <v>1027</v>
      </c>
      <c r="AE320" s="25"/>
    </row>
    <row r="321" s="2" customFormat="1" ht="36" customHeight="1" spans="1:31">
      <c r="A321" s="13">
        <v>326</v>
      </c>
      <c r="B321" s="14" t="s">
        <v>1098</v>
      </c>
      <c r="C321" s="15" t="s">
        <v>874</v>
      </c>
      <c r="D321" s="15" t="s">
        <v>1025</v>
      </c>
      <c r="E321" s="15" t="s">
        <v>1026</v>
      </c>
      <c r="F321" s="13" t="s">
        <v>81</v>
      </c>
      <c r="G321" s="16" t="s">
        <v>38</v>
      </c>
      <c r="H321" s="18" t="s">
        <v>39</v>
      </c>
      <c r="I321" s="43" t="s">
        <v>1029</v>
      </c>
      <c r="J321" s="93" t="s">
        <v>1030</v>
      </c>
      <c r="K321" s="20" t="s">
        <v>39</v>
      </c>
      <c r="L321" s="21">
        <v>1080000</v>
      </c>
      <c r="M321" s="20">
        <v>0.14</v>
      </c>
      <c r="N321" s="20" t="s">
        <v>39</v>
      </c>
      <c r="O321" s="20">
        <v>0.02</v>
      </c>
      <c r="P321" s="20" t="s">
        <v>39</v>
      </c>
      <c r="Q321" s="20" t="s">
        <v>39</v>
      </c>
      <c r="R321" s="20" t="s">
        <v>39</v>
      </c>
      <c r="S321" s="20" t="s">
        <v>39</v>
      </c>
      <c r="T321" s="20">
        <v>0.02</v>
      </c>
      <c r="U321" s="20">
        <v>0.07</v>
      </c>
      <c r="V321" s="20" t="s">
        <v>39</v>
      </c>
      <c r="W321" s="20">
        <v>0.52</v>
      </c>
      <c r="X321" s="45" t="s">
        <v>39</v>
      </c>
      <c r="Y321" s="45" t="s">
        <v>39</v>
      </c>
      <c r="Z321" s="45" t="s">
        <v>39</v>
      </c>
      <c r="AA321" s="45" t="s">
        <v>39</v>
      </c>
      <c r="AB321" s="52" t="s">
        <v>39</v>
      </c>
      <c r="AC321" s="52" t="s">
        <v>39</v>
      </c>
      <c r="AD321" s="48" t="s">
        <v>1031</v>
      </c>
      <c r="AE321" s="25" t="s">
        <v>1032</v>
      </c>
    </row>
    <row r="322" s="2" customFormat="1" ht="36" customHeight="1" spans="1:31">
      <c r="A322" s="13">
        <v>327</v>
      </c>
      <c r="B322" s="14" t="s">
        <v>1101</v>
      </c>
      <c r="C322" s="15" t="s">
        <v>874</v>
      </c>
      <c r="D322" s="15" t="s">
        <v>1025</v>
      </c>
      <c r="E322" s="15" t="s">
        <v>1026</v>
      </c>
      <c r="F322" s="13" t="s">
        <v>81</v>
      </c>
      <c r="G322" s="16" t="s">
        <v>38</v>
      </c>
      <c r="H322" s="18" t="s">
        <v>39</v>
      </c>
      <c r="I322" s="43" t="s">
        <v>130</v>
      </c>
      <c r="J322" s="134" t="s">
        <v>1034</v>
      </c>
      <c r="K322" s="20" t="s">
        <v>39</v>
      </c>
      <c r="L322" s="21">
        <v>800000</v>
      </c>
      <c r="M322" s="20">
        <v>0.15</v>
      </c>
      <c r="N322" s="20" t="s">
        <v>39</v>
      </c>
      <c r="O322" s="20">
        <v>0.02</v>
      </c>
      <c r="P322" s="20" t="s">
        <v>39</v>
      </c>
      <c r="Q322" s="20" t="s">
        <v>39</v>
      </c>
      <c r="R322" s="20" t="s">
        <v>39</v>
      </c>
      <c r="S322" s="20" t="s">
        <v>39</v>
      </c>
      <c r="T322" s="20">
        <v>0.02</v>
      </c>
      <c r="U322" s="20">
        <v>0.07</v>
      </c>
      <c r="V322" s="20" t="s">
        <v>39</v>
      </c>
      <c r="W322" s="20">
        <v>0.3</v>
      </c>
      <c r="X322" s="45" t="s">
        <v>39</v>
      </c>
      <c r="Y322" s="45" t="s">
        <v>39</v>
      </c>
      <c r="Z322" s="45" t="s">
        <v>39</v>
      </c>
      <c r="AA322" s="45" t="s">
        <v>39</v>
      </c>
      <c r="AB322" s="52" t="s">
        <v>39</v>
      </c>
      <c r="AC322" s="52" t="s">
        <v>39</v>
      </c>
      <c r="AD322" s="48" t="s">
        <v>1031</v>
      </c>
      <c r="AE322" s="25" t="s">
        <v>1032</v>
      </c>
    </row>
    <row r="323" s="2" customFormat="1" ht="36" customHeight="1" spans="1:31">
      <c r="A323" s="13">
        <v>328</v>
      </c>
      <c r="B323" s="14" t="s">
        <v>1104</v>
      </c>
      <c r="C323" s="15" t="s">
        <v>874</v>
      </c>
      <c r="D323" s="15" t="s">
        <v>1025</v>
      </c>
      <c r="E323" s="15" t="s">
        <v>1026</v>
      </c>
      <c r="F323" s="13" t="s">
        <v>81</v>
      </c>
      <c r="G323" s="16" t="s">
        <v>38</v>
      </c>
      <c r="H323" s="18" t="s">
        <v>39</v>
      </c>
      <c r="I323" s="43" t="s">
        <v>1036</v>
      </c>
      <c r="J323" s="134" t="s">
        <v>1037</v>
      </c>
      <c r="K323" s="20" t="s">
        <v>39</v>
      </c>
      <c r="L323" s="21">
        <v>800000</v>
      </c>
      <c r="M323" s="20">
        <v>0.15</v>
      </c>
      <c r="N323" s="20" t="s">
        <v>39</v>
      </c>
      <c r="O323" s="20">
        <v>0.02</v>
      </c>
      <c r="P323" s="20" t="s">
        <v>39</v>
      </c>
      <c r="Q323" s="20" t="s">
        <v>39</v>
      </c>
      <c r="R323" s="20" t="s">
        <v>39</v>
      </c>
      <c r="S323" s="20" t="s">
        <v>39</v>
      </c>
      <c r="T323" s="20">
        <v>0.02</v>
      </c>
      <c r="U323" s="20">
        <v>0.07</v>
      </c>
      <c r="V323" s="20" t="s">
        <v>39</v>
      </c>
      <c r="W323" s="20">
        <v>0.3</v>
      </c>
      <c r="X323" s="45" t="s">
        <v>39</v>
      </c>
      <c r="Y323" s="45" t="s">
        <v>39</v>
      </c>
      <c r="Z323" s="45" t="s">
        <v>39</v>
      </c>
      <c r="AA323" s="45" t="s">
        <v>39</v>
      </c>
      <c r="AB323" s="52" t="s">
        <v>39</v>
      </c>
      <c r="AC323" s="52" t="s">
        <v>39</v>
      </c>
      <c r="AD323" s="48" t="s">
        <v>1031</v>
      </c>
      <c r="AE323" s="25" t="s">
        <v>1032</v>
      </c>
    </row>
    <row r="324" s="2" customFormat="1" ht="36" customHeight="1" spans="1:31">
      <c r="A324" s="13">
        <v>329</v>
      </c>
      <c r="B324" s="14" t="s">
        <v>1107</v>
      </c>
      <c r="C324" s="15" t="s">
        <v>874</v>
      </c>
      <c r="D324" s="15" t="s">
        <v>1025</v>
      </c>
      <c r="E324" s="15" t="s">
        <v>1026</v>
      </c>
      <c r="F324" s="13" t="s">
        <v>81</v>
      </c>
      <c r="G324" s="16" t="s">
        <v>38</v>
      </c>
      <c r="H324" s="18" t="s">
        <v>39</v>
      </c>
      <c r="I324" s="43" t="s">
        <v>1039</v>
      </c>
      <c r="J324" s="134" t="s">
        <v>1040</v>
      </c>
      <c r="K324" s="20" t="s">
        <v>39</v>
      </c>
      <c r="L324" s="21">
        <v>560000</v>
      </c>
      <c r="M324" s="20">
        <v>0.15</v>
      </c>
      <c r="N324" s="20" t="s">
        <v>39</v>
      </c>
      <c r="O324" s="20">
        <v>0.02</v>
      </c>
      <c r="P324" s="20" t="s">
        <v>39</v>
      </c>
      <c r="Q324" s="20" t="s">
        <v>39</v>
      </c>
      <c r="R324" s="20" t="s">
        <v>39</v>
      </c>
      <c r="S324" s="20" t="s">
        <v>39</v>
      </c>
      <c r="T324" s="20">
        <v>0.02</v>
      </c>
      <c r="U324" s="20">
        <v>0.07</v>
      </c>
      <c r="V324" s="20" t="s">
        <v>39</v>
      </c>
      <c r="W324" s="20">
        <v>0.3</v>
      </c>
      <c r="X324" s="45" t="s">
        <v>39</v>
      </c>
      <c r="Y324" s="45" t="s">
        <v>39</v>
      </c>
      <c r="Z324" s="45" t="s">
        <v>39</v>
      </c>
      <c r="AA324" s="45" t="s">
        <v>39</v>
      </c>
      <c r="AB324" s="52" t="s">
        <v>39</v>
      </c>
      <c r="AC324" s="52" t="s">
        <v>39</v>
      </c>
      <c r="AD324" s="48" t="s">
        <v>1031</v>
      </c>
      <c r="AE324" s="25" t="s">
        <v>1032</v>
      </c>
    </row>
    <row r="325" s="2" customFormat="1" ht="36" customHeight="1" spans="1:31">
      <c r="A325" s="13">
        <v>330</v>
      </c>
      <c r="B325" s="14" t="s">
        <v>1109</v>
      </c>
      <c r="C325" s="15" t="s">
        <v>874</v>
      </c>
      <c r="D325" s="15" t="s">
        <v>1025</v>
      </c>
      <c r="E325" s="15" t="s">
        <v>1026</v>
      </c>
      <c r="F325" s="13" t="s">
        <v>81</v>
      </c>
      <c r="G325" s="16" t="s">
        <v>38</v>
      </c>
      <c r="H325" s="18" t="s">
        <v>39</v>
      </c>
      <c r="I325" s="43" t="s">
        <v>1042</v>
      </c>
      <c r="J325" s="134" t="s">
        <v>1043</v>
      </c>
      <c r="K325" s="20" t="s">
        <v>39</v>
      </c>
      <c r="L325" s="21">
        <v>2760000</v>
      </c>
      <c r="M325" s="20">
        <v>0.15</v>
      </c>
      <c r="N325" s="20" t="s">
        <v>39</v>
      </c>
      <c r="O325" s="20">
        <v>0.02</v>
      </c>
      <c r="P325" s="20" t="s">
        <v>39</v>
      </c>
      <c r="Q325" s="20" t="s">
        <v>39</v>
      </c>
      <c r="R325" s="20" t="s">
        <v>39</v>
      </c>
      <c r="S325" s="20" t="s">
        <v>39</v>
      </c>
      <c r="T325" s="20">
        <v>0.02</v>
      </c>
      <c r="U325" s="20">
        <v>0.07</v>
      </c>
      <c r="V325" s="20" t="s">
        <v>39</v>
      </c>
      <c r="W325" s="20">
        <v>0.3</v>
      </c>
      <c r="X325" s="45" t="s">
        <v>39</v>
      </c>
      <c r="Y325" s="45" t="s">
        <v>39</v>
      </c>
      <c r="Z325" s="45" t="s">
        <v>39</v>
      </c>
      <c r="AA325" s="45" t="s">
        <v>39</v>
      </c>
      <c r="AB325" s="52" t="s">
        <v>39</v>
      </c>
      <c r="AC325" s="52" t="s">
        <v>39</v>
      </c>
      <c r="AD325" s="48" t="s">
        <v>1031</v>
      </c>
      <c r="AE325" s="25" t="s">
        <v>1032</v>
      </c>
    </row>
    <row r="326" s="2" customFormat="1" ht="36" customHeight="1" spans="1:31">
      <c r="A326" s="13">
        <v>331</v>
      </c>
      <c r="B326" s="14" t="s">
        <v>1113</v>
      </c>
      <c r="C326" s="15" t="s">
        <v>874</v>
      </c>
      <c r="D326" s="15" t="s">
        <v>1025</v>
      </c>
      <c r="E326" s="15" t="s">
        <v>1026</v>
      </c>
      <c r="F326" s="13" t="s">
        <v>81</v>
      </c>
      <c r="G326" s="16" t="s">
        <v>38</v>
      </c>
      <c r="H326" s="18" t="s">
        <v>39</v>
      </c>
      <c r="I326" s="43" t="s">
        <v>1045</v>
      </c>
      <c r="J326" s="134" t="s">
        <v>1046</v>
      </c>
      <c r="K326" s="20" t="s">
        <v>39</v>
      </c>
      <c r="L326" s="21">
        <v>580000</v>
      </c>
      <c r="M326" s="20">
        <v>0.15</v>
      </c>
      <c r="N326" s="20" t="s">
        <v>39</v>
      </c>
      <c r="O326" s="20">
        <v>0.02</v>
      </c>
      <c r="P326" s="20" t="s">
        <v>39</v>
      </c>
      <c r="Q326" s="20" t="s">
        <v>39</v>
      </c>
      <c r="R326" s="20" t="s">
        <v>39</v>
      </c>
      <c r="S326" s="20" t="s">
        <v>39</v>
      </c>
      <c r="T326" s="20">
        <v>0.02</v>
      </c>
      <c r="U326" s="20">
        <v>0.07</v>
      </c>
      <c r="V326" s="20" t="s">
        <v>39</v>
      </c>
      <c r="W326" s="20">
        <v>0.3</v>
      </c>
      <c r="X326" s="45" t="s">
        <v>39</v>
      </c>
      <c r="Y326" s="45" t="s">
        <v>39</v>
      </c>
      <c r="Z326" s="45" t="s">
        <v>39</v>
      </c>
      <c r="AA326" s="45" t="s">
        <v>39</v>
      </c>
      <c r="AB326" s="52" t="s">
        <v>39</v>
      </c>
      <c r="AC326" s="52" t="s">
        <v>39</v>
      </c>
      <c r="AD326" s="48" t="s">
        <v>1031</v>
      </c>
      <c r="AE326" s="25" t="s">
        <v>1032</v>
      </c>
    </row>
    <row r="327" s="2" customFormat="1" ht="36" customHeight="1" spans="1:31">
      <c r="A327" s="13">
        <v>332</v>
      </c>
      <c r="B327" s="14" t="s">
        <v>1117</v>
      </c>
      <c r="C327" s="15" t="s">
        <v>874</v>
      </c>
      <c r="D327" s="15" t="s">
        <v>1025</v>
      </c>
      <c r="E327" s="15" t="s">
        <v>1026</v>
      </c>
      <c r="F327" s="13" t="s">
        <v>81</v>
      </c>
      <c r="G327" s="16" t="s">
        <v>38</v>
      </c>
      <c r="H327" s="18" t="s">
        <v>39</v>
      </c>
      <c r="I327" s="43" t="s">
        <v>1048</v>
      </c>
      <c r="J327" s="134" t="s">
        <v>1049</v>
      </c>
      <c r="K327" s="20" t="s">
        <v>39</v>
      </c>
      <c r="L327" s="21">
        <v>640000</v>
      </c>
      <c r="M327" s="20">
        <v>0.12</v>
      </c>
      <c r="N327" s="20" t="s">
        <v>39</v>
      </c>
      <c r="O327" s="20">
        <v>0.02</v>
      </c>
      <c r="P327" s="20" t="s">
        <v>39</v>
      </c>
      <c r="Q327" s="20" t="s">
        <v>39</v>
      </c>
      <c r="R327" s="20" t="s">
        <v>39</v>
      </c>
      <c r="S327" s="20" t="s">
        <v>39</v>
      </c>
      <c r="T327" s="20">
        <v>0.02</v>
      </c>
      <c r="U327" s="20">
        <v>0.07</v>
      </c>
      <c r="V327" s="20" t="s">
        <v>39</v>
      </c>
      <c r="W327" s="20">
        <v>0.3</v>
      </c>
      <c r="X327" s="45" t="s">
        <v>39</v>
      </c>
      <c r="Y327" s="45" t="s">
        <v>39</v>
      </c>
      <c r="Z327" s="45" t="s">
        <v>39</v>
      </c>
      <c r="AA327" s="45" t="s">
        <v>39</v>
      </c>
      <c r="AB327" s="52" t="s">
        <v>39</v>
      </c>
      <c r="AC327" s="52" t="s">
        <v>39</v>
      </c>
      <c r="AD327" s="48" t="s">
        <v>1031</v>
      </c>
      <c r="AE327" s="25" t="s">
        <v>1032</v>
      </c>
    </row>
    <row r="328" s="2" customFormat="1" ht="36" customHeight="1" spans="1:31">
      <c r="A328" s="13">
        <v>333</v>
      </c>
      <c r="B328" s="14" t="s">
        <v>1119</v>
      </c>
      <c r="C328" s="15" t="s">
        <v>874</v>
      </c>
      <c r="D328" s="15" t="s">
        <v>1025</v>
      </c>
      <c r="E328" s="15" t="s">
        <v>1026</v>
      </c>
      <c r="F328" s="13" t="s">
        <v>81</v>
      </c>
      <c r="G328" s="16" t="s">
        <v>38</v>
      </c>
      <c r="H328" s="18" t="s">
        <v>39</v>
      </c>
      <c r="I328" s="43" t="s">
        <v>1052</v>
      </c>
      <c r="J328" s="134" t="s">
        <v>1053</v>
      </c>
      <c r="K328" s="20" t="s">
        <v>39</v>
      </c>
      <c r="L328" s="21">
        <v>300000</v>
      </c>
      <c r="M328" s="20">
        <v>0.1</v>
      </c>
      <c r="N328" s="20" t="s">
        <v>39</v>
      </c>
      <c r="O328" s="20">
        <v>0.02</v>
      </c>
      <c r="P328" s="20" t="s">
        <v>39</v>
      </c>
      <c r="Q328" s="20" t="s">
        <v>39</v>
      </c>
      <c r="R328" s="20" t="s">
        <v>39</v>
      </c>
      <c r="S328" s="20" t="s">
        <v>39</v>
      </c>
      <c r="T328" s="20">
        <v>0.02</v>
      </c>
      <c r="U328" s="20">
        <v>0.07</v>
      </c>
      <c r="V328" s="20" t="s">
        <v>39</v>
      </c>
      <c r="W328" s="20">
        <v>0.3</v>
      </c>
      <c r="X328" s="45" t="s">
        <v>39</v>
      </c>
      <c r="Y328" s="45" t="s">
        <v>39</v>
      </c>
      <c r="Z328" s="45" t="s">
        <v>39</v>
      </c>
      <c r="AA328" s="45" t="s">
        <v>39</v>
      </c>
      <c r="AB328" s="52" t="s">
        <v>39</v>
      </c>
      <c r="AC328" s="52" t="s">
        <v>39</v>
      </c>
      <c r="AD328" s="48" t="s">
        <v>1031</v>
      </c>
      <c r="AE328" s="25" t="s">
        <v>1032</v>
      </c>
    </row>
    <row r="329" s="2" customFormat="1" ht="36" customHeight="1" spans="1:31">
      <c r="A329" s="13">
        <v>334</v>
      </c>
      <c r="B329" s="14" t="s">
        <v>1122</v>
      </c>
      <c r="C329" s="15" t="s">
        <v>874</v>
      </c>
      <c r="D329" s="15" t="s">
        <v>1025</v>
      </c>
      <c r="E329" s="15" t="s">
        <v>1026</v>
      </c>
      <c r="F329" s="13" t="s">
        <v>81</v>
      </c>
      <c r="G329" s="16" t="s">
        <v>38</v>
      </c>
      <c r="H329" s="18" t="s">
        <v>39</v>
      </c>
      <c r="I329" s="43" t="s">
        <v>1055</v>
      </c>
      <c r="J329" s="134" t="s">
        <v>1056</v>
      </c>
      <c r="K329" s="20" t="s">
        <v>39</v>
      </c>
      <c r="L329" s="21">
        <v>640000</v>
      </c>
      <c r="M329" s="20">
        <v>0.09</v>
      </c>
      <c r="N329" s="20" t="s">
        <v>39</v>
      </c>
      <c r="O329" s="20">
        <v>0.02</v>
      </c>
      <c r="P329" s="20" t="s">
        <v>39</v>
      </c>
      <c r="Q329" s="20" t="s">
        <v>39</v>
      </c>
      <c r="R329" s="20" t="s">
        <v>39</v>
      </c>
      <c r="S329" s="20" t="s">
        <v>39</v>
      </c>
      <c r="T329" s="20">
        <v>0.02</v>
      </c>
      <c r="U329" s="20">
        <v>0.07</v>
      </c>
      <c r="V329" s="20" t="s">
        <v>39</v>
      </c>
      <c r="W329" s="20">
        <v>0.3</v>
      </c>
      <c r="X329" s="45" t="s">
        <v>39</v>
      </c>
      <c r="Y329" s="45" t="s">
        <v>39</v>
      </c>
      <c r="Z329" s="45" t="s">
        <v>39</v>
      </c>
      <c r="AA329" s="45" t="s">
        <v>39</v>
      </c>
      <c r="AB329" s="52" t="s">
        <v>39</v>
      </c>
      <c r="AC329" s="52" t="s">
        <v>39</v>
      </c>
      <c r="AD329" s="48" t="s">
        <v>1031</v>
      </c>
      <c r="AE329" s="25" t="s">
        <v>1032</v>
      </c>
    </row>
    <row r="330" s="2" customFormat="1" ht="12" customHeight="1" spans="1:31">
      <c r="A330" s="13">
        <v>335</v>
      </c>
      <c r="B330" s="14" t="s">
        <v>1125</v>
      </c>
      <c r="C330" s="15" t="s">
        <v>874</v>
      </c>
      <c r="D330" s="15" t="s">
        <v>1058</v>
      </c>
      <c r="E330" s="15" t="s">
        <v>1059</v>
      </c>
      <c r="F330" s="13" t="s">
        <v>37</v>
      </c>
      <c r="G330" s="16" t="s">
        <v>38</v>
      </c>
      <c r="H330" s="18" t="s">
        <v>39</v>
      </c>
      <c r="I330" s="43" t="s">
        <v>39</v>
      </c>
      <c r="J330" s="16" t="s">
        <v>39</v>
      </c>
      <c r="K330" s="20" t="s">
        <v>39</v>
      </c>
      <c r="L330" s="21" t="s">
        <v>39</v>
      </c>
      <c r="M330" s="20" t="s">
        <v>39</v>
      </c>
      <c r="N330" s="20" t="s">
        <v>39</v>
      </c>
      <c r="O330" s="20" t="s">
        <v>39</v>
      </c>
      <c r="P330" s="20" t="s">
        <v>39</v>
      </c>
      <c r="Q330" s="20" t="s">
        <v>39</v>
      </c>
      <c r="R330" s="20" t="s">
        <v>39</v>
      </c>
      <c r="S330" s="20" t="s">
        <v>39</v>
      </c>
      <c r="T330" s="20" t="s">
        <v>39</v>
      </c>
      <c r="U330" s="20" t="s">
        <v>39</v>
      </c>
      <c r="V330" s="20" t="s">
        <v>39</v>
      </c>
      <c r="W330" s="47">
        <v>0.52</v>
      </c>
      <c r="X330" s="45" t="s">
        <v>39</v>
      </c>
      <c r="Y330" s="45" t="s">
        <v>39</v>
      </c>
      <c r="Z330" s="45" t="s">
        <v>39</v>
      </c>
      <c r="AA330" s="45" t="s">
        <v>39</v>
      </c>
      <c r="AB330" s="46">
        <v>0.06</v>
      </c>
      <c r="AC330" s="46">
        <v>0.005</v>
      </c>
      <c r="AD330" s="17" t="s">
        <v>1027</v>
      </c>
      <c r="AE330" s="25"/>
    </row>
    <row r="331" s="2" customFormat="1" ht="24" customHeight="1" spans="1:31">
      <c r="A331" s="13">
        <v>336</v>
      </c>
      <c r="B331" s="14" t="s">
        <v>1128</v>
      </c>
      <c r="C331" s="15" t="s">
        <v>874</v>
      </c>
      <c r="D331" s="15" t="s">
        <v>1058</v>
      </c>
      <c r="E331" s="15" t="s">
        <v>1059</v>
      </c>
      <c r="F331" s="13" t="s">
        <v>81</v>
      </c>
      <c r="G331" s="16" t="s">
        <v>38</v>
      </c>
      <c r="H331" s="18" t="s">
        <v>39</v>
      </c>
      <c r="I331" s="43" t="s">
        <v>240</v>
      </c>
      <c r="J331" s="16" t="s">
        <v>1061</v>
      </c>
      <c r="K331" s="20" t="s">
        <v>39</v>
      </c>
      <c r="L331" s="21">
        <v>1940000</v>
      </c>
      <c r="M331" s="20">
        <v>0.11</v>
      </c>
      <c r="N331" s="20">
        <v>0.01</v>
      </c>
      <c r="O331" s="20" t="s">
        <v>39</v>
      </c>
      <c r="P331" s="20">
        <v>0.01</v>
      </c>
      <c r="Q331" s="20">
        <v>0.01</v>
      </c>
      <c r="R331" s="20" t="s">
        <v>39</v>
      </c>
      <c r="S331" s="20" t="s">
        <v>39</v>
      </c>
      <c r="T331" s="18">
        <v>1000</v>
      </c>
      <c r="U331" s="20">
        <v>0.07</v>
      </c>
      <c r="V331" s="20" t="s">
        <v>39</v>
      </c>
      <c r="W331" s="47">
        <v>0.5</v>
      </c>
      <c r="X331" s="45" t="s">
        <v>39</v>
      </c>
      <c r="Y331" s="45" t="s">
        <v>39</v>
      </c>
      <c r="Z331" s="19" t="s">
        <v>39</v>
      </c>
      <c r="AA331" s="19" t="s">
        <v>39</v>
      </c>
      <c r="AB331" s="52" t="s">
        <v>39</v>
      </c>
      <c r="AC331" s="52" t="s">
        <v>39</v>
      </c>
      <c r="AD331" s="150" t="s">
        <v>1062</v>
      </c>
      <c r="AE331" s="25" t="s">
        <v>1063</v>
      </c>
    </row>
    <row r="332" s="2" customFormat="1" ht="24" customHeight="1" spans="1:31">
      <c r="A332" s="13">
        <v>337</v>
      </c>
      <c r="B332" s="14" t="s">
        <v>1131</v>
      </c>
      <c r="C332" s="15" t="s">
        <v>874</v>
      </c>
      <c r="D332" s="15" t="s">
        <v>1058</v>
      </c>
      <c r="E332" s="15" t="s">
        <v>1059</v>
      </c>
      <c r="F332" s="13" t="s">
        <v>81</v>
      </c>
      <c r="G332" s="16" t="s">
        <v>38</v>
      </c>
      <c r="H332" s="18" t="s">
        <v>39</v>
      </c>
      <c r="I332" s="43" t="s">
        <v>846</v>
      </c>
      <c r="J332" s="16" t="s">
        <v>1065</v>
      </c>
      <c r="K332" s="20" t="s">
        <v>39</v>
      </c>
      <c r="L332" s="21">
        <v>420000</v>
      </c>
      <c r="M332" s="20">
        <v>0.14</v>
      </c>
      <c r="N332" s="20">
        <v>0.01</v>
      </c>
      <c r="O332" s="20" t="s">
        <v>39</v>
      </c>
      <c r="P332" s="20">
        <v>0.01</v>
      </c>
      <c r="Q332" s="20">
        <v>0.01</v>
      </c>
      <c r="R332" s="20" t="s">
        <v>39</v>
      </c>
      <c r="S332" s="20" t="s">
        <v>39</v>
      </c>
      <c r="T332" s="18">
        <v>1000</v>
      </c>
      <c r="U332" s="20">
        <v>0.07</v>
      </c>
      <c r="V332" s="20" t="s">
        <v>39</v>
      </c>
      <c r="W332" s="47">
        <v>0.3</v>
      </c>
      <c r="X332" s="45" t="s">
        <v>39</v>
      </c>
      <c r="Y332" s="45" t="s">
        <v>39</v>
      </c>
      <c r="Z332" s="19" t="s">
        <v>39</v>
      </c>
      <c r="AA332" s="19" t="s">
        <v>39</v>
      </c>
      <c r="AB332" s="52" t="s">
        <v>39</v>
      </c>
      <c r="AC332" s="52" t="s">
        <v>39</v>
      </c>
      <c r="AD332" s="150" t="s">
        <v>1062</v>
      </c>
      <c r="AE332" s="25" t="s">
        <v>1063</v>
      </c>
    </row>
    <row r="333" s="2" customFormat="1" ht="24" customHeight="1" spans="1:31">
      <c r="A333" s="13">
        <v>338</v>
      </c>
      <c r="B333" s="14" t="s">
        <v>1133</v>
      </c>
      <c r="C333" s="15" t="s">
        <v>874</v>
      </c>
      <c r="D333" s="15" t="s">
        <v>1058</v>
      </c>
      <c r="E333" s="15" t="s">
        <v>1059</v>
      </c>
      <c r="F333" s="13" t="s">
        <v>81</v>
      </c>
      <c r="G333" s="16" t="s">
        <v>38</v>
      </c>
      <c r="H333" s="18" t="s">
        <v>39</v>
      </c>
      <c r="I333" s="43" t="s">
        <v>419</v>
      </c>
      <c r="J333" s="16" t="s">
        <v>1067</v>
      </c>
      <c r="K333" s="20" t="s">
        <v>39</v>
      </c>
      <c r="L333" s="21">
        <v>420000</v>
      </c>
      <c r="M333" s="20">
        <v>0.14</v>
      </c>
      <c r="N333" s="20">
        <v>0.01</v>
      </c>
      <c r="O333" s="20" t="s">
        <v>39</v>
      </c>
      <c r="P333" s="20">
        <v>0.01</v>
      </c>
      <c r="Q333" s="20">
        <v>0.01</v>
      </c>
      <c r="R333" s="20" t="s">
        <v>39</v>
      </c>
      <c r="S333" s="20" t="s">
        <v>39</v>
      </c>
      <c r="T333" s="18">
        <v>1000</v>
      </c>
      <c r="U333" s="20">
        <v>0.07</v>
      </c>
      <c r="V333" s="20" t="s">
        <v>39</v>
      </c>
      <c r="W333" s="47">
        <v>0.3</v>
      </c>
      <c r="X333" s="45" t="s">
        <v>39</v>
      </c>
      <c r="Y333" s="45" t="s">
        <v>39</v>
      </c>
      <c r="Z333" s="19" t="s">
        <v>39</v>
      </c>
      <c r="AA333" s="19" t="s">
        <v>39</v>
      </c>
      <c r="AB333" s="52" t="s">
        <v>39</v>
      </c>
      <c r="AC333" s="52" t="s">
        <v>39</v>
      </c>
      <c r="AD333" s="150" t="s">
        <v>1062</v>
      </c>
      <c r="AE333" s="25" t="s">
        <v>1063</v>
      </c>
    </row>
    <row r="334" s="2" customFormat="1" ht="24" customHeight="1" spans="1:31">
      <c r="A334" s="13">
        <v>339</v>
      </c>
      <c r="B334" s="14" t="s">
        <v>1135</v>
      </c>
      <c r="C334" s="15" t="s">
        <v>874</v>
      </c>
      <c r="D334" s="15" t="s">
        <v>1058</v>
      </c>
      <c r="E334" s="15" t="s">
        <v>1059</v>
      </c>
      <c r="F334" s="13" t="s">
        <v>81</v>
      </c>
      <c r="G334" s="16" t="s">
        <v>38</v>
      </c>
      <c r="H334" s="18" t="s">
        <v>39</v>
      </c>
      <c r="I334" s="43" t="s">
        <v>1069</v>
      </c>
      <c r="J334" s="16" t="s">
        <v>1061</v>
      </c>
      <c r="K334" s="20" t="s">
        <v>39</v>
      </c>
      <c r="L334" s="21">
        <v>780000</v>
      </c>
      <c r="M334" s="20">
        <v>0.16</v>
      </c>
      <c r="N334" s="20">
        <v>0.01</v>
      </c>
      <c r="O334" s="20" t="s">
        <v>39</v>
      </c>
      <c r="P334" s="20">
        <v>0.01</v>
      </c>
      <c r="Q334" s="20">
        <v>0.01</v>
      </c>
      <c r="R334" s="20" t="s">
        <v>39</v>
      </c>
      <c r="S334" s="20" t="s">
        <v>39</v>
      </c>
      <c r="T334" s="18">
        <v>1000</v>
      </c>
      <c r="U334" s="20">
        <v>0.07</v>
      </c>
      <c r="V334" s="20" t="s">
        <v>39</v>
      </c>
      <c r="W334" s="47">
        <v>0.3</v>
      </c>
      <c r="X334" s="45" t="s">
        <v>39</v>
      </c>
      <c r="Y334" s="45" t="s">
        <v>39</v>
      </c>
      <c r="Z334" s="19" t="s">
        <v>39</v>
      </c>
      <c r="AA334" s="19" t="s">
        <v>39</v>
      </c>
      <c r="AB334" s="52" t="s">
        <v>39</v>
      </c>
      <c r="AC334" s="52" t="s">
        <v>39</v>
      </c>
      <c r="AD334" s="150" t="s">
        <v>1062</v>
      </c>
      <c r="AE334" s="25" t="s">
        <v>1063</v>
      </c>
    </row>
    <row r="335" s="2" customFormat="1" ht="24" customHeight="1" spans="1:31">
      <c r="A335" s="13">
        <v>340</v>
      </c>
      <c r="B335" s="14" t="s">
        <v>1138</v>
      </c>
      <c r="C335" s="15" t="s">
        <v>874</v>
      </c>
      <c r="D335" s="15" t="s">
        <v>1058</v>
      </c>
      <c r="E335" s="15" t="s">
        <v>1059</v>
      </c>
      <c r="F335" s="13" t="s">
        <v>81</v>
      </c>
      <c r="G335" s="16" t="s">
        <v>38</v>
      </c>
      <c r="H335" s="18" t="s">
        <v>39</v>
      </c>
      <c r="I335" s="43" t="s">
        <v>1071</v>
      </c>
      <c r="J335" s="16" t="s">
        <v>1072</v>
      </c>
      <c r="K335" s="20" t="s">
        <v>39</v>
      </c>
      <c r="L335" s="21">
        <v>420000</v>
      </c>
      <c r="M335" s="20">
        <v>0.16</v>
      </c>
      <c r="N335" s="20">
        <v>0.01</v>
      </c>
      <c r="O335" s="20" t="s">
        <v>39</v>
      </c>
      <c r="P335" s="20">
        <v>0.01</v>
      </c>
      <c r="Q335" s="20">
        <v>0.01</v>
      </c>
      <c r="R335" s="20" t="s">
        <v>39</v>
      </c>
      <c r="S335" s="20" t="s">
        <v>39</v>
      </c>
      <c r="T335" s="18">
        <v>1000</v>
      </c>
      <c r="U335" s="20">
        <v>0.07</v>
      </c>
      <c r="V335" s="20" t="s">
        <v>39</v>
      </c>
      <c r="W335" s="47">
        <v>0.3</v>
      </c>
      <c r="X335" s="45" t="s">
        <v>39</v>
      </c>
      <c r="Y335" s="45" t="s">
        <v>39</v>
      </c>
      <c r="Z335" s="19" t="s">
        <v>39</v>
      </c>
      <c r="AA335" s="19" t="s">
        <v>39</v>
      </c>
      <c r="AB335" s="52" t="s">
        <v>39</v>
      </c>
      <c r="AC335" s="52" t="s">
        <v>39</v>
      </c>
      <c r="AD335" s="150" t="s">
        <v>1062</v>
      </c>
      <c r="AE335" s="25" t="s">
        <v>1063</v>
      </c>
    </row>
    <row r="336" s="2" customFormat="1" ht="24" customHeight="1" spans="1:31">
      <c r="A336" s="13">
        <v>341</v>
      </c>
      <c r="B336" s="14" t="s">
        <v>1141</v>
      </c>
      <c r="C336" s="15" t="s">
        <v>874</v>
      </c>
      <c r="D336" s="15" t="s">
        <v>1058</v>
      </c>
      <c r="E336" s="15" t="s">
        <v>1059</v>
      </c>
      <c r="F336" s="13" t="s">
        <v>81</v>
      </c>
      <c r="G336" s="16" t="s">
        <v>38</v>
      </c>
      <c r="H336" s="18" t="s">
        <v>39</v>
      </c>
      <c r="I336" s="43" t="s">
        <v>843</v>
      </c>
      <c r="J336" s="16" t="s">
        <v>1074</v>
      </c>
      <c r="K336" s="20" t="s">
        <v>39</v>
      </c>
      <c r="L336" s="21">
        <v>200000</v>
      </c>
      <c r="M336" s="20">
        <v>0.12</v>
      </c>
      <c r="N336" s="20">
        <v>0.01</v>
      </c>
      <c r="O336" s="20" t="s">
        <v>39</v>
      </c>
      <c r="P336" s="20">
        <v>0.01</v>
      </c>
      <c r="Q336" s="20">
        <v>0.01</v>
      </c>
      <c r="R336" s="20" t="s">
        <v>39</v>
      </c>
      <c r="S336" s="20" t="s">
        <v>39</v>
      </c>
      <c r="T336" s="18">
        <v>500</v>
      </c>
      <c r="U336" s="20">
        <v>0.07</v>
      </c>
      <c r="V336" s="20" t="s">
        <v>39</v>
      </c>
      <c r="W336" s="47">
        <v>0.3</v>
      </c>
      <c r="X336" s="45" t="s">
        <v>39</v>
      </c>
      <c r="Y336" s="45" t="s">
        <v>39</v>
      </c>
      <c r="Z336" s="19" t="s">
        <v>39</v>
      </c>
      <c r="AA336" s="19" t="s">
        <v>39</v>
      </c>
      <c r="AB336" s="52" t="s">
        <v>39</v>
      </c>
      <c r="AC336" s="52" t="s">
        <v>39</v>
      </c>
      <c r="AD336" s="150" t="s">
        <v>1062</v>
      </c>
      <c r="AE336" s="25" t="s">
        <v>1063</v>
      </c>
    </row>
    <row r="337" s="2" customFormat="1" ht="24" customHeight="1" spans="1:31">
      <c r="A337" s="13">
        <v>342</v>
      </c>
      <c r="B337" s="14" t="s">
        <v>1145</v>
      </c>
      <c r="C337" s="15" t="s">
        <v>874</v>
      </c>
      <c r="D337" s="15" t="s">
        <v>1058</v>
      </c>
      <c r="E337" s="15" t="s">
        <v>1059</v>
      </c>
      <c r="F337" s="13" t="s">
        <v>81</v>
      </c>
      <c r="G337" s="16" t="s">
        <v>38</v>
      </c>
      <c r="H337" s="18" t="s">
        <v>39</v>
      </c>
      <c r="I337" s="43" t="s">
        <v>488</v>
      </c>
      <c r="J337" s="16" t="s">
        <v>1076</v>
      </c>
      <c r="K337" s="20" t="s">
        <v>39</v>
      </c>
      <c r="L337" s="21">
        <v>380000</v>
      </c>
      <c r="M337" s="20">
        <v>0.11</v>
      </c>
      <c r="N337" s="20">
        <v>0.01</v>
      </c>
      <c r="O337" s="20" t="s">
        <v>39</v>
      </c>
      <c r="P337" s="20">
        <v>0.01</v>
      </c>
      <c r="Q337" s="20">
        <v>0.01</v>
      </c>
      <c r="R337" s="20" t="s">
        <v>39</v>
      </c>
      <c r="S337" s="20" t="s">
        <v>39</v>
      </c>
      <c r="T337" s="18">
        <v>500</v>
      </c>
      <c r="U337" s="20">
        <v>0.07</v>
      </c>
      <c r="V337" s="20" t="s">
        <v>39</v>
      </c>
      <c r="W337" s="44"/>
      <c r="X337" s="45" t="s">
        <v>39</v>
      </c>
      <c r="Y337" s="45" t="s">
        <v>39</v>
      </c>
      <c r="Z337" s="19" t="s">
        <v>39</v>
      </c>
      <c r="AA337" s="19" t="s">
        <v>39</v>
      </c>
      <c r="AB337" s="52" t="s">
        <v>39</v>
      </c>
      <c r="AC337" s="52" t="s">
        <v>39</v>
      </c>
      <c r="AD337" s="150" t="s">
        <v>1062</v>
      </c>
      <c r="AE337" s="25" t="s">
        <v>1063</v>
      </c>
    </row>
    <row r="338" s="2" customFormat="1" ht="12" customHeight="1" spans="1:31">
      <c r="A338" s="13">
        <v>343</v>
      </c>
      <c r="B338" s="14" t="s">
        <v>1151</v>
      </c>
      <c r="C338" s="15" t="s">
        <v>874</v>
      </c>
      <c r="D338" s="15" t="s">
        <v>1079</v>
      </c>
      <c r="E338" s="15" t="s">
        <v>1080</v>
      </c>
      <c r="F338" s="13" t="s">
        <v>47</v>
      </c>
      <c r="G338" s="16" t="s">
        <v>38</v>
      </c>
      <c r="H338" s="16" t="s">
        <v>39</v>
      </c>
      <c r="I338" s="17" t="s">
        <v>39</v>
      </c>
      <c r="J338" s="16" t="s">
        <v>1081</v>
      </c>
      <c r="K338" s="20" t="s">
        <v>39</v>
      </c>
      <c r="L338" s="21">
        <v>8000000</v>
      </c>
      <c r="M338" s="20" t="s">
        <v>39</v>
      </c>
      <c r="N338" s="20" t="s">
        <v>39</v>
      </c>
      <c r="O338" s="20" t="s">
        <v>39</v>
      </c>
      <c r="P338" s="20">
        <v>0.02</v>
      </c>
      <c r="Q338" s="20" t="s">
        <v>39</v>
      </c>
      <c r="R338" s="20" t="s">
        <v>39</v>
      </c>
      <c r="S338" s="20" t="s">
        <v>39</v>
      </c>
      <c r="T338" s="20" t="s">
        <v>39</v>
      </c>
      <c r="U338" s="20" t="s">
        <v>39</v>
      </c>
      <c r="V338" s="20" t="s">
        <v>39</v>
      </c>
      <c r="W338" s="47">
        <v>0.52</v>
      </c>
      <c r="X338" s="45" t="s">
        <v>39</v>
      </c>
      <c r="Y338" s="45" t="s">
        <v>39</v>
      </c>
      <c r="Z338" s="45" t="s">
        <v>39</v>
      </c>
      <c r="AA338" s="45" t="s">
        <v>39</v>
      </c>
      <c r="AB338" s="46">
        <v>0.05</v>
      </c>
      <c r="AC338" s="46">
        <v>0.005</v>
      </c>
      <c r="AD338" s="152" t="s">
        <v>1027</v>
      </c>
      <c r="AE338" s="25"/>
    </row>
    <row r="339" s="2" customFormat="1" ht="12" customHeight="1" spans="1:31">
      <c r="A339" s="13">
        <v>344</v>
      </c>
      <c r="B339" s="14" t="s">
        <v>1153</v>
      </c>
      <c r="C339" s="15" t="s">
        <v>874</v>
      </c>
      <c r="D339" s="15" t="s">
        <v>1083</v>
      </c>
      <c r="E339" s="15" t="s">
        <v>1084</v>
      </c>
      <c r="F339" s="16" t="s">
        <v>53</v>
      </c>
      <c r="G339" s="16" t="s">
        <v>38</v>
      </c>
      <c r="H339" s="16" t="s">
        <v>39</v>
      </c>
      <c r="I339" s="43" t="s">
        <v>39</v>
      </c>
      <c r="J339" s="16" t="s">
        <v>39</v>
      </c>
      <c r="K339" s="20" t="s">
        <v>39</v>
      </c>
      <c r="L339" s="21">
        <v>612000</v>
      </c>
      <c r="M339" s="20" t="s">
        <v>39</v>
      </c>
      <c r="N339" s="20" t="s">
        <v>39</v>
      </c>
      <c r="O339" s="20" t="s">
        <v>39</v>
      </c>
      <c r="P339" s="20" t="s">
        <v>39</v>
      </c>
      <c r="Q339" s="20" t="s">
        <v>39</v>
      </c>
      <c r="R339" s="20" t="s">
        <v>39</v>
      </c>
      <c r="S339" s="20" t="s">
        <v>39</v>
      </c>
      <c r="T339" s="20" t="s">
        <v>39</v>
      </c>
      <c r="U339" s="20" t="s">
        <v>39</v>
      </c>
      <c r="V339" s="20" t="s">
        <v>39</v>
      </c>
      <c r="W339" s="18" t="s">
        <v>39</v>
      </c>
      <c r="X339" s="45" t="s">
        <v>39</v>
      </c>
      <c r="Y339" s="45" t="s">
        <v>39</v>
      </c>
      <c r="Z339" s="45" t="s">
        <v>39</v>
      </c>
      <c r="AA339" s="45" t="s">
        <v>39</v>
      </c>
      <c r="AB339" s="52" t="s">
        <v>39</v>
      </c>
      <c r="AC339" s="52" t="s">
        <v>39</v>
      </c>
      <c r="AD339" s="152"/>
      <c r="AE339" s="25"/>
    </row>
    <row r="340" s="2" customFormat="1" ht="12" customHeight="1" spans="1:31">
      <c r="A340" s="13">
        <v>345</v>
      </c>
      <c r="B340" s="14" t="s">
        <v>1155</v>
      </c>
      <c r="C340" s="15" t="s">
        <v>874</v>
      </c>
      <c r="D340" s="15" t="s">
        <v>1086</v>
      </c>
      <c r="E340" s="61" t="s">
        <v>1087</v>
      </c>
      <c r="F340" s="13" t="s">
        <v>47</v>
      </c>
      <c r="G340" s="16" t="s">
        <v>178</v>
      </c>
      <c r="H340" s="16" t="s">
        <v>39</v>
      </c>
      <c r="I340" s="17" t="s">
        <v>39</v>
      </c>
      <c r="J340" s="16" t="s">
        <v>1088</v>
      </c>
      <c r="K340" s="20" t="s">
        <v>39</v>
      </c>
      <c r="L340" s="21" t="s">
        <v>39</v>
      </c>
      <c r="M340" s="64" t="s">
        <v>39</v>
      </c>
      <c r="N340" s="64" t="s">
        <v>39</v>
      </c>
      <c r="O340" s="64" t="s">
        <v>39</v>
      </c>
      <c r="P340" s="64" t="s">
        <v>39</v>
      </c>
      <c r="Q340" s="64" t="s">
        <v>39</v>
      </c>
      <c r="R340" s="64" t="s">
        <v>39</v>
      </c>
      <c r="S340" s="64" t="s">
        <v>39</v>
      </c>
      <c r="T340" s="44"/>
      <c r="U340" s="106"/>
      <c r="V340" s="64" t="s">
        <v>39</v>
      </c>
      <c r="W340" s="47">
        <v>0.52</v>
      </c>
      <c r="X340" s="65" t="s">
        <v>39</v>
      </c>
      <c r="Y340" s="65" t="s">
        <v>39</v>
      </c>
      <c r="Z340" s="65" t="s">
        <v>39</v>
      </c>
      <c r="AA340" s="65" t="s">
        <v>39</v>
      </c>
      <c r="AB340" s="46">
        <v>0.06</v>
      </c>
      <c r="AC340" s="46" t="s">
        <v>39</v>
      </c>
      <c r="AD340" s="48" t="s">
        <v>1027</v>
      </c>
      <c r="AE340" s="25"/>
    </row>
    <row r="341" s="2" customFormat="1" ht="24" customHeight="1" spans="1:31">
      <c r="A341" s="13">
        <v>346</v>
      </c>
      <c r="B341" s="14" t="s">
        <v>1159</v>
      </c>
      <c r="C341" s="15" t="s">
        <v>874</v>
      </c>
      <c r="D341" s="15" t="s">
        <v>1086</v>
      </c>
      <c r="E341" s="61" t="s">
        <v>1087</v>
      </c>
      <c r="F341" s="13" t="s">
        <v>47</v>
      </c>
      <c r="G341" s="16" t="s">
        <v>178</v>
      </c>
      <c r="H341" s="18" t="s">
        <v>39</v>
      </c>
      <c r="I341" s="43" t="s">
        <v>130</v>
      </c>
      <c r="J341" s="16" t="s">
        <v>1090</v>
      </c>
      <c r="K341" s="20" t="s">
        <v>39</v>
      </c>
      <c r="L341" s="21">
        <v>3830000</v>
      </c>
      <c r="M341" s="153">
        <v>0.18</v>
      </c>
      <c r="N341" s="67" t="s">
        <v>39</v>
      </c>
      <c r="O341" s="67" t="s">
        <v>39</v>
      </c>
      <c r="P341" s="107" t="s">
        <v>39</v>
      </c>
      <c r="Q341" s="107" t="s">
        <v>39</v>
      </c>
      <c r="R341" s="107" t="s">
        <v>39</v>
      </c>
      <c r="S341" s="67" t="s">
        <v>39</v>
      </c>
      <c r="T341" s="65"/>
      <c r="U341" s="64"/>
      <c r="V341" s="67" t="s">
        <v>39</v>
      </c>
      <c r="W341" s="154"/>
      <c r="X341" s="65" t="s">
        <v>39</v>
      </c>
      <c r="Y341" s="65" t="s">
        <v>39</v>
      </c>
      <c r="Z341" s="67" t="s">
        <v>39</v>
      </c>
      <c r="AA341" s="67" t="s">
        <v>39</v>
      </c>
      <c r="AB341" s="51" t="s">
        <v>39</v>
      </c>
      <c r="AC341" s="46" t="s">
        <v>39</v>
      </c>
      <c r="AD341" s="155"/>
      <c r="AE341" s="25" t="s">
        <v>244</v>
      </c>
    </row>
    <row r="342" s="2" customFormat="1" ht="24" customHeight="1" spans="1:31">
      <c r="A342" s="13">
        <v>347</v>
      </c>
      <c r="B342" s="14" t="s">
        <v>1161</v>
      </c>
      <c r="C342" s="15" t="s">
        <v>874</v>
      </c>
      <c r="D342" s="15" t="s">
        <v>1086</v>
      </c>
      <c r="E342" s="61" t="s">
        <v>1087</v>
      </c>
      <c r="F342" s="13" t="s">
        <v>47</v>
      </c>
      <c r="G342" s="16" t="s">
        <v>178</v>
      </c>
      <c r="H342" s="18" t="s">
        <v>39</v>
      </c>
      <c r="I342" s="43" t="s">
        <v>1092</v>
      </c>
      <c r="J342" s="16" t="s">
        <v>1093</v>
      </c>
      <c r="K342" s="20" t="s">
        <v>39</v>
      </c>
      <c r="L342" s="21">
        <v>930000</v>
      </c>
      <c r="M342" s="153">
        <v>0.19</v>
      </c>
      <c r="N342" s="67" t="s">
        <v>39</v>
      </c>
      <c r="O342" s="67" t="s">
        <v>39</v>
      </c>
      <c r="P342" s="107" t="s">
        <v>39</v>
      </c>
      <c r="Q342" s="107" t="s">
        <v>39</v>
      </c>
      <c r="R342" s="107" t="s">
        <v>39</v>
      </c>
      <c r="S342" s="67" t="s">
        <v>39</v>
      </c>
      <c r="T342" s="65"/>
      <c r="U342" s="64"/>
      <c r="V342" s="67" t="s">
        <v>39</v>
      </c>
      <c r="W342" s="154"/>
      <c r="X342" s="65" t="s">
        <v>39</v>
      </c>
      <c r="Y342" s="65" t="s">
        <v>39</v>
      </c>
      <c r="Z342" s="67" t="s">
        <v>39</v>
      </c>
      <c r="AA342" s="67" t="s">
        <v>39</v>
      </c>
      <c r="AB342" s="51" t="s">
        <v>39</v>
      </c>
      <c r="AC342" s="46" t="s">
        <v>39</v>
      </c>
      <c r="AD342" s="155"/>
      <c r="AE342" s="25" t="s">
        <v>244</v>
      </c>
    </row>
    <row r="343" s="2" customFormat="1" ht="36" customHeight="1" spans="1:31">
      <c r="A343" s="13">
        <v>348</v>
      </c>
      <c r="B343" s="14" t="s">
        <v>1163</v>
      </c>
      <c r="C343" s="15" t="s">
        <v>874</v>
      </c>
      <c r="D343" s="15" t="s">
        <v>1095</v>
      </c>
      <c r="E343" s="61" t="s">
        <v>1096</v>
      </c>
      <c r="F343" s="13" t="s">
        <v>47</v>
      </c>
      <c r="G343" s="16" t="s">
        <v>178</v>
      </c>
      <c r="H343" s="16" t="s">
        <v>39</v>
      </c>
      <c r="I343" s="17" t="s">
        <v>39</v>
      </c>
      <c r="J343" s="16" t="s">
        <v>1088</v>
      </c>
      <c r="K343" s="20" t="s">
        <v>39</v>
      </c>
      <c r="L343" s="21" t="s">
        <v>39</v>
      </c>
      <c r="M343" s="64" t="s">
        <v>39</v>
      </c>
      <c r="N343" s="64" t="s">
        <v>39</v>
      </c>
      <c r="O343" s="64" t="s">
        <v>39</v>
      </c>
      <c r="P343" s="64" t="s">
        <v>39</v>
      </c>
      <c r="Q343" s="64" t="s">
        <v>39</v>
      </c>
      <c r="R343" s="64" t="s">
        <v>39</v>
      </c>
      <c r="S343" s="64" t="s">
        <v>39</v>
      </c>
      <c r="T343" s="44"/>
      <c r="U343" s="106"/>
      <c r="V343" s="64" t="s">
        <v>39</v>
      </c>
      <c r="W343" s="154">
        <v>0.52</v>
      </c>
      <c r="X343" s="65" t="s">
        <v>39</v>
      </c>
      <c r="Y343" s="65" t="s">
        <v>39</v>
      </c>
      <c r="Z343" s="65" t="s">
        <v>39</v>
      </c>
      <c r="AA343" s="65" t="s">
        <v>39</v>
      </c>
      <c r="AB343" s="46">
        <v>0.05</v>
      </c>
      <c r="AC343" s="46">
        <v>0.005</v>
      </c>
      <c r="AD343" s="48" t="s">
        <v>1097</v>
      </c>
      <c r="AE343" s="25"/>
    </row>
    <row r="344" s="2" customFormat="1" ht="24" customHeight="1" spans="1:31">
      <c r="A344" s="13">
        <v>349</v>
      </c>
      <c r="B344" s="14" t="s">
        <v>1167</v>
      </c>
      <c r="C344" s="15" t="s">
        <v>874</v>
      </c>
      <c r="D344" s="15" t="s">
        <v>1095</v>
      </c>
      <c r="E344" s="61" t="s">
        <v>1096</v>
      </c>
      <c r="F344" s="13" t="s">
        <v>47</v>
      </c>
      <c r="G344" s="16" t="s">
        <v>178</v>
      </c>
      <c r="H344" s="18" t="s">
        <v>39</v>
      </c>
      <c r="I344" s="43" t="s">
        <v>1099</v>
      </c>
      <c r="J344" s="16" t="s">
        <v>1100</v>
      </c>
      <c r="K344" s="20" t="s">
        <v>39</v>
      </c>
      <c r="L344" s="21">
        <v>1280000</v>
      </c>
      <c r="M344" s="153">
        <v>0.1</v>
      </c>
      <c r="N344" s="67" t="s">
        <v>39</v>
      </c>
      <c r="O344" s="67" t="s">
        <v>39</v>
      </c>
      <c r="P344" s="107" t="s">
        <v>39</v>
      </c>
      <c r="Q344" s="107" t="s">
        <v>39</v>
      </c>
      <c r="R344" s="107" t="s">
        <v>39</v>
      </c>
      <c r="S344" s="67" t="s">
        <v>39</v>
      </c>
      <c r="T344" s="64" t="s">
        <v>39</v>
      </c>
      <c r="U344" s="64" t="s">
        <v>39</v>
      </c>
      <c r="V344" s="67" t="s">
        <v>39</v>
      </c>
      <c r="W344" s="156"/>
      <c r="X344" s="65" t="s">
        <v>39</v>
      </c>
      <c r="Y344" s="65" t="s">
        <v>39</v>
      </c>
      <c r="Z344" s="65" t="s">
        <v>39</v>
      </c>
      <c r="AA344" s="65" t="s">
        <v>39</v>
      </c>
      <c r="AB344" s="51" t="s">
        <v>39</v>
      </c>
      <c r="AC344" s="46" t="s">
        <v>39</v>
      </c>
      <c r="AD344" s="69"/>
      <c r="AE344" s="25" t="s">
        <v>244</v>
      </c>
    </row>
    <row r="345" s="2" customFormat="1" ht="12" customHeight="1" spans="1:31">
      <c r="A345" s="13">
        <v>350</v>
      </c>
      <c r="B345" s="14" t="s">
        <v>1169</v>
      </c>
      <c r="C345" s="15" t="s">
        <v>874</v>
      </c>
      <c r="D345" s="15" t="s">
        <v>1095</v>
      </c>
      <c r="E345" s="61" t="s">
        <v>1102</v>
      </c>
      <c r="F345" s="13" t="s">
        <v>47</v>
      </c>
      <c r="G345" s="16" t="s">
        <v>178</v>
      </c>
      <c r="H345" s="16" t="s">
        <v>39</v>
      </c>
      <c r="I345" s="17" t="s">
        <v>39</v>
      </c>
      <c r="J345" s="16" t="s">
        <v>1103</v>
      </c>
      <c r="K345" s="20" t="s">
        <v>39</v>
      </c>
      <c r="L345" s="21" t="s">
        <v>39</v>
      </c>
      <c r="M345" s="64" t="s">
        <v>39</v>
      </c>
      <c r="N345" s="64" t="s">
        <v>39</v>
      </c>
      <c r="O345" s="64" t="s">
        <v>39</v>
      </c>
      <c r="P345" s="64" t="s">
        <v>39</v>
      </c>
      <c r="Q345" s="64" t="s">
        <v>39</v>
      </c>
      <c r="R345" s="64" t="s">
        <v>39</v>
      </c>
      <c r="S345" s="64" t="s">
        <v>39</v>
      </c>
      <c r="T345" s="65" t="s">
        <v>39</v>
      </c>
      <c r="U345" s="106"/>
      <c r="V345" s="64" t="s">
        <v>39</v>
      </c>
      <c r="W345" s="154">
        <v>0.52</v>
      </c>
      <c r="X345" s="65" t="s">
        <v>39</v>
      </c>
      <c r="Y345" s="65" t="s">
        <v>39</v>
      </c>
      <c r="Z345" s="65" t="s">
        <v>39</v>
      </c>
      <c r="AA345" s="65" t="s">
        <v>39</v>
      </c>
      <c r="AB345" s="46">
        <v>0.06</v>
      </c>
      <c r="AC345" s="46">
        <v>0.005</v>
      </c>
      <c r="AD345" s="69"/>
      <c r="AE345" s="25"/>
    </row>
    <row r="346" s="2" customFormat="1" ht="24" customHeight="1" spans="1:31">
      <c r="A346" s="13">
        <v>351</v>
      </c>
      <c r="B346" s="14" t="s">
        <v>1175</v>
      </c>
      <c r="C346" s="15" t="s">
        <v>874</v>
      </c>
      <c r="D346" s="15" t="s">
        <v>1095</v>
      </c>
      <c r="E346" s="61" t="s">
        <v>1102</v>
      </c>
      <c r="F346" s="13" t="s">
        <v>47</v>
      </c>
      <c r="G346" s="16" t="s">
        <v>178</v>
      </c>
      <c r="H346" s="18" t="s">
        <v>39</v>
      </c>
      <c r="I346" s="43" t="s">
        <v>1105</v>
      </c>
      <c r="J346" s="16" t="s">
        <v>1106</v>
      </c>
      <c r="K346" s="20" t="s">
        <v>39</v>
      </c>
      <c r="L346" s="21">
        <v>730000</v>
      </c>
      <c r="M346" s="153">
        <v>0.25</v>
      </c>
      <c r="N346" s="67" t="s">
        <v>39</v>
      </c>
      <c r="O346" s="67" t="s">
        <v>39</v>
      </c>
      <c r="P346" s="107" t="s">
        <v>39</v>
      </c>
      <c r="Q346" s="107" t="s">
        <v>39</v>
      </c>
      <c r="R346" s="107" t="s">
        <v>39</v>
      </c>
      <c r="S346" s="67" t="s">
        <v>39</v>
      </c>
      <c r="T346" s="64" t="s">
        <v>39</v>
      </c>
      <c r="U346" s="63" t="s">
        <v>39</v>
      </c>
      <c r="V346" s="67" t="s">
        <v>39</v>
      </c>
      <c r="W346" s="67">
        <v>0.52</v>
      </c>
      <c r="X346" s="65" t="s">
        <v>39</v>
      </c>
      <c r="Y346" s="65" t="s">
        <v>39</v>
      </c>
      <c r="Z346" s="65" t="s">
        <v>39</v>
      </c>
      <c r="AA346" s="65" t="s">
        <v>39</v>
      </c>
      <c r="AB346" s="51" t="s">
        <v>39</v>
      </c>
      <c r="AC346" s="46" t="s">
        <v>39</v>
      </c>
      <c r="AD346" s="69"/>
      <c r="AE346" s="25" t="s">
        <v>244</v>
      </c>
    </row>
    <row r="347" s="2" customFormat="1" ht="24" customHeight="1" spans="1:31">
      <c r="A347" s="13">
        <v>352</v>
      </c>
      <c r="B347" s="14" t="s">
        <v>1180</v>
      </c>
      <c r="C347" s="15" t="s">
        <v>874</v>
      </c>
      <c r="D347" s="15" t="s">
        <v>1095</v>
      </c>
      <c r="E347" s="61" t="s">
        <v>1102</v>
      </c>
      <c r="F347" s="13" t="s">
        <v>47</v>
      </c>
      <c r="G347" s="16" t="s">
        <v>178</v>
      </c>
      <c r="H347" s="18" t="s">
        <v>39</v>
      </c>
      <c r="I347" s="43" t="s">
        <v>448</v>
      </c>
      <c r="J347" s="16" t="s">
        <v>1108</v>
      </c>
      <c r="K347" s="20" t="s">
        <v>39</v>
      </c>
      <c r="L347" s="21">
        <v>1250000</v>
      </c>
      <c r="M347" s="153">
        <v>0.25</v>
      </c>
      <c r="N347" s="67" t="s">
        <v>39</v>
      </c>
      <c r="O347" s="67" t="s">
        <v>39</v>
      </c>
      <c r="P347" s="107" t="s">
        <v>39</v>
      </c>
      <c r="Q347" s="107" t="s">
        <v>39</v>
      </c>
      <c r="R347" s="107" t="s">
        <v>39</v>
      </c>
      <c r="S347" s="67" t="s">
        <v>39</v>
      </c>
      <c r="T347" s="64" t="s">
        <v>39</v>
      </c>
      <c r="U347" s="63" t="s">
        <v>39</v>
      </c>
      <c r="V347" s="67" t="s">
        <v>39</v>
      </c>
      <c r="W347" s="67">
        <v>0.52</v>
      </c>
      <c r="X347" s="65" t="s">
        <v>39</v>
      </c>
      <c r="Y347" s="65" t="s">
        <v>39</v>
      </c>
      <c r="Z347" s="65" t="s">
        <v>39</v>
      </c>
      <c r="AA347" s="65" t="s">
        <v>39</v>
      </c>
      <c r="AB347" s="51" t="s">
        <v>39</v>
      </c>
      <c r="AC347" s="46" t="s">
        <v>39</v>
      </c>
      <c r="AD347" s="69"/>
      <c r="AE347" s="25" t="s">
        <v>244</v>
      </c>
    </row>
    <row r="348" s="2" customFormat="1" ht="24" customHeight="1" spans="1:31">
      <c r="A348" s="13">
        <v>353</v>
      </c>
      <c r="B348" s="14" t="s">
        <v>1183</v>
      </c>
      <c r="C348" s="15" t="s">
        <v>874</v>
      </c>
      <c r="D348" s="15" t="s">
        <v>1095</v>
      </c>
      <c r="E348" s="61" t="s">
        <v>1102</v>
      </c>
      <c r="F348" s="13" t="s">
        <v>47</v>
      </c>
      <c r="G348" s="16" t="s">
        <v>178</v>
      </c>
      <c r="H348" s="18" t="s">
        <v>39</v>
      </c>
      <c r="I348" s="43" t="s">
        <v>217</v>
      </c>
      <c r="J348" s="16" t="s">
        <v>1110</v>
      </c>
      <c r="K348" s="20" t="s">
        <v>39</v>
      </c>
      <c r="L348" s="21">
        <v>890000</v>
      </c>
      <c r="M348" s="153">
        <v>0.25</v>
      </c>
      <c r="N348" s="67" t="s">
        <v>39</v>
      </c>
      <c r="O348" s="67" t="s">
        <v>39</v>
      </c>
      <c r="P348" s="107" t="s">
        <v>39</v>
      </c>
      <c r="Q348" s="107" t="s">
        <v>39</v>
      </c>
      <c r="R348" s="107" t="s">
        <v>39</v>
      </c>
      <c r="S348" s="67" t="s">
        <v>39</v>
      </c>
      <c r="T348" s="64" t="s">
        <v>39</v>
      </c>
      <c r="U348" s="63" t="s">
        <v>39</v>
      </c>
      <c r="V348" s="67" t="s">
        <v>39</v>
      </c>
      <c r="W348" s="67">
        <v>0.52</v>
      </c>
      <c r="X348" s="65" t="s">
        <v>39</v>
      </c>
      <c r="Y348" s="65" t="s">
        <v>39</v>
      </c>
      <c r="Z348" s="65" t="s">
        <v>39</v>
      </c>
      <c r="AA348" s="65" t="s">
        <v>39</v>
      </c>
      <c r="AB348" s="51" t="s">
        <v>39</v>
      </c>
      <c r="AC348" s="46" t="s">
        <v>39</v>
      </c>
      <c r="AD348" s="69"/>
      <c r="AE348" s="25" t="s">
        <v>244</v>
      </c>
    </row>
    <row r="349" s="2" customFormat="1" ht="12" customHeight="1" spans="1:31">
      <c r="A349" s="13">
        <v>354</v>
      </c>
      <c r="B349" s="14" t="s">
        <v>1186</v>
      </c>
      <c r="C349" s="86" t="s">
        <v>874</v>
      </c>
      <c r="D349" s="86" t="s">
        <v>1111</v>
      </c>
      <c r="E349" s="87" t="s">
        <v>1112</v>
      </c>
      <c r="F349" s="88" t="s">
        <v>37</v>
      </c>
      <c r="G349" s="89" t="s">
        <v>178</v>
      </c>
      <c r="H349" s="55" t="s">
        <v>39</v>
      </c>
      <c r="I349" s="88" t="s">
        <v>39</v>
      </c>
      <c r="J349" s="89" t="s">
        <v>39</v>
      </c>
      <c r="K349" s="19" t="s">
        <v>39</v>
      </c>
      <c r="L349" s="21" t="s">
        <v>39</v>
      </c>
      <c r="M349" s="19" t="s">
        <v>39</v>
      </c>
      <c r="N349" s="47"/>
      <c r="O349" s="19" t="s">
        <v>39</v>
      </c>
      <c r="P349" s="47"/>
      <c r="Q349" s="19" t="s">
        <v>39</v>
      </c>
      <c r="R349" s="19" t="s">
        <v>39</v>
      </c>
      <c r="S349" s="19" t="s">
        <v>39</v>
      </c>
      <c r="T349" s="47"/>
      <c r="U349" s="47"/>
      <c r="V349" s="55" t="s">
        <v>39</v>
      </c>
      <c r="W349" s="19" t="s">
        <v>39</v>
      </c>
      <c r="X349" s="55" t="s">
        <v>39</v>
      </c>
      <c r="Y349" s="55" t="s">
        <v>39</v>
      </c>
      <c r="Z349" s="44"/>
      <c r="AA349" s="44"/>
      <c r="AB349" s="46">
        <v>0.06</v>
      </c>
      <c r="AC349" s="46">
        <v>0.005</v>
      </c>
      <c r="AD349" s="48" t="s">
        <v>104</v>
      </c>
      <c r="AE349" s="25"/>
    </row>
    <row r="350" s="2" customFormat="1" ht="48" customHeight="1" spans="1:31">
      <c r="A350" s="13">
        <v>355</v>
      </c>
      <c r="B350" s="14" t="s">
        <v>1189</v>
      </c>
      <c r="C350" s="15" t="s">
        <v>874</v>
      </c>
      <c r="D350" s="15" t="s">
        <v>1111</v>
      </c>
      <c r="E350" s="61" t="s">
        <v>1112</v>
      </c>
      <c r="F350" s="13" t="s">
        <v>81</v>
      </c>
      <c r="G350" s="16" t="s">
        <v>178</v>
      </c>
      <c r="H350" s="18" t="s">
        <v>39</v>
      </c>
      <c r="I350" s="43" t="s">
        <v>240</v>
      </c>
      <c r="J350" s="16" t="s">
        <v>210</v>
      </c>
      <c r="K350" s="20" t="s">
        <v>39</v>
      </c>
      <c r="L350" s="21">
        <v>1720000</v>
      </c>
      <c r="M350" s="67">
        <v>0.12</v>
      </c>
      <c r="N350" s="67" t="s">
        <v>39</v>
      </c>
      <c r="O350" s="67" t="s">
        <v>39</v>
      </c>
      <c r="P350" s="67" t="s">
        <v>39</v>
      </c>
      <c r="Q350" s="67" t="s">
        <v>39</v>
      </c>
      <c r="R350" s="67" t="s">
        <v>39</v>
      </c>
      <c r="S350" s="67" t="s">
        <v>39</v>
      </c>
      <c r="T350" s="154"/>
      <c r="U350" s="67">
        <v>0.05</v>
      </c>
      <c r="V350" s="65" t="s">
        <v>39</v>
      </c>
      <c r="W350" s="67">
        <v>0.52</v>
      </c>
      <c r="X350" s="65" t="s">
        <v>39</v>
      </c>
      <c r="Y350" s="65" t="s">
        <v>39</v>
      </c>
      <c r="Z350" s="65" t="s">
        <v>39</v>
      </c>
      <c r="AA350" s="65" t="s">
        <v>39</v>
      </c>
      <c r="AB350" s="51" t="s">
        <v>39</v>
      </c>
      <c r="AC350" s="46" t="s">
        <v>39</v>
      </c>
      <c r="AD350" s="69" t="s">
        <v>1114</v>
      </c>
      <c r="AE350" s="25" t="s">
        <v>1115</v>
      </c>
    </row>
    <row r="351" s="2" customFormat="1" ht="48" customHeight="1" spans="1:31">
      <c r="A351" s="13">
        <v>356</v>
      </c>
      <c r="B351" s="14" t="s">
        <v>1192</v>
      </c>
      <c r="C351" s="15" t="s">
        <v>874</v>
      </c>
      <c r="D351" s="15" t="s">
        <v>1111</v>
      </c>
      <c r="E351" s="61" t="s">
        <v>1112</v>
      </c>
      <c r="F351" s="13" t="s">
        <v>81</v>
      </c>
      <c r="G351" s="16" t="s">
        <v>178</v>
      </c>
      <c r="H351" s="18" t="s">
        <v>39</v>
      </c>
      <c r="I351" s="43" t="s">
        <v>266</v>
      </c>
      <c r="J351" s="16" t="s">
        <v>1118</v>
      </c>
      <c r="K351" s="20" t="s">
        <v>39</v>
      </c>
      <c r="L351" s="21">
        <v>820000</v>
      </c>
      <c r="M351" s="77">
        <v>0.15</v>
      </c>
      <c r="N351" s="77" t="s">
        <v>39</v>
      </c>
      <c r="O351" s="77" t="s">
        <v>39</v>
      </c>
      <c r="P351" s="77" t="s">
        <v>39</v>
      </c>
      <c r="Q351" s="77" t="s">
        <v>39</v>
      </c>
      <c r="R351" s="77" t="s">
        <v>39</v>
      </c>
      <c r="S351" s="77" t="s">
        <v>39</v>
      </c>
      <c r="T351" s="79"/>
      <c r="U351" s="77">
        <v>0.03</v>
      </c>
      <c r="V351" s="72" t="s">
        <v>39</v>
      </c>
      <c r="W351" s="77">
        <v>0.52</v>
      </c>
      <c r="X351" s="72" t="s">
        <v>39</v>
      </c>
      <c r="Y351" s="72" t="s">
        <v>39</v>
      </c>
      <c r="Z351" s="72" t="s">
        <v>39</v>
      </c>
      <c r="AA351" s="72" t="s">
        <v>39</v>
      </c>
      <c r="AB351" s="51" t="s">
        <v>39</v>
      </c>
      <c r="AC351" s="46" t="s">
        <v>39</v>
      </c>
      <c r="AD351" s="82" t="s">
        <v>1114</v>
      </c>
      <c r="AE351" s="25" t="s">
        <v>1115</v>
      </c>
    </row>
    <row r="352" s="2" customFormat="1" ht="48" customHeight="1" spans="1:31">
      <c r="A352" s="13">
        <v>357</v>
      </c>
      <c r="B352" s="14" t="s">
        <v>1195</v>
      </c>
      <c r="C352" s="15" t="s">
        <v>874</v>
      </c>
      <c r="D352" s="15" t="s">
        <v>1111</v>
      </c>
      <c r="E352" s="61" t="s">
        <v>1112</v>
      </c>
      <c r="F352" s="13" t="s">
        <v>81</v>
      </c>
      <c r="G352" s="16" t="s">
        <v>178</v>
      </c>
      <c r="H352" s="18" t="s">
        <v>39</v>
      </c>
      <c r="I352" s="43" t="s">
        <v>1120</v>
      </c>
      <c r="J352" s="16" t="s">
        <v>1121</v>
      </c>
      <c r="K352" s="20" t="s">
        <v>39</v>
      </c>
      <c r="L352" s="21">
        <v>730000</v>
      </c>
      <c r="M352" s="77">
        <v>0.18</v>
      </c>
      <c r="N352" s="77" t="s">
        <v>39</v>
      </c>
      <c r="O352" s="77" t="s">
        <v>39</v>
      </c>
      <c r="P352" s="77" t="s">
        <v>39</v>
      </c>
      <c r="Q352" s="77" t="s">
        <v>39</v>
      </c>
      <c r="R352" s="77" t="s">
        <v>39</v>
      </c>
      <c r="S352" s="77" t="s">
        <v>39</v>
      </c>
      <c r="T352" s="79"/>
      <c r="U352" s="77">
        <v>0.04</v>
      </c>
      <c r="V352" s="71" t="s">
        <v>39</v>
      </c>
      <c r="W352" s="77">
        <v>0.52</v>
      </c>
      <c r="X352" s="72" t="s">
        <v>39</v>
      </c>
      <c r="Y352" s="72" t="s">
        <v>39</v>
      </c>
      <c r="Z352" s="72" t="s">
        <v>39</v>
      </c>
      <c r="AA352" s="72" t="s">
        <v>39</v>
      </c>
      <c r="AB352" s="51" t="s">
        <v>39</v>
      </c>
      <c r="AC352" s="46" t="s">
        <v>39</v>
      </c>
      <c r="AD352" s="82" t="s">
        <v>1114</v>
      </c>
      <c r="AE352" s="25" t="s">
        <v>1115</v>
      </c>
    </row>
    <row r="353" s="2" customFormat="1" ht="12" customHeight="1" spans="1:31">
      <c r="A353" s="13">
        <v>358</v>
      </c>
      <c r="B353" s="14" t="s">
        <v>1198</v>
      </c>
      <c r="C353" s="15"/>
      <c r="D353" s="15"/>
      <c r="E353" s="61" t="s">
        <v>1112</v>
      </c>
      <c r="F353" s="13" t="s">
        <v>81</v>
      </c>
      <c r="G353" s="16" t="s">
        <v>178</v>
      </c>
      <c r="H353" s="55" t="s">
        <v>39</v>
      </c>
      <c r="I353" s="43" t="s">
        <v>1534</v>
      </c>
      <c r="J353" s="16" t="s">
        <v>1535</v>
      </c>
      <c r="K353" s="20"/>
      <c r="L353" s="21"/>
      <c r="M353" s="77"/>
      <c r="N353" s="77"/>
      <c r="O353" s="77"/>
      <c r="P353" s="77"/>
      <c r="Q353" s="77"/>
      <c r="R353" s="77"/>
      <c r="S353" s="77"/>
      <c r="T353" s="79"/>
      <c r="U353" s="77"/>
      <c r="V353" s="71"/>
      <c r="W353" s="77"/>
      <c r="X353" s="72"/>
      <c r="Y353" s="72"/>
      <c r="Z353" s="72"/>
      <c r="AA353" s="72"/>
      <c r="AB353" s="51"/>
      <c r="AC353" s="46"/>
      <c r="AD353" s="82"/>
      <c r="AE353" s="25"/>
    </row>
    <row r="354" s="2" customFormat="1" ht="48" customHeight="1" spans="1:31">
      <c r="A354" s="13">
        <v>359</v>
      </c>
      <c r="B354" s="14" t="s">
        <v>1200</v>
      </c>
      <c r="C354" s="15" t="s">
        <v>874</v>
      </c>
      <c r="D354" s="15" t="s">
        <v>1111</v>
      </c>
      <c r="E354" s="61" t="s">
        <v>1112</v>
      </c>
      <c r="F354" s="13" t="s">
        <v>81</v>
      </c>
      <c r="G354" s="16" t="s">
        <v>178</v>
      </c>
      <c r="H354" s="18" t="s">
        <v>39</v>
      </c>
      <c r="I354" s="43" t="s">
        <v>1123</v>
      </c>
      <c r="J354" s="16" t="s">
        <v>1124</v>
      </c>
      <c r="K354" s="20" t="s">
        <v>39</v>
      </c>
      <c r="L354" s="21">
        <v>670000</v>
      </c>
      <c r="M354" s="77">
        <v>0.18</v>
      </c>
      <c r="N354" s="77" t="s">
        <v>39</v>
      </c>
      <c r="O354" s="77" t="s">
        <v>39</v>
      </c>
      <c r="P354" s="77" t="s">
        <v>39</v>
      </c>
      <c r="Q354" s="77" t="s">
        <v>39</v>
      </c>
      <c r="R354" s="77" t="s">
        <v>39</v>
      </c>
      <c r="S354" s="77" t="s">
        <v>39</v>
      </c>
      <c r="T354" s="79"/>
      <c r="U354" s="77">
        <v>0.05</v>
      </c>
      <c r="V354" s="71" t="s">
        <v>39</v>
      </c>
      <c r="W354" s="77">
        <v>0.52</v>
      </c>
      <c r="X354" s="72" t="s">
        <v>39</v>
      </c>
      <c r="Y354" s="72" t="s">
        <v>39</v>
      </c>
      <c r="Z354" s="72" t="s">
        <v>39</v>
      </c>
      <c r="AA354" s="72" t="s">
        <v>39</v>
      </c>
      <c r="AB354" s="51" t="s">
        <v>39</v>
      </c>
      <c r="AC354" s="46" t="s">
        <v>39</v>
      </c>
      <c r="AD354" s="82" t="s">
        <v>1114</v>
      </c>
      <c r="AE354" s="25" t="s">
        <v>1115</v>
      </c>
    </row>
    <row r="355" s="2" customFormat="1" ht="48" customHeight="1" spans="1:31">
      <c r="A355" s="13">
        <v>360</v>
      </c>
      <c r="B355" s="14" t="s">
        <v>1203</v>
      </c>
      <c r="C355" s="15" t="s">
        <v>874</v>
      </c>
      <c r="D355" s="15" t="s">
        <v>1111</v>
      </c>
      <c r="E355" s="61" t="s">
        <v>1112</v>
      </c>
      <c r="F355" s="13" t="s">
        <v>81</v>
      </c>
      <c r="G355" s="16" t="s">
        <v>178</v>
      </c>
      <c r="H355" s="18" t="s">
        <v>39</v>
      </c>
      <c r="I355" s="43" t="s">
        <v>1126</v>
      </c>
      <c r="J355" s="16" t="s">
        <v>1127</v>
      </c>
      <c r="K355" s="20" t="s">
        <v>39</v>
      </c>
      <c r="L355" s="21">
        <v>770000</v>
      </c>
      <c r="M355" s="77">
        <v>0.18</v>
      </c>
      <c r="N355" s="77" t="s">
        <v>39</v>
      </c>
      <c r="O355" s="77" t="s">
        <v>39</v>
      </c>
      <c r="P355" s="77" t="s">
        <v>39</v>
      </c>
      <c r="Q355" s="77" t="s">
        <v>39</v>
      </c>
      <c r="R355" s="77" t="s">
        <v>39</v>
      </c>
      <c r="S355" s="77" t="s">
        <v>39</v>
      </c>
      <c r="T355" s="79"/>
      <c r="U355" s="77">
        <v>0.05</v>
      </c>
      <c r="V355" s="71" t="s">
        <v>39</v>
      </c>
      <c r="W355" s="77">
        <v>0.52</v>
      </c>
      <c r="X355" s="72" t="s">
        <v>39</v>
      </c>
      <c r="Y355" s="72" t="s">
        <v>39</v>
      </c>
      <c r="Z355" s="72" t="s">
        <v>39</v>
      </c>
      <c r="AA355" s="72" t="s">
        <v>39</v>
      </c>
      <c r="AB355" s="51" t="s">
        <v>39</v>
      </c>
      <c r="AC355" s="46" t="s">
        <v>39</v>
      </c>
      <c r="AD355" s="82" t="s">
        <v>1114</v>
      </c>
      <c r="AE355" s="25" t="s">
        <v>1115</v>
      </c>
    </row>
    <row r="356" s="2" customFormat="1" ht="48" customHeight="1" spans="1:31">
      <c r="A356" s="13">
        <v>361</v>
      </c>
      <c r="B356" s="14" t="s">
        <v>1206</v>
      </c>
      <c r="C356" s="15" t="s">
        <v>874</v>
      </c>
      <c r="D356" s="15" t="s">
        <v>1111</v>
      </c>
      <c r="E356" s="61" t="s">
        <v>1112</v>
      </c>
      <c r="F356" s="13" t="s">
        <v>81</v>
      </c>
      <c r="G356" s="16" t="s">
        <v>178</v>
      </c>
      <c r="H356" s="18" t="s">
        <v>39</v>
      </c>
      <c r="I356" s="43" t="s">
        <v>1129</v>
      </c>
      <c r="J356" s="16" t="s">
        <v>1130</v>
      </c>
      <c r="K356" s="20" t="s">
        <v>39</v>
      </c>
      <c r="L356" s="21">
        <v>1480000</v>
      </c>
      <c r="M356" s="77">
        <v>0.18</v>
      </c>
      <c r="N356" s="77" t="s">
        <v>39</v>
      </c>
      <c r="O356" s="77" t="s">
        <v>39</v>
      </c>
      <c r="P356" s="77" t="s">
        <v>39</v>
      </c>
      <c r="Q356" s="77" t="s">
        <v>39</v>
      </c>
      <c r="R356" s="77" t="s">
        <v>39</v>
      </c>
      <c r="S356" s="77" t="s">
        <v>39</v>
      </c>
      <c r="T356" s="79"/>
      <c r="U356" s="84">
        <v>0.05</v>
      </c>
      <c r="V356" s="71" t="s">
        <v>39</v>
      </c>
      <c r="W356" s="157">
        <v>0.52</v>
      </c>
      <c r="X356" s="72" t="s">
        <v>39</v>
      </c>
      <c r="Y356" s="72" t="s">
        <v>39</v>
      </c>
      <c r="Z356" s="72" t="s">
        <v>39</v>
      </c>
      <c r="AA356" s="72" t="s">
        <v>39</v>
      </c>
      <c r="AB356" s="51" t="s">
        <v>39</v>
      </c>
      <c r="AC356" s="46" t="s">
        <v>39</v>
      </c>
      <c r="AD356" s="82" t="s">
        <v>1114</v>
      </c>
      <c r="AE356" s="25" t="s">
        <v>1115</v>
      </c>
    </row>
    <row r="357" s="2" customFormat="1" ht="48" customHeight="1" spans="1:31">
      <c r="A357" s="13">
        <v>362</v>
      </c>
      <c r="B357" s="14" t="s">
        <v>1209</v>
      </c>
      <c r="C357" s="15" t="s">
        <v>874</v>
      </c>
      <c r="D357" s="15" t="s">
        <v>1111</v>
      </c>
      <c r="E357" s="61" t="s">
        <v>1112</v>
      </c>
      <c r="F357" s="13" t="s">
        <v>81</v>
      </c>
      <c r="G357" s="16" t="s">
        <v>178</v>
      </c>
      <c r="H357" s="18" t="s">
        <v>39</v>
      </c>
      <c r="I357" s="43" t="s">
        <v>530</v>
      </c>
      <c r="J357" s="16" t="s">
        <v>1132</v>
      </c>
      <c r="K357" s="20" t="s">
        <v>39</v>
      </c>
      <c r="L357" s="21">
        <v>680000</v>
      </c>
      <c r="M357" s="77">
        <v>0.18</v>
      </c>
      <c r="N357" s="77" t="s">
        <v>39</v>
      </c>
      <c r="O357" s="77" t="s">
        <v>39</v>
      </c>
      <c r="P357" s="77" t="s">
        <v>39</v>
      </c>
      <c r="Q357" s="77" t="s">
        <v>39</v>
      </c>
      <c r="R357" s="77" t="s">
        <v>39</v>
      </c>
      <c r="S357" s="77" t="s">
        <v>39</v>
      </c>
      <c r="T357" s="79"/>
      <c r="U357" s="84">
        <v>0.05</v>
      </c>
      <c r="V357" s="158" t="s">
        <v>39</v>
      </c>
      <c r="W357" s="77">
        <v>0.52</v>
      </c>
      <c r="X357" s="159" t="s">
        <v>39</v>
      </c>
      <c r="Y357" s="72" t="s">
        <v>39</v>
      </c>
      <c r="Z357" s="72" t="s">
        <v>39</v>
      </c>
      <c r="AA357" s="72" t="s">
        <v>39</v>
      </c>
      <c r="AB357" s="51" t="s">
        <v>39</v>
      </c>
      <c r="AC357" s="46" t="s">
        <v>39</v>
      </c>
      <c r="AD357" s="82" t="s">
        <v>1114</v>
      </c>
      <c r="AE357" s="25" t="s">
        <v>1115</v>
      </c>
    </row>
    <row r="358" s="2" customFormat="1" ht="48" customHeight="1" spans="1:31">
      <c r="A358" s="13">
        <v>363</v>
      </c>
      <c r="B358" s="14" t="s">
        <v>1215</v>
      </c>
      <c r="C358" s="15" t="s">
        <v>874</v>
      </c>
      <c r="D358" s="15" t="s">
        <v>1111</v>
      </c>
      <c r="E358" s="61" t="s">
        <v>1112</v>
      </c>
      <c r="F358" s="13" t="s">
        <v>81</v>
      </c>
      <c r="G358" s="16" t="s">
        <v>178</v>
      </c>
      <c r="H358" s="18" t="s">
        <v>39</v>
      </c>
      <c r="I358" s="43" t="s">
        <v>214</v>
      </c>
      <c r="J358" s="16" t="s">
        <v>1134</v>
      </c>
      <c r="K358" s="20" t="s">
        <v>39</v>
      </c>
      <c r="L358" s="21">
        <v>780000</v>
      </c>
      <c r="M358" s="77">
        <v>0.18</v>
      </c>
      <c r="N358" s="77" t="s">
        <v>39</v>
      </c>
      <c r="O358" s="77" t="s">
        <v>39</v>
      </c>
      <c r="P358" s="77" t="s">
        <v>39</v>
      </c>
      <c r="Q358" s="77" t="s">
        <v>39</v>
      </c>
      <c r="R358" s="77" t="s">
        <v>39</v>
      </c>
      <c r="S358" s="77" t="s">
        <v>39</v>
      </c>
      <c r="T358" s="79"/>
      <c r="U358" s="84">
        <v>0.04</v>
      </c>
      <c r="V358" s="158" t="s">
        <v>39</v>
      </c>
      <c r="W358" s="77">
        <v>0.52</v>
      </c>
      <c r="X358" s="159" t="s">
        <v>39</v>
      </c>
      <c r="Y358" s="72" t="s">
        <v>39</v>
      </c>
      <c r="Z358" s="72" t="s">
        <v>39</v>
      </c>
      <c r="AA358" s="72" t="s">
        <v>39</v>
      </c>
      <c r="AB358" s="51" t="s">
        <v>39</v>
      </c>
      <c r="AC358" s="46" t="s">
        <v>39</v>
      </c>
      <c r="AD358" s="82" t="s">
        <v>1114</v>
      </c>
      <c r="AE358" s="25" t="s">
        <v>1115</v>
      </c>
    </row>
    <row r="359" s="2" customFormat="1" ht="48" customHeight="1" spans="1:31">
      <c r="A359" s="13">
        <v>364</v>
      </c>
      <c r="B359" s="14" t="s">
        <v>1217</v>
      </c>
      <c r="C359" s="15" t="s">
        <v>874</v>
      </c>
      <c r="D359" s="15" t="s">
        <v>1111</v>
      </c>
      <c r="E359" s="61" t="s">
        <v>1112</v>
      </c>
      <c r="F359" s="13" t="s">
        <v>81</v>
      </c>
      <c r="G359" s="16" t="s">
        <v>178</v>
      </c>
      <c r="H359" s="18" t="s">
        <v>39</v>
      </c>
      <c r="I359" s="43" t="s">
        <v>1136</v>
      </c>
      <c r="J359" s="16" t="s">
        <v>1137</v>
      </c>
      <c r="K359" s="20" t="s">
        <v>39</v>
      </c>
      <c r="L359" s="21">
        <v>720000</v>
      </c>
      <c r="M359" s="77">
        <v>0.18</v>
      </c>
      <c r="N359" s="77" t="s">
        <v>39</v>
      </c>
      <c r="O359" s="77" t="s">
        <v>39</v>
      </c>
      <c r="P359" s="77" t="s">
        <v>39</v>
      </c>
      <c r="Q359" s="77" t="s">
        <v>39</v>
      </c>
      <c r="R359" s="77" t="s">
        <v>39</v>
      </c>
      <c r="S359" s="77" t="s">
        <v>39</v>
      </c>
      <c r="T359" s="79"/>
      <c r="U359" s="84">
        <v>0.05</v>
      </c>
      <c r="V359" s="158" t="s">
        <v>39</v>
      </c>
      <c r="W359" s="77">
        <v>0.52</v>
      </c>
      <c r="X359" s="159" t="s">
        <v>39</v>
      </c>
      <c r="Y359" s="72" t="s">
        <v>39</v>
      </c>
      <c r="Z359" s="72" t="s">
        <v>39</v>
      </c>
      <c r="AA359" s="72" t="s">
        <v>39</v>
      </c>
      <c r="AB359" s="51" t="s">
        <v>39</v>
      </c>
      <c r="AC359" s="46" t="s">
        <v>39</v>
      </c>
      <c r="AD359" s="82" t="s">
        <v>1114</v>
      </c>
      <c r="AE359" s="25" t="s">
        <v>1115</v>
      </c>
    </row>
    <row r="360" s="2" customFormat="1" ht="48" customHeight="1" spans="1:31">
      <c r="A360" s="13">
        <v>365</v>
      </c>
      <c r="B360" s="14" t="s">
        <v>1220</v>
      </c>
      <c r="C360" s="15" t="s">
        <v>874</v>
      </c>
      <c r="D360" s="15" t="s">
        <v>1111</v>
      </c>
      <c r="E360" s="61" t="s">
        <v>1112</v>
      </c>
      <c r="F360" s="13" t="s">
        <v>81</v>
      </c>
      <c r="G360" s="16" t="s">
        <v>178</v>
      </c>
      <c r="H360" s="18" t="s">
        <v>39</v>
      </c>
      <c r="I360" s="43" t="s">
        <v>1139</v>
      </c>
      <c r="J360" s="16" t="s">
        <v>1140</v>
      </c>
      <c r="K360" s="20" t="s">
        <v>39</v>
      </c>
      <c r="L360" s="21">
        <v>1100000</v>
      </c>
      <c r="M360" s="77">
        <v>0.1</v>
      </c>
      <c r="N360" s="77" t="s">
        <v>39</v>
      </c>
      <c r="O360" s="77" t="s">
        <v>39</v>
      </c>
      <c r="P360" s="77" t="s">
        <v>39</v>
      </c>
      <c r="Q360" s="77" t="s">
        <v>39</v>
      </c>
      <c r="R360" s="77" t="s">
        <v>39</v>
      </c>
      <c r="S360" s="77" t="s">
        <v>39</v>
      </c>
      <c r="T360" s="79"/>
      <c r="U360" s="84">
        <v>0.03</v>
      </c>
      <c r="V360" s="158" t="s">
        <v>39</v>
      </c>
      <c r="W360" s="77">
        <v>0.52</v>
      </c>
      <c r="X360" s="159" t="s">
        <v>39</v>
      </c>
      <c r="Y360" s="72" t="s">
        <v>39</v>
      </c>
      <c r="Z360" s="72" t="s">
        <v>39</v>
      </c>
      <c r="AA360" s="72" t="s">
        <v>39</v>
      </c>
      <c r="AB360" s="51" t="s">
        <v>39</v>
      </c>
      <c r="AC360" s="46" t="s">
        <v>39</v>
      </c>
      <c r="AD360" s="82" t="s">
        <v>1114</v>
      </c>
      <c r="AE360" s="25" t="s">
        <v>1115</v>
      </c>
    </row>
    <row r="361" s="2" customFormat="1" ht="12" customHeight="1" spans="1:31">
      <c r="A361" s="13">
        <v>366</v>
      </c>
      <c r="B361" s="14" t="s">
        <v>1222</v>
      </c>
      <c r="C361" s="15" t="s">
        <v>1142</v>
      </c>
      <c r="D361" s="15" t="s">
        <v>1143</v>
      </c>
      <c r="E361" s="61" t="s">
        <v>1144</v>
      </c>
      <c r="F361" s="13" t="s">
        <v>37</v>
      </c>
      <c r="G361" s="16" t="s">
        <v>178</v>
      </c>
      <c r="H361" s="16" t="s">
        <v>39</v>
      </c>
      <c r="I361" s="43" t="s">
        <v>39</v>
      </c>
      <c r="J361" s="16" t="s">
        <v>39</v>
      </c>
      <c r="K361" s="20" t="s">
        <v>39</v>
      </c>
      <c r="L361" s="21" t="s">
        <v>39</v>
      </c>
      <c r="M361" s="77" t="s">
        <v>39</v>
      </c>
      <c r="N361" s="78"/>
      <c r="O361" s="77" t="s">
        <v>39</v>
      </c>
      <c r="P361" s="78"/>
      <c r="Q361" s="77" t="s">
        <v>39</v>
      </c>
      <c r="R361" s="77" t="s">
        <v>39</v>
      </c>
      <c r="S361" s="77" t="s">
        <v>39</v>
      </c>
      <c r="T361" s="78"/>
      <c r="U361" s="78"/>
      <c r="V361" s="160" t="s">
        <v>39</v>
      </c>
      <c r="W361" s="161"/>
      <c r="X361" s="162">
        <v>0.03</v>
      </c>
      <c r="Y361" s="72" t="s">
        <v>39</v>
      </c>
      <c r="Z361" s="80"/>
      <c r="AA361" s="80"/>
      <c r="AB361" s="46">
        <v>0.045</v>
      </c>
      <c r="AC361" s="46" t="s">
        <v>39</v>
      </c>
      <c r="AD361" s="76"/>
      <c r="AE361" s="25"/>
    </row>
    <row r="362" s="2" customFormat="1" ht="48" customHeight="1" spans="1:31">
      <c r="A362" s="13">
        <v>367</v>
      </c>
      <c r="B362" s="14" t="s">
        <v>1225</v>
      </c>
      <c r="C362" s="15" t="s">
        <v>1142</v>
      </c>
      <c r="D362" s="15" t="s">
        <v>1143</v>
      </c>
      <c r="E362" s="61" t="s">
        <v>1144</v>
      </c>
      <c r="F362" s="13" t="s">
        <v>81</v>
      </c>
      <c r="G362" s="16" t="s">
        <v>178</v>
      </c>
      <c r="H362" s="13" t="s">
        <v>66</v>
      </c>
      <c r="I362" s="43" t="s">
        <v>1146</v>
      </c>
      <c r="J362" s="143" t="s">
        <v>1147</v>
      </c>
      <c r="K362" s="20" t="s">
        <v>39</v>
      </c>
      <c r="L362" s="21">
        <v>375000</v>
      </c>
      <c r="M362" s="84">
        <v>0.19</v>
      </c>
      <c r="N362" s="77" t="s">
        <v>39</v>
      </c>
      <c r="O362" s="77" t="s">
        <v>39</v>
      </c>
      <c r="P362" s="81" t="s">
        <v>39</v>
      </c>
      <c r="Q362" s="81" t="s">
        <v>39</v>
      </c>
      <c r="R362" s="81" t="s">
        <v>39</v>
      </c>
      <c r="S362" s="71" t="s">
        <v>39</v>
      </c>
      <c r="T362" s="81">
        <v>0.035</v>
      </c>
      <c r="U362" s="70">
        <v>0.055</v>
      </c>
      <c r="V362" s="71" t="s">
        <v>39</v>
      </c>
      <c r="W362" s="163">
        <v>0.2</v>
      </c>
      <c r="X362" s="77" t="s">
        <v>39</v>
      </c>
      <c r="Y362" s="72" t="s">
        <v>39</v>
      </c>
      <c r="Z362" s="72" t="s">
        <v>39</v>
      </c>
      <c r="AA362" s="72" t="s">
        <v>39</v>
      </c>
      <c r="AB362" s="46" t="s">
        <v>39</v>
      </c>
      <c r="AC362" s="46" t="s">
        <v>39</v>
      </c>
      <c r="AD362" s="76" t="s">
        <v>1148</v>
      </c>
      <c r="AE362" s="25" t="s">
        <v>1149</v>
      </c>
    </row>
    <row r="363" s="2" customFormat="1" ht="48" customHeight="1" spans="1:31">
      <c r="A363" s="13">
        <v>368</v>
      </c>
      <c r="B363" s="14" t="s">
        <v>1228</v>
      </c>
      <c r="C363" s="15" t="s">
        <v>1142</v>
      </c>
      <c r="D363" s="15" t="s">
        <v>1143</v>
      </c>
      <c r="E363" s="61" t="s">
        <v>1144</v>
      </c>
      <c r="F363" s="13" t="s">
        <v>81</v>
      </c>
      <c r="G363" s="16" t="s">
        <v>178</v>
      </c>
      <c r="H363" s="13" t="s">
        <v>70</v>
      </c>
      <c r="I363" s="43" t="s">
        <v>1152</v>
      </c>
      <c r="J363" s="143" t="s">
        <v>642</v>
      </c>
      <c r="K363" s="20" t="s">
        <v>39</v>
      </c>
      <c r="L363" s="21">
        <v>395000</v>
      </c>
      <c r="M363" s="84">
        <v>0.19</v>
      </c>
      <c r="N363" s="77" t="s">
        <v>39</v>
      </c>
      <c r="O363" s="77" t="s">
        <v>39</v>
      </c>
      <c r="P363" s="81" t="s">
        <v>39</v>
      </c>
      <c r="Q363" s="81" t="s">
        <v>39</v>
      </c>
      <c r="R363" s="81" t="s">
        <v>39</v>
      </c>
      <c r="S363" s="71" t="s">
        <v>39</v>
      </c>
      <c r="T363" s="81">
        <v>0.035</v>
      </c>
      <c r="U363" s="70">
        <v>0.055</v>
      </c>
      <c r="V363" s="71" t="s">
        <v>39</v>
      </c>
      <c r="W363" s="77">
        <v>0.2</v>
      </c>
      <c r="X363" s="77" t="s">
        <v>39</v>
      </c>
      <c r="Y363" s="72" t="s">
        <v>39</v>
      </c>
      <c r="Z363" s="72" t="s">
        <v>39</v>
      </c>
      <c r="AA363" s="72" t="s">
        <v>39</v>
      </c>
      <c r="AB363" s="46" t="s">
        <v>39</v>
      </c>
      <c r="AC363" s="46" t="s">
        <v>39</v>
      </c>
      <c r="AD363" s="76" t="s">
        <v>1148</v>
      </c>
      <c r="AE363" s="25" t="s">
        <v>1149</v>
      </c>
    </row>
    <row r="364" s="2" customFormat="1" ht="48" customHeight="1" spans="1:31">
      <c r="A364" s="13">
        <v>369</v>
      </c>
      <c r="B364" s="14" t="s">
        <v>1230</v>
      </c>
      <c r="C364" s="15" t="s">
        <v>1142</v>
      </c>
      <c r="D364" s="15" t="s">
        <v>1143</v>
      </c>
      <c r="E364" s="61" t="s">
        <v>1144</v>
      </c>
      <c r="F364" s="13" t="s">
        <v>81</v>
      </c>
      <c r="G364" s="16" t="s">
        <v>178</v>
      </c>
      <c r="H364" s="13" t="s">
        <v>272</v>
      </c>
      <c r="I364" s="43" t="s">
        <v>98</v>
      </c>
      <c r="J364" s="143" t="s">
        <v>642</v>
      </c>
      <c r="K364" s="20" t="s">
        <v>39</v>
      </c>
      <c r="L364" s="21">
        <v>968000</v>
      </c>
      <c r="M364" s="84">
        <v>0.19</v>
      </c>
      <c r="N364" s="77" t="s">
        <v>39</v>
      </c>
      <c r="O364" s="77" t="s">
        <v>39</v>
      </c>
      <c r="P364" s="81" t="s">
        <v>39</v>
      </c>
      <c r="Q364" s="81" t="s">
        <v>39</v>
      </c>
      <c r="R364" s="81" t="s">
        <v>39</v>
      </c>
      <c r="S364" s="71" t="s">
        <v>39</v>
      </c>
      <c r="T364" s="81">
        <v>0.025</v>
      </c>
      <c r="U364" s="70">
        <v>0.055</v>
      </c>
      <c r="V364" s="71" t="s">
        <v>39</v>
      </c>
      <c r="W364" s="77">
        <v>0.2</v>
      </c>
      <c r="X364" s="77" t="s">
        <v>39</v>
      </c>
      <c r="Y364" s="72" t="s">
        <v>39</v>
      </c>
      <c r="Z364" s="74">
        <v>7500</v>
      </c>
      <c r="AA364" s="72" t="s">
        <v>39</v>
      </c>
      <c r="AB364" s="46" t="s">
        <v>39</v>
      </c>
      <c r="AC364" s="46" t="s">
        <v>39</v>
      </c>
      <c r="AD364" s="76" t="s">
        <v>1154</v>
      </c>
      <c r="AE364" s="25" t="s">
        <v>1149</v>
      </c>
    </row>
    <row r="365" s="2" customFormat="1" ht="48" customHeight="1" spans="1:31">
      <c r="A365" s="13">
        <v>370</v>
      </c>
      <c r="B365" s="14" t="s">
        <v>1233</v>
      </c>
      <c r="C365" s="15" t="s">
        <v>1142</v>
      </c>
      <c r="D365" s="15" t="s">
        <v>1143</v>
      </c>
      <c r="E365" s="61" t="s">
        <v>1144</v>
      </c>
      <c r="F365" s="13" t="s">
        <v>81</v>
      </c>
      <c r="G365" s="16" t="s">
        <v>178</v>
      </c>
      <c r="H365" s="13" t="s">
        <v>60</v>
      </c>
      <c r="I365" s="43" t="s">
        <v>1156</v>
      </c>
      <c r="J365" s="143" t="s">
        <v>1147</v>
      </c>
      <c r="K365" s="20" t="s">
        <v>39</v>
      </c>
      <c r="L365" s="21">
        <v>810000</v>
      </c>
      <c r="M365" s="84">
        <v>0.19</v>
      </c>
      <c r="N365" s="77" t="s">
        <v>39</v>
      </c>
      <c r="O365" s="77" t="s">
        <v>39</v>
      </c>
      <c r="P365" s="81" t="s">
        <v>39</v>
      </c>
      <c r="Q365" s="81" t="s">
        <v>39</v>
      </c>
      <c r="R365" s="81" t="s">
        <v>39</v>
      </c>
      <c r="S365" s="71" t="s">
        <v>39</v>
      </c>
      <c r="T365" s="81"/>
      <c r="U365" s="70"/>
      <c r="V365" s="71" t="s">
        <v>39</v>
      </c>
      <c r="W365" s="77">
        <v>0.53</v>
      </c>
      <c r="X365" s="77" t="s">
        <v>39</v>
      </c>
      <c r="Y365" s="72" t="s">
        <v>39</v>
      </c>
      <c r="Z365" s="72" t="s">
        <v>39</v>
      </c>
      <c r="AA365" s="72" t="s">
        <v>39</v>
      </c>
      <c r="AB365" s="46" t="s">
        <v>39</v>
      </c>
      <c r="AC365" s="46" t="s">
        <v>39</v>
      </c>
      <c r="AD365" s="76" t="s">
        <v>1148</v>
      </c>
      <c r="AE365" s="25" t="s">
        <v>1157</v>
      </c>
    </row>
    <row r="366" s="2" customFormat="1" ht="48" customHeight="1" spans="1:31">
      <c r="A366" s="13">
        <v>371</v>
      </c>
      <c r="B366" s="14" t="s">
        <v>1236</v>
      </c>
      <c r="C366" s="15" t="s">
        <v>1142</v>
      </c>
      <c r="D366" s="15" t="s">
        <v>1143</v>
      </c>
      <c r="E366" s="61" t="s">
        <v>1144</v>
      </c>
      <c r="F366" s="13" t="s">
        <v>81</v>
      </c>
      <c r="G366" s="16" t="s">
        <v>178</v>
      </c>
      <c r="H366" s="13" t="s">
        <v>265</v>
      </c>
      <c r="I366" s="43" t="s">
        <v>771</v>
      </c>
      <c r="J366" s="143" t="s">
        <v>1160</v>
      </c>
      <c r="K366" s="20" t="s">
        <v>39</v>
      </c>
      <c r="L366" s="21">
        <v>745000</v>
      </c>
      <c r="M366" s="84">
        <v>0.19</v>
      </c>
      <c r="N366" s="77" t="s">
        <v>39</v>
      </c>
      <c r="O366" s="77" t="s">
        <v>39</v>
      </c>
      <c r="P366" s="81" t="s">
        <v>39</v>
      </c>
      <c r="Q366" s="81" t="s">
        <v>39</v>
      </c>
      <c r="R366" s="81" t="s">
        <v>39</v>
      </c>
      <c r="S366" s="71" t="s">
        <v>39</v>
      </c>
      <c r="T366" s="81"/>
      <c r="U366" s="70"/>
      <c r="V366" s="71" t="s">
        <v>39</v>
      </c>
      <c r="W366" s="77">
        <v>0.53</v>
      </c>
      <c r="X366" s="77" t="s">
        <v>39</v>
      </c>
      <c r="Y366" s="72" t="s">
        <v>39</v>
      </c>
      <c r="Z366" s="72" t="s">
        <v>39</v>
      </c>
      <c r="AA366" s="72" t="s">
        <v>39</v>
      </c>
      <c r="AB366" s="46" t="s">
        <v>39</v>
      </c>
      <c r="AC366" s="46" t="s">
        <v>39</v>
      </c>
      <c r="AD366" s="76" t="s">
        <v>1148</v>
      </c>
      <c r="AE366" s="25" t="s">
        <v>1157</v>
      </c>
    </row>
    <row r="367" s="2" customFormat="1" ht="48" customHeight="1" spans="1:31">
      <c r="A367" s="13">
        <v>372</v>
      </c>
      <c r="B367" s="14" t="s">
        <v>1242</v>
      </c>
      <c r="C367" s="15" t="s">
        <v>1142</v>
      </c>
      <c r="D367" s="15" t="s">
        <v>1143</v>
      </c>
      <c r="E367" s="61" t="s">
        <v>1144</v>
      </c>
      <c r="F367" s="13" t="s">
        <v>81</v>
      </c>
      <c r="G367" s="16" t="s">
        <v>178</v>
      </c>
      <c r="H367" s="13" t="s">
        <v>86</v>
      </c>
      <c r="I367" s="43" t="s">
        <v>1162</v>
      </c>
      <c r="J367" s="143" t="s">
        <v>1160</v>
      </c>
      <c r="K367" s="20" t="s">
        <v>39</v>
      </c>
      <c r="L367" s="21">
        <v>770000</v>
      </c>
      <c r="M367" s="84">
        <v>0.19</v>
      </c>
      <c r="N367" s="77" t="s">
        <v>39</v>
      </c>
      <c r="O367" s="77" t="s">
        <v>39</v>
      </c>
      <c r="P367" s="81" t="s">
        <v>39</v>
      </c>
      <c r="Q367" s="81" t="s">
        <v>39</v>
      </c>
      <c r="R367" s="81" t="s">
        <v>39</v>
      </c>
      <c r="S367" s="71" t="s">
        <v>39</v>
      </c>
      <c r="T367" s="81"/>
      <c r="U367" s="70"/>
      <c r="V367" s="71" t="s">
        <v>39</v>
      </c>
      <c r="W367" s="77">
        <v>0.53</v>
      </c>
      <c r="X367" s="77" t="s">
        <v>39</v>
      </c>
      <c r="Y367" s="72" t="s">
        <v>39</v>
      </c>
      <c r="Z367" s="72" t="s">
        <v>39</v>
      </c>
      <c r="AA367" s="72" t="s">
        <v>39</v>
      </c>
      <c r="AB367" s="46" t="s">
        <v>39</v>
      </c>
      <c r="AC367" s="46" t="s">
        <v>39</v>
      </c>
      <c r="AD367" s="76" t="s">
        <v>1148</v>
      </c>
      <c r="AE367" s="25" t="s">
        <v>1157</v>
      </c>
    </row>
    <row r="368" s="2" customFormat="1" ht="60" customHeight="1" spans="1:31">
      <c r="A368" s="13">
        <v>373</v>
      </c>
      <c r="B368" s="14" t="s">
        <v>1246</v>
      </c>
      <c r="C368" s="15" t="s">
        <v>1142</v>
      </c>
      <c r="D368" s="15" t="s">
        <v>1143</v>
      </c>
      <c r="E368" s="61" t="s">
        <v>1144</v>
      </c>
      <c r="F368" s="13" t="s">
        <v>81</v>
      </c>
      <c r="G368" s="16" t="s">
        <v>178</v>
      </c>
      <c r="H368" s="13" t="s">
        <v>276</v>
      </c>
      <c r="I368" s="43" t="s">
        <v>1164</v>
      </c>
      <c r="J368" s="143" t="s">
        <v>1165</v>
      </c>
      <c r="K368" s="20" t="s">
        <v>39</v>
      </c>
      <c r="L368" s="21">
        <v>745000</v>
      </c>
      <c r="M368" s="84">
        <v>0.14</v>
      </c>
      <c r="N368" s="77" t="s">
        <v>39</v>
      </c>
      <c r="O368" s="77" t="s">
        <v>39</v>
      </c>
      <c r="P368" s="81" t="s">
        <v>39</v>
      </c>
      <c r="Q368" s="81" t="s">
        <v>39</v>
      </c>
      <c r="R368" s="81" t="s">
        <v>39</v>
      </c>
      <c r="S368" s="71" t="s">
        <v>39</v>
      </c>
      <c r="T368" s="81" t="s">
        <v>39</v>
      </c>
      <c r="U368" s="70"/>
      <c r="V368" s="71" t="s">
        <v>39</v>
      </c>
      <c r="W368" s="77">
        <v>0.53</v>
      </c>
      <c r="X368" s="77" t="s">
        <v>39</v>
      </c>
      <c r="Y368" s="72" t="s">
        <v>39</v>
      </c>
      <c r="Z368" s="72" t="s">
        <v>39</v>
      </c>
      <c r="AA368" s="72" t="s">
        <v>39</v>
      </c>
      <c r="AB368" s="46" t="s">
        <v>39</v>
      </c>
      <c r="AC368" s="46" t="s">
        <v>39</v>
      </c>
      <c r="AD368" s="76" t="s">
        <v>1166</v>
      </c>
      <c r="AE368" s="25" t="s">
        <v>1157</v>
      </c>
    </row>
    <row r="369" s="2" customFormat="1" ht="60" customHeight="1" spans="1:31">
      <c r="A369" s="13">
        <v>374</v>
      </c>
      <c r="B369" s="14" t="s">
        <v>1249</v>
      </c>
      <c r="C369" s="15" t="s">
        <v>1142</v>
      </c>
      <c r="D369" s="15" t="s">
        <v>1143</v>
      </c>
      <c r="E369" s="61" t="s">
        <v>1144</v>
      </c>
      <c r="F369" s="13" t="s">
        <v>81</v>
      </c>
      <c r="G369" s="16" t="s">
        <v>178</v>
      </c>
      <c r="H369" s="13" t="s">
        <v>280</v>
      </c>
      <c r="I369" s="43" t="s">
        <v>1168</v>
      </c>
      <c r="J369" s="143" t="s">
        <v>1165</v>
      </c>
      <c r="K369" s="20" t="s">
        <v>39</v>
      </c>
      <c r="L369" s="21">
        <v>820000</v>
      </c>
      <c r="M369" s="84">
        <v>0.14</v>
      </c>
      <c r="N369" s="77" t="s">
        <v>39</v>
      </c>
      <c r="O369" s="77" t="s">
        <v>39</v>
      </c>
      <c r="P369" s="81" t="s">
        <v>39</v>
      </c>
      <c r="Q369" s="81" t="s">
        <v>39</v>
      </c>
      <c r="R369" s="81" t="s">
        <v>39</v>
      </c>
      <c r="S369" s="71" t="s">
        <v>39</v>
      </c>
      <c r="T369" s="81" t="s">
        <v>39</v>
      </c>
      <c r="U369" s="70"/>
      <c r="V369" s="71" t="s">
        <v>39</v>
      </c>
      <c r="W369" s="77">
        <v>0.53</v>
      </c>
      <c r="X369" s="77" t="s">
        <v>39</v>
      </c>
      <c r="Y369" s="72" t="s">
        <v>39</v>
      </c>
      <c r="Z369" s="72" t="s">
        <v>39</v>
      </c>
      <c r="AA369" s="72" t="s">
        <v>39</v>
      </c>
      <c r="AB369" s="46" t="s">
        <v>39</v>
      </c>
      <c r="AC369" s="46" t="s">
        <v>39</v>
      </c>
      <c r="AD369" s="76" t="s">
        <v>1166</v>
      </c>
      <c r="AE369" s="25" t="s">
        <v>1157</v>
      </c>
    </row>
    <row r="370" s="2" customFormat="1" ht="48" customHeight="1" spans="1:31">
      <c r="A370" s="13">
        <v>375</v>
      </c>
      <c r="B370" s="14" t="s">
        <v>1255</v>
      </c>
      <c r="C370" s="15" t="s">
        <v>1142</v>
      </c>
      <c r="D370" s="15" t="s">
        <v>1143</v>
      </c>
      <c r="E370" s="61" t="s">
        <v>1144</v>
      </c>
      <c r="F370" s="13" t="s">
        <v>81</v>
      </c>
      <c r="G370" s="16" t="s">
        <v>178</v>
      </c>
      <c r="H370" s="13" t="s">
        <v>74</v>
      </c>
      <c r="I370" s="43" t="s">
        <v>1170</v>
      </c>
      <c r="J370" s="143" t="s">
        <v>1171</v>
      </c>
      <c r="K370" s="20" t="s">
        <v>39</v>
      </c>
      <c r="L370" s="21">
        <v>480000</v>
      </c>
      <c r="M370" s="84">
        <v>0.19</v>
      </c>
      <c r="N370" s="77" t="s">
        <v>39</v>
      </c>
      <c r="O370" s="77" t="s">
        <v>39</v>
      </c>
      <c r="P370" s="81" t="s">
        <v>39</v>
      </c>
      <c r="Q370" s="81" t="s">
        <v>39</v>
      </c>
      <c r="R370" s="81" t="s">
        <v>39</v>
      </c>
      <c r="S370" s="71" t="s">
        <v>39</v>
      </c>
      <c r="T370" s="81">
        <v>0.035</v>
      </c>
      <c r="U370" s="70">
        <v>0.055</v>
      </c>
      <c r="V370" s="71" t="s">
        <v>39</v>
      </c>
      <c r="W370" s="77">
        <v>0.53</v>
      </c>
      <c r="X370" s="77" t="s">
        <v>39</v>
      </c>
      <c r="Y370" s="72" t="s">
        <v>39</v>
      </c>
      <c r="Z370" s="72" t="s">
        <v>39</v>
      </c>
      <c r="AA370" s="72" t="s">
        <v>39</v>
      </c>
      <c r="AB370" s="46" t="s">
        <v>39</v>
      </c>
      <c r="AC370" s="46" t="s">
        <v>39</v>
      </c>
      <c r="AD370" s="76" t="s">
        <v>1148</v>
      </c>
      <c r="AE370" s="25" t="s">
        <v>1172</v>
      </c>
    </row>
    <row r="371" s="2" customFormat="1" ht="12" customHeight="1" spans="1:31">
      <c r="A371" s="13">
        <v>376</v>
      </c>
      <c r="B371" s="14" t="s">
        <v>1259</v>
      </c>
      <c r="C371" s="15" t="s">
        <v>1142</v>
      </c>
      <c r="D371" s="15" t="s">
        <v>1173</v>
      </c>
      <c r="E371" s="61" t="s">
        <v>1174</v>
      </c>
      <c r="F371" s="88" t="s">
        <v>37</v>
      </c>
      <c r="G371" s="16" t="s">
        <v>178</v>
      </c>
      <c r="H371" s="18" t="s">
        <v>39</v>
      </c>
      <c r="I371" s="88" t="s">
        <v>39</v>
      </c>
      <c r="J371" s="88" t="s">
        <v>39</v>
      </c>
      <c r="K371" s="19" t="s">
        <v>39</v>
      </c>
      <c r="L371" s="21" t="s">
        <v>39</v>
      </c>
      <c r="M371" s="19" t="s">
        <v>39</v>
      </c>
      <c r="N371" s="47"/>
      <c r="O371" s="19" t="s">
        <v>39</v>
      </c>
      <c r="P371" s="140"/>
      <c r="Q371" s="59" t="s">
        <v>39</v>
      </c>
      <c r="R371" s="59" t="s">
        <v>39</v>
      </c>
      <c r="S371" s="19" t="s">
        <v>39</v>
      </c>
      <c r="T371" s="106"/>
      <c r="U371" s="106"/>
      <c r="V371" s="19" t="s">
        <v>39</v>
      </c>
      <c r="W371" s="55" t="s">
        <v>39</v>
      </c>
      <c r="X371" s="55" t="s">
        <v>39</v>
      </c>
      <c r="Y371" s="55" t="s">
        <v>39</v>
      </c>
      <c r="Z371" s="55" t="s">
        <v>39</v>
      </c>
      <c r="AA371" s="55" t="s">
        <v>39</v>
      </c>
      <c r="AB371" s="46">
        <v>0.05</v>
      </c>
      <c r="AC371" s="46">
        <v>0.005</v>
      </c>
      <c r="AD371" s="48" t="s">
        <v>104</v>
      </c>
      <c r="AE371" s="25"/>
    </row>
    <row r="372" s="2" customFormat="1" ht="48" customHeight="1" spans="1:31">
      <c r="A372" s="13">
        <v>377</v>
      </c>
      <c r="B372" s="14" t="s">
        <v>1262</v>
      </c>
      <c r="C372" s="15" t="s">
        <v>1142</v>
      </c>
      <c r="D372" s="15" t="s">
        <v>1173</v>
      </c>
      <c r="E372" s="61" t="s">
        <v>1174</v>
      </c>
      <c r="F372" s="13" t="s">
        <v>81</v>
      </c>
      <c r="G372" s="16" t="s">
        <v>178</v>
      </c>
      <c r="H372" s="18" t="s">
        <v>39</v>
      </c>
      <c r="I372" s="43" t="s">
        <v>1176</v>
      </c>
      <c r="J372" s="13" t="s">
        <v>1177</v>
      </c>
      <c r="K372" s="20" t="s">
        <v>39</v>
      </c>
      <c r="L372" s="21" t="s">
        <v>39</v>
      </c>
      <c r="M372" s="77">
        <v>0.28</v>
      </c>
      <c r="N372" s="77" t="s">
        <v>39</v>
      </c>
      <c r="O372" s="77" t="s">
        <v>39</v>
      </c>
      <c r="P372" s="81" t="s">
        <v>39</v>
      </c>
      <c r="Q372" s="81" t="s">
        <v>39</v>
      </c>
      <c r="R372" s="81" t="s">
        <v>39</v>
      </c>
      <c r="S372" s="77" t="s">
        <v>39</v>
      </c>
      <c r="T372" s="71" t="s">
        <v>39</v>
      </c>
      <c r="U372" s="71" t="s">
        <v>39</v>
      </c>
      <c r="V372" s="77" t="s">
        <v>39</v>
      </c>
      <c r="W372" s="72" t="s">
        <v>251</v>
      </c>
      <c r="X372" s="73" t="s">
        <v>39</v>
      </c>
      <c r="Y372" s="72" t="s">
        <v>39</v>
      </c>
      <c r="Z372" s="72" t="s">
        <v>39</v>
      </c>
      <c r="AA372" s="72" t="s">
        <v>39</v>
      </c>
      <c r="AB372" s="51" t="s">
        <v>39</v>
      </c>
      <c r="AC372" s="46" t="s">
        <v>39</v>
      </c>
      <c r="AD372" s="76" t="s">
        <v>1178</v>
      </c>
      <c r="AE372" s="25"/>
    </row>
    <row r="373" s="2" customFormat="1" ht="48" customHeight="1" spans="1:31">
      <c r="A373" s="13">
        <v>378</v>
      </c>
      <c r="B373" s="14" t="s">
        <v>1266</v>
      </c>
      <c r="C373" s="15" t="s">
        <v>1142</v>
      </c>
      <c r="D373" s="15" t="s">
        <v>1173</v>
      </c>
      <c r="E373" s="61" t="s">
        <v>1174</v>
      </c>
      <c r="F373" s="13" t="s">
        <v>81</v>
      </c>
      <c r="G373" s="16" t="s">
        <v>178</v>
      </c>
      <c r="H373" s="18" t="s">
        <v>39</v>
      </c>
      <c r="I373" s="43" t="s">
        <v>1181</v>
      </c>
      <c r="J373" s="13" t="s">
        <v>1182</v>
      </c>
      <c r="K373" s="20" t="s">
        <v>39</v>
      </c>
      <c r="L373" s="21" t="s">
        <v>39</v>
      </c>
      <c r="M373" s="77">
        <v>0.28</v>
      </c>
      <c r="N373" s="77" t="s">
        <v>39</v>
      </c>
      <c r="O373" s="77" t="s">
        <v>39</v>
      </c>
      <c r="P373" s="81" t="s">
        <v>39</v>
      </c>
      <c r="Q373" s="81" t="s">
        <v>39</v>
      </c>
      <c r="R373" s="81" t="s">
        <v>39</v>
      </c>
      <c r="S373" s="77" t="s">
        <v>39</v>
      </c>
      <c r="T373" s="71" t="s">
        <v>39</v>
      </c>
      <c r="U373" s="71" t="s">
        <v>39</v>
      </c>
      <c r="V373" s="77" t="s">
        <v>39</v>
      </c>
      <c r="W373" s="72" t="s">
        <v>251</v>
      </c>
      <c r="X373" s="73" t="s">
        <v>39</v>
      </c>
      <c r="Y373" s="72" t="s">
        <v>39</v>
      </c>
      <c r="Z373" s="72" t="s">
        <v>39</v>
      </c>
      <c r="AA373" s="72" t="s">
        <v>39</v>
      </c>
      <c r="AB373" s="51" t="s">
        <v>39</v>
      </c>
      <c r="AC373" s="46" t="s">
        <v>39</v>
      </c>
      <c r="AD373" s="82" t="s">
        <v>1178</v>
      </c>
      <c r="AE373" s="25"/>
    </row>
    <row r="374" s="2" customFormat="1" ht="48" customHeight="1" spans="1:31">
      <c r="A374" s="13">
        <v>379</v>
      </c>
      <c r="B374" s="14" t="s">
        <v>1269</v>
      </c>
      <c r="C374" s="15" t="s">
        <v>1142</v>
      </c>
      <c r="D374" s="15" t="s">
        <v>1173</v>
      </c>
      <c r="E374" s="61" t="s">
        <v>1174</v>
      </c>
      <c r="F374" s="13" t="s">
        <v>81</v>
      </c>
      <c r="G374" s="16" t="s">
        <v>178</v>
      </c>
      <c r="H374" s="18" t="s">
        <v>39</v>
      </c>
      <c r="I374" s="43" t="s">
        <v>1184</v>
      </c>
      <c r="J374" s="13" t="s">
        <v>1185</v>
      </c>
      <c r="K374" s="20" t="s">
        <v>39</v>
      </c>
      <c r="L374" s="21" t="s">
        <v>39</v>
      </c>
      <c r="M374" s="77">
        <v>0.28</v>
      </c>
      <c r="N374" s="77" t="s">
        <v>39</v>
      </c>
      <c r="O374" s="77" t="s">
        <v>39</v>
      </c>
      <c r="P374" s="81" t="s">
        <v>39</v>
      </c>
      <c r="Q374" s="81" t="s">
        <v>39</v>
      </c>
      <c r="R374" s="81" t="s">
        <v>39</v>
      </c>
      <c r="S374" s="77" t="s">
        <v>39</v>
      </c>
      <c r="T374" s="71" t="s">
        <v>39</v>
      </c>
      <c r="U374" s="71" t="s">
        <v>39</v>
      </c>
      <c r="V374" s="77" t="s">
        <v>39</v>
      </c>
      <c r="W374" s="72" t="s">
        <v>251</v>
      </c>
      <c r="X374" s="73" t="s">
        <v>39</v>
      </c>
      <c r="Y374" s="72" t="s">
        <v>39</v>
      </c>
      <c r="Z374" s="72" t="s">
        <v>39</v>
      </c>
      <c r="AA374" s="72" t="s">
        <v>39</v>
      </c>
      <c r="AB374" s="51" t="s">
        <v>39</v>
      </c>
      <c r="AC374" s="46" t="s">
        <v>39</v>
      </c>
      <c r="AD374" s="76" t="s">
        <v>1178</v>
      </c>
      <c r="AE374" s="25"/>
    </row>
    <row r="375" s="2" customFormat="1" ht="48" customHeight="1" spans="1:31">
      <c r="A375" s="13">
        <v>380</v>
      </c>
      <c r="B375" s="14" t="s">
        <v>1272</v>
      </c>
      <c r="C375" s="15" t="s">
        <v>1142</v>
      </c>
      <c r="D375" s="15" t="s">
        <v>1173</v>
      </c>
      <c r="E375" s="61" t="s">
        <v>1174</v>
      </c>
      <c r="F375" s="13" t="s">
        <v>81</v>
      </c>
      <c r="G375" s="16" t="s">
        <v>178</v>
      </c>
      <c r="H375" s="18" t="s">
        <v>39</v>
      </c>
      <c r="I375" s="43" t="s">
        <v>1187</v>
      </c>
      <c r="J375" s="13" t="s">
        <v>1188</v>
      </c>
      <c r="K375" s="20" t="s">
        <v>39</v>
      </c>
      <c r="L375" s="21" t="s">
        <v>39</v>
      </c>
      <c r="M375" s="77">
        <v>0.28</v>
      </c>
      <c r="N375" s="77" t="s">
        <v>39</v>
      </c>
      <c r="O375" s="77" t="s">
        <v>39</v>
      </c>
      <c r="P375" s="81" t="s">
        <v>39</v>
      </c>
      <c r="Q375" s="81" t="s">
        <v>39</v>
      </c>
      <c r="R375" s="81" t="s">
        <v>39</v>
      </c>
      <c r="S375" s="77" t="s">
        <v>39</v>
      </c>
      <c r="T375" s="71" t="s">
        <v>39</v>
      </c>
      <c r="U375" s="71" t="s">
        <v>39</v>
      </c>
      <c r="V375" s="77" t="s">
        <v>39</v>
      </c>
      <c r="W375" s="72" t="s">
        <v>251</v>
      </c>
      <c r="X375" s="73" t="s">
        <v>39</v>
      </c>
      <c r="Y375" s="72" t="s">
        <v>39</v>
      </c>
      <c r="Z375" s="72" t="s">
        <v>39</v>
      </c>
      <c r="AA375" s="72" t="s">
        <v>39</v>
      </c>
      <c r="AB375" s="51" t="s">
        <v>39</v>
      </c>
      <c r="AC375" s="46" t="s">
        <v>39</v>
      </c>
      <c r="AD375" s="76" t="s">
        <v>1178</v>
      </c>
      <c r="AE375" s="25"/>
    </row>
    <row r="376" s="2" customFormat="1" ht="48" customHeight="1" spans="1:31">
      <c r="A376" s="13">
        <v>381</v>
      </c>
      <c r="B376" s="14" t="s">
        <v>1275</v>
      </c>
      <c r="C376" s="15" t="s">
        <v>1142</v>
      </c>
      <c r="D376" s="15" t="s">
        <v>1173</v>
      </c>
      <c r="E376" s="61" t="s">
        <v>1174</v>
      </c>
      <c r="F376" s="13" t="s">
        <v>81</v>
      </c>
      <c r="G376" s="16" t="s">
        <v>178</v>
      </c>
      <c r="H376" s="18" t="s">
        <v>39</v>
      </c>
      <c r="I376" s="43" t="s">
        <v>1190</v>
      </c>
      <c r="J376" s="13" t="s">
        <v>1191</v>
      </c>
      <c r="K376" s="20" t="s">
        <v>39</v>
      </c>
      <c r="L376" s="21" t="s">
        <v>39</v>
      </c>
      <c r="M376" s="77">
        <v>0.28</v>
      </c>
      <c r="N376" s="77" t="s">
        <v>39</v>
      </c>
      <c r="O376" s="77" t="s">
        <v>39</v>
      </c>
      <c r="P376" s="81" t="s">
        <v>39</v>
      </c>
      <c r="Q376" s="81" t="s">
        <v>39</v>
      </c>
      <c r="R376" s="81" t="s">
        <v>39</v>
      </c>
      <c r="S376" s="77" t="s">
        <v>39</v>
      </c>
      <c r="T376" s="71" t="s">
        <v>39</v>
      </c>
      <c r="U376" s="71" t="s">
        <v>39</v>
      </c>
      <c r="V376" s="77" t="s">
        <v>39</v>
      </c>
      <c r="W376" s="72" t="s">
        <v>251</v>
      </c>
      <c r="X376" s="73" t="s">
        <v>39</v>
      </c>
      <c r="Y376" s="72" t="s">
        <v>39</v>
      </c>
      <c r="Z376" s="72" t="s">
        <v>39</v>
      </c>
      <c r="AA376" s="72" t="s">
        <v>39</v>
      </c>
      <c r="AB376" s="51" t="s">
        <v>39</v>
      </c>
      <c r="AC376" s="46" t="s">
        <v>39</v>
      </c>
      <c r="AD376" s="76" t="s">
        <v>1178</v>
      </c>
      <c r="AE376" s="25"/>
    </row>
    <row r="377" s="2" customFormat="1" ht="48" customHeight="1" spans="1:31">
      <c r="A377" s="13">
        <v>382</v>
      </c>
      <c r="B377" s="14" t="s">
        <v>1277</v>
      </c>
      <c r="C377" s="15" t="s">
        <v>1142</v>
      </c>
      <c r="D377" s="15" t="s">
        <v>1173</v>
      </c>
      <c r="E377" s="61" t="s">
        <v>1174</v>
      </c>
      <c r="F377" s="13" t="s">
        <v>81</v>
      </c>
      <c r="G377" s="16" t="s">
        <v>178</v>
      </c>
      <c r="H377" s="18" t="s">
        <v>39</v>
      </c>
      <c r="I377" s="43" t="s">
        <v>1193</v>
      </c>
      <c r="J377" s="13" t="s">
        <v>1194</v>
      </c>
      <c r="K377" s="20" t="s">
        <v>39</v>
      </c>
      <c r="L377" s="21" t="s">
        <v>39</v>
      </c>
      <c r="M377" s="77">
        <v>0.28</v>
      </c>
      <c r="N377" s="77" t="s">
        <v>39</v>
      </c>
      <c r="O377" s="77" t="s">
        <v>39</v>
      </c>
      <c r="P377" s="81" t="s">
        <v>39</v>
      </c>
      <c r="Q377" s="81" t="s">
        <v>39</v>
      </c>
      <c r="R377" s="81" t="s">
        <v>39</v>
      </c>
      <c r="S377" s="77" t="s">
        <v>39</v>
      </c>
      <c r="T377" s="71" t="s">
        <v>39</v>
      </c>
      <c r="U377" s="71" t="s">
        <v>39</v>
      </c>
      <c r="V377" s="77" t="s">
        <v>39</v>
      </c>
      <c r="W377" s="72" t="s">
        <v>251</v>
      </c>
      <c r="X377" s="73" t="s">
        <v>39</v>
      </c>
      <c r="Y377" s="72" t="s">
        <v>39</v>
      </c>
      <c r="Z377" s="72" t="s">
        <v>39</v>
      </c>
      <c r="AA377" s="72" t="s">
        <v>39</v>
      </c>
      <c r="AB377" s="51" t="s">
        <v>39</v>
      </c>
      <c r="AC377" s="46" t="s">
        <v>39</v>
      </c>
      <c r="AD377" s="76" t="s">
        <v>1178</v>
      </c>
      <c r="AE377" s="25"/>
    </row>
    <row r="378" s="2" customFormat="1" ht="48" customHeight="1" spans="1:31">
      <c r="A378" s="13">
        <v>383</v>
      </c>
      <c r="B378" s="14" t="s">
        <v>1280</v>
      </c>
      <c r="C378" s="15" t="s">
        <v>1142</v>
      </c>
      <c r="D378" s="15" t="s">
        <v>1173</v>
      </c>
      <c r="E378" s="61" t="s">
        <v>1174</v>
      </c>
      <c r="F378" s="13" t="s">
        <v>81</v>
      </c>
      <c r="G378" s="16" t="s">
        <v>178</v>
      </c>
      <c r="H378" s="18" t="s">
        <v>39</v>
      </c>
      <c r="I378" s="43" t="s">
        <v>1196</v>
      </c>
      <c r="J378" s="13" t="s">
        <v>1197</v>
      </c>
      <c r="K378" s="20" t="s">
        <v>39</v>
      </c>
      <c r="L378" s="21" t="s">
        <v>39</v>
      </c>
      <c r="M378" s="77">
        <v>0.28</v>
      </c>
      <c r="N378" s="77" t="s">
        <v>39</v>
      </c>
      <c r="O378" s="77" t="s">
        <v>39</v>
      </c>
      <c r="P378" s="81" t="s">
        <v>39</v>
      </c>
      <c r="Q378" s="81" t="s">
        <v>39</v>
      </c>
      <c r="R378" s="81" t="s">
        <v>39</v>
      </c>
      <c r="S378" s="77" t="s">
        <v>39</v>
      </c>
      <c r="T378" s="71" t="s">
        <v>39</v>
      </c>
      <c r="U378" s="71" t="s">
        <v>39</v>
      </c>
      <c r="V378" s="77" t="s">
        <v>39</v>
      </c>
      <c r="W378" s="72" t="s">
        <v>251</v>
      </c>
      <c r="X378" s="73" t="s">
        <v>39</v>
      </c>
      <c r="Y378" s="72" t="s">
        <v>39</v>
      </c>
      <c r="Z378" s="72" t="s">
        <v>39</v>
      </c>
      <c r="AA378" s="72" t="s">
        <v>39</v>
      </c>
      <c r="AB378" s="51" t="s">
        <v>39</v>
      </c>
      <c r="AC378" s="46" t="s">
        <v>39</v>
      </c>
      <c r="AD378" s="76" t="s">
        <v>1178</v>
      </c>
      <c r="AE378" s="25"/>
    </row>
    <row r="379" s="2" customFormat="1" ht="48" customHeight="1" spans="1:31">
      <c r="A379" s="13">
        <v>384</v>
      </c>
      <c r="B379" s="14" t="s">
        <v>1282</v>
      </c>
      <c r="C379" s="15" t="s">
        <v>1142</v>
      </c>
      <c r="D379" s="15" t="s">
        <v>1173</v>
      </c>
      <c r="E379" s="61" t="s">
        <v>1174</v>
      </c>
      <c r="F379" s="13" t="s">
        <v>81</v>
      </c>
      <c r="G379" s="16" t="s">
        <v>178</v>
      </c>
      <c r="H379" s="18" t="s">
        <v>39</v>
      </c>
      <c r="I379" s="43" t="s">
        <v>673</v>
      </c>
      <c r="J379" s="13" t="s">
        <v>1199</v>
      </c>
      <c r="K379" s="20" t="s">
        <v>39</v>
      </c>
      <c r="L379" s="21" t="s">
        <v>39</v>
      </c>
      <c r="M379" s="77">
        <v>0.28</v>
      </c>
      <c r="N379" s="77" t="s">
        <v>39</v>
      </c>
      <c r="O379" s="77" t="s">
        <v>39</v>
      </c>
      <c r="P379" s="81" t="s">
        <v>39</v>
      </c>
      <c r="Q379" s="81" t="s">
        <v>39</v>
      </c>
      <c r="R379" s="81" t="s">
        <v>39</v>
      </c>
      <c r="S379" s="77" t="s">
        <v>39</v>
      </c>
      <c r="T379" s="71" t="s">
        <v>39</v>
      </c>
      <c r="U379" s="71" t="s">
        <v>39</v>
      </c>
      <c r="V379" s="77" t="s">
        <v>39</v>
      </c>
      <c r="W379" s="72" t="s">
        <v>251</v>
      </c>
      <c r="X379" s="73" t="s">
        <v>39</v>
      </c>
      <c r="Y379" s="72" t="s">
        <v>39</v>
      </c>
      <c r="Z379" s="72" t="s">
        <v>39</v>
      </c>
      <c r="AA379" s="72" t="s">
        <v>39</v>
      </c>
      <c r="AB379" s="51" t="s">
        <v>39</v>
      </c>
      <c r="AC379" s="46" t="s">
        <v>39</v>
      </c>
      <c r="AD379" s="76" t="s">
        <v>1178</v>
      </c>
      <c r="AE379" s="25"/>
    </row>
    <row r="380" s="2" customFormat="1" ht="48" customHeight="1" spans="1:31">
      <c r="A380" s="13">
        <v>385</v>
      </c>
      <c r="B380" s="14" t="s">
        <v>1285</v>
      </c>
      <c r="C380" s="15" t="s">
        <v>1142</v>
      </c>
      <c r="D380" s="15" t="s">
        <v>1173</v>
      </c>
      <c r="E380" s="61" t="s">
        <v>1174</v>
      </c>
      <c r="F380" s="13" t="s">
        <v>81</v>
      </c>
      <c r="G380" s="16" t="s">
        <v>178</v>
      </c>
      <c r="H380" s="18" t="s">
        <v>39</v>
      </c>
      <c r="I380" s="43" t="s">
        <v>1201</v>
      </c>
      <c r="J380" s="13" t="s">
        <v>1202</v>
      </c>
      <c r="K380" s="20" t="s">
        <v>39</v>
      </c>
      <c r="L380" s="21" t="s">
        <v>39</v>
      </c>
      <c r="M380" s="77">
        <v>0.24</v>
      </c>
      <c r="N380" s="77" t="s">
        <v>39</v>
      </c>
      <c r="O380" s="77" t="s">
        <v>39</v>
      </c>
      <c r="P380" s="81" t="s">
        <v>39</v>
      </c>
      <c r="Q380" s="81" t="s">
        <v>39</v>
      </c>
      <c r="R380" s="81" t="s">
        <v>39</v>
      </c>
      <c r="S380" s="77" t="s">
        <v>39</v>
      </c>
      <c r="T380" s="71" t="s">
        <v>39</v>
      </c>
      <c r="U380" s="71" t="s">
        <v>39</v>
      </c>
      <c r="V380" s="77" t="s">
        <v>39</v>
      </c>
      <c r="W380" s="72" t="s">
        <v>251</v>
      </c>
      <c r="X380" s="73" t="s">
        <v>39</v>
      </c>
      <c r="Y380" s="72" t="s">
        <v>39</v>
      </c>
      <c r="Z380" s="72" t="s">
        <v>39</v>
      </c>
      <c r="AA380" s="72" t="s">
        <v>39</v>
      </c>
      <c r="AB380" s="51" t="s">
        <v>39</v>
      </c>
      <c r="AC380" s="46" t="s">
        <v>39</v>
      </c>
      <c r="AD380" s="76" t="s">
        <v>1178</v>
      </c>
      <c r="AE380" s="25"/>
    </row>
    <row r="381" s="2" customFormat="1" ht="48" customHeight="1" spans="1:31">
      <c r="A381" s="13">
        <v>386</v>
      </c>
      <c r="B381" s="14" t="s">
        <v>1289</v>
      </c>
      <c r="C381" s="15" t="s">
        <v>1142</v>
      </c>
      <c r="D381" s="15" t="s">
        <v>1173</v>
      </c>
      <c r="E381" s="61" t="s">
        <v>1174</v>
      </c>
      <c r="F381" s="13" t="s">
        <v>81</v>
      </c>
      <c r="G381" s="16" t="s">
        <v>178</v>
      </c>
      <c r="H381" s="18" t="s">
        <v>39</v>
      </c>
      <c r="I381" s="43" t="s">
        <v>1204</v>
      </c>
      <c r="J381" s="13" t="s">
        <v>1205</v>
      </c>
      <c r="K381" s="20" t="s">
        <v>39</v>
      </c>
      <c r="L381" s="21" t="s">
        <v>39</v>
      </c>
      <c r="M381" s="77">
        <v>0.22</v>
      </c>
      <c r="N381" s="77" t="s">
        <v>39</v>
      </c>
      <c r="O381" s="77" t="s">
        <v>39</v>
      </c>
      <c r="P381" s="81" t="s">
        <v>39</v>
      </c>
      <c r="Q381" s="81" t="s">
        <v>39</v>
      </c>
      <c r="R381" s="81" t="s">
        <v>39</v>
      </c>
      <c r="S381" s="77" t="s">
        <v>39</v>
      </c>
      <c r="T381" s="71" t="s">
        <v>39</v>
      </c>
      <c r="U381" s="71" t="s">
        <v>39</v>
      </c>
      <c r="V381" s="77" t="s">
        <v>39</v>
      </c>
      <c r="W381" s="72" t="s">
        <v>251</v>
      </c>
      <c r="X381" s="73" t="s">
        <v>39</v>
      </c>
      <c r="Y381" s="72" t="s">
        <v>39</v>
      </c>
      <c r="Z381" s="72" t="s">
        <v>39</v>
      </c>
      <c r="AA381" s="72" t="s">
        <v>39</v>
      </c>
      <c r="AB381" s="51" t="s">
        <v>39</v>
      </c>
      <c r="AC381" s="46" t="s">
        <v>39</v>
      </c>
      <c r="AD381" s="76" t="s">
        <v>1178</v>
      </c>
      <c r="AE381" s="25"/>
    </row>
    <row r="382" s="2" customFormat="1" ht="48" customHeight="1" spans="1:31">
      <c r="A382" s="13">
        <v>387</v>
      </c>
      <c r="B382" s="14" t="s">
        <v>1292</v>
      </c>
      <c r="C382" s="15" t="s">
        <v>1142</v>
      </c>
      <c r="D382" s="15" t="s">
        <v>1173</v>
      </c>
      <c r="E382" s="61" t="s">
        <v>1174</v>
      </c>
      <c r="F382" s="13" t="s">
        <v>81</v>
      </c>
      <c r="G382" s="16" t="s">
        <v>178</v>
      </c>
      <c r="H382" s="18" t="s">
        <v>39</v>
      </c>
      <c r="I382" s="43" t="s">
        <v>98</v>
      </c>
      <c r="J382" s="13" t="s">
        <v>1205</v>
      </c>
      <c r="K382" s="20" t="s">
        <v>39</v>
      </c>
      <c r="L382" s="21" t="s">
        <v>39</v>
      </c>
      <c r="M382" s="77">
        <v>0.16</v>
      </c>
      <c r="N382" s="77" t="s">
        <v>39</v>
      </c>
      <c r="O382" s="77" t="s">
        <v>39</v>
      </c>
      <c r="P382" s="81" t="s">
        <v>39</v>
      </c>
      <c r="Q382" s="81" t="s">
        <v>39</v>
      </c>
      <c r="R382" s="81" t="s">
        <v>39</v>
      </c>
      <c r="S382" s="77" t="s">
        <v>39</v>
      </c>
      <c r="T382" s="71" t="s">
        <v>39</v>
      </c>
      <c r="U382" s="71" t="s">
        <v>39</v>
      </c>
      <c r="V382" s="77" t="s">
        <v>39</v>
      </c>
      <c r="W382" s="72" t="s">
        <v>251</v>
      </c>
      <c r="X382" s="73" t="s">
        <v>39</v>
      </c>
      <c r="Y382" s="72" t="s">
        <v>39</v>
      </c>
      <c r="Z382" s="72" t="s">
        <v>39</v>
      </c>
      <c r="AA382" s="72" t="s">
        <v>39</v>
      </c>
      <c r="AB382" s="51" t="s">
        <v>39</v>
      </c>
      <c r="AC382" s="46" t="s">
        <v>39</v>
      </c>
      <c r="AD382" s="76" t="s">
        <v>1178</v>
      </c>
      <c r="AE382" s="25"/>
    </row>
    <row r="383" s="2" customFormat="1" ht="12" customHeight="1" spans="1:31">
      <c r="A383" s="13">
        <v>388</v>
      </c>
      <c r="B383" s="14" t="s">
        <v>1295</v>
      </c>
      <c r="C383" s="15" t="s">
        <v>1142</v>
      </c>
      <c r="D383" s="15" t="s">
        <v>1207</v>
      </c>
      <c r="E383" s="61" t="s">
        <v>1208</v>
      </c>
      <c r="F383" s="13" t="s">
        <v>53</v>
      </c>
      <c r="G383" s="16" t="s">
        <v>178</v>
      </c>
      <c r="H383" s="55" t="s">
        <v>39</v>
      </c>
      <c r="I383" s="88" t="s">
        <v>39</v>
      </c>
      <c r="J383" s="88" t="s">
        <v>39</v>
      </c>
      <c r="K383" s="19" t="s">
        <v>39</v>
      </c>
      <c r="L383" s="21" t="s">
        <v>39</v>
      </c>
      <c r="M383" s="19" t="s">
        <v>39</v>
      </c>
      <c r="N383" s="19" t="s">
        <v>39</v>
      </c>
      <c r="O383" s="19" t="s">
        <v>39</v>
      </c>
      <c r="P383" s="19" t="s">
        <v>39</v>
      </c>
      <c r="Q383" s="19" t="s">
        <v>39</v>
      </c>
      <c r="R383" s="19" t="s">
        <v>39</v>
      </c>
      <c r="S383" s="19" t="s">
        <v>39</v>
      </c>
      <c r="T383" s="106"/>
      <c r="U383" s="90" t="s">
        <v>39</v>
      </c>
      <c r="V383" s="19" t="s">
        <v>39</v>
      </c>
      <c r="W383" s="55" t="s">
        <v>39</v>
      </c>
      <c r="X383" s="138" t="s">
        <v>39</v>
      </c>
      <c r="Y383" s="55" t="s">
        <v>39</v>
      </c>
      <c r="Z383" s="55" t="s">
        <v>39</v>
      </c>
      <c r="AA383" s="55" t="s">
        <v>39</v>
      </c>
      <c r="AB383" s="46">
        <v>0.11</v>
      </c>
      <c r="AC383" s="118" t="s">
        <v>39</v>
      </c>
      <c r="AD383" s="48" t="s">
        <v>104</v>
      </c>
      <c r="AE383" s="25"/>
    </row>
    <row r="384" s="2" customFormat="1" ht="48" customHeight="1" spans="1:31">
      <c r="A384" s="13">
        <v>389</v>
      </c>
      <c r="B384" s="14" t="s">
        <v>1298</v>
      </c>
      <c r="C384" s="15" t="s">
        <v>1142</v>
      </c>
      <c r="D384" s="15" t="s">
        <v>1207</v>
      </c>
      <c r="E384" s="61" t="s">
        <v>1208</v>
      </c>
      <c r="F384" s="13" t="s">
        <v>53</v>
      </c>
      <c r="G384" s="16" t="s">
        <v>178</v>
      </c>
      <c r="H384" s="13" t="s">
        <v>60</v>
      </c>
      <c r="I384" s="43" t="s">
        <v>1210</v>
      </c>
      <c r="J384" s="13" t="s">
        <v>1211</v>
      </c>
      <c r="K384" s="20" t="s">
        <v>39</v>
      </c>
      <c r="L384" s="21">
        <v>1668000</v>
      </c>
      <c r="M384" s="75">
        <v>0.085</v>
      </c>
      <c r="N384" s="77" t="s">
        <v>39</v>
      </c>
      <c r="O384" s="77" t="s">
        <v>39</v>
      </c>
      <c r="P384" s="77" t="s">
        <v>39</v>
      </c>
      <c r="Q384" s="77" t="s">
        <v>39</v>
      </c>
      <c r="R384" s="77" t="s">
        <v>39</v>
      </c>
      <c r="S384" s="77" t="s">
        <v>39</v>
      </c>
      <c r="T384" s="77" t="s">
        <v>39</v>
      </c>
      <c r="U384" s="77" t="s">
        <v>39</v>
      </c>
      <c r="V384" s="72" t="s">
        <v>39</v>
      </c>
      <c r="W384" s="77">
        <v>0.45</v>
      </c>
      <c r="X384" s="73" t="s">
        <v>39</v>
      </c>
      <c r="Y384" s="72" t="s">
        <v>39</v>
      </c>
      <c r="Z384" s="72" t="s">
        <v>39</v>
      </c>
      <c r="AA384" s="72" t="s">
        <v>39</v>
      </c>
      <c r="AB384" s="51" t="s">
        <v>39</v>
      </c>
      <c r="AC384" s="46" t="s">
        <v>39</v>
      </c>
      <c r="AD384" s="76" t="s">
        <v>1212</v>
      </c>
      <c r="AE384" s="25" t="s">
        <v>1213</v>
      </c>
    </row>
    <row r="385" s="2" customFormat="1" ht="48" customHeight="1" spans="1:31">
      <c r="A385" s="13">
        <v>390</v>
      </c>
      <c r="B385" s="14" t="s">
        <v>1302</v>
      </c>
      <c r="C385" s="15" t="s">
        <v>1142</v>
      </c>
      <c r="D385" s="15" t="s">
        <v>1207</v>
      </c>
      <c r="E385" s="61" t="s">
        <v>1208</v>
      </c>
      <c r="F385" s="13" t="s">
        <v>53</v>
      </c>
      <c r="G385" s="16" t="s">
        <v>178</v>
      </c>
      <c r="H385" s="13" t="s">
        <v>66</v>
      </c>
      <c r="I385" s="43" t="s">
        <v>319</v>
      </c>
      <c r="J385" s="13" t="s">
        <v>1216</v>
      </c>
      <c r="K385" s="20" t="s">
        <v>39</v>
      </c>
      <c r="L385" s="21">
        <v>984000</v>
      </c>
      <c r="M385" s="75">
        <v>0.085</v>
      </c>
      <c r="N385" s="77" t="s">
        <v>39</v>
      </c>
      <c r="O385" s="77" t="s">
        <v>39</v>
      </c>
      <c r="P385" s="77" t="s">
        <v>39</v>
      </c>
      <c r="Q385" s="77" t="s">
        <v>39</v>
      </c>
      <c r="R385" s="77" t="s">
        <v>39</v>
      </c>
      <c r="S385" s="77" t="s">
        <v>39</v>
      </c>
      <c r="T385" s="77" t="s">
        <v>39</v>
      </c>
      <c r="U385" s="77" t="s">
        <v>39</v>
      </c>
      <c r="V385" s="72" t="s">
        <v>39</v>
      </c>
      <c r="W385" s="77">
        <v>0.45</v>
      </c>
      <c r="X385" s="73" t="s">
        <v>39</v>
      </c>
      <c r="Y385" s="72" t="s">
        <v>39</v>
      </c>
      <c r="Z385" s="72" t="s">
        <v>39</v>
      </c>
      <c r="AA385" s="72" t="s">
        <v>39</v>
      </c>
      <c r="AB385" s="51" t="s">
        <v>39</v>
      </c>
      <c r="AC385" s="46" t="s">
        <v>39</v>
      </c>
      <c r="AD385" s="76" t="s">
        <v>1212</v>
      </c>
      <c r="AE385" s="25" t="s">
        <v>1213</v>
      </c>
    </row>
    <row r="386" s="2" customFormat="1" ht="48" customHeight="1" spans="1:31">
      <c r="A386" s="13">
        <v>391</v>
      </c>
      <c r="B386" s="14" t="s">
        <v>1308</v>
      </c>
      <c r="C386" s="15" t="s">
        <v>1142</v>
      </c>
      <c r="D386" s="15" t="s">
        <v>1207</v>
      </c>
      <c r="E386" s="61" t="s">
        <v>1208</v>
      </c>
      <c r="F386" s="13" t="s">
        <v>53</v>
      </c>
      <c r="G386" s="16" t="s">
        <v>178</v>
      </c>
      <c r="H386" s="13" t="s">
        <v>70</v>
      </c>
      <c r="I386" s="43" t="s">
        <v>1218</v>
      </c>
      <c r="J386" s="13" t="s">
        <v>1219</v>
      </c>
      <c r="K386" s="20" t="s">
        <v>39</v>
      </c>
      <c r="L386" s="21">
        <v>662400</v>
      </c>
      <c r="M386" s="75">
        <v>0.085</v>
      </c>
      <c r="N386" s="77" t="s">
        <v>39</v>
      </c>
      <c r="O386" s="77" t="s">
        <v>39</v>
      </c>
      <c r="P386" s="77" t="s">
        <v>39</v>
      </c>
      <c r="Q386" s="77" t="s">
        <v>39</v>
      </c>
      <c r="R386" s="77" t="s">
        <v>39</v>
      </c>
      <c r="S386" s="77" t="s">
        <v>39</v>
      </c>
      <c r="T386" s="77" t="s">
        <v>39</v>
      </c>
      <c r="U386" s="77" t="s">
        <v>39</v>
      </c>
      <c r="V386" s="72" t="s">
        <v>39</v>
      </c>
      <c r="W386" s="77">
        <v>0.45</v>
      </c>
      <c r="X386" s="73" t="s">
        <v>39</v>
      </c>
      <c r="Y386" s="72" t="s">
        <v>39</v>
      </c>
      <c r="Z386" s="72" t="s">
        <v>39</v>
      </c>
      <c r="AA386" s="72" t="s">
        <v>39</v>
      </c>
      <c r="AB386" s="51" t="s">
        <v>39</v>
      </c>
      <c r="AC386" s="46" t="s">
        <v>39</v>
      </c>
      <c r="AD386" s="76" t="s">
        <v>1212</v>
      </c>
      <c r="AE386" s="25" t="s">
        <v>1213</v>
      </c>
    </row>
    <row r="387" s="2" customFormat="1" ht="48" customHeight="1" spans="1:31">
      <c r="A387" s="13">
        <v>392</v>
      </c>
      <c r="B387" s="14" t="s">
        <v>1312</v>
      </c>
      <c r="C387" s="15" t="s">
        <v>1142</v>
      </c>
      <c r="D387" s="15" t="s">
        <v>1207</v>
      </c>
      <c r="E387" s="61" t="s">
        <v>1208</v>
      </c>
      <c r="F387" s="13" t="s">
        <v>53</v>
      </c>
      <c r="G387" s="16" t="s">
        <v>178</v>
      </c>
      <c r="H387" s="13" t="s">
        <v>74</v>
      </c>
      <c r="I387" s="43" t="s">
        <v>618</v>
      </c>
      <c r="J387" s="13" t="s">
        <v>1221</v>
      </c>
      <c r="K387" s="20" t="s">
        <v>39</v>
      </c>
      <c r="L387" s="21">
        <v>367200</v>
      </c>
      <c r="M387" s="75">
        <v>0.085</v>
      </c>
      <c r="N387" s="77" t="s">
        <v>39</v>
      </c>
      <c r="O387" s="77" t="s">
        <v>39</v>
      </c>
      <c r="P387" s="77" t="s">
        <v>39</v>
      </c>
      <c r="Q387" s="77" t="s">
        <v>39</v>
      </c>
      <c r="R387" s="77" t="s">
        <v>39</v>
      </c>
      <c r="S387" s="77" t="s">
        <v>39</v>
      </c>
      <c r="T387" s="77" t="s">
        <v>39</v>
      </c>
      <c r="U387" s="77" t="s">
        <v>39</v>
      </c>
      <c r="V387" s="72" t="s">
        <v>39</v>
      </c>
      <c r="W387" s="77">
        <v>0.45</v>
      </c>
      <c r="X387" s="73" t="s">
        <v>39</v>
      </c>
      <c r="Y387" s="72" t="s">
        <v>39</v>
      </c>
      <c r="Z387" s="72" t="s">
        <v>39</v>
      </c>
      <c r="AA387" s="72" t="s">
        <v>39</v>
      </c>
      <c r="AB387" s="51" t="s">
        <v>39</v>
      </c>
      <c r="AC387" s="46" t="s">
        <v>39</v>
      </c>
      <c r="AD387" s="76" t="s">
        <v>1212</v>
      </c>
      <c r="AE387" s="25" t="s">
        <v>1213</v>
      </c>
    </row>
    <row r="388" s="2" customFormat="1" ht="48" customHeight="1" spans="1:31">
      <c r="A388" s="13">
        <v>393</v>
      </c>
      <c r="B388" s="14" t="s">
        <v>1315</v>
      </c>
      <c r="C388" s="15" t="s">
        <v>1142</v>
      </c>
      <c r="D388" s="15" t="s">
        <v>1207</v>
      </c>
      <c r="E388" s="61" t="s">
        <v>1208</v>
      </c>
      <c r="F388" s="13" t="s">
        <v>53</v>
      </c>
      <c r="G388" s="16" t="s">
        <v>178</v>
      </c>
      <c r="H388" s="13" t="s">
        <v>265</v>
      </c>
      <c r="I388" s="43" t="s">
        <v>1223</v>
      </c>
      <c r="J388" s="13" t="s">
        <v>1224</v>
      </c>
      <c r="K388" s="20" t="s">
        <v>39</v>
      </c>
      <c r="L388" s="21">
        <v>316800</v>
      </c>
      <c r="M388" s="75">
        <v>0.085</v>
      </c>
      <c r="N388" s="77" t="s">
        <v>39</v>
      </c>
      <c r="O388" s="77" t="s">
        <v>39</v>
      </c>
      <c r="P388" s="77" t="s">
        <v>39</v>
      </c>
      <c r="Q388" s="77" t="s">
        <v>39</v>
      </c>
      <c r="R388" s="77" t="s">
        <v>39</v>
      </c>
      <c r="S388" s="77" t="s">
        <v>39</v>
      </c>
      <c r="T388" s="77" t="s">
        <v>39</v>
      </c>
      <c r="U388" s="77" t="s">
        <v>39</v>
      </c>
      <c r="V388" s="72" t="s">
        <v>39</v>
      </c>
      <c r="W388" s="77">
        <v>0.45</v>
      </c>
      <c r="X388" s="73" t="s">
        <v>39</v>
      </c>
      <c r="Y388" s="72" t="s">
        <v>39</v>
      </c>
      <c r="Z388" s="72" t="s">
        <v>39</v>
      </c>
      <c r="AA388" s="72" t="s">
        <v>39</v>
      </c>
      <c r="AB388" s="51" t="s">
        <v>39</v>
      </c>
      <c r="AC388" s="46" t="s">
        <v>39</v>
      </c>
      <c r="AD388" s="76" t="s">
        <v>1212</v>
      </c>
      <c r="AE388" s="25" t="s">
        <v>1213</v>
      </c>
    </row>
    <row r="389" s="2" customFormat="1" ht="48" customHeight="1" spans="1:31">
      <c r="A389" s="13">
        <v>394</v>
      </c>
      <c r="B389" s="14" t="s">
        <v>1317</v>
      </c>
      <c r="C389" s="15" t="s">
        <v>1142</v>
      </c>
      <c r="D389" s="15" t="s">
        <v>1207</v>
      </c>
      <c r="E389" s="61" t="s">
        <v>1208</v>
      </c>
      <c r="F389" s="13" t="s">
        <v>53</v>
      </c>
      <c r="G389" s="16" t="s">
        <v>178</v>
      </c>
      <c r="H389" s="13" t="s">
        <v>86</v>
      </c>
      <c r="I389" s="43" t="s">
        <v>1226</v>
      </c>
      <c r="J389" s="13" t="s">
        <v>1227</v>
      </c>
      <c r="K389" s="20" t="s">
        <v>39</v>
      </c>
      <c r="L389" s="21">
        <v>2232000</v>
      </c>
      <c r="M389" s="75">
        <v>0.085</v>
      </c>
      <c r="N389" s="77" t="s">
        <v>39</v>
      </c>
      <c r="O389" s="77" t="s">
        <v>39</v>
      </c>
      <c r="P389" s="77" t="s">
        <v>39</v>
      </c>
      <c r="Q389" s="77" t="s">
        <v>39</v>
      </c>
      <c r="R389" s="77" t="s">
        <v>39</v>
      </c>
      <c r="S389" s="77" t="s">
        <v>39</v>
      </c>
      <c r="T389" s="77" t="s">
        <v>39</v>
      </c>
      <c r="U389" s="77" t="s">
        <v>39</v>
      </c>
      <c r="V389" s="72" t="s">
        <v>39</v>
      </c>
      <c r="W389" s="77">
        <v>0.45</v>
      </c>
      <c r="X389" s="73" t="s">
        <v>39</v>
      </c>
      <c r="Y389" s="72" t="s">
        <v>39</v>
      </c>
      <c r="Z389" s="72" t="s">
        <v>39</v>
      </c>
      <c r="AA389" s="72" t="s">
        <v>39</v>
      </c>
      <c r="AB389" s="51" t="s">
        <v>39</v>
      </c>
      <c r="AC389" s="46" t="s">
        <v>39</v>
      </c>
      <c r="AD389" s="76" t="s">
        <v>1212</v>
      </c>
      <c r="AE389" s="25" t="s">
        <v>1213</v>
      </c>
    </row>
    <row r="390" s="2" customFormat="1" ht="48" customHeight="1" spans="1:31">
      <c r="A390" s="13">
        <v>395</v>
      </c>
      <c r="B390" s="14" t="s">
        <v>1319</v>
      </c>
      <c r="C390" s="15" t="s">
        <v>1142</v>
      </c>
      <c r="D390" s="15" t="s">
        <v>1207</v>
      </c>
      <c r="E390" s="61" t="s">
        <v>1208</v>
      </c>
      <c r="F390" s="13" t="s">
        <v>53</v>
      </c>
      <c r="G390" s="16" t="s">
        <v>178</v>
      </c>
      <c r="H390" s="13" t="s">
        <v>272</v>
      </c>
      <c r="I390" s="43" t="s">
        <v>217</v>
      </c>
      <c r="J390" s="13" t="s">
        <v>1229</v>
      </c>
      <c r="K390" s="20" t="s">
        <v>39</v>
      </c>
      <c r="L390" s="21">
        <v>655200</v>
      </c>
      <c r="M390" s="75">
        <v>0.085</v>
      </c>
      <c r="N390" s="77" t="s">
        <v>39</v>
      </c>
      <c r="O390" s="77" t="s">
        <v>39</v>
      </c>
      <c r="P390" s="77" t="s">
        <v>39</v>
      </c>
      <c r="Q390" s="77" t="s">
        <v>39</v>
      </c>
      <c r="R390" s="77" t="s">
        <v>39</v>
      </c>
      <c r="S390" s="77" t="s">
        <v>39</v>
      </c>
      <c r="T390" s="77" t="s">
        <v>39</v>
      </c>
      <c r="U390" s="77" t="s">
        <v>39</v>
      </c>
      <c r="V390" s="72" t="s">
        <v>39</v>
      </c>
      <c r="W390" s="77">
        <v>0.45</v>
      </c>
      <c r="X390" s="73" t="s">
        <v>39</v>
      </c>
      <c r="Y390" s="72" t="s">
        <v>39</v>
      </c>
      <c r="Z390" s="72" t="s">
        <v>39</v>
      </c>
      <c r="AA390" s="72" t="s">
        <v>39</v>
      </c>
      <c r="AB390" s="51" t="s">
        <v>39</v>
      </c>
      <c r="AC390" s="46" t="s">
        <v>39</v>
      </c>
      <c r="AD390" s="76" t="s">
        <v>1212</v>
      </c>
      <c r="AE390" s="25" t="s">
        <v>1213</v>
      </c>
    </row>
    <row r="391" s="2" customFormat="1" ht="24" customHeight="1" spans="1:31">
      <c r="A391" s="13">
        <v>396</v>
      </c>
      <c r="B391" s="14" t="s">
        <v>1321</v>
      </c>
      <c r="C391" s="15" t="s">
        <v>1142</v>
      </c>
      <c r="D391" s="15" t="s">
        <v>1207</v>
      </c>
      <c r="E391" s="61" t="s">
        <v>1208</v>
      </c>
      <c r="F391" s="13" t="s">
        <v>53</v>
      </c>
      <c r="G391" s="16" t="s">
        <v>178</v>
      </c>
      <c r="H391" s="13" t="s">
        <v>276</v>
      </c>
      <c r="I391" s="43" t="s">
        <v>1231</v>
      </c>
      <c r="J391" s="13" t="s">
        <v>1232</v>
      </c>
      <c r="K391" s="20" t="s">
        <v>39</v>
      </c>
      <c r="L391" s="21">
        <v>662400</v>
      </c>
      <c r="M391" s="75">
        <v>0.085</v>
      </c>
      <c r="N391" s="77" t="s">
        <v>39</v>
      </c>
      <c r="O391" s="77" t="s">
        <v>39</v>
      </c>
      <c r="P391" s="77" t="s">
        <v>39</v>
      </c>
      <c r="Q391" s="77" t="s">
        <v>39</v>
      </c>
      <c r="R391" s="77" t="s">
        <v>39</v>
      </c>
      <c r="S391" s="77" t="s">
        <v>39</v>
      </c>
      <c r="T391" s="77" t="s">
        <v>39</v>
      </c>
      <c r="U391" s="77" t="s">
        <v>39</v>
      </c>
      <c r="V391" s="72" t="s">
        <v>39</v>
      </c>
      <c r="W391" s="77">
        <v>0.45</v>
      </c>
      <c r="X391" s="73" t="s">
        <v>39</v>
      </c>
      <c r="Y391" s="72" t="s">
        <v>39</v>
      </c>
      <c r="Z391" s="72" t="s">
        <v>39</v>
      </c>
      <c r="AA391" s="72" t="s">
        <v>39</v>
      </c>
      <c r="AB391" s="51" t="s">
        <v>39</v>
      </c>
      <c r="AC391" s="46" t="s">
        <v>39</v>
      </c>
      <c r="AD391" s="76" t="s">
        <v>1212</v>
      </c>
      <c r="AE391" s="25" t="s">
        <v>644</v>
      </c>
    </row>
    <row r="392" s="2" customFormat="1" ht="12" customHeight="1" spans="1:31">
      <c r="A392" s="13">
        <v>397</v>
      </c>
      <c r="B392" s="14" t="s">
        <v>1324</v>
      </c>
      <c r="C392" s="15" t="s">
        <v>1142</v>
      </c>
      <c r="D392" s="15" t="s">
        <v>1234</v>
      </c>
      <c r="E392" s="15" t="s">
        <v>1235</v>
      </c>
      <c r="F392" s="13" t="s">
        <v>37</v>
      </c>
      <c r="G392" s="16" t="s">
        <v>103</v>
      </c>
      <c r="H392" s="16" t="s">
        <v>39</v>
      </c>
      <c r="I392" s="43" t="s">
        <v>39</v>
      </c>
      <c r="J392" s="16" t="s">
        <v>39</v>
      </c>
      <c r="K392" s="20" t="s">
        <v>39</v>
      </c>
      <c r="L392" s="21" t="s">
        <v>39</v>
      </c>
      <c r="M392" s="97" t="s">
        <v>39</v>
      </c>
      <c r="N392" s="97" t="s">
        <v>39</v>
      </c>
      <c r="O392" s="83">
        <v>0.02</v>
      </c>
      <c r="P392" s="97" t="s">
        <v>39</v>
      </c>
      <c r="Q392" s="97" t="s">
        <v>39</v>
      </c>
      <c r="R392" s="97" t="s">
        <v>39</v>
      </c>
      <c r="S392" s="97" t="s">
        <v>39</v>
      </c>
      <c r="T392" s="97" t="s">
        <v>39</v>
      </c>
      <c r="U392" s="97" t="s">
        <v>39</v>
      </c>
      <c r="V392" s="97" t="s">
        <v>39</v>
      </c>
      <c r="W392" s="78"/>
      <c r="X392" s="83">
        <v>0.05</v>
      </c>
      <c r="Y392" s="85" t="s">
        <v>39</v>
      </c>
      <c r="Z392" s="85" t="s">
        <v>39</v>
      </c>
      <c r="AA392" s="85" t="s">
        <v>39</v>
      </c>
      <c r="AB392" s="22">
        <v>0.07</v>
      </c>
      <c r="AC392" s="18" t="s">
        <v>39</v>
      </c>
      <c r="AD392" s="152"/>
      <c r="AE392" s="25"/>
    </row>
    <row r="393" s="2" customFormat="1" ht="36" customHeight="1" spans="1:31">
      <c r="A393" s="13">
        <v>398</v>
      </c>
      <c r="B393" s="14" t="s">
        <v>1327</v>
      </c>
      <c r="C393" s="15" t="s">
        <v>1142</v>
      </c>
      <c r="D393" s="15" t="s">
        <v>1234</v>
      </c>
      <c r="E393" s="15" t="s">
        <v>1235</v>
      </c>
      <c r="F393" s="13" t="s">
        <v>81</v>
      </c>
      <c r="G393" s="16" t="s">
        <v>103</v>
      </c>
      <c r="H393" s="16" t="s">
        <v>60</v>
      </c>
      <c r="I393" s="43" t="s">
        <v>1237</v>
      </c>
      <c r="J393" s="16" t="s">
        <v>1238</v>
      </c>
      <c r="K393" s="20" t="s">
        <v>39</v>
      </c>
      <c r="L393" s="21">
        <v>621000</v>
      </c>
      <c r="M393" s="102">
        <v>0.12</v>
      </c>
      <c r="N393" s="97">
        <v>0.01</v>
      </c>
      <c r="O393" s="164" t="s">
        <v>39</v>
      </c>
      <c r="P393" s="164" t="s">
        <v>39</v>
      </c>
      <c r="Q393" s="102" t="s">
        <v>39</v>
      </c>
      <c r="R393" s="102" t="s">
        <v>39</v>
      </c>
      <c r="S393" s="97" t="s">
        <v>39</v>
      </c>
      <c r="T393" s="102">
        <v>0.03</v>
      </c>
      <c r="U393" s="102">
        <v>0.08</v>
      </c>
      <c r="V393" s="165">
        <v>0.06</v>
      </c>
      <c r="W393" s="78"/>
      <c r="X393" s="164" t="s">
        <v>39</v>
      </c>
      <c r="Y393" s="85" t="s">
        <v>39</v>
      </c>
      <c r="Z393" s="85" t="s">
        <v>39</v>
      </c>
      <c r="AA393" s="85" t="s">
        <v>39</v>
      </c>
      <c r="AB393" s="22" t="s">
        <v>39</v>
      </c>
      <c r="AC393" s="18" t="s">
        <v>39</v>
      </c>
      <c r="AD393" s="166" t="s">
        <v>1239</v>
      </c>
      <c r="AE393" s="25" t="s">
        <v>1240</v>
      </c>
    </row>
    <row r="394" s="2" customFormat="1" ht="36" customHeight="1" spans="1:31">
      <c r="A394" s="13">
        <v>399</v>
      </c>
      <c r="B394" s="14" t="s">
        <v>1330</v>
      </c>
      <c r="C394" s="15" t="s">
        <v>1142</v>
      </c>
      <c r="D394" s="15" t="s">
        <v>1234</v>
      </c>
      <c r="E394" s="15" t="s">
        <v>1235</v>
      </c>
      <c r="F394" s="13" t="s">
        <v>81</v>
      </c>
      <c r="G394" s="16" t="s">
        <v>103</v>
      </c>
      <c r="H394" s="16" t="s">
        <v>66</v>
      </c>
      <c r="I394" s="43" t="s">
        <v>1243</v>
      </c>
      <c r="J394" s="16" t="s">
        <v>1244</v>
      </c>
      <c r="K394" s="20" t="s">
        <v>39</v>
      </c>
      <c r="L394" s="21">
        <v>610000</v>
      </c>
      <c r="M394" s="102">
        <v>0.12</v>
      </c>
      <c r="N394" s="97">
        <v>0.01</v>
      </c>
      <c r="O394" s="164" t="s">
        <v>39</v>
      </c>
      <c r="P394" s="164" t="s">
        <v>39</v>
      </c>
      <c r="Q394" s="102" t="s">
        <v>39</v>
      </c>
      <c r="R394" s="102" t="s">
        <v>39</v>
      </c>
      <c r="S394" s="97" t="s">
        <v>39</v>
      </c>
      <c r="T394" s="102">
        <v>0.03</v>
      </c>
      <c r="U394" s="102">
        <v>0.08</v>
      </c>
      <c r="V394" s="165">
        <v>0.06</v>
      </c>
      <c r="W394" s="78"/>
      <c r="X394" s="164" t="s">
        <v>39</v>
      </c>
      <c r="Y394" s="85" t="s">
        <v>39</v>
      </c>
      <c r="Z394" s="85" t="s">
        <v>39</v>
      </c>
      <c r="AA394" s="85" t="s">
        <v>39</v>
      </c>
      <c r="AB394" s="22" t="s">
        <v>39</v>
      </c>
      <c r="AC394" s="18" t="s">
        <v>39</v>
      </c>
      <c r="AD394" s="166" t="s">
        <v>1245</v>
      </c>
      <c r="AE394" s="25" t="s">
        <v>1240</v>
      </c>
    </row>
    <row r="395" s="2" customFormat="1" ht="12" customHeight="1" spans="1:31">
      <c r="A395" s="13">
        <v>400</v>
      </c>
      <c r="B395" s="14" t="s">
        <v>1333</v>
      </c>
      <c r="C395" s="15"/>
      <c r="D395" s="15"/>
      <c r="E395" s="15" t="s">
        <v>1235</v>
      </c>
      <c r="F395" s="88" t="s">
        <v>81</v>
      </c>
      <c r="G395" s="16" t="s">
        <v>103</v>
      </c>
      <c r="H395" s="167" t="s">
        <v>70</v>
      </c>
      <c r="I395" s="13" t="s">
        <v>1539</v>
      </c>
      <c r="J395" s="16" t="s">
        <v>1540</v>
      </c>
      <c r="K395" s="20"/>
      <c r="L395" s="21"/>
      <c r="M395" s="102"/>
      <c r="N395" s="97"/>
      <c r="O395" s="164"/>
      <c r="P395" s="164"/>
      <c r="Q395" s="102"/>
      <c r="R395" s="102"/>
      <c r="S395" s="97"/>
      <c r="T395" s="102"/>
      <c r="U395" s="102"/>
      <c r="V395" s="165"/>
      <c r="W395" s="78"/>
      <c r="X395" s="164"/>
      <c r="Y395" s="85"/>
      <c r="Z395" s="85"/>
      <c r="AA395" s="85"/>
      <c r="AB395" s="22"/>
      <c r="AC395" s="18"/>
      <c r="AD395" s="166"/>
      <c r="AE395" s="25"/>
    </row>
    <row r="396" s="2" customFormat="1" ht="12" customHeight="1" spans="1:31">
      <c r="A396" s="13">
        <v>401</v>
      </c>
      <c r="B396" s="14" t="s">
        <v>1335</v>
      </c>
      <c r="C396" s="15" t="s">
        <v>1142</v>
      </c>
      <c r="D396" s="15" t="s">
        <v>1247</v>
      </c>
      <c r="E396" s="15" t="s">
        <v>1248</v>
      </c>
      <c r="F396" s="13" t="s">
        <v>37</v>
      </c>
      <c r="G396" s="16" t="s">
        <v>103</v>
      </c>
      <c r="H396" s="16" t="s">
        <v>39</v>
      </c>
      <c r="I396" s="43" t="s">
        <v>39</v>
      </c>
      <c r="J396" s="16" t="s">
        <v>39</v>
      </c>
      <c r="K396" s="20" t="s">
        <v>39</v>
      </c>
      <c r="L396" s="21" t="s">
        <v>39</v>
      </c>
      <c r="M396" s="97" t="s">
        <v>39</v>
      </c>
      <c r="N396" s="97" t="s">
        <v>39</v>
      </c>
      <c r="O396" s="78">
        <v>0.05</v>
      </c>
      <c r="P396" s="97" t="s">
        <v>39</v>
      </c>
      <c r="Q396" s="97" t="s">
        <v>39</v>
      </c>
      <c r="R396" s="97" t="s">
        <v>39</v>
      </c>
      <c r="S396" s="97" t="s">
        <v>39</v>
      </c>
      <c r="T396" s="97" t="s">
        <v>39</v>
      </c>
      <c r="U396" s="97" t="s">
        <v>39</v>
      </c>
      <c r="V396" s="97" t="s">
        <v>39</v>
      </c>
      <c r="W396" s="168"/>
      <c r="X396" s="85" t="s">
        <v>39</v>
      </c>
      <c r="Y396" s="85" t="s">
        <v>39</v>
      </c>
      <c r="Z396" s="85" t="s">
        <v>39</v>
      </c>
      <c r="AA396" s="85" t="s">
        <v>39</v>
      </c>
      <c r="AB396" s="22">
        <v>0.05</v>
      </c>
      <c r="AC396" s="18" t="s">
        <v>39</v>
      </c>
      <c r="AD396" s="152" t="s">
        <v>471</v>
      </c>
      <c r="AE396" s="25"/>
    </row>
    <row r="397" s="2" customFormat="1" ht="48" customHeight="1" spans="1:31">
      <c r="A397" s="13">
        <v>402</v>
      </c>
      <c r="B397" s="14" t="s">
        <v>1337</v>
      </c>
      <c r="C397" s="15" t="s">
        <v>1142</v>
      </c>
      <c r="D397" s="15" t="s">
        <v>1247</v>
      </c>
      <c r="E397" s="15" t="s">
        <v>1248</v>
      </c>
      <c r="F397" s="13" t="s">
        <v>81</v>
      </c>
      <c r="G397" s="16" t="s">
        <v>103</v>
      </c>
      <c r="H397" s="16" t="s">
        <v>60</v>
      </c>
      <c r="I397" s="43" t="s">
        <v>1250</v>
      </c>
      <c r="J397" s="16" t="s">
        <v>1251</v>
      </c>
      <c r="K397" s="20" t="s">
        <v>39</v>
      </c>
      <c r="L397" s="21">
        <v>800000</v>
      </c>
      <c r="M397" s="102">
        <v>0.19</v>
      </c>
      <c r="N397" s="97" t="s">
        <v>39</v>
      </c>
      <c r="O397" s="169">
        <v>0.017</v>
      </c>
      <c r="P397" s="170">
        <v>500</v>
      </c>
      <c r="Q397" s="102" t="s">
        <v>39</v>
      </c>
      <c r="R397" s="102" t="s">
        <v>39</v>
      </c>
      <c r="S397" s="97" t="s">
        <v>39</v>
      </c>
      <c r="T397" s="102">
        <v>0.03</v>
      </c>
      <c r="U397" s="149" t="s">
        <v>39</v>
      </c>
      <c r="V397" s="171" t="s">
        <v>39</v>
      </c>
      <c r="W397" s="97">
        <v>0.1</v>
      </c>
      <c r="X397" s="85" t="s">
        <v>39</v>
      </c>
      <c r="Y397" s="85" t="s">
        <v>39</v>
      </c>
      <c r="Z397" s="85" t="s">
        <v>39</v>
      </c>
      <c r="AA397" s="85" t="s">
        <v>39</v>
      </c>
      <c r="AB397" s="22" t="s">
        <v>39</v>
      </c>
      <c r="AC397" s="18" t="s">
        <v>39</v>
      </c>
      <c r="AD397" s="150" t="s">
        <v>1252</v>
      </c>
      <c r="AE397" s="25" t="s">
        <v>1253</v>
      </c>
    </row>
    <row r="398" s="2" customFormat="1" ht="48" customHeight="1" spans="1:31">
      <c r="A398" s="13">
        <v>403</v>
      </c>
      <c r="B398" s="14" t="s">
        <v>1340</v>
      </c>
      <c r="C398" s="15" t="s">
        <v>1142</v>
      </c>
      <c r="D398" s="15" t="s">
        <v>1247</v>
      </c>
      <c r="E398" s="15" t="s">
        <v>1248</v>
      </c>
      <c r="F398" s="13" t="s">
        <v>81</v>
      </c>
      <c r="G398" s="16" t="s">
        <v>103</v>
      </c>
      <c r="H398" s="16" t="s">
        <v>66</v>
      </c>
      <c r="I398" s="43" t="s">
        <v>1256</v>
      </c>
      <c r="J398" s="16" t="s">
        <v>1257</v>
      </c>
      <c r="K398" s="20" t="s">
        <v>39</v>
      </c>
      <c r="L398" s="21">
        <v>640000</v>
      </c>
      <c r="M398" s="102">
        <v>0.19</v>
      </c>
      <c r="N398" s="97" t="s">
        <v>39</v>
      </c>
      <c r="O398" s="169">
        <v>0.017</v>
      </c>
      <c r="P398" s="170">
        <v>500</v>
      </c>
      <c r="Q398" s="102" t="s">
        <v>39</v>
      </c>
      <c r="R398" s="102" t="s">
        <v>39</v>
      </c>
      <c r="S398" s="97" t="s">
        <v>39</v>
      </c>
      <c r="T398" s="102">
        <v>0.03</v>
      </c>
      <c r="U398" s="149" t="s">
        <v>39</v>
      </c>
      <c r="V398" s="171" t="s">
        <v>39</v>
      </c>
      <c r="W398" s="97">
        <v>0.1</v>
      </c>
      <c r="X398" s="85" t="s">
        <v>39</v>
      </c>
      <c r="Y398" s="85" t="s">
        <v>39</v>
      </c>
      <c r="Z398" s="85" t="s">
        <v>39</v>
      </c>
      <c r="AA398" s="85" t="s">
        <v>39</v>
      </c>
      <c r="AB398" s="22" t="s">
        <v>39</v>
      </c>
      <c r="AC398" s="18" t="s">
        <v>39</v>
      </c>
      <c r="AD398" s="148" t="s">
        <v>1258</v>
      </c>
      <c r="AE398" s="25" t="s">
        <v>1253</v>
      </c>
    </row>
    <row r="399" s="2" customFormat="1" ht="48" customHeight="1" spans="1:31">
      <c r="A399" s="13">
        <v>404</v>
      </c>
      <c r="B399" s="14" t="s">
        <v>1343</v>
      </c>
      <c r="C399" s="15" t="s">
        <v>1142</v>
      </c>
      <c r="D399" s="15" t="s">
        <v>1247</v>
      </c>
      <c r="E399" s="15" t="s">
        <v>1248</v>
      </c>
      <c r="F399" s="13" t="s">
        <v>81</v>
      </c>
      <c r="G399" s="16" t="s">
        <v>103</v>
      </c>
      <c r="H399" s="16" t="s">
        <v>70</v>
      </c>
      <c r="I399" s="43" t="s">
        <v>98</v>
      </c>
      <c r="J399" s="16" t="s">
        <v>1260</v>
      </c>
      <c r="K399" s="20" t="s">
        <v>39</v>
      </c>
      <c r="L399" s="21">
        <v>160000</v>
      </c>
      <c r="M399" s="102">
        <v>0.19</v>
      </c>
      <c r="N399" s="97" t="s">
        <v>39</v>
      </c>
      <c r="O399" s="169">
        <v>0.017</v>
      </c>
      <c r="P399" s="170">
        <v>500</v>
      </c>
      <c r="Q399" s="102" t="s">
        <v>39</v>
      </c>
      <c r="R399" s="102" t="s">
        <v>39</v>
      </c>
      <c r="S399" s="97" t="s">
        <v>39</v>
      </c>
      <c r="T399" s="102">
        <v>0.03</v>
      </c>
      <c r="U399" s="149" t="s">
        <v>39</v>
      </c>
      <c r="V399" s="171" t="s">
        <v>39</v>
      </c>
      <c r="W399" s="78"/>
      <c r="X399" s="85" t="s">
        <v>39</v>
      </c>
      <c r="Y399" s="85" t="s">
        <v>39</v>
      </c>
      <c r="Z399" s="85" t="s">
        <v>39</v>
      </c>
      <c r="AA399" s="85" t="s">
        <v>39</v>
      </c>
      <c r="AB399" s="22" t="s">
        <v>39</v>
      </c>
      <c r="AC399" s="18" t="s">
        <v>39</v>
      </c>
      <c r="AD399" s="148" t="s">
        <v>1252</v>
      </c>
      <c r="AE399" s="25" t="s">
        <v>1253</v>
      </c>
    </row>
    <row r="400" s="2" customFormat="1" ht="48" customHeight="1" spans="1:31">
      <c r="A400" s="13">
        <v>405</v>
      </c>
      <c r="B400" s="14" t="s">
        <v>1349</v>
      </c>
      <c r="C400" s="15" t="s">
        <v>1142</v>
      </c>
      <c r="D400" s="15" t="s">
        <v>1247</v>
      </c>
      <c r="E400" s="15" t="s">
        <v>1248</v>
      </c>
      <c r="F400" s="13" t="s">
        <v>81</v>
      </c>
      <c r="G400" s="16" t="s">
        <v>103</v>
      </c>
      <c r="H400" s="16" t="s">
        <v>74</v>
      </c>
      <c r="I400" s="43" t="s">
        <v>1263</v>
      </c>
      <c r="J400" s="89" t="s">
        <v>1542</v>
      </c>
      <c r="K400" s="20" t="s">
        <v>39</v>
      </c>
      <c r="L400" s="21">
        <v>240000</v>
      </c>
      <c r="M400" s="102">
        <v>0.17</v>
      </c>
      <c r="N400" s="97" t="s">
        <v>39</v>
      </c>
      <c r="O400" s="169">
        <v>0.017</v>
      </c>
      <c r="P400" s="170">
        <v>1000</v>
      </c>
      <c r="Q400" s="102" t="s">
        <v>39</v>
      </c>
      <c r="R400" s="102" t="s">
        <v>39</v>
      </c>
      <c r="S400" s="97" t="s">
        <v>39</v>
      </c>
      <c r="T400" s="102">
        <v>0.03</v>
      </c>
      <c r="U400" s="149" t="s">
        <v>39</v>
      </c>
      <c r="V400" s="171" t="s">
        <v>39</v>
      </c>
      <c r="W400" s="78"/>
      <c r="X400" s="85" t="s">
        <v>39</v>
      </c>
      <c r="Y400" s="85" t="s">
        <v>39</v>
      </c>
      <c r="Z400" s="85" t="s">
        <v>39</v>
      </c>
      <c r="AA400" s="85" t="s">
        <v>39</v>
      </c>
      <c r="AB400" s="22" t="s">
        <v>39</v>
      </c>
      <c r="AC400" s="18" t="s">
        <v>39</v>
      </c>
      <c r="AD400" s="148" t="s">
        <v>1265</v>
      </c>
      <c r="AE400" s="25" t="s">
        <v>1253</v>
      </c>
    </row>
    <row r="401" s="2" customFormat="1" ht="48" customHeight="1" spans="1:31">
      <c r="A401" s="13">
        <v>406</v>
      </c>
      <c r="B401" s="14" t="s">
        <v>1544</v>
      </c>
      <c r="C401" s="15" t="s">
        <v>1142</v>
      </c>
      <c r="D401" s="15" t="s">
        <v>1247</v>
      </c>
      <c r="E401" s="15" t="s">
        <v>1248</v>
      </c>
      <c r="F401" s="13" t="s">
        <v>81</v>
      </c>
      <c r="G401" s="16" t="s">
        <v>103</v>
      </c>
      <c r="H401" s="16" t="s">
        <v>265</v>
      </c>
      <c r="I401" s="43" t="s">
        <v>1267</v>
      </c>
      <c r="J401" s="16" t="s">
        <v>1268</v>
      </c>
      <c r="K401" s="20" t="s">
        <v>39</v>
      </c>
      <c r="L401" s="21">
        <v>320000</v>
      </c>
      <c r="M401" s="102">
        <v>0.23</v>
      </c>
      <c r="N401" s="97" t="s">
        <v>39</v>
      </c>
      <c r="O401" s="169">
        <v>0.017</v>
      </c>
      <c r="P401" s="170">
        <v>1000</v>
      </c>
      <c r="Q401" s="102" t="s">
        <v>39</v>
      </c>
      <c r="R401" s="102" t="s">
        <v>39</v>
      </c>
      <c r="S401" s="97" t="s">
        <v>39</v>
      </c>
      <c r="T401" s="102">
        <v>0.03</v>
      </c>
      <c r="U401" s="149" t="s">
        <v>39</v>
      </c>
      <c r="V401" s="171" t="s">
        <v>39</v>
      </c>
      <c r="W401" s="97">
        <v>0.1</v>
      </c>
      <c r="X401" s="85" t="s">
        <v>39</v>
      </c>
      <c r="Y401" s="85" t="s">
        <v>39</v>
      </c>
      <c r="Z401" s="85" t="s">
        <v>39</v>
      </c>
      <c r="AA401" s="85" t="s">
        <v>39</v>
      </c>
      <c r="AB401" s="22" t="s">
        <v>39</v>
      </c>
      <c r="AC401" s="18" t="s">
        <v>39</v>
      </c>
      <c r="AD401" s="148" t="s">
        <v>1252</v>
      </c>
      <c r="AE401" s="25" t="s">
        <v>1253</v>
      </c>
    </row>
    <row r="402" s="2" customFormat="1" ht="48" customHeight="1" spans="1:31">
      <c r="A402" s="13">
        <v>407</v>
      </c>
      <c r="B402" s="14" t="s">
        <v>1545</v>
      </c>
      <c r="C402" s="15" t="s">
        <v>1142</v>
      </c>
      <c r="D402" s="15" t="s">
        <v>1247</v>
      </c>
      <c r="E402" s="15" t="s">
        <v>1248</v>
      </c>
      <c r="F402" s="13" t="s">
        <v>81</v>
      </c>
      <c r="G402" s="16" t="s">
        <v>103</v>
      </c>
      <c r="H402" s="16" t="s">
        <v>86</v>
      </c>
      <c r="I402" s="43" t="s">
        <v>186</v>
      </c>
      <c r="J402" s="16" t="s">
        <v>1270</v>
      </c>
      <c r="K402" s="20" t="s">
        <v>39</v>
      </c>
      <c r="L402" s="21">
        <v>320000</v>
      </c>
      <c r="M402" s="102">
        <v>0.23</v>
      </c>
      <c r="N402" s="97" t="s">
        <v>39</v>
      </c>
      <c r="O402" s="169">
        <v>0.017</v>
      </c>
      <c r="P402" s="170">
        <v>1000</v>
      </c>
      <c r="Q402" s="102" t="s">
        <v>39</v>
      </c>
      <c r="R402" s="102" t="s">
        <v>39</v>
      </c>
      <c r="S402" s="97" t="s">
        <v>39</v>
      </c>
      <c r="T402" s="102">
        <v>0.03</v>
      </c>
      <c r="U402" s="149" t="s">
        <v>39</v>
      </c>
      <c r="V402" s="171" t="s">
        <v>39</v>
      </c>
      <c r="W402" s="97">
        <v>0.1</v>
      </c>
      <c r="X402" s="85" t="s">
        <v>39</v>
      </c>
      <c r="Y402" s="85" t="s">
        <v>39</v>
      </c>
      <c r="Z402" s="85" t="s">
        <v>39</v>
      </c>
      <c r="AA402" s="85" t="s">
        <v>39</v>
      </c>
      <c r="AB402" s="22" t="s">
        <v>39</v>
      </c>
      <c r="AC402" s="18" t="s">
        <v>39</v>
      </c>
      <c r="AD402" s="148" t="s">
        <v>1252</v>
      </c>
      <c r="AE402" s="25" t="s">
        <v>1253</v>
      </c>
    </row>
    <row r="403" s="2" customFormat="1" ht="48" customHeight="1" spans="1:31">
      <c r="A403" s="13">
        <v>408</v>
      </c>
      <c r="B403" s="14" t="s">
        <v>1546</v>
      </c>
      <c r="C403" s="15" t="s">
        <v>1142</v>
      </c>
      <c r="D403" s="15" t="s">
        <v>1247</v>
      </c>
      <c r="E403" s="15" t="s">
        <v>1248</v>
      </c>
      <c r="F403" s="13" t="s">
        <v>81</v>
      </c>
      <c r="G403" s="16" t="s">
        <v>103</v>
      </c>
      <c r="H403" s="16" t="s">
        <v>272</v>
      </c>
      <c r="I403" s="43" t="s">
        <v>198</v>
      </c>
      <c r="J403" s="16" t="s">
        <v>1273</v>
      </c>
      <c r="K403" s="20" t="s">
        <v>39</v>
      </c>
      <c r="L403" s="21">
        <v>240000</v>
      </c>
      <c r="M403" s="102">
        <v>0.23</v>
      </c>
      <c r="N403" s="97" t="s">
        <v>39</v>
      </c>
      <c r="O403" s="169">
        <v>0.017</v>
      </c>
      <c r="P403" s="170">
        <v>1000</v>
      </c>
      <c r="Q403" s="102" t="s">
        <v>39</v>
      </c>
      <c r="R403" s="102" t="s">
        <v>39</v>
      </c>
      <c r="S403" s="97" t="s">
        <v>39</v>
      </c>
      <c r="T403" s="102">
        <v>0.03</v>
      </c>
      <c r="U403" s="149" t="s">
        <v>39</v>
      </c>
      <c r="V403" s="171" t="s">
        <v>39</v>
      </c>
      <c r="W403" s="97">
        <v>0.1</v>
      </c>
      <c r="X403" s="85" t="s">
        <v>39</v>
      </c>
      <c r="Y403" s="85" t="s">
        <v>39</v>
      </c>
      <c r="Z403" s="85" t="s">
        <v>39</v>
      </c>
      <c r="AA403" s="85" t="s">
        <v>39</v>
      </c>
      <c r="AB403" s="22" t="s">
        <v>39</v>
      </c>
      <c r="AC403" s="18" t="s">
        <v>39</v>
      </c>
      <c r="AD403" s="148" t="s">
        <v>1274</v>
      </c>
      <c r="AE403" s="25" t="s">
        <v>1253</v>
      </c>
    </row>
    <row r="404" s="2" customFormat="1" ht="48" customHeight="1" spans="1:31">
      <c r="A404" s="13">
        <v>409</v>
      </c>
      <c r="B404" s="14" t="s">
        <v>1547</v>
      </c>
      <c r="C404" s="15" t="s">
        <v>1142</v>
      </c>
      <c r="D404" s="15" t="s">
        <v>1247</v>
      </c>
      <c r="E404" s="15" t="s">
        <v>1248</v>
      </c>
      <c r="F404" s="13" t="s">
        <v>81</v>
      </c>
      <c r="G404" s="16" t="s">
        <v>103</v>
      </c>
      <c r="H404" s="16" t="s">
        <v>276</v>
      </c>
      <c r="I404" s="43" t="s">
        <v>530</v>
      </c>
      <c r="J404" s="16" t="s">
        <v>1276</v>
      </c>
      <c r="K404" s="20" t="s">
        <v>39</v>
      </c>
      <c r="L404" s="21">
        <v>320000</v>
      </c>
      <c r="M404" s="102">
        <v>0.23</v>
      </c>
      <c r="N404" s="97" t="s">
        <v>39</v>
      </c>
      <c r="O404" s="169">
        <v>0.017</v>
      </c>
      <c r="P404" s="170">
        <v>1000</v>
      </c>
      <c r="Q404" s="102" t="s">
        <v>39</v>
      </c>
      <c r="R404" s="102" t="s">
        <v>39</v>
      </c>
      <c r="S404" s="97" t="s">
        <v>39</v>
      </c>
      <c r="T404" s="102">
        <v>0.03</v>
      </c>
      <c r="U404" s="149" t="s">
        <v>39</v>
      </c>
      <c r="V404" s="171" t="s">
        <v>39</v>
      </c>
      <c r="W404" s="97">
        <v>0.1</v>
      </c>
      <c r="X404" s="85" t="s">
        <v>39</v>
      </c>
      <c r="Y404" s="85" t="s">
        <v>39</v>
      </c>
      <c r="Z404" s="85" t="s">
        <v>39</v>
      </c>
      <c r="AA404" s="85" t="s">
        <v>39</v>
      </c>
      <c r="AB404" s="22" t="s">
        <v>39</v>
      </c>
      <c r="AC404" s="18" t="s">
        <v>39</v>
      </c>
      <c r="AD404" s="148" t="s">
        <v>1252</v>
      </c>
      <c r="AE404" s="25" t="s">
        <v>1253</v>
      </c>
    </row>
    <row r="405" s="2" customFormat="1" ht="48" customHeight="1" spans="1:31">
      <c r="A405" s="13">
        <v>410</v>
      </c>
      <c r="B405" s="14" t="s">
        <v>1548</v>
      </c>
      <c r="C405" s="15" t="s">
        <v>1142</v>
      </c>
      <c r="D405" s="15" t="s">
        <v>1247</v>
      </c>
      <c r="E405" s="15" t="s">
        <v>1248</v>
      </c>
      <c r="F405" s="13" t="s">
        <v>81</v>
      </c>
      <c r="G405" s="16" t="s">
        <v>103</v>
      </c>
      <c r="H405" s="16" t="s">
        <v>280</v>
      </c>
      <c r="I405" s="43" t="s">
        <v>618</v>
      </c>
      <c r="J405" s="16" t="s">
        <v>1278</v>
      </c>
      <c r="K405" s="20" t="s">
        <v>39</v>
      </c>
      <c r="L405" s="21">
        <v>240000</v>
      </c>
      <c r="M405" s="102">
        <v>0.23</v>
      </c>
      <c r="N405" s="97" t="s">
        <v>39</v>
      </c>
      <c r="O405" s="169">
        <v>0.017</v>
      </c>
      <c r="P405" s="170">
        <v>1000</v>
      </c>
      <c r="Q405" s="102" t="s">
        <v>39</v>
      </c>
      <c r="R405" s="102" t="s">
        <v>39</v>
      </c>
      <c r="S405" s="97" t="s">
        <v>39</v>
      </c>
      <c r="T405" s="102">
        <v>0.03</v>
      </c>
      <c r="U405" s="149" t="s">
        <v>39</v>
      </c>
      <c r="V405" s="171" t="s">
        <v>39</v>
      </c>
      <c r="W405" s="97">
        <v>0.1</v>
      </c>
      <c r="X405" s="85" t="s">
        <v>39</v>
      </c>
      <c r="Y405" s="85" t="s">
        <v>39</v>
      </c>
      <c r="Z405" s="85" t="s">
        <v>39</v>
      </c>
      <c r="AA405" s="85" t="s">
        <v>39</v>
      </c>
      <c r="AB405" s="22" t="s">
        <v>39</v>
      </c>
      <c r="AC405" s="18" t="s">
        <v>39</v>
      </c>
      <c r="AD405" s="148" t="s">
        <v>1279</v>
      </c>
      <c r="AE405" s="25" t="s">
        <v>1253</v>
      </c>
    </row>
    <row r="406" s="2" customFormat="1" ht="48" customHeight="1" spans="1:31">
      <c r="A406" s="13">
        <v>411</v>
      </c>
      <c r="B406" s="14" t="s">
        <v>1550</v>
      </c>
      <c r="C406" s="15" t="s">
        <v>1142</v>
      </c>
      <c r="D406" s="15" t="s">
        <v>1247</v>
      </c>
      <c r="E406" s="15" t="s">
        <v>1248</v>
      </c>
      <c r="F406" s="13" t="s">
        <v>81</v>
      </c>
      <c r="G406" s="16" t="s">
        <v>103</v>
      </c>
      <c r="H406" s="16" t="s">
        <v>284</v>
      </c>
      <c r="I406" s="43" t="s">
        <v>723</v>
      </c>
      <c r="J406" s="16" t="s">
        <v>1281</v>
      </c>
      <c r="K406" s="20" t="s">
        <v>39</v>
      </c>
      <c r="L406" s="21">
        <v>400000</v>
      </c>
      <c r="M406" s="22">
        <v>0.23</v>
      </c>
      <c r="N406" s="20" t="s">
        <v>39</v>
      </c>
      <c r="O406" s="117">
        <v>0.017</v>
      </c>
      <c r="P406" s="172">
        <v>1000</v>
      </c>
      <c r="Q406" s="22" t="s">
        <v>39</v>
      </c>
      <c r="R406" s="22" t="s">
        <v>39</v>
      </c>
      <c r="S406" s="20" t="s">
        <v>39</v>
      </c>
      <c r="T406" s="22">
        <v>0.03</v>
      </c>
      <c r="U406" s="116" t="s">
        <v>39</v>
      </c>
      <c r="V406" s="26" t="s">
        <v>39</v>
      </c>
      <c r="W406" s="47"/>
      <c r="X406" s="24" t="s">
        <v>39</v>
      </c>
      <c r="Y406" s="24" t="s">
        <v>39</v>
      </c>
      <c r="Z406" s="24" t="s">
        <v>39</v>
      </c>
      <c r="AA406" s="24" t="s">
        <v>39</v>
      </c>
      <c r="AB406" s="22" t="s">
        <v>39</v>
      </c>
      <c r="AC406" s="18" t="s">
        <v>39</v>
      </c>
      <c r="AD406" s="48" t="s">
        <v>1252</v>
      </c>
      <c r="AE406" s="25" t="s">
        <v>1253</v>
      </c>
    </row>
    <row r="407" s="2" customFormat="1" ht="48" customHeight="1" spans="1:31">
      <c r="A407" s="13">
        <v>412</v>
      </c>
      <c r="B407" s="14" t="s">
        <v>1551</v>
      </c>
      <c r="C407" s="15" t="s">
        <v>1142</v>
      </c>
      <c r="D407" s="15" t="s">
        <v>1247</v>
      </c>
      <c r="E407" s="15" t="s">
        <v>1248</v>
      </c>
      <c r="F407" s="13" t="s">
        <v>81</v>
      </c>
      <c r="G407" s="16" t="s">
        <v>103</v>
      </c>
      <c r="H407" s="16" t="s">
        <v>322</v>
      </c>
      <c r="I407" s="43" t="s">
        <v>1283</v>
      </c>
      <c r="J407" s="16" t="s">
        <v>1284</v>
      </c>
      <c r="K407" s="20" t="s">
        <v>39</v>
      </c>
      <c r="L407" s="21">
        <v>240000</v>
      </c>
      <c r="M407" s="22">
        <v>0.23</v>
      </c>
      <c r="N407" s="20" t="s">
        <v>39</v>
      </c>
      <c r="O407" s="117">
        <v>0.017</v>
      </c>
      <c r="P407" s="172">
        <v>1000</v>
      </c>
      <c r="Q407" s="22" t="s">
        <v>39</v>
      </c>
      <c r="R407" s="22" t="s">
        <v>39</v>
      </c>
      <c r="S407" s="20" t="s">
        <v>39</v>
      </c>
      <c r="T407" s="22">
        <v>0.03</v>
      </c>
      <c r="U407" s="116" t="s">
        <v>39</v>
      </c>
      <c r="V407" s="26" t="s">
        <v>39</v>
      </c>
      <c r="W407" s="47"/>
      <c r="X407" s="24" t="s">
        <v>39</v>
      </c>
      <c r="Y407" s="24" t="s">
        <v>39</v>
      </c>
      <c r="Z407" s="24" t="s">
        <v>39</v>
      </c>
      <c r="AA407" s="24" t="s">
        <v>39</v>
      </c>
      <c r="AB407" s="22" t="s">
        <v>39</v>
      </c>
      <c r="AC407" s="18" t="s">
        <v>39</v>
      </c>
      <c r="AD407" s="48" t="s">
        <v>1252</v>
      </c>
      <c r="AE407" s="25" t="s">
        <v>1253</v>
      </c>
    </row>
    <row r="408" s="2" customFormat="1" ht="72" customHeight="1" spans="1:31">
      <c r="A408" s="13">
        <v>413</v>
      </c>
      <c r="B408" s="14" t="s">
        <v>1552</v>
      </c>
      <c r="C408" s="15" t="s">
        <v>1142</v>
      </c>
      <c r="D408" s="15" t="s">
        <v>1247</v>
      </c>
      <c r="E408" s="15" t="s">
        <v>1248</v>
      </c>
      <c r="F408" s="13" t="s">
        <v>81</v>
      </c>
      <c r="G408" s="16" t="s">
        <v>103</v>
      </c>
      <c r="H408" s="16" t="s">
        <v>329</v>
      </c>
      <c r="I408" s="43" t="s">
        <v>1286</v>
      </c>
      <c r="J408" s="16" t="s">
        <v>1287</v>
      </c>
      <c r="K408" s="20" t="s">
        <v>39</v>
      </c>
      <c r="L408" s="21">
        <v>80000</v>
      </c>
      <c r="M408" s="22">
        <v>0.07</v>
      </c>
      <c r="N408" s="20" t="s">
        <v>39</v>
      </c>
      <c r="O408" s="117">
        <v>0.017</v>
      </c>
      <c r="P408" s="20" t="s">
        <v>39</v>
      </c>
      <c r="Q408" s="22" t="s">
        <v>39</v>
      </c>
      <c r="R408" s="22" t="s">
        <v>39</v>
      </c>
      <c r="S408" s="20" t="s">
        <v>39</v>
      </c>
      <c r="T408" s="22">
        <v>0.03</v>
      </c>
      <c r="U408" s="116" t="s">
        <v>39</v>
      </c>
      <c r="V408" s="26" t="s">
        <v>39</v>
      </c>
      <c r="W408" s="47"/>
      <c r="X408" s="24" t="s">
        <v>39</v>
      </c>
      <c r="Y408" s="24" t="s">
        <v>39</v>
      </c>
      <c r="Z408" s="24" t="s">
        <v>39</v>
      </c>
      <c r="AA408" s="24" t="s">
        <v>39</v>
      </c>
      <c r="AB408" s="22" t="s">
        <v>39</v>
      </c>
      <c r="AC408" s="18" t="s">
        <v>39</v>
      </c>
      <c r="AD408" s="48" t="s">
        <v>1288</v>
      </c>
      <c r="AE408" s="25" t="s">
        <v>1253</v>
      </c>
    </row>
    <row r="409" s="2" customFormat="1" ht="12" customHeight="1" spans="1:31">
      <c r="A409" s="13">
        <v>414</v>
      </c>
      <c r="B409" s="14" t="s">
        <v>1728</v>
      </c>
      <c r="C409" s="15" t="s">
        <v>1142</v>
      </c>
      <c r="D409" s="173" t="s">
        <v>1290</v>
      </c>
      <c r="E409" s="15" t="s">
        <v>1291</v>
      </c>
      <c r="F409" s="13" t="s">
        <v>37</v>
      </c>
      <c r="G409" s="16" t="s">
        <v>103</v>
      </c>
      <c r="H409" s="16" t="s">
        <v>39</v>
      </c>
      <c r="I409" s="43" t="s">
        <v>39</v>
      </c>
      <c r="J409" s="16" t="s">
        <v>39</v>
      </c>
      <c r="K409" s="20" t="s">
        <v>39</v>
      </c>
      <c r="L409" s="21">
        <v>2125000</v>
      </c>
      <c r="M409" s="20" t="s">
        <v>39</v>
      </c>
      <c r="N409" s="20" t="s">
        <v>39</v>
      </c>
      <c r="O409" s="20" t="s">
        <v>39</v>
      </c>
      <c r="P409" s="20" t="s">
        <v>39</v>
      </c>
      <c r="Q409" s="20" t="s">
        <v>39</v>
      </c>
      <c r="R409" s="20" t="s">
        <v>39</v>
      </c>
      <c r="S409" s="20" t="s">
        <v>39</v>
      </c>
      <c r="T409" s="20" t="s">
        <v>39</v>
      </c>
      <c r="U409" s="20" t="s">
        <v>39</v>
      </c>
      <c r="V409" s="20" t="s">
        <v>39</v>
      </c>
      <c r="W409" s="55" t="s">
        <v>39</v>
      </c>
      <c r="X409" s="55" t="s">
        <v>39</v>
      </c>
      <c r="Y409" s="24" t="s">
        <v>39</v>
      </c>
      <c r="Z409" s="24" t="s">
        <v>39</v>
      </c>
      <c r="AA409" s="24" t="s">
        <v>39</v>
      </c>
      <c r="AB409" s="174">
        <v>100000</v>
      </c>
      <c r="AC409" s="46" t="s">
        <v>39</v>
      </c>
      <c r="AD409" s="17" t="s">
        <v>439</v>
      </c>
      <c r="AE409" s="25"/>
    </row>
    <row r="410" s="2" customFormat="1" ht="12" customHeight="1" spans="1:31">
      <c r="A410" s="13">
        <v>415</v>
      </c>
      <c r="B410" s="14" t="s">
        <v>1729</v>
      </c>
      <c r="C410" s="15" t="s">
        <v>1142</v>
      </c>
      <c r="D410" s="15" t="s">
        <v>1293</v>
      </c>
      <c r="E410" s="15" t="s">
        <v>1294</v>
      </c>
      <c r="F410" s="13" t="s">
        <v>37</v>
      </c>
      <c r="G410" s="16" t="s">
        <v>103</v>
      </c>
      <c r="H410" s="16" t="s">
        <v>39</v>
      </c>
      <c r="I410" s="43" t="s">
        <v>39</v>
      </c>
      <c r="J410" s="16" t="s">
        <v>39</v>
      </c>
      <c r="K410" s="20" t="s">
        <v>39</v>
      </c>
      <c r="L410" s="21">
        <v>2992000</v>
      </c>
      <c r="M410" s="20" t="s">
        <v>39</v>
      </c>
      <c r="N410" s="20" t="s">
        <v>39</v>
      </c>
      <c r="O410" s="23">
        <v>0.02</v>
      </c>
      <c r="P410" s="20" t="s">
        <v>39</v>
      </c>
      <c r="Q410" s="20" t="s">
        <v>39</v>
      </c>
      <c r="R410" s="20" t="s">
        <v>39</v>
      </c>
      <c r="S410" s="20" t="s">
        <v>39</v>
      </c>
      <c r="T410" s="20" t="s">
        <v>39</v>
      </c>
      <c r="U410" s="20" t="s">
        <v>39</v>
      </c>
      <c r="V410" s="20" t="s">
        <v>39</v>
      </c>
      <c r="W410" s="47"/>
      <c r="X410" s="24" t="s">
        <v>39</v>
      </c>
      <c r="Y410" s="24" t="s">
        <v>39</v>
      </c>
      <c r="Z410" s="24" t="s">
        <v>39</v>
      </c>
      <c r="AA410" s="24" t="s">
        <v>39</v>
      </c>
      <c r="AB410" s="46">
        <v>0.035</v>
      </c>
      <c r="AC410" s="46" t="s">
        <v>39</v>
      </c>
      <c r="AD410" s="17"/>
      <c r="AE410" s="25"/>
    </row>
    <row r="411" s="2" customFormat="1" ht="12" customHeight="1" spans="1:31">
      <c r="A411" s="13">
        <v>416</v>
      </c>
      <c r="B411" s="14" t="s">
        <v>1553</v>
      </c>
      <c r="C411" s="15" t="s">
        <v>1142</v>
      </c>
      <c r="D411" s="15" t="s">
        <v>1296</v>
      </c>
      <c r="E411" s="15" t="s">
        <v>1297</v>
      </c>
      <c r="F411" s="13" t="s">
        <v>53</v>
      </c>
      <c r="G411" s="16" t="s">
        <v>578</v>
      </c>
      <c r="H411" s="16" t="s">
        <v>39</v>
      </c>
      <c r="I411" s="43" t="s">
        <v>39</v>
      </c>
      <c r="J411" s="16" t="s">
        <v>39</v>
      </c>
      <c r="K411" s="20" t="s">
        <v>39</v>
      </c>
      <c r="L411" s="175">
        <v>2084000</v>
      </c>
      <c r="M411" s="116" t="s">
        <v>39</v>
      </c>
      <c r="N411" s="24" t="s">
        <v>39</v>
      </c>
      <c r="O411" s="24" t="s">
        <v>39</v>
      </c>
      <c r="P411" s="24" t="s">
        <v>39</v>
      </c>
      <c r="Q411" s="24" t="s">
        <v>39</v>
      </c>
      <c r="R411" s="24" t="s">
        <v>39</v>
      </c>
      <c r="S411" s="24" t="s">
        <v>39</v>
      </c>
      <c r="T411" s="22" t="s">
        <v>39</v>
      </c>
      <c r="U411" s="116" t="s">
        <v>39</v>
      </c>
      <c r="V411" s="24" t="s">
        <v>39</v>
      </c>
      <c r="W411" s="18" t="s">
        <v>39</v>
      </c>
      <c r="X411" s="55" t="s">
        <v>39</v>
      </c>
      <c r="Y411" s="55" t="s">
        <v>39</v>
      </c>
      <c r="Z411" s="55" t="s">
        <v>39</v>
      </c>
      <c r="AA411" s="55" t="s">
        <v>39</v>
      </c>
      <c r="AB411" s="51">
        <v>0.08</v>
      </c>
      <c r="AC411" s="46" t="s">
        <v>39</v>
      </c>
      <c r="AD411" s="17"/>
      <c r="AE411" s="25"/>
    </row>
    <row r="412" s="2" customFormat="1" ht="12" customHeight="1" spans="1:31">
      <c r="A412" s="13">
        <v>417</v>
      </c>
      <c r="B412" s="14" t="s">
        <v>1730</v>
      </c>
      <c r="C412" s="15" t="s">
        <v>1142</v>
      </c>
      <c r="D412" s="15" t="s">
        <v>1299</v>
      </c>
      <c r="E412" s="15" t="s">
        <v>1300</v>
      </c>
      <c r="F412" s="13" t="s">
        <v>37</v>
      </c>
      <c r="G412" s="16" t="s">
        <v>38</v>
      </c>
      <c r="H412" s="16" t="s">
        <v>39</v>
      </c>
      <c r="I412" s="43" t="s">
        <v>39</v>
      </c>
      <c r="J412" s="16" t="s">
        <v>39</v>
      </c>
      <c r="K412" s="20" t="s">
        <v>39</v>
      </c>
      <c r="L412" s="21" t="s">
        <v>39</v>
      </c>
      <c r="M412" s="20" t="s">
        <v>39</v>
      </c>
      <c r="N412" s="20" t="s">
        <v>39</v>
      </c>
      <c r="O412" s="20" t="s">
        <v>39</v>
      </c>
      <c r="P412" s="20" t="s">
        <v>39</v>
      </c>
      <c r="Q412" s="20" t="s">
        <v>39</v>
      </c>
      <c r="R412" s="20" t="s">
        <v>39</v>
      </c>
      <c r="S412" s="20" t="s">
        <v>39</v>
      </c>
      <c r="T412" s="20" t="s">
        <v>39</v>
      </c>
      <c r="U412" s="20" t="s">
        <v>39</v>
      </c>
      <c r="V412" s="20" t="s">
        <v>39</v>
      </c>
      <c r="W412" s="44"/>
      <c r="X412" s="45" t="s">
        <v>39</v>
      </c>
      <c r="Y412" s="45" t="s">
        <v>39</v>
      </c>
      <c r="Z412" s="45" t="s">
        <v>39</v>
      </c>
      <c r="AA412" s="45" t="s">
        <v>39</v>
      </c>
      <c r="AB412" s="46">
        <v>0.045</v>
      </c>
      <c r="AC412" s="46">
        <v>0.005</v>
      </c>
      <c r="AD412" s="48" t="s">
        <v>1301</v>
      </c>
      <c r="AE412" s="25"/>
    </row>
    <row r="413" s="2" customFormat="1" ht="60" customHeight="1" spans="1:31">
      <c r="A413" s="13">
        <v>418</v>
      </c>
      <c r="B413" s="14" t="s">
        <v>1554</v>
      </c>
      <c r="C413" s="15" t="s">
        <v>1142</v>
      </c>
      <c r="D413" s="15" t="s">
        <v>1299</v>
      </c>
      <c r="E413" s="15" t="s">
        <v>1300</v>
      </c>
      <c r="F413" s="13" t="s">
        <v>81</v>
      </c>
      <c r="G413" s="16" t="s">
        <v>38</v>
      </c>
      <c r="H413" s="16" t="s">
        <v>60</v>
      </c>
      <c r="I413" s="43" t="s">
        <v>1303</v>
      </c>
      <c r="J413" s="16" t="s">
        <v>1304</v>
      </c>
      <c r="K413" s="20" t="s">
        <v>39</v>
      </c>
      <c r="L413" s="21">
        <v>340000</v>
      </c>
      <c r="M413" s="20">
        <v>0.27</v>
      </c>
      <c r="N413" s="20" t="s">
        <v>39</v>
      </c>
      <c r="O413" s="20" t="s">
        <v>39</v>
      </c>
      <c r="P413" s="19" t="s">
        <v>39</v>
      </c>
      <c r="Q413" s="20" t="s">
        <v>39</v>
      </c>
      <c r="R413" s="19" t="s">
        <v>39</v>
      </c>
      <c r="S413" s="20" t="s">
        <v>39</v>
      </c>
      <c r="T413" s="19" t="s">
        <v>39</v>
      </c>
      <c r="U413" s="19" t="s">
        <v>39</v>
      </c>
      <c r="V413" s="20" t="s">
        <v>39</v>
      </c>
      <c r="W413" s="20">
        <v>0.25</v>
      </c>
      <c r="X413" s="45" t="s">
        <v>39</v>
      </c>
      <c r="Y413" s="45" t="s">
        <v>39</v>
      </c>
      <c r="Z413" s="45" t="s">
        <v>39</v>
      </c>
      <c r="AA413" s="45" t="s">
        <v>39</v>
      </c>
      <c r="AB413" s="52" t="s">
        <v>39</v>
      </c>
      <c r="AC413" s="52" t="s">
        <v>39</v>
      </c>
      <c r="AD413" s="48" t="s">
        <v>1305</v>
      </c>
      <c r="AE413" s="25" t="s">
        <v>1306</v>
      </c>
    </row>
    <row r="414" s="2" customFormat="1" ht="60" customHeight="1" spans="1:31">
      <c r="A414" s="13">
        <v>419</v>
      </c>
      <c r="B414" s="14" t="s">
        <v>1555</v>
      </c>
      <c r="C414" s="15" t="s">
        <v>1142</v>
      </c>
      <c r="D414" s="15" t="s">
        <v>1299</v>
      </c>
      <c r="E414" s="15" t="s">
        <v>1300</v>
      </c>
      <c r="F414" s="13" t="s">
        <v>81</v>
      </c>
      <c r="G414" s="16" t="s">
        <v>38</v>
      </c>
      <c r="H414" s="16" t="s">
        <v>66</v>
      </c>
      <c r="I414" s="43" t="s">
        <v>1309</v>
      </c>
      <c r="J414" s="16" t="s">
        <v>1310</v>
      </c>
      <c r="K414" s="20" t="s">
        <v>39</v>
      </c>
      <c r="L414" s="21">
        <v>296000</v>
      </c>
      <c r="M414" s="20">
        <v>0.19</v>
      </c>
      <c r="N414" s="20" t="s">
        <v>39</v>
      </c>
      <c r="O414" s="20" t="s">
        <v>39</v>
      </c>
      <c r="P414" s="19" t="s">
        <v>39</v>
      </c>
      <c r="Q414" s="20" t="s">
        <v>39</v>
      </c>
      <c r="R414" s="19" t="s">
        <v>39</v>
      </c>
      <c r="S414" s="20" t="s">
        <v>39</v>
      </c>
      <c r="T414" s="22">
        <v>0.035</v>
      </c>
      <c r="U414" s="20"/>
      <c r="V414" s="20" t="s">
        <v>39</v>
      </c>
      <c r="W414" s="20">
        <v>0.2</v>
      </c>
      <c r="X414" s="45" t="s">
        <v>39</v>
      </c>
      <c r="Y414" s="45" t="s">
        <v>39</v>
      </c>
      <c r="Z414" s="45" t="s">
        <v>39</v>
      </c>
      <c r="AA414" s="45" t="s">
        <v>39</v>
      </c>
      <c r="AB414" s="52" t="s">
        <v>39</v>
      </c>
      <c r="AC414" s="52" t="s">
        <v>39</v>
      </c>
      <c r="AD414" s="48" t="s">
        <v>1305</v>
      </c>
      <c r="AE414" s="25" t="s">
        <v>1306</v>
      </c>
    </row>
    <row r="415" s="2" customFormat="1" ht="60" customHeight="1" spans="1:31">
      <c r="A415" s="13">
        <v>420</v>
      </c>
      <c r="B415" s="14" t="s">
        <v>1556</v>
      </c>
      <c r="C415" s="15" t="s">
        <v>1142</v>
      </c>
      <c r="D415" s="15" t="s">
        <v>1299</v>
      </c>
      <c r="E415" s="15" t="s">
        <v>1300</v>
      </c>
      <c r="F415" s="13" t="s">
        <v>81</v>
      </c>
      <c r="G415" s="16" t="s">
        <v>38</v>
      </c>
      <c r="H415" s="16" t="s">
        <v>70</v>
      </c>
      <c r="I415" s="43" t="s">
        <v>339</v>
      </c>
      <c r="J415" s="16" t="s">
        <v>1313</v>
      </c>
      <c r="K415" s="20" t="s">
        <v>39</v>
      </c>
      <c r="L415" s="21">
        <v>1440000</v>
      </c>
      <c r="M415" s="22">
        <v>0.235</v>
      </c>
      <c r="N415" s="20" t="s">
        <v>39</v>
      </c>
      <c r="O415" s="20" t="s">
        <v>39</v>
      </c>
      <c r="P415" s="19" t="s">
        <v>39</v>
      </c>
      <c r="Q415" s="20" t="s">
        <v>39</v>
      </c>
      <c r="R415" s="19" t="s">
        <v>39</v>
      </c>
      <c r="S415" s="20" t="s">
        <v>39</v>
      </c>
      <c r="T415" s="19" t="s">
        <v>39</v>
      </c>
      <c r="U415" s="19" t="s">
        <v>39</v>
      </c>
      <c r="V415" s="20" t="s">
        <v>39</v>
      </c>
      <c r="W415" s="20">
        <v>0.43</v>
      </c>
      <c r="X415" s="45" t="s">
        <v>39</v>
      </c>
      <c r="Y415" s="45" t="s">
        <v>39</v>
      </c>
      <c r="Z415" s="45" t="s">
        <v>39</v>
      </c>
      <c r="AA415" s="45" t="s">
        <v>39</v>
      </c>
      <c r="AB415" s="52" t="s">
        <v>39</v>
      </c>
      <c r="AC415" s="52" t="s">
        <v>39</v>
      </c>
      <c r="AD415" s="48" t="s">
        <v>1305</v>
      </c>
      <c r="AE415" s="25" t="s">
        <v>1306</v>
      </c>
    </row>
    <row r="416" s="2" customFormat="1" ht="60" customHeight="1" spans="1:31">
      <c r="A416" s="13">
        <v>421</v>
      </c>
      <c r="B416" s="14" t="s">
        <v>1558</v>
      </c>
      <c r="C416" s="15" t="s">
        <v>1142</v>
      </c>
      <c r="D416" s="15" t="s">
        <v>1299</v>
      </c>
      <c r="E416" s="15" t="s">
        <v>1300</v>
      </c>
      <c r="F416" s="13" t="s">
        <v>81</v>
      </c>
      <c r="G416" s="16" t="s">
        <v>38</v>
      </c>
      <c r="H416" s="16" t="s">
        <v>74</v>
      </c>
      <c r="I416" s="43" t="s">
        <v>98</v>
      </c>
      <c r="J416" s="16" t="s">
        <v>1316</v>
      </c>
      <c r="K416" s="20" t="s">
        <v>39</v>
      </c>
      <c r="L416" s="21">
        <v>800000</v>
      </c>
      <c r="M416" s="20">
        <v>0.19</v>
      </c>
      <c r="N416" s="20" t="s">
        <v>39</v>
      </c>
      <c r="O416" s="20" t="s">
        <v>39</v>
      </c>
      <c r="P416" s="19" t="s">
        <v>39</v>
      </c>
      <c r="Q416" s="20" t="s">
        <v>39</v>
      </c>
      <c r="R416" s="19" t="s">
        <v>39</v>
      </c>
      <c r="S416" s="20" t="s">
        <v>39</v>
      </c>
      <c r="T416" s="22">
        <v>0.035</v>
      </c>
      <c r="U416" s="20"/>
      <c r="V416" s="20" t="s">
        <v>39</v>
      </c>
      <c r="W416" s="20">
        <v>0.2</v>
      </c>
      <c r="X416" s="45" t="s">
        <v>39</v>
      </c>
      <c r="Y416" s="45" t="s">
        <v>39</v>
      </c>
      <c r="Z416" s="45" t="s">
        <v>39</v>
      </c>
      <c r="AA416" s="45" t="s">
        <v>39</v>
      </c>
      <c r="AB416" s="52" t="s">
        <v>39</v>
      </c>
      <c r="AC416" s="52" t="s">
        <v>39</v>
      </c>
      <c r="AD416" s="48" t="s">
        <v>1305</v>
      </c>
      <c r="AE416" s="25" t="s">
        <v>1306</v>
      </c>
    </row>
    <row r="417" s="2" customFormat="1" ht="60" customHeight="1" spans="1:31">
      <c r="A417" s="13">
        <v>422</v>
      </c>
      <c r="B417" s="14" t="s">
        <v>1559</v>
      </c>
      <c r="C417" s="15" t="s">
        <v>1142</v>
      </c>
      <c r="D417" s="15" t="s">
        <v>1299</v>
      </c>
      <c r="E417" s="15" t="s">
        <v>1300</v>
      </c>
      <c r="F417" s="13" t="s">
        <v>81</v>
      </c>
      <c r="G417" s="16" t="s">
        <v>38</v>
      </c>
      <c r="H417" s="16" t="s">
        <v>265</v>
      </c>
      <c r="I417" s="43" t="s">
        <v>198</v>
      </c>
      <c r="J417" s="16" t="s">
        <v>1318</v>
      </c>
      <c r="K417" s="20" t="s">
        <v>39</v>
      </c>
      <c r="L417" s="21">
        <v>290000</v>
      </c>
      <c r="M417" s="20">
        <v>0.19</v>
      </c>
      <c r="N417" s="20" t="s">
        <v>39</v>
      </c>
      <c r="O417" s="20" t="s">
        <v>39</v>
      </c>
      <c r="P417" s="19" t="s">
        <v>39</v>
      </c>
      <c r="Q417" s="20" t="s">
        <v>39</v>
      </c>
      <c r="R417" s="19" t="s">
        <v>39</v>
      </c>
      <c r="S417" s="20" t="s">
        <v>39</v>
      </c>
      <c r="T417" s="22">
        <v>0.035</v>
      </c>
      <c r="U417" s="20"/>
      <c r="V417" s="20" t="s">
        <v>39</v>
      </c>
      <c r="W417" s="20">
        <v>0.2</v>
      </c>
      <c r="X417" s="45" t="s">
        <v>39</v>
      </c>
      <c r="Y417" s="45" t="s">
        <v>39</v>
      </c>
      <c r="Z417" s="45" t="s">
        <v>39</v>
      </c>
      <c r="AA417" s="45" t="s">
        <v>39</v>
      </c>
      <c r="AB417" s="52" t="s">
        <v>39</v>
      </c>
      <c r="AC417" s="52" t="s">
        <v>39</v>
      </c>
      <c r="AD417" s="48" t="s">
        <v>1305</v>
      </c>
      <c r="AE417" s="25" t="s">
        <v>1306</v>
      </c>
    </row>
    <row r="418" s="2" customFormat="1" ht="60" customHeight="1" spans="1:31">
      <c r="A418" s="13">
        <v>423</v>
      </c>
      <c r="B418" s="14" t="s">
        <v>1560</v>
      </c>
      <c r="C418" s="15" t="s">
        <v>1142</v>
      </c>
      <c r="D418" s="15" t="s">
        <v>1299</v>
      </c>
      <c r="E418" s="15" t="s">
        <v>1300</v>
      </c>
      <c r="F418" s="13" t="s">
        <v>81</v>
      </c>
      <c r="G418" s="16" t="s">
        <v>38</v>
      </c>
      <c r="H418" s="16" t="s">
        <v>86</v>
      </c>
      <c r="I418" s="43" t="s">
        <v>316</v>
      </c>
      <c r="J418" s="16" t="s">
        <v>1320</v>
      </c>
      <c r="K418" s="20" t="s">
        <v>39</v>
      </c>
      <c r="L418" s="21">
        <v>210000</v>
      </c>
      <c r="M418" s="20">
        <v>0.19</v>
      </c>
      <c r="N418" s="20" t="s">
        <v>39</v>
      </c>
      <c r="O418" s="20" t="s">
        <v>39</v>
      </c>
      <c r="P418" s="19" t="s">
        <v>39</v>
      </c>
      <c r="Q418" s="20" t="s">
        <v>39</v>
      </c>
      <c r="R418" s="19" t="s">
        <v>39</v>
      </c>
      <c r="S418" s="20" t="s">
        <v>39</v>
      </c>
      <c r="T418" s="22">
        <v>0.035</v>
      </c>
      <c r="U418" s="20"/>
      <c r="V418" s="20" t="s">
        <v>39</v>
      </c>
      <c r="W418" s="20">
        <v>0.2</v>
      </c>
      <c r="X418" s="45" t="s">
        <v>39</v>
      </c>
      <c r="Y418" s="45" t="s">
        <v>39</v>
      </c>
      <c r="Z418" s="45" t="s">
        <v>39</v>
      </c>
      <c r="AA418" s="45" t="s">
        <v>39</v>
      </c>
      <c r="AB418" s="52" t="s">
        <v>39</v>
      </c>
      <c r="AC418" s="52" t="s">
        <v>39</v>
      </c>
      <c r="AD418" s="48" t="s">
        <v>1305</v>
      </c>
      <c r="AE418" s="25" t="s">
        <v>1306</v>
      </c>
    </row>
    <row r="419" s="2" customFormat="1" ht="60" customHeight="1" spans="1:31">
      <c r="A419" s="13">
        <v>424</v>
      </c>
      <c r="B419" s="14" t="s">
        <v>1561</v>
      </c>
      <c r="C419" s="15" t="s">
        <v>1142</v>
      </c>
      <c r="D419" s="15" t="s">
        <v>1299</v>
      </c>
      <c r="E419" s="15" t="s">
        <v>1300</v>
      </c>
      <c r="F419" s="13" t="s">
        <v>81</v>
      </c>
      <c r="G419" s="16" t="s">
        <v>38</v>
      </c>
      <c r="H419" s="16" t="s">
        <v>272</v>
      </c>
      <c r="I419" s="43" t="s">
        <v>1322</v>
      </c>
      <c r="J419" s="16" t="s">
        <v>1323</v>
      </c>
      <c r="K419" s="20" t="s">
        <v>39</v>
      </c>
      <c r="L419" s="21">
        <v>280000</v>
      </c>
      <c r="M419" s="20">
        <v>0.19</v>
      </c>
      <c r="N419" s="20" t="s">
        <v>39</v>
      </c>
      <c r="O419" s="20" t="s">
        <v>39</v>
      </c>
      <c r="P419" s="19" t="s">
        <v>39</v>
      </c>
      <c r="Q419" s="20" t="s">
        <v>39</v>
      </c>
      <c r="R419" s="19" t="s">
        <v>39</v>
      </c>
      <c r="S419" s="20" t="s">
        <v>39</v>
      </c>
      <c r="T419" s="22">
        <v>0.035</v>
      </c>
      <c r="U419" s="20"/>
      <c r="V419" s="20" t="s">
        <v>39</v>
      </c>
      <c r="W419" s="20">
        <v>0.2</v>
      </c>
      <c r="X419" s="45" t="s">
        <v>39</v>
      </c>
      <c r="Y419" s="45" t="s">
        <v>39</v>
      </c>
      <c r="Z419" s="45" t="s">
        <v>39</v>
      </c>
      <c r="AA419" s="45" t="s">
        <v>39</v>
      </c>
      <c r="AB419" s="52" t="s">
        <v>39</v>
      </c>
      <c r="AC419" s="52" t="s">
        <v>39</v>
      </c>
      <c r="AD419" s="48" t="s">
        <v>1305</v>
      </c>
      <c r="AE419" s="25" t="s">
        <v>1306</v>
      </c>
    </row>
    <row r="420" s="2" customFormat="1" ht="60" customHeight="1" spans="1:31">
      <c r="A420" s="13">
        <v>425</v>
      </c>
      <c r="B420" s="14" t="s">
        <v>1562</v>
      </c>
      <c r="C420" s="15" t="s">
        <v>1142</v>
      </c>
      <c r="D420" s="15" t="s">
        <v>1299</v>
      </c>
      <c r="E420" s="15" t="s">
        <v>1300</v>
      </c>
      <c r="F420" s="13" t="s">
        <v>81</v>
      </c>
      <c r="G420" s="16" t="s">
        <v>38</v>
      </c>
      <c r="H420" s="16" t="s">
        <v>276</v>
      </c>
      <c r="I420" s="43" t="s">
        <v>1325</v>
      </c>
      <c r="J420" s="16" t="s">
        <v>1326</v>
      </c>
      <c r="K420" s="20" t="s">
        <v>39</v>
      </c>
      <c r="L420" s="21">
        <v>260000</v>
      </c>
      <c r="M420" s="20">
        <v>0.19</v>
      </c>
      <c r="N420" s="20" t="s">
        <v>39</v>
      </c>
      <c r="O420" s="20" t="s">
        <v>39</v>
      </c>
      <c r="P420" s="19" t="s">
        <v>39</v>
      </c>
      <c r="Q420" s="20" t="s">
        <v>39</v>
      </c>
      <c r="R420" s="19" t="s">
        <v>39</v>
      </c>
      <c r="S420" s="20" t="s">
        <v>39</v>
      </c>
      <c r="T420" s="26">
        <v>1500</v>
      </c>
      <c r="U420" s="20"/>
      <c r="V420" s="20" t="s">
        <v>39</v>
      </c>
      <c r="W420" s="20">
        <v>0.2</v>
      </c>
      <c r="X420" s="45" t="s">
        <v>39</v>
      </c>
      <c r="Y420" s="45" t="s">
        <v>39</v>
      </c>
      <c r="Z420" s="45" t="s">
        <v>39</v>
      </c>
      <c r="AA420" s="45" t="s">
        <v>39</v>
      </c>
      <c r="AB420" s="52" t="s">
        <v>39</v>
      </c>
      <c r="AC420" s="52" t="s">
        <v>39</v>
      </c>
      <c r="AD420" s="48" t="s">
        <v>1305</v>
      </c>
      <c r="AE420" s="25" t="s">
        <v>1306</v>
      </c>
    </row>
    <row r="421" s="2" customFormat="1" ht="60" customHeight="1" spans="1:31">
      <c r="A421" s="13">
        <v>426</v>
      </c>
      <c r="B421" s="14" t="s">
        <v>1564</v>
      </c>
      <c r="C421" s="15" t="s">
        <v>1142</v>
      </c>
      <c r="D421" s="15" t="s">
        <v>1299</v>
      </c>
      <c r="E421" s="15" t="s">
        <v>1300</v>
      </c>
      <c r="F421" s="13" t="s">
        <v>81</v>
      </c>
      <c r="G421" s="16" t="s">
        <v>38</v>
      </c>
      <c r="H421" s="16" t="s">
        <v>280</v>
      </c>
      <c r="I421" s="43" t="s">
        <v>1328</v>
      </c>
      <c r="J421" s="16" t="s">
        <v>1329</v>
      </c>
      <c r="K421" s="20" t="s">
        <v>39</v>
      </c>
      <c r="L421" s="21">
        <v>320000</v>
      </c>
      <c r="M421" s="20">
        <v>0.18</v>
      </c>
      <c r="N421" s="20" t="s">
        <v>39</v>
      </c>
      <c r="O421" s="20" t="s">
        <v>39</v>
      </c>
      <c r="P421" s="19" t="s">
        <v>39</v>
      </c>
      <c r="Q421" s="20" t="s">
        <v>39</v>
      </c>
      <c r="R421" s="19" t="s">
        <v>39</v>
      </c>
      <c r="S421" s="20" t="s">
        <v>39</v>
      </c>
      <c r="T421" s="22">
        <v>0.03</v>
      </c>
      <c r="U421" s="20"/>
      <c r="V421" s="20" t="s">
        <v>39</v>
      </c>
      <c r="W421" s="20">
        <v>0.2</v>
      </c>
      <c r="X421" s="45" t="s">
        <v>39</v>
      </c>
      <c r="Y421" s="45" t="s">
        <v>39</v>
      </c>
      <c r="Z421" s="45" t="s">
        <v>39</v>
      </c>
      <c r="AA421" s="45" t="s">
        <v>39</v>
      </c>
      <c r="AB421" s="52" t="s">
        <v>39</v>
      </c>
      <c r="AC421" s="52" t="s">
        <v>39</v>
      </c>
      <c r="AD421" s="48" t="s">
        <v>1305</v>
      </c>
      <c r="AE421" s="25" t="s">
        <v>1306</v>
      </c>
    </row>
    <row r="422" s="2" customFormat="1" ht="60" customHeight="1" spans="1:31">
      <c r="A422" s="13">
        <v>427</v>
      </c>
      <c r="B422" s="14" t="s">
        <v>1565</v>
      </c>
      <c r="C422" s="15" t="s">
        <v>1142</v>
      </c>
      <c r="D422" s="15" t="s">
        <v>1299</v>
      </c>
      <c r="E422" s="15" t="s">
        <v>1300</v>
      </c>
      <c r="F422" s="13" t="s">
        <v>81</v>
      </c>
      <c r="G422" s="16" t="s">
        <v>38</v>
      </c>
      <c r="H422" s="16" t="s">
        <v>284</v>
      </c>
      <c r="I422" s="43" t="s">
        <v>186</v>
      </c>
      <c r="J422" s="16" t="s">
        <v>1331</v>
      </c>
      <c r="K422" s="20" t="s">
        <v>39</v>
      </c>
      <c r="L422" s="21">
        <v>330000</v>
      </c>
      <c r="M422" s="20">
        <v>0.28</v>
      </c>
      <c r="N422" s="20" t="s">
        <v>39</v>
      </c>
      <c r="O422" s="20" t="s">
        <v>39</v>
      </c>
      <c r="P422" s="19" t="s">
        <v>39</v>
      </c>
      <c r="Q422" s="20" t="s">
        <v>39</v>
      </c>
      <c r="R422" s="19" t="s">
        <v>39</v>
      </c>
      <c r="S422" s="20" t="s">
        <v>39</v>
      </c>
      <c r="T422" s="19" t="s">
        <v>39</v>
      </c>
      <c r="U422" s="19" t="s">
        <v>39</v>
      </c>
      <c r="V422" s="20" t="s">
        <v>39</v>
      </c>
      <c r="W422" s="20">
        <v>0.2</v>
      </c>
      <c r="X422" s="45" t="s">
        <v>39</v>
      </c>
      <c r="Y422" s="45" t="s">
        <v>39</v>
      </c>
      <c r="Z422" s="45" t="s">
        <v>39</v>
      </c>
      <c r="AA422" s="45" t="s">
        <v>39</v>
      </c>
      <c r="AB422" s="52" t="s">
        <v>39</v>
      </c>
      <c r="AC422" s="52" t="s">
        <v>39</v>
      </c>
      <c r="AD422" s="48" t="s">
        <v>1305</v>
      </c>
      <c r="AE422" s="25" t="s">
        <v>1332</v>
      </c>
    </row>
    <row r="423" s="2" customFormat="1" ht="60" customHeight="1" spans="1:31">
      <c r="A423" s="13">
        <v>428</v>
      </c>
      <c r="B423" s="14" t="s">
        <v>1566</v>
      </c>
      <c r="C423" s="15" t="s">
        <v>1142</v>
      </c>
      <c r="D423" s="15" t="s">
        <v>1299</v>
      </c>
      <c r="E423" s="15" t="s">
        <v>1300</v>
      </c>
      <c r="F423" s="13" t="s">
        <v>81</v>
      </c>
      <c r="G423" s="16" t="s">
        <v>38</v>
      </c>
      <c r="H423" s="16" t="s">
        <v>322</v>
      </c>
      <c r="I423" s="43" t="s">
        <v>723</v>
      </c>
      <c r="J423" s="16" t="s">
        <v>1334</v>
      </c>
      <c r="K423" s="20" t="s">
        <v>39</v>
      </c>
      <c r="L423" s="21">
        <v>280000</v>
      </c>
      <c r="M423" s="20">
        <v>0.19</v>
      </c>
      <c r="N423" s="20" t="s">
        <v>39</v>
      </c>
      <c r="O423" s="20" t="s">
        <v>39</v>
      </c>
      <c r="P423" s="19" t="s">
        <v>39</v>
      </c>
      <c r="Q423" s="20" t="s">
        <v>39</v>
      </c>
      <c r="R423" s="19" t="s">
        <v>39</v>
      </c>
      <c r="S423" s="20" t="s">
        <v>39</v>
      </c>
      <c r="T423" s="26">
        <v>1200</v>
      </c>
      <c r="U423" s="20"/>
      <c r="V423" s="20" t="s">
        <v>39</v>
      </c>
      <c r="W423" s="20">
        <v>0.2</v>
      </c>
      <c r="X423" s="45" t="s">
        <v>39</v>
      </c>
      <c r="Y423" s="45" t="s">
        <v>39</v>
      </c>
      <c r="Z423" s="45" t="s">
        <v>39</v>
      </c>
      <c r="AA423" s="45" t="s">
        <v>39</v>
      </c>
      <c r="AB423" s="52" t="s">
        <v>39</v>
      </c>
      <c r="AC423" s="52" t="s">
        <v>39</v>
      </c>
      <c r="AD423" s="48" t="s">
        <v>1305</v>
      </c>
      <c r="AE423" s="25" t="s">
        <v>1306</v>
      </c>
    </row>
    <row r="424" s="2" customFormat="1" ht="60" customHeight="1" spans="1:31">
      <c r="A424" s="13">
        <v>429</v>
      </c>
      <c r="B424" s="14" t="s">
        <v>1568</v>
      </c>
      <c r="C424" s="15" t="s">
        <v>1142</v>
      </c>
      <c r="D424" s="15" t="s">
        <v>1299</v>
      </c>
      <c r="E424" s="15" t="s">
        <v>1300</v>
      </c>
      <c r="F424" s="13" t="s">
        <v>81</v>
      </c>
      <c r="G424" s="16" t="s">
        <v>38</v>
      </c>
      <c r="H424" s="16" t="s">
        <v>329</v>
      </c>
      <c r="I424" s="43" t="s">
        <v>1190</v>
      </c>
      <c r="J424" s="16" t="s">
        <v>1336</v>
      </c>
      <c r="K424" s="20" t="s">
        <v>39</v>
      </c>
      <c r="L424" s="21">
        <v>330000</v>
      </c>
      <c r="M424" s="22">
        <v>0.275</v>
      </c>
      <c r="N424" s="20" t="s">
        <v>39</v>
      </c>
      <c r="O424" s="20" t="s">
        <v>39</v>
      </c>
      <c r="P424" s="19" t="s">
        <v>39</v>
      </c>
      <c r="Q424" s="20" t="s">
        <v>39</v>
      </c>
      <c r="R424" s="19" t="s">
        <v>39</v>
      </c>
      <c r="S424" s="20" t="s">
        <v>39</v>
      </c>
      <c r="T424" s="19" t="s">
        <v>39</v>
      </c>
      <c r="U424" s="19" t="s">
        <v>39</v>
      </c>
      <c r="V424" s="20" t="s">
        <v>39</v>
      </c>
      <c r="W424" s="20">
        <v>0.2</v>
      </c>
      <c r="X424" s="176" t="s">
        <v>39</v>
      </c>
      <c r="Y424" s="176" t="s">
        <v>39</v>
      </c>
      <c r="Z424" s="176" t="s">
        <v>39</v>
      </c>
      <c r="AA424" s="176" t="s">
        <v>39</v>
      </c>
      <c r="AB424" s="52" t="s">
        <v>39</v>
      </c>
      <c r="AC424" s="52" t="s">
        <v>39</v>
      </c>
      <c r="AD424" s="48" t="s">
        <v>1305</v>
      </c>
      <c r="AE424" s="25" t="s">
        <v>1332</v>
      </c>
    </row>
    <row r="425" s="2" customFormat="1" ht="60" customHeight="1" spans="1:31">
      <c r="A425" s="13">
        <v>430</v>
      </c>
      <c r="B425" s="14" t="s">
        <v>1569</v>
      </c>
      <c r="C425" s="15" t="s">
        <v>1142</v>
      </c>
      <c r="D425" s="15" t="s">
        <v>1299</v>
      </c>
      <c r="E425" s="15" t="s">
        <v>1300</v>
      </c>
      <c r="F425" s="13" t="s">
        <v>81</v>
      </c>
      <c r="G425" s="16" t="s">
        <v>38</v>
      </c>
      <c r="H425" s="16" t="s">
        <v>333</v>
      </c>
      <c r="I425" s="43" t="s">
        <v>1338</v>
      </c>
      <c r="J425" s="16" t="s">
        <v>1339</v>
      </c>
      <c r="K425" s="20" t="s">
        <v>39</v>
      </c>
      <c r="L425" s="21">
        <v>330000</v>
      </c>
      <c r="M425" s="20">
        <v>0.19</v>
      </c>
      <c r="N425" s="20" t="s">
        <v>39</v>
      </c>
      <c r="O425" s="20" t="s">
        <v>39</v>
      </c>
      <c r="P425" s="19" t="s">
        <v>39</v>
      </c>
      <c r="Q425" s="20" t="s">
        <v>39</v>
      </c>
      <c r="R425" s="19" t="s">
        <v>39</v>
      </c>
      <c r="S425" s="20" t="s">
        <v>39</v>
      </c>
      <c r="T425" s="22">
        <v>0.035</v>
      </c>
      <c r="U425" s="20"/>
      <c r="V425" s="20" t="s">
        <v>39</v>
      </c>
      <c r="W425" s="20">
        <v>0.2</v>
      </c>
      <c r="X425" s="45" t="s">
        <v>39</v>
      </c>
      <c r="Y425" s="45" t="s">
        <v>39</v>
      </c>
      <c r="Z425" s="45" t="s">
        <v>39</v>
      </c>
      <c r="AA425" s="45" t="s">
        <v>39</v>
      </c>
      <c r="AB425" s="52" t="s">
        <v>39</v>
      </c>
      <c r="AC425" s="52" t="s">
        <v>39</v>
      </c>
      <c r="AD425" s="48" t="s">
        <v>1305</v>
      </c>
      <c r="AE425" s="25" t="s">
        <v>1306</v>
      </c>
    </row>
    <row r="426" s="2" customFormat="1" ht="12" customHeight="1" spans="1:31">
      <c r="A426" s="13">
        <v>431</v>
      </c>
      <c r="B426" s="14" t="s">
        <v>1731</v>
      </c>
      <c r="C426" s="15" t="s">
        <v>1142</v>
      </c>
      <c r="D426" s="15" t="s">
        <v>1341</v>
      </c>
      <c r="E426" s="15" t="s">
        <v>1342</v>
      </c>
      <c r="F426" s="13" t="s">
        <v>37</v>
      </c>
      <c r="G426" s="16" t="s">
        <v>38</v>
      </c>
      <c r="H426" s="16" t="s">
        <v>39</v>
      </c>
      <c r="I426" s="43" t="s">
        <v>39</v>
      </c>
      <c r="J426" s="16" t="s">
        <v>39</v>
      </c>
      <c r="K426" s="20" t="s">
        <v>39</v>
      </c>
      <c r="L426" s="21" t="s">
        <v>39</v>
      </c>
      <c r="M426" s="20" t="s">
        <v>39</v>
      </c>
      <c r="N426" s="20" t="s">
        <v>39</v>
      </c>
      <c r="O426" s="20" t="s">
        <v>39</v>
      </c>
      <c r="P426" s="20" t="s">
        <v>39</v>
      </c>
      <c r="Q426" s="20" t="s">
        <v>39</v>
      </c>
      <c r="R426" s="20" t="s">
        <v>39</v>
      </c>
      <c r="S426" s="20" t="s">
        <v>39</v>
      </c>
      <c r="T426" s="20" t="s">
        <v>39</v>
      </c>
      <c r="U426" s="20" t="s">
        <v>39</v>
      </c>
      <c r="V426" s="20" t="s">
        <v>39</v>
      </c>
      <c r="W426" s="44"/>
      <c r="X426" s="45" t="s">
        <v>39</v>
      </c>
      <c r="Y426" s="45" t="s">
        <v>39</v>
      </c>
      <c r="Z426" s="45" t="s">
        <v>39</v>
      </c>
      <c r="AA426" s="45" t="s">
        <v>39</v>
      </c>
      <c r="AB426" s="46">
        <v>0.05</v>
      </c>
      <c r="AC426" s="52" t="s">
        <v>39</v>
      </c>
      <c r="AD426" s="17"/>
      <c r="AE426" s="25"/>
    </row>
    <row r="427" s="2" customFormat="1" ht="24" customHeight="1" spans="1:31">
      <c r="A427" s="13">
        <v>432</v>
      </c>
      <c r="B427" s="14" t="s">
        <v>1570</v>
      </c>
      <c r="C427" s="15" t="s">
        <v>1142</v>
      </c>
      <c r="D427" s="15" t="s">
        <v>1341</v>
      </c>
      <c r="E427" s="15" t="s">
        <v>1342</v>
      </c>
      <c r="F427" s="13" t="s">
        <v>81</v>
      </c>
      <c r="G427" s="16" t="s">
        <v>38</v>
      </c>
      <c r="H427" s="18" t="s">
        <v>60</v>
      </c>
      <c r="I427" s="43" t="s">
        <v>1344</v>
      </c>
      <c r="J427" s="18" t="s">
        <v>1345</v>
      </c>
      <c r="K427" s="20" t="s">
        <v>39</v>
      </c>
      <c r="L427" s="21" t="s">
        <v>39</v>
      </c>
      <c r="M427" s="20">
        <v>0.06</v>
      </c>
      <c r="N427" s="20" t="s">
        <v>39</v>
      </c>
      <c r="O427" s="20"/>
      <c r="P427" s="20" t="s">
        <v>39</v>
      </c>
      <c r="Q427" s="20" t="s">
        <v>39</v>
      </c>
      <c r="R427" s="20" t="s">
        <v>39</v>
      </c>
      <c r="S427" s="20"/>
      <c r="T427" s="19"/>
      <c r="U427" s="19"/>
      <c r="V427" s="26"/>
      <c r="W427" s="44"/>
      <c r="X427" s="45" t="s">
        <v>39</v>
      </c>
      <c r="Y427" s="45" t="s">
        <v>39</v>
      </c>
      <c r="Z427" s="45" t="s">
        <v>39</v>
      </c>
      <c r="AA427" s="45" t="s">
        <v>39</v>
      </c>
      <c r="AB427" s="52" t="s">
        <v>39</v>
      </c>
      <c r="AC427" s="52" t="s">
        <v>39</v>
      </c>
      <c r="AD427" s="48" t="s">
        <v>1346</v>
      </c>
      <c r="AE427" s="25" t="s">
        <v>1347</v>
      </c>
    </row>
    <row r="428" s="2" customFormat="1" ht="24" customHeight="1" spans="1:31">
      <c r="A428" s="13">
        <v>433</v>
      </c>
      <c r="B428" s="14" t="s">
        <v>1572</v>
      </c>
      <c r="C428" s="15" t="s">
        <v>1142</v>
      </c>
      <c r="D428" s="15" t="s">
        <v>1341</v>
      </c>
      <c r="E428" s="15" t="s">
        <v>1342</v>
      </c>
      <c r="F428" s="13" t="s">
        <v>81</v>
      </c>
      <c r="G428" s="16" t="s">
        <v>38</v>
      </c>
      <c r="H428" s="18" t="s">
        <v>66</v>
      </c>
      <c r="I428" s="43" t="s">
        <v>1350</v>
      </c>
      <c r="J428" s="18" t="s">
        <v>1351</v>
      </c>
      <c r="K428" s="20" t="s">
        <v>39</v>
      </c>
      <c r="L428" s="21" t="s">
        <v>39</v>
      </c>
      <c r="M428" s="20">
        <v>0.06</v>
      </c>
      <c r="N428" s="20" t="s">
        <v>39</v>
      </c>
      <c r="O428" s="20" t="s">
        <v>39</v>
      </c>
      <c r="P428" s="20" t="s">
        <v>39</v>
      </c>
      <c r="Q428" s="20" t="s">
        <v>39</v>
      </c>
      <c r="R428" s="20" t="s">
        <v>39</v>
      </c>
      <c r="S428" s="20"/>
      <c r="T428" s="26">
        <v>3000</v>
      </c>
      <c r="U428" s="19"/>
      <c r="V428" s="20" t="s">
        <v>39</v>
      </c>
      <c r="W428" s="44"/>
      <c r="X428" s="45" t="s">
        <v>39</v>
      </c>
      <c r="Y428" s="45" t="s">
        <v>39</v>
      </c>
      <c r="Z428" s="45" t="s">
        <v>39</v>
      </c>
      <c r="AA428" s="45" t="s">
        <v>39</v>
      </c>
      <c r="AB428" s="52" t="s">
        <v>39</v>
      </c>
      <c r="AC428" s="52" t="s">
        <v>39</v>
      </c>
      <c r="AD428" s="48" t="s">
        <v>1352</v>
      </c>
      <c r="AE428" s="25" t="s">
        <v>1347</v>
      </c>
    </row>
    <row r="429" s="2" customFormat="1" ht="24" customHeight="1" spans="1:31">
      <c r="A429" s="13">
        <v>434</v>
      </c>
      <c r="B429" s="14" t="s">
        <v>1574</v>
      </c>
      <c r="C429" s="15" t="s">
        <v>1142</v>
      </c>
      <c r="D429" s="15" t="s">
        <v>1341</v>
      </c>
      <c r="E429" s="15" t="s">
        <v>1342</v>
      </c>
      <c r="F429" s="13" t="s">
        <v>81</v>
      </c>
      <c r="G429" s="16" t="s">
        <v>38</v>
      </c>
      <c r="H429" s="18" t="s">
        <v>74</v>
      </c>
      <c r="I429" s="43" t="s">
        <v>1575</v>
      </c>
      <c r="J429" s="18" t="s">
        <v>1576</v>
      </c>
      <c r="K429" s="20" t="s">
        <v>39</v>
      </c>
      <c r="L429" s="21" t="s">
        <v>39</v>
      </c>
      <c r="M429" s="20" t="s">
        <v>39</v>
      </c>
      <c r="N429" s="20" t="s">
        <v>39</v>
      </c>
      <c r="O429" s="20" t="s">
        <v>39</v>
      </c>
      <c r="P429" s="20" t="s">
        <v>39</v>
      </c>
      <c r="Q429" s="20" t="s">
        <v>39</v>
      </c>
      <c r="R429" s="20" t="s">
        <v>39</v>
      </c>
      <c r="S429" s="20"/>
      <c r="T429" s="20" t="s">
        <v>39</v>
      </c>
      <c r="U429" s="19"/>
      <c r="V429" s="20" t="s">
        <v>39</v>
      </c>
      <c r="W429" s="44"/>
      <c r="X429" s="45" t="s">
        <v>39</v>
      </c>
      <c r="Y429" s="45" t="s">
        <v>39</v>
      </c>
      <c r="Z429" s="45" t="s">
        <v>39</v>
      </c>
      <c r="AA429" s="45" t="s">
        <v>39</v>
      </c>
      <c r="AB429" s="52" t="s">
        <v>39</v>
      </c>
      <c r="AC429" s="52" t="s">
        <v>39</v>
      </c>
      <c r="AD429" s="48"/>
      <c r="AE429" s="53" t="s">
        <v>1577</v>
      </c>
    </row>
  </sheetData>
  <sheetProtection sheet="1" formatCells="0" formatColumns="0" formatRows="0" insertRows="0" insertColumns="0" insertHyperlinks="0" deleteColumns="0" deleteRows="0" sort="0" autoFilter="0" pivotTables="0"/>
  <autoFilter xmlns:etc="http://www.wps.cn/officeDocument/2017/etCustomData" ref="A2:AE429" etc:filterBottomFollowUsedRange="0">
    <extLst/>
  </autoFilter>
  <mergeCells count="1">
    <mergeCell ref="A1:N1"/>
  </mergeCells>
  <dataValidations count="1">
    <dataValidation type="list" allowBlank="1" showInputMessage="1" showErrorMessage="1" sqref="F130:F137">
      <formula1>"自营/分组作业,分组作业,强责,自营,人员服务外包,人员服务外包/自营"</formula1>
    </dataValidation>
  </dataValidation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8"/>
  <sheetViews>
    <sheetView workbookViewId="0">
      <selection activeCell="A1" sqref="A1"/>
    </sheetView>
  </sheetViews>
  <sheetFormatPr defaultColWidth="9" defaultRowHeight="13.5" outlineLevelRow="7"/>
  <cols>
    <col min="12" max="12" width="14.125" customWidth="1"/>
    <col min="30" max="30" width="31.875" customWidth="1"/>
  </cols>
  <sheetData>
    <row r="1" s="1" customFormat="1" ht="48" customHeight="1" spans="1:30">
      <c r="A1" s="3" t="s">
        <v>1</v>
      </c>
      <c r="B1" s="3" t="s">
        <v>2</v>
      </c>
      <c r="C1" s="3" t="s">
        <v>5</v>
      </c>
      <c r="D1" s="4" t="s">
        <v>6</v>
      </c>
      <c r="E1" s="4" t="s">
        <v>7</v>
      </c>
      <c r="F1" s="4" t="s">
        <v>8</v>
      </c>
      <c r="G1" s="4" t="s">
        <v>9</v>
      </c>
      <c r="H1" s="4" t="s">
        <v>10</v>
      </c>
      <c r="I1" s="4"/>
      <c r="J1" s="5" t="s">
        <v>1720</v>
      </c>
      <c r="K1" s="6" t="s">
        <v>11</v>
      </c>
      <c r="L1" s="7" t="s">
        <v>12</v>
      </c>
      <c r="M1" s="8" t="s">
        <v>13</v>
      </c>
      <c r="N1" s="4" t="s">
        <v>14</v>
      </c>
      <c r="O1" s="4" t="s">
        <v>15</v>
      </c>
      <c r="P1" s="6" t="s">
        <v>16</v>
      </c>
      <c r="Q1" s="6" t="s">
        <v>17</v>
      </c>
      <c r="R1" s="6" t="s">
        <v>18</v>
      </c>
      <c r="S1" s="6" t="s">
        <v>19</v>
      </c>
      <c r="T1" s="9" t="s">
        <v>20</v>
      </c>
      <c r="U1" s="9" t="s">
        <v>21</v>
      </c>
      <c r="V1" s="4" t="s">
        <v>22</v>
      </c>
      <c r="W1" s="4" t="s">
        <v>23</v>
      </c>
      <c r="X1" s="10" t="s">
        <v>24</v>
      </c>
      <c r="Y1" s="10" t="s">
        <v>25</v>
      </c>
      <c r="Z1" s="10" t="s">
        <v>26</v>
      </c>
      <c r="AA1" s="10" t="s">
        <v>27</v>
      </c>
      <c r="AB1" s="11" t="s">
        <v>28</v>
      </c>
      <c r="AC1" s="12" t="s">
        <v>29</v>
      </c>
      <c r="AD1" s="6" t="s">
        <v>31</v>
      </c>
    </row>
    <row r="2" s="2" customFormat="1" ht="36" customHeight="1" spans="1:30">
      <c r="A2" s="13">
        <v>81</v>
      </c>
      <c r="B2" s="14" t="s">
        <v>325</v>
      </c>
      <c r="C2" s="15" t="s">
        <v>291</v>
      </c>
      <c r="D2" s="13" t="s">
        <v>81</v>
      </c>
      <c r="E2" s="16" t="s">
        <v>103</v>
      </c>
      <c r="F2" s="16" t="s">
        <v>60</v>
      </c>
      <c r="G2" s="17" t="s">
        <v>240</v>
      </c>
      <c r="H2" s="18" t="s">
        <v>293</v>
      </c>
      <c r="I2" s="18"/>
      <c r="J2" s="19" t="s">
        <v>1724</v>
      </c>
      <c r="K2" s="20" t="s">
        <v>39</v>
      </c>
      <c r="L2" s="21">
        <v>1330000</v>
      </c>
      <c r="M2" s="22">
        <v>0.12</v>
      </c>
      <c r="N2" s="22">
        <v>0.01</v>
      </c>
      <c r="O2" s="22"/>
      <c r="P2" s="22">
        <v>0.01</v>
      </c>
      <c r="Q2" s="22">
        <v>0.01</v>
      </c>
      <c r="R2" s="22">
        <v>0.01</v>
      </c>
      <c r="S2" s="22">
        <v>0.02</v>
      </c>
      <c r="T2" s="22">
        <v>0.02</v>
      </c>
      <c r="U2" s="22">
        <v>0.02</v>
      </c>
      <c r="V2" s="20" t="s">
        <v>39</v>
      </c>
      <c r="W2" s="20"/>
      <c r="X2" s="23">
        <v>0.03</v>
      </c>
      <c r="Y2" s="24" t="s">
        <v>39</v>
      </c>
      <c r="Z2" s="20"/>
      <c r="AA2" s="19" t="s">
        <v>39</v>
      </c>
      <c r="AB2" s="22" t="s">
        <v>39</v>
      </c>
      <c r="AC2" s="20" t="s">
        <v>39</v>
      </c>
      <c r="AD2" s="25" t="s">
        <v>295</v>
      </c>
    </row>
    <row r="3" s="2" customFormat="1" ht="36" customHeight="1" spans="1:30">
      <c r="A3" s="13">
        <v>85</v>
      </c>
      <c r="B3" s="14" t="s">
        <v>343</v>
      </c>
      <c r="C3" s="15" t="s">
        <v>291</v>
      </c>
      <c r="D3" s="13" t="s">
        <v>81</v>
      </c>
      <c r="E3" s="16" t="s">
        <v>103</v>
      </c>
      <c r="F3" s="16" t="s">
        <v>86</v>
      </c>
      <c r="G3" s="17" t="s">
        <v>306</v>
      </c>
      <c r="H3" s="18" t="s">
        <v>270</v>
      </c>
      <c r="I3" s="18"/>
      <c r="J3" s="19" t="s">
        <v>1724</v>
      </c>
      <c r="K3" s="20" t="s">
        <v>39</v>
      </c>
      <c r="L3" s="21">
        <v>325000</v>
      </c>
      <c r="M3" s="22">
        <v>0.12</v>
      </c>
      <c r="N3" s="22">
        <v>0.01</v>
      </c>
      <c r="O3" s="22"/>
      <c r="P3" s="22">
        <v>0.01</v>
      </c>
      <c r="Q3" s="22">
        <v>0.01</v>
      </c>
      <c r="R3" s="22">
        <v>0.01</v>
      </c>
      <c r="S3" s="22">
        <v>0.02</v>
      </c>
      <c r="T3" s="22"/>
      <c r="U3" s="26"/>
      <c r="V3" s="20" t="s">
        <v>39</v>
      </c>
      <c r="W3" s="20"/>
      <c r="X3" s="23">
        <v>0.03</v>
      </c>
      <c r="Y3" s="24" t="s">
        <v>39</v>
      </c>
      <c r="Z3" s="20"/>
      <c r="AA3" s="19" t="s">
        <v>39</v>
      </c>
      <c r="AB3" s="22" t="s">
        <v>39</v>
      </c>
      <c r="AC3" s="20" t="s">
        <v>39</v>
      </c>
      <c r="AD3" s="25" t="s">
        <v>307</v>
      </c>
    </row>
    <row r="4" s="2" customFormat="1" ht="36" customHeight="1" spans="1:30">
      <c r="A4" s="13">
        <v>87</v>
      </c>
      <c r="B4" s="14" t="s">
        <v>347</v>
      </c>
      <c r="C4" s="15" t="s">
        <v>291</v>
      </c>
      <c r="D4" s="13" t="s">
        <v>81</v>
      </c>
      <c r="E4" s="16" t="s">
        <v>103</v>
      </c>
      <c r="F4" s="16" t="s">
        <v>276</v>
      </c>
      <c r="G4" s="17" t="s">
        <v>312</v>
      </c>
      <c r="H4" s="18" t="s">
        <v>313</v>
      </c>
      <c r="I4" s="18"/>
      <c r="J4" s="19" t="s">
        <v>1724</v>
      </c>
      <c r="K4" s="20" t="s">
        <v>39</v>
      </c>
      <c r="L4" s="21">
        <v>420000</v>
      </c>
      <c r="M4" s="22">
        <v>0.12</v>
      </c>
      <c r="N4" s="22">
        <v>0.01</v>
      </c>
      <c r="O4" s="22"/>
      <c r="P4" s="22">
        <v>0.01</v>
      </c>
      <c r="Q4" s="22">
        <v>0.01</v>
      </c>
      <c r="R4" s="22">
        <v>0.01</v>
      </c>
      <c r="S4" s="22">
        <v>0.02</v>
      </c>
      <c r="T4" s="22"/>
      <c r="U4" s="26"/>
      <c r="V4" s="20" t="s">
        <v>39</v>
      </c>
      <c r="W4" s="20"/>
      <c r="X4" s="23">
        <v>0.03</v>
      </c>
      <c r="Y4" s="24" t="s">
        <v>39</v>
      </c>
      <c r="Z4" s="20"/>
      <c r="AA4" s="19" t="s">
        <v>39</v>
      </c>
      <c r="AB4" s="22" t="s">
        <v>39</v>
      </c>
      <c r="AC4" s="20" t="s">
        <v>39</v>
      </c>
      <c r="AD4" s="25" t="s">
        <v>314</v>
      </c>
    </row>
    <row r="5" s="2" customFormat="1" ht="36" customHeight="1" spans="1:30">
      <c r="A5" s="13">
        <v>88</v>
      </c>
      <c r="B5" s="14" t="s">
        <v>350</v>
      </c>
      <c r="C5" s="15" t="s">
        <v>291</v>
      </c>
      <c r="D5" s="13" t="s">
        <v>81</v>
      </c>
      <c r="E5" s="16" t="s">
        <v>103</v>
      </c>
      <c r="F5" s="16" t="s">
        <v>280</v>
      </c>
      <c r="G5" s="17" t="s">
        <v>316</v>
      </c>
      <c r="H5" s="18" t="s">
        <v>317</v>
      </c>
      <c r="I5" s="18"/>
      <c r="J5" s="19" t="s">
        <v>1724</v>
      </c>
      <c r="K5" s="20" t="s">
        <v>39</v>
      </c>
      <c r="L5" s="21">
        <v>375000</v>
      </c>
      <c r="M5" s="22">
        <v>0.12</v>
      </c>
      <c r="N5" s="22">
        <v>0.01</v>
      </c>
      <c r="O5" s="22"/>
      <c r="P5" s="22">
        <v>0.01</v>
      </c>
      <c r="Q5" s="22">
        <v>0.01</v>
      </c>
      <c r="R5" s="22">
        <v>0.01</v>
      </c>
      <c r="S5" s="22">
        <v>0.02</v>
      </c>
      <c r="T5" s="22"/>
      <c r="U5" s="26"/>
      <c r="V5" s="20" t="s">
        <v>39</v>
      </c>
      <c r="W5" s="20"/>
      <c r="X5" s="23">
        <v>0.03</v>
      </c>
      <c r="Y5" s="24" t="s">
        <v>39</v>
      </c>
      <c r="Z5" s="20"/>
      <c r="AA5" s="19" t="s">
        <v>39</v>
      </c>
      <c r="AB5" s="22" t="s">
        <v>39</v>
      </c>
      <c r="AC5" s="20" t="s">
        <v>39</v>
      </c>
      <c r="AD5" s="25" t="s">
        <v>295</v>
      </c>
    </row>
    <row r="6" s="2" customFormat="1" ht="36" customHeight="1" spans="1:30">
      <c r="A6" s="13">
        <v>91</v>
      </c>
      <c r="B6" s="14" t="s">
        <v>357</v>
      </c>
      <c r="C6" s="15" t="s">
        <v>291</v>
      </c>
      <c r="D6" s="13" t="s">
        <v>81</v>
      </c>
      <c r="E6" s="16" t="s">
        <v>103</v>
      </c>
      <c r="F6" s="16" t="s">
        <v>322</v>
      </c>
      <c r="G6" s="17" t="s">
        <v>94</v>
      </c>
      <c r="H6" s="18" t="s">
        <v>326</v>
      </c>
      <c r="I6" s="18"/>
      <c r="J6" s="19" t="s">
        <v>1724</v>
      </c>
      <c r="K6" s="20" t="s">
        <v>39</v>
      </c>
      <c r="L6" s="21">
        <v>545000</v>
      </c>
      <c r="M6" s="22">
        <v>0.12</v>
      </c>
      <c r="N6" s="22">
        <v>0.01</v>
      </c>
      <c r="O6" s="22"/>
      <c r="P6" s="22">
        <v>0.01</v>
      </c>
      <c r="Q6" s="22">
        <v>0.01</v>
      </c>
      <c r="R6" s="22">
        <v>0.01</v>
      </c>
      <c r="S6" s="22">
        <v>0.02</v>
      </c>
      <c r="T6" s="22"/>
      <c r="U6" s="26"/>
      <c r="V6" s="20" t="s">
        <v>39</v>
      </c>
      <c r="W6" s="20"/>
      <c r="X6" s="23">
        <v>0.03</v>
      </c>
      <c r="Y6" s="24" t="s">
        <v>39</v>
      </c>
      <c r="Z6" s="20"/>
      <c r="AA6" s="19" t="s">
        <v>39</v>
      </c>
      <c r="AB6" s="22" t="s">
        <v>39</v>
      </c>
      <c r="AC6" s="20" t="s">
        <v>39</v>
      </c>
      <c r="AD6" s="25" t="s">
        <v>327</v>
      </c>
    </row>
    <row r="7" s="2" customFormat="1" ht="36" customHeight="1" spans="1:30">
      <c r="A7" s="13">
        <v>92</v>
      </c>
      <c r="B7" s="14" t="s">
        <v>359</v>
      </c>
      <c r="C7" s="15" t="s">
        <v>291</v>
      </c>
      <c r="D7" s="13" t="s">
        <v>81</v>
      </c>
      <c r="E7" s="16" t="s">
        <v>103</v>
      </c>
      <c r="F7" s="16" t="s">
        <v>329</v>
      </c>
      <c r="G7" s="17" t="s">
        <v>330</v>
      </c>
      <c r="H7" s="18" t="s">
        <v>331</v>
      </c>
      <c r="I7" s="18"/>
      <c r="J7" s="19" t="s">
        <v>1724</v>
      </c>
      <c r="K7" s="20" t="s">
        <v>39</v>
      </c>
      <c r="L7" s="21">
        <v>395000</v>
      </c>
      <c r="M7" s="22">
        <v>0.12</v>
      </c>
      <c r="N7" s="22">
        <v>0.01</v>
      </c>
      <c r="O7" s="22"/>
      <c r="P7" s="22">
        <v>0.01</v>
      </c>
      <c r="Q7" s="22">
        <v>0.01</v>
      </c>
      <c r="R7" s="22">
        <v>0.01</v>
      </c>
      <c r="S7" s="22">
        <v>0.02</v>
      </c>
      <c r="T7" s="22"/>
      <c r="U7" s="26"/>
      <c r="V7" s="20" t="s">
        <v>39</v>
      </c>
      <c r="W7" s="20"/>
      <c r="X7" s="23">
        <v>0.03</v>
      </c>
      <c r="Y7" s="24" t="s">
        <v>39</v>
      </c>
      <c r="Z7" s="20"/>
      <c r="AA7" s="19" t="s">
        <v>39</v>
      </c>
      <c r="AB7" s="22" t="s">
        <v>39</v>
      </c>
      <c r="AC7" s="20" t="s">
        <v>39</v>
      </c>
      <c r="AD7" s="25" t="s">
        <v>314</v>
      </c>
    </row>
    <row r="8" s="2" customFormat="1" ht="36" customHeight="1" spans="1:30">
      <c r="A8" s="13">
        <v>93</v>
      </c>
      <c r="B8" s="14" t="s">
        <v>361</v>
      </c>
      <c r="C8" s="15" t="s">
        <v>291</v>
      </c>
      <c r="D8" s="13" t="s">
        <v>81</v>
      </c>
      <c r="E8" s="16" t="s">
        <v>103</v>
      </c>
      <c r="F8" s="16" t="s">
        <v>333</v>
      </c>
      <c r="G8" s="17" t="s">
        <v>334</v>
      </c>
      <c r="H8" s="18" t="s">
        <v>335</v>
      </c>
      <c r="I8" s="18"/>
      <c r="J8" s="19" t="s">
        <v>1724</v>
      </c>
      <c r="K8" s="20" t="s">
        <v>39</v>
      </c>
      <c r="L8" s="21">
        <v>585000</v>
      </c>
      <c r="M8" s="22">
        <v>0.12</v>
      </c>
      <c r="N8" s="22">
        <v>0.01</v>
      </c>
      <c r="O8" s="22"/>
      <c r="P8" s="22">
        <v>0.01</v>
      </c>
      <c r="Q8" s="22">
        <v>0.01</v>
      </c>
      <c r="R8" s="22">
        <v>0.01</v>
      </c>
      <c r="S8" s="22">
        <v>0.02</v>
      </c>
      <c r="T8" s="22"/>
      <c r="U8" s="26"/>
      <c r="V8" s="20" t="s">
        <v>39</v>
      </c>
      <c r="W8" s="20"/>
      <c r="X8" s="23">
        <v>0.03</v>
      </c>
      <c r="Y8" s="24" t="s">
        <v>39</v>
      </c>
      <c r="Z8" s="20"/>
      <c r="AA8" s="19" t="s">
        <v>39</v>
      </c>
      <c r="AB8" s="22" t="s">
        <v>39</v>
      </c>
      <c r="AC8" s="20" t="s">
        <v>39</v>
      </c>
      <c r="AD8" s="25" t="s">
        <v>295</v>
      </c>
    </row>
  </sheetData>
  <sheetProtection sheet="1" formatCells="0" formatColumns="0" formatRows="0" insertRows="0" insertColumns="0" insertHyperlinks="0" deleteColumns="0" deleteRows="0" sort="0" autoFilter="0" pivotTables="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 otherUserPermission="visible"/>
  <rangeList sheetStid="8" master="" otherUserPermission="edit"/>
  <rangeList sheetStid="2" master="" otherUserPermission="visible"/>
  <rangeList sheetStid="4" master="" otherUserPermission="visible"/>
  <rangeList sheetStid="5" master="" otherUserPermission="visible"/>
  <rangeList sheetStid="6" master="" otherUserPermission="visible"/>
</allowEditUser>
</file>

<file path=customXml/item2.xml>��
</file>

<file path=customXml/item3.xml>��q\�'Yf[B6ߘX	NB\:_#��_OewcѐN�lb'Yw���`l!h:S�N|iߘX�_OeZ
</file>

<file path=customXml/item4.xml>��penc�Ɖh�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D5662047-3127-477A-AC3A-1D340467FB41}">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WWO_wpscloud_20260819174756-ed9259823c</Application>
  <HeadingPairs>
    <vt:vector size="2" baseType="variant">
      <vt:variant>
        <vt:lpstr>工作表</vt:lpstr>
      </vt:variant>
      <vt:variant>
        <vt:i4>6</vt:i4>
      </vt:variant>
    </vt:vector>
  </HeadingPairs>
  <TitlesOfParts>
    <vt:vector size="6" baseType="lpstr">
      <vt:lpstr> 2026年科桥餐饮公司各项指标明细</vt:lpstr>
      <vt:lpstr> 2026年科桥餐饮公司各项指标明细 (7月)汇总表</vt:lpstr>
      <vt:lpstr> 2026年科桥餐饮公司各项指标明细 (8月)</vt:lpstr>
      <vt:lpstr> 2026年科桥餐饮公司各项指标明细 (完整版)</vt:lpstr>
      <vt:lpstr> 2026年科桥餐饮公司各项指标明细 (删减版）</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暗夜未央</cp:lastModifiedBy>
  <dcterms:created xsi:type="dcterms:W3CDTF">2026-07-06T08:40:00Z</dcterms:created>
  <dcterms:modified xsi:type="dcterms:W3CDTF">2026-09-03T06:50:47Z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F998A4EBDCC34AA9A158E1CFC1DEA498_13</vt:lpwstr>
  </property>
  <property fmtid="{D5CDD505-2E9C-101B-9397-08002B2CF9AE}" pid="3" name="KSOProductBuildVer">
    <vt:lpwstr>2052-12.1.0.28505</vt:lpwstr>
  </property>
  <property fmtid="{D5CDD505-2E9C-101B-9397-08002B2CF9AE}" pid="4" name="CalculationRule">
    <vt:i4>0</vt:i4>
  </property>
</Properties>
</file>