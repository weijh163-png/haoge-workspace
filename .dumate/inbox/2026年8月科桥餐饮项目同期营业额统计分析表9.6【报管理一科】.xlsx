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360MoveData\Users\云淡\Desktop\终稿\8月\8月\"/>
    </mc:Choice>
  </mc:AlternateContent>
  <bookViews>
    <workbookView windowWidth="14400" windowHeight="13395" firstSheet="1" activeTab="1"/>
  </bookViews>
  <sheets>
    <sheet name="科桥餐饮项目营业额统计分析表当月" sheetId="1" r:id="rId1"/>
    <sheet name="科桥餐饮项目营业额统计分析表累计" sheetId="2" r:id="rId2"/>
    <sheet name="Sheet3" sheetId="5" state="hidden" r:id="rId3"/>
  </sheets>
  <definedNames>
    <definedName name="_xlnm._FilterDatabase" localSheetId="1" hidden="1">科桥餐饮项目营业额统计分析表累计!$A$1:$I$90</definedName>
    <definedName name="_xlnm._FilterDatabase" localSheetId="0" hidden="1">科桥餐饮项目营业额统计分析表当月!$A$1:$I$90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L28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  <r>
          <rPr>
            <b/>
            <sz val="9"/>
            <rFont val="宋体"/>
            <charset val="134"/>
          </rPr>
          <t xml:space="preserve">
幸福的人:</t>
        </r>
        <r>
          <rPr>
            <sz val="9"/>
            <rFont val="宋体"/>
            <charset val="134"/>
          </rPr>
          <t xml:space="preserve">
苏大工资20000</t>
        </r>
      </text>
    </comment>
    <comment ref="G29" authorId="0">
      <text>
        <r>
          <rPr>
            <b/>
            <sz val="9"/>
            <rFont val="宋体"/>
            <charset val="134"/>
          </rPr>
          <t>幸福的人:</t>
        </r>
        <r>
          <rPr>
            <sz val="9"/>
            <rFont val="宋体"/>
            <charset val="134"/>
          </rPr>
          <t xml:space="preserve">
领用2024扶贫材料9380</t>
        </r>
      </text>
    </comment>
    <comment ref="L29" authorId="0">
      <text>
        <r>
          <rPr>
            <b/>
            <sz val="9"/>
            <rFont val="宋体"/>
            <charset val="134"/>
          </rPr>
          <t>幸福的人:</t>
        </r>
        <r>
          <rPr>
            <sz val="9"/>
            <rFont val="宋体"/>
            <charset val="134"/>
          </rPr>
          <t xml:space="preserve">
苏大工资20000</t>
        </r>
        <r>
          <rPr>
            <b/>
            <sz val="9"/>
            <rFont val="宋体"/>
            <charset val="134"/>
          </rPr>
          <t xml:space="preserve">
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L30" authorId="0">
      <text>
        <r>
          <rPr>
            <b/>
            <sz val="9"/>
            <rFont val="宋体"/>
            <charset val="134"/>
          </rPr>
          <t>幸福的人:</t>
        </r>
        <r>
          <rPr>
            <sz val="9"/>
            <rFont val="宋体"/>
            <charset val="134"/>
          </rPr>
          <t xml:space="preserve">
苏大工资20000</t>
        </r>
        <r>
          <rPr>
            <b/>
            <sz val="9"/>
            <rFont val="宋体"/>
            <charset val="134"/>
          </rPr>
          <t xml:space="preserve">
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L32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L33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苏大20000工资；</t>
        </r>
      </text>
    </comment>
    <comment ref="L59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G60" authorId="0">
      <text>
        <r>
          <rPr>
            <b/>
            <sz val="9"/>
            <rFont val="宋体"/>
            <charset val="134"/>
          </rPr>
          <t>幸福的人:</t>
        </r>
        <r>
          <rPr>
            <sz val="9"/>
            <rFont val="宋体"/>
            <charset val="134"/>
          </rPr>
          <t xml:space="preserve">
2024扶贫材料14000，壹品记-7089</t>
        </r>
      </text>
    </comment>
    <comment ref="L60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G61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领用24年扣款的扶贫材料65520；</t>
        </r>
      </text>
    </comment>
    <comment ref="L62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G63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领用2024年扶贫材料14000；</t>
        </r>
      </text>
    </comment>
    <comment ref="L63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苏大工资20000；</t>
        </r>
      </text>
    </comment>
    <comment ref="K78" authorId="0">
      <text>
        <r>
          <rPr>
            <b/>
            <sz val="9"/>
            <rFont val="宋体"/>
            <charset val="134"/>
          </rPr>
          <t>jimn:</t>
        </r>
        <r>
          <rPr>
            <sz val="9"/>
            <rFont val="宋体"/>
            <charset val="134"/>
          </rPr>
          <t xml:space="preserve">
税金</t>
        </r>
      </text>
    </comment>
    <comment ref="G90" authorId="0">
      <text>
        <r>
          <rPr>
            <b/>
            <sz val="9"/>
            <rFont val="宋体"/>
            <charset val="134"/>
          </rPr>
          <t>幸福的人:</t>
        </r>
        <r>
          <rPr>
            <sz val="9"/>
            <rFont val="宋体"/>
            <charset val="134"/>
          </rPr>
          <t xml:space="preserve">
扶贫5200，壹品记7089</t>
        </r>
      </text>
    </comment>
  </commentList>
</comments>
</file>

<file path=xl/sharedStrings.xml><?xml version="1.0" encoding="utf-8"?>
<sst xmlns="http://schemas.openxmlformats.org/spreadsheetml/2006/main" count="842" uniqueCount="217">
  <si>
    <t>2025年7月科桥餐饮项目营业额统计分析表（当月数）</t>
  </si>
  <si>
    <t>项目编码</t>
  </si>
  <si>
    <t>项目名称</t>
  </si>
  <si>
    <r>
      <rPr>
        <sz val="10"/>
        <rFont val="Arial"/>
        <charset val="0"/>
      </rPr>
      <t>2025</t>
    </r>
    <r>
      <rPr>
        <sz val="10"/>
        <rFont val="宋体"/>
        <charset val="0"/>
      </rPr>
      <t>年</t>
    </r>
  </si>
  <si>
    <r>
      <rPr>
        <sz val="10"/>
        <rFont val="Arial"/>
        <charset val="0"/>
      </rPr>
      <t>2026</t>
    </r>
    <r>
      <rPr>
        <sz val="10"/>
        <rFont val="宋体"/>
        <charset val="0"/>
      </rPr>
      <t>年</t>
    </r>
    <r>
      <rPr>
        <sz val="10"/>
        <rFont val="Arial"/>
        <charset val="0"/>
      </rPr>
      <t>8</t>
    </r>
    <r>
      <rPr>
        <sz val="10"/>
        <rFont val="宋体"/>
        <charset val="0"/>
      </rPr>
      <t>月营业额</t>
    </r>
  </si>
  <si>
    <t>增减</t>
  </si>
  <si>
    <t>本期自营收入</t>
  </si>
  <si>
    <t>本期网点收入（含强责）</t>
  </si>
  <si>
    <t>合计</t>
  </si>
  <si>
    <t>代收代扣</t>
  </si>
  <si>
    <t>差额</t>
  </si>
  <si>
    <t>0300</t>
  </si>
  <si>
    <t>科桥餐饮公司</t>
  </si>
  <si>
    <t>C004</t>
  </si>
  <si>
    <t>餐饮物资采供部</t>
  </si>
  <si>
    <t>C006</t>
  </si>
  <si>
    <t>餐饮创新运营部</t>
  </si>
  <si>
    <t>CF101</t>
  </si>
  <si>
    <t>苏大本部方塔餐厅</t>
  </si>
  <si>
    <t>CF102</t>
  </si>
  <si>
    <t>苏大东区四食堂</t>
  </si>
  <si>
    <t>CF107</t>
  </si>
  <si>
    <t>苏大东区教工食堂</t>
  </si>
  <si>
    <t>CF108</t>
  </si>
  <si>
    <t>苏大北区六食堂</t>
  </si>
  <si>
    <t>CF120</t>
  </si>
  <si>
    <t>苏大独墅湖一食堂</t>
  </si>
  <si>
    <t>CF121</t>
  </si>
  <si>
    <t>苏大独墅湖二食堂</t>
  </si>
  <si>
    <t>CF122</t>
  </si>
  <si>
    <t>苏大独墅湖六食堂</t>
  </si>
  <si>
    <t>CF124</t>
  </si>
  <si>
    <t>苏州评弹学院食堂</t>
  </si>
  <si>
    <t>CF125</t>
  </si>
  <si>
    <t>西浦大学宏愿餐厅（南）</t>
  </si>
  <si>
    <t>CF126</t>
  </si>
  <si>
    <t>西浦附校餐厅</t>
  </si>
  <si>
    <t>CF127-1</t>
  </si>
  <si>
    <t>泰科老厂餐厅</t>
  </si>
  <si>
    <t>CF127-3</t>
  </si>
  <si>
    <t>泰科新厂餐厅</t>
  </si>
  <si>
    <t>CF134</t>
  </si>
  <si>
    <t>苏大独墅湖五食堂</t>
  </si>
  <si>
    <t>CF136</t>
  </si>
  <si>
    <t>哈金森工业餐厅</t>
  </si>
  <si>
    <t>CF137</t>
  </si>
  <si>
    <t>西浦大学宏愿餐厅（北）</t>
  </si>
  <si>
    <t>CF138</t>
  </si>
  <si>
    <t>生物产业园三期</t>
  </si>
  <si>
    <t>CF139</t>
  </si>
  <si>
    <t>中科新药篮餐厅</t>
  </si>
  <si>
    <t>CF140</t>
  </si>
  <si>
    <t>西交利物浦大学太仓校区食堂</t>
  </si>
  <si>
    <t>CF141</t>
  </si>
  <si>
    <t>泰科阳澄湖工厂</t>
  </si>
  <si>
    <t>CF142</t>
  </si>
  <si>
    <t>卡特彼勒（吴江）餐厅</t>
  </si>
  <si>
    <t>CF160</t>
  </si>
  <si>
    <t>高新区实验高中食堂（金山路校区）</t>
  </si>
  <si>
    <t>CF173</t>
  </si>
  <si>
    <t>高新区一中一食堂</t>
  </si>
  <si>
    <t>CF174</t>
  </si>
  <si>
    <t>高新区实验高中食堂（科技城校区）</t>
  </si>
  <si>
    <t>CF175</t>
  </si>
  <si>
    <t>高新区实验初中食堂北食堂（金山路校区）</t>
  </si>
  <si>
    <t>CF177</t>
  </si>
  <si>
    <t>高新区实验初中食堂（锦峰路校区）</t>
  </si>
  <si>
    <t>CF178</t>
  </si>
  <si>
    <t>高新区一中二食堂</t>
  </si>
  <si>
    <t>CF179</t>
  </si>
  <si>
    <t>新区一中（科技城校区）食堂</t>
  </si>
  <si>
    <t>CF180</t>
  </si>
  <si>
    <t>高新区第一初级中学食堂（珠江路）</t>
  </si>
  <si>
    <t>CF181</t>
  </si>
  <si>
    <t>中科大苏州研究院食堂</t>
  </si>
  <si>
    <t>CF182</t>
  </si>
  <si>
    <t>无锡工艺第二食堂</t>
  </si>
  <si>
    <t>CF183</t>
  </si>
  <si>
    <t>中医科苏州新校区食堂</t>
  </si>
  <si>
    <t>CF190</t>
  </si>
  <si>
    <t>苏旅财食堂</t>
  </si>
  <si>
    <t>CF191</t>
  </si>
  <si>
    <t>旭辉彩园苏州餐厅</t>
  </si>
  <si>
    <t>CF193</t>
  </si>
  <si>
    <t>吴江区公安局食堂</t>
  </si>
  <si>
    <t>CF212</t>
  </si>
  <si>
    <t>苏中附校餐厅</t>
  </si>
  <si>
    <t>CF213</t>
  </si>
  <si>
    <t>大脑银行餐厅</t>
  </si>
  <si>
    <t>CF251</t>
  </si>
  <si>
    <t>苏州职大第二学生食堂</t>
  </si>
  <si>
    <t>CF270</t>
  </si>
  <si>
    <t>东大沙塘园食堂</t>
  </si>
  <si>
    <t>CF272</t>
  </si>
  <si>
    <t>苏州工学院食堂一楼</t>
  </si>
  <si>
    <t>CF273</t>
  </si>
  <si>
    <t>南大苏州校区科创大厦食堂</t>
  </si>
  <si>
    <t>CF274</t>
  </si>
  <si>
    <t>苏州大学未来校区食堂</t>
  </si>
  <si>
    <t>CF275</t>
  </si>
  <si>
    <t>南大苏州校区西区二食堂</t>
  </si>
  <si>
    <t>CF276</t>
  </si>
  <si>
    <t>苏州经贸第二食堂</t>
  </si>
  <si>
    <t>CF293</t>
  </si>
  <si>
    <t>江苏第二师范学院石湫校区食堂</t>
  </si>
  <si>
    <t>CF320</t>
  </si>
  <si>
    <t>江苏财经梅园餐厅</t>
  </si>
  <si>
    <t>CF340</t>
  </si>
  <si>
    <t>扬大广陵学院餐厅</t>
  </si>
  <si>
    <t>CF341</t>
  </si>
  <si>
    <t>扬大荷花池校区二楼食堂</t>
  </si>
  <si>
    <t>CF360</t>
  </si>
  <si>
    <t>南通师专新校区食堂</t>
  </si>
  <si>
    <t>CF363</t>
  </si>
  <si>
    <t>南通大学启东一期食堂一楼</t>
  </si>
  <si>
    <t>CF364</t>
  </si>
  <si>
    <t>江苏航运思本轩二楼食堂</t>
  </si>
  <si>
    <t>CF450</t>
  </si>
  <si>
    <t>天津大学学二食堂</t>
  </si>
  <si>
    <t>CF452</t>
  </si>
  <si>
    <t>兰州大学丹桂苑三楼餐厅</t>
  </si>
  <si>
    <t>CF453</t>
  </si>
  <si>
    <t>天大卫津路校区学四食堂</t>
  </si>
  <si>
    <t>CF470</t>
  </si>
  <si>
    <t>复旦大学枫林校区食堂</t>
  </si>
  <si>
    <t>CF474</t>
  </si>
  <si>
    <t>安工大七食堂</t>
  </si>
  <si>
    <t>CF475</t>
  </si>
  <si>
    <t>国科大南京学院食堂</t>
  </si>
  <si>
    <t>CF477</t>
  </si>
  <si>
    <t>上海民航第一食堂</t>
  </si>
  <si>
    <t>CF478</t>
  </si>
  <si>
    <t>苏州华扬电子食堂</t>
  </si>
  <si>
    <t>CF479</t>
  </si>
  <si>
    <t>江苏交通第一学生食堂</t>
  </si>
  <si>
    <t>CF480</t>
  </si>
  <si>
    <t>江苏旅游学生食堂二楼</t>
  </si>
  <si>
    <t>CF481</t>
  </si>
  <si>
    <t>常熟世华高级中学食堂</t>
  </si>
  <si>
    <t>CF511</t>
  </si>
  <si>
    <t>中国海洋大学学苑餐厅</t>
  </si>
  <si>
    <t>CF513</t>
  </si>
  <si>
    <t>天大北洋园校区学三食堂</t>
  </si>
  <si>
    <t>CF514</t>
  </si>
  <si>
    <t>昆山康桥培英高级中学食堂</t>
  </si>
  <si>
    <t>CF516</t>
  </si>
  <si>
    <t>苏州北美高中食堂</t>
  </si>
  <si>
    <t>CF620</t>
  </si>
  <si>
    <t>山西大学B6餐厅三层</t>
  </si>
  <si>
    <t>CF640</t>
  </si>
  <si>
    <t>广东财大食堂</t>
  </si>
  <si>
    <t>CF641</t>
  </si>
  <si>
    <t>中山大学3号食堂</t>
  </si>
  <si>
    <t>CF693</t>
  </si>
  <si>
    <t>甘肃政法大学学生食堂</t>
  </si>
  <si>
    <t>CF694</t>
  </si>
  <si>
    <t>兰理工彭家坪北村食堂</t>
  </si>
  <si>
    <t>CF695</t>
  </si>
  <si>
    <t>兰州区域办公室</t>
  </si>
  <si>
    <t>CF696</t>
  </si>
  <si>
    <t>甘肃省气象局食堂</t>
  </si>
  <si>
    <t>CF697</t>
  </si>
  <si>
    <t>兰交大百苑二楼食堂</t>
  </si>
  <si>
    <t>CF698</t>
  </si>
  <si>
    <t>兰理工兰工坪校区第一餐厅</t>
  </si>
  <si>
    <t>CF699</t>
  </si>
  <si>
    <t>徐州医科大第一餐厅</t>
  </si>
  <si>
    <t>CF700</t>
  </si>
  <si>
    <t>北理工长三角研究院(嘉兴)食堂</t>
  </si>
  <si>
    <t>CF730</t>
  </si>
  <si>
    <t>贵州/云南办公室</t>
  </si>
  <si>
    <t>CF733</t>
  </si>
  <si>
    <t>贵医大食堂</t>
  </si>
  <si>
    <t>CF750</t>
  </si>
  <si>
    <t>昆明艺院食堂</t>
  </si>
  <si>
    <t>CF751</t>
  </si>
  <si>
    <t>国防科大（长沙）食堂</t>
  </si>
  <si>
    <t>CF780</t>
  </si>
  <si>
    <t>吉建大二食堂</t>
  </si>
  <si>
    <t>CF781</t>
  </si>
  <si>
    <t>苏食院第一学生食堂</t>
  </si>
  <si>
    <t>CF782</t>
  </si>
  <si>
    <t>宿迁安园中央厨房</t>
  </si>
  <si>
    <t>2025年1-8月科桥餐饮项目营业额统计分析表（累计数）</t>
  </si>
  <si>
    <r>
      <rPr>
        <sz val="10"/>
        <rFont val="Arial"/>
        <charset val="0"/>
      </rPr>
      <t>2026</t>
    </r>
    <r>
      <rPr>
        <sz val="10"/>
        <rFont val="宋体"/>
        <charset val="0"/>
      </rPr>
      <t>年</t>
    </r>
    <r>
      <rPr>
        <sz val="10"/>
        <rFont val="Arial"/>
        <charset val="0"/>
      </rPr>
      <t>1-8</t>
    </r>
    <r>
      <rPr>
        <sz val="10"/>
        <rFont val="宋体"/>
        <charset val="0"/>
      </rPr>
      <t>月</t>
    </r>
    <r>
      <rPr>
        <sz val="10"/>
        <rFont val="Arial"/>
        <charset val="0"/>
      </rPr>
      <t xml:space="preserve">
</t>
    </r>
    <r>
      <rPr>
        <sz val="10"/>
        <rFont val="宋体"/>
        <charset val="0"/>
      </rPr>
      <t>累计营业额</t>
    </r>
  </si>
  <si>
    <t>本期网点收入
（含强责）</t>
  </si>
  <si>
    <t>2025年餐饮公司各项目差额收入结算统计表【用于2026年数据同比】</t>
  </si>
  <si>
    <t>填表说明：
1.鉴于2026年餐饮公司代收代扣项目核算口径转为净额确认，餐饮公司针对经营数据需要，需提供去年同期代收代扣金额及净收入，用于对比分析。
2.按发生口径全额统计代收代扣费用及收入金额，计算出净额；1-12月统计完成，金额应与2025年年终统计数据完全一致。
3.1-3月先统计完成，4-12月逐月统计，用于当月及累计分析。</t>
  </si>
  <si>
    <t>序号</t>
  </si>
  <si>
    <t>项目
代码</t>
  </si>
  <si>
    <t>成本
会计</t>
  </si>
  <si>
    <t>收入
会计</t>
  </si>
  <si>
    <t>月份</t>
  </si>
  <si>
    <t>代收代扣费用</t>
  </si>
  <si>
    <t>收入（2）</t>
  </si>
  <si>
    <t>收入净额（3）</t>
  </si>
  <si>
    <t>校方采购原材料</t>
  </si>
  <si>
    <t>能源费</t>
  </si>
  <si>
    <t>甲方
管理费</t>
  </si>
  <si>
    <t>考核扣款/违约罚款</t>
  </si>
  <si>
    <t>其他费用</t>
  </si>
  <si>
    <t>人员费用</t>
  </si>
  <si>
    <t>合计（1）</t>
  </si>
  <si>
    <t>苏州工学院南一食堂</t>
  </si>
  <si>
    <t>位军浩</t>
  </si>
  <si>
    <t>郑虎</t>
  </si>
  <si>
    <t>1月-2月</t>
  </si>
  <si>
    <t>吉沐牛</t>
  </si>
  <si>
    <t>陆琪</t>
  </si>
  <si>
    <t>安工大六食堂</t>
  </si>
  <si>
    <t>卫屹</t>
  </si>
  <si>
    <t>马文浩</t>
  </si>
  <si>
    <t>张镁镁</t>
  </si>
  <si>
    <t>苏大本部方塔食堂</t>
  </si>
  <si>
    <t>3月</t>
  </si>
  <si>
    <t>4月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</si>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</sst>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43">
    <font>
      <sz val="10"/>
      <name val="Arial"/>
      <charset val="0"/>
    </font>
    <font>
      <sz val="11"/>
      <name val="Microsoft YaHei"/>
      <charset val="134"/>
    </font>
    <font>
      <sz val="11"/>
      <color rgb="FF000000"/>
      <name val="Microsoft YaHei"/>
      <charset val="134"/>
    </font>
    <font>
      <b/>
      <sz val="20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Microsoft YaHei"/>
      <charset val="134"/>
    </font>
    <font>
      <sz val="11"/>
      <color rgb="FF000000"/>
      <name val="Arial"/>
      <charset val="0"/>
    </font>
    <font>
      <sz val="11"/>
      <color theme="1"/>
      <name val="等线"/>
      <charset val="134"/>
      <scheme val="minor"/>
    </font>
    <font>
      <sz val="10"/>
      <color rgb="FFFF0000"/>
      <name val="Arial"/>
      <charset val="0"/>
    </font>
    <font>
      <b/>
      <sz val="13"/>
      <name val="宋体"/>
      <charset val="134"/>
    </font>
    <font>
      <b/>
      <sz val="9"/>
      <color indexed="62"/>
      <name val="宋体"/>
      <charset val="134"/>
    </font>
    <font>
      <sz val="10"/>
      <name val="宋体"/>
      <charset val="0"/>
    </font>
    <font>
      <sz val="9"/>
      <color indexed="8"/>
      <name val="宋体"/>
      <charset val="134"/>
    </font>
    <font>
      <sz val="9"/>
      <color rgb="FFFF00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9"/>
      <color indexed="8"/>
      <name val="宋体"/>
      <charset val="134"/>
    </font>
    <font>
      <sz val="9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23" applyNumberFormat="0" applyAlignment="0" applyProtection="0">
      <alignment vertical="center"/>
    </xf>
    <xf numFmtId="0" fontId="31" fillId="10" borderId="24" applyNumberFormat="0" applyAlignment="0" applyProtection="0">
      <alignment vertical="center"/>
    </xf>
    <xf numFmtId="0" fontId="32" fillId="10" borderId="23" applyNumberFormat="0" applyAlignment="0" applyProtection="0">
      <alignment vertical="center"/>
    </xf>
    <xf numFmtId="0" fontId="33" fillId="11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40" fillId="0" borderId="0"/>
  </cellStyleXfs>
  <cellXfs count="128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Alignment="1"/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2" borderId="0" xfId="0" applyFont="1" applyFill="1" applyAlignment="1"/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43" fontId="7" fillId="3" borderId="2" xfId="1" applyNumberFormat="1" applyFont="1" applyFill="1" applyBorder="1" applyAlignment="1" applyProtection="1">
      <alignment vertical="center" wrapText="1"/>
    </xf>
    <xf numFmtId="43" fontId="7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43" fontId="9" fillId="3" borderId="2" xfId="0" applyNumberFormat="1" applyFont="1" applyFill="1" applyBorder="1" applyAlignment="1">
      <alignment horizontal="center" vertical="center"/>
    </xf>
    <xf numFmtId="43" fontId="10" fillId="3" borderId="2" xfId="0" applyNumberFormat="1" applyFont="1" applyFill="1" applyBorder="1" applyAlignment="1">
      <alignment vertical="center"/>
    </xf>
    <xf numFmtId="43" fontId="10" fillId="3" borderId="2" xfId="0" applyNumberFormat="1" applyFont="1" applyFill="1" applyBorder="1" applyAlignment="1">
      <alignment horizontal="right" vertical="center"/>
    </xf>
    <xf numFmtId="43" fontId="10" fillId="3" borderId="2" xfId="0" applyNumberFormat="1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3" fontId="7" fillId="4" borderId="2" xfId="1" applyNumberFormat="1" applyFont="1" applyFill="1" applyBorder="1" applyAlignment="1" applyProtection="1">
      <alignment vertical="center" wrapText="1"/>
    </xf>
    <xf numFmtId="43" fontId="7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43" fontId="9" fillId="4" borderId="2" xfId="0" applyNumberFormat="1" applyFont="1" applyFill="1" applyBorder="1" applyAlignment="1">
      <alignment horizontal="center" vertical="center"/>
    </xf>
    <xf numFmtId="43" fontId="10" fillId="4" borderId="2" xfId="0" applyNumberFormat="1" applyFont="1" applyFill="1" applyBorder="1" applyAlignment="1">
      <alignment vertical="center"/>
    </xf>
    <xf numFmtId="43" fontId="10" fillId="4" borderId="2" xfId="0" applyNumberFormat="1" applyFont="1" applyFill="1" applyBorder="1" applyAlignment="1">
      <alignment horizontal="right" vertical="center"/>
    </xf>
    <xf numFmtId="43" fontId="10" fillId="4" borderId="2" xfId="0" applyNumberFormat="1" applyFont="1" applyFill="1" applyBorder="1" applyAlignment="1">
      <alignment horizontal="left" vertical="center"/>
    </xf>
    <xf numFmtId="43" fontId="9" fillId="4" borderId="1" xfId="0" applyNumberFormat="1" applyFont="1" applyFill="1" applyBorder="1" applyAlignment="1">
      <alignment horizontal="center" vertical="center"/>
    </xf>
    <xf numFmtId="43" fontId="10" fillId="4" borderId="1" xfId="0" applyNumberFormat="1" applyFont="1" applyFill="1" applyBorder="1" applyAlignment="1">
      <alignment horizontal="right" vertical="center"/>
    </xf>
    <xf numFmtId="43" fontId="10" fillId="4" borderId="1" xfId="0" applyNumberFormat="1" applyFont="1" applyFill="1" applyBorder="1" applyAlignment="1">
      <alignment vertical="center"/>
    </xf>
    <xf numFmtId="43" fontId="7" fillId="4" borderId="1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vertical="center"/>
    </xf>
    <xf numFmtId="43" fontId="7" fillId="2" borderId="6" xfId="0" applyNumberFormat="1" applyFont="1" applyFill="1" applyBorder="1" applyAlignment="1">
      <alignment vertical="center" wrapText="1"/>
    </xf>
    <xf numFmtId="43" fontId="7" fillId="2" borderId="2" xfId="1" applyNumberFormat="1" applyFont="1" applyFill="1" applyBorder="1" applyAlignment="1" applyProtection="1">
      <alignment vertical="center" wrapText="1"/>
    </xf>
    <xf numFmtId="0" fontId="1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4" fontId="11" fillId="2" borderId="5" xfId="0" applyNumberFormat="1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0" xfId="0" applyFill="1"/>
    <xf numFmtId="0" fontId="12" fillId="0" borderId="0" xfId="0" applyFont="1"/>
    <xf numFmtId="0" fontId="0" fillId="3" borderId="0" xfId="0" applyFill="1"/>
    <xf numFmtId="49" fontId="13" fillId="0" borderId="0" xfId="0" applyNumberFormat="1" applyFont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49" fontId="14" fillId="5" borderId="4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49" fontId="16" fillId="6" borderId="7" xfId="0" applyNumberFormat="1" applyFont="1" applyFill="1" applyBorder="1" applyAlignment="1">
      <alignment horizontal="left" vertical="center"/>
    </xf>
    <xf numFmtId="49" fontId="17" fillId="6" borderId="8" xfId="0" applyNumberFormat="1" applyFont="1" applyFill="1" applyBorder="1" applyAlignment="1">
      <alignment horizontal="left" vertical="center"/>
    </xf>
    <xf numFmtId="43" fontId="17" fillId="7" borderId="2" xfId="0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right" vertical="center"/>
    </xf>
    <xf numFmtId="43" fontId="0" fillId="0" borderId="2" xfId="0" applyNumberFormat="1" applyBorder="1"/>
    <xf numFmtId="43" fontId="0" fillId="3" borderId="2" xfId="0" applyNumberFormat="1" applyFill="1" applyBorder="1"/>
    <xf numFmtId="49" fontId="16" fillId="6" borderId="9" xfId="0" applyNumberFormat="1" applyFont="1" applyFill="1" applyBorder="1" applyAlignment="1">
      <alignment horizontal="left" vertical="center"/>
    </xf>
    <xf numFmtId="49" fontId="17" fillId="6" borderId="10" xfId="0" applyNumberFormat="1" applyFont="1" applyFill="1" applyBorder="1" applyAlignment="1">
      <alignment horizontal="left" vertical="center"/>
    </xf>
    <xf numFmtId="49" fontId="16" fillId="6" borderId="10" xfId="0" applyNumberFormat="1" applyFont="1" applyFill="1" applyBorder="1" applyAlignment="1">
      <alignment horizontal="left" vertical="center"/>
    </xf>
    <xf numFmtId="49" fontId="16" fillId="0" borderId="9" xfId="0" applyNumberFormat="1" applyFont="1" applyFill="1" applyBorder="1" applyAlignment="1">
      <alignment horizontal="left" vertical="center"/>
    </xf>
    <xf numFmtId="49" fontId="16" fillId="0" borderId="10" xfId="0" applyNumberFormat="1" applyFont="1" applyFill="1" applyBorder="1" applyAlignment="1">
      <alignment horizontal="left" vertical="center"/>
    </xf>
    <xf numFmtId="43" fontId="18" fillId="0" borderId="2" xfId="0" applyNumberFormat="1" applyFont="1" applyFill="1" applyBorder="1" applyAlignment="1">
      <alignment horizontal="right" vertical="center"/>
    </xf>
    <xf numFmtId="43" fontId="0" fillId="0" borderId="2" xfId="0" applyNumberFormat="1" applyFill="1" applyBorder="1"/>
    <xf numFmtId="49" fontId="17" fillId="6" borderId="9" xfId="0" applyNumberFormat="1" applyFont="1" applyFill="1" applyBorder="1" applyAlignment="1">
      <alignment horizontal="left" vertical="center"/>
    </xf>
    <xf numFmtId="49" fontId="16" fillId="0" borderId="11" xfId="0" applyNumberFormat="1" applyFont="1" applyFill="1" applyBorder="1" applyAlignment="1">
      <alignment horizontal="left" vertical="center"/>
    </xf>
    <xf numFmtId="0" fontId="17" fillId="6" borderId="4" xfId="0" applyNumberFormat="1" applyFont="1" applyFill="1" applyBorder="1" applyAlignment="1">
      <alignment horizontal="left" vertical="center"/>
    </xf>
    <xf numFmtId="49" fontId="17" fillId="6" borderId="2" xfId="0" applyNumberFormat="1" applyFont="1" applyFill="1" applyBorder="1" applyAlignment="1">
      <alignment horizontal="left" vertical="center"/>
    </xf>
    <xf numFmtId="43" fontId="19" fillId="0" borderId="2" xfId="0" applyNumberFormat="1" applyFont="1" applyBorder="1" applyAlignment="1">
      <alignment horizontal="right" vertical="center"/>
    </xf>
    <xf numFmtId="43" fontId="12" fillId="0" borderId="2" xfId="0" applyNumberFormat="1" applyFont="1" applyBorder="1"/>
    <xf numFmtId="43" fontId="12" fillId="3" borderId="2" xfId="0" applyNumberFormat="1" applyFont="1" applyFill="1" applyBorder="1"/>
    <xf numFmtId="43" fontId="20" fillId="0" borderId="9" xfId="0" applyNumberFormat="1" applyFont="1" applyFill="1" applyBorder="1" applyAlignment="1">
      <alignment horizontal="right" vertical="center"/>
    </xf>
    <xf numFmtId="43" fontId="20" fillId="0" borderId="10" xfId="0" applyNumberFormat="1" applyFont="1" applyFill="1" applyBorder="1" applyAlignment="1">
      <alignment horizontal="right" vertical="center"/>
    </xf>
    <xf numFmtId="43" fontId="20" fillId="0" borderId="2" xfId="0" applyNumberFormat="1" applyFont="1" applyFill="1" applyBorder="1" applyAlignment="1">
      <alignment horizontal="right" vertical="center"/>
    </xf>
    <xf numFmtId="43" fontId="20" fillId="3" borderId="2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2" fillId="0" borderId="0" xfId="0" applyFont="1" applyFill="1"/>
    <xf numFmtId="0" fontId="0" fillId="0" borderId="0" xfId="0" applyNumberFormat="1"/>
    <xf numFmtId="0" fontId="13" fillId="0" borderId="0" xfId="0" applyNumberFormat="1" applyFont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49" fontId="14" fillId="5" borderId="12" xfId="0" applyNumberFormat="1" applyFont="1" applyFill="1" applyBorder="1" applyAlignment="1">
      <alignment horizontal="center" vertical="center"/>
    </xf>
    <xf numFmtId="49" fontId="14" fillId="5" borderId="13" xfId="0" applyNumberFormat="1" applyFont="1" applyFill="1" applyBorder="1" applyAlignment="1">
      <alignment horizontal="center" vertical="center"/>
    </xf>
    <xf numFmtId="0" fontId="0" fillId="0" borderId="14" xfId="0" applyNumberFormat="1" applyFon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49" fontId="14" fillId="5" borderId="7" xfId="0" applyNumberFormat="1" applyFont="1" applyFill="1" applyBorder="1" applyAlignment="1">
      <alignment horizontal="center" vertical="center"/>
    </xf>
    <xf numFmtId="49" fontId="14" fillId="5" borderId="11" xfId="0" applyNumberFormat="1" applyFont="1" applyFill="1" applyBorder="1" applyAlignment="1">
      <alignment horizontal="center" vertical="center"/>
    </xf>
    <xf numFmtId="0" fontId="14" fillId="5" borderId="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17" fillId="6" borderId="11" xfId="0" applyNumberFormat="1" applyFont="1" applyFill="1" applyBorder="1" applyAlignment="1">
      <alignment horizontal="left" vertical="center"/>
    </xf>
    <xf numFmtId="43" fontId="0" fillId="0" borderId="2" xfId="0" applyNumberFormat="1" applyBorder="1" applyAlignment="1">
      <alignment horizontal="center"/>
    </xf>
    <xf numFmtId="43" fontId="18" fillId="0" borderId="2" xfId="0" applyNumberFormat="1" applyFont="1" applyBorder="1" applyAlignment="1">
      <alignment horizontal="center" vertical="center"/>
    </xf>
    <xf numFmtId="43" fontId="16" fillId="7" borderId="2" xfId="0" applyNumberFormat="1" applyFont="1" applyFill="1" applyBorder="1" applyAlignment="1">
      <alignment horizontal="center" vertical="center"/>
    </xf>
    <xf numFmtId="43" fontId="21" fillId="0" borderId="2" xfId="0" applyNumberFormat="1" applyFont="1" applyFill="1" applyBorder="1" applyAlignment="1">
      <alignment horizontal="center" vertical="center"/>
    </xf>
    <xf numFmtId="43" fontId="0" fillId="0" borderId="16" xfId="0" applyNumberFormat="1" applyBorder="1" applyAlignment="1">
      <alignment horizontal="center"/>
    </xf>
    <xf numFmtId="49" fontId="16" fillId="6" borderId="11" xfId="0" applyNumberFormat="1" applyFont="1" applyFill="1" applyBorder="1" applyAlignment="1">
      <alignment horizontal="left" vertical="center"/>
    </xf>
    <xf numFmtId="49" fontId="17" fillId="0" borderId="9" xfId="0" applyNumberFormat="1" applyFont="1" applyFill="1" applyBorder="1" applyAlignment="1">
      <alignment horizontal="left" vertical="center"/>
    </xf>
    <xf numFmtId="49" fontId="17" fillId="0" borderId="11" xfId="0" applyNumberFormat="1" applyFont="1" applyFill="1" applyBorder="1" applyAlignment="1">
      <alignment horizontal="left" vertical="center"/>
    </xf>
    <xf numFmtId="43" fontId="12" fillId="0" borderId="2" xfId="0" applyNumberFormat="1" applyFont="1" applyBorder="1" applyAlignment="1">
      <alignment horizontal="center"/>
    </xf>
    <xf numFmtId="43" fontId="19" fillId="0" borderId="2" xfId="0" applyNumberFormat="1" applyFont="1" applyBorder="1" applyAlignment="1">
      <alignment horizontal="center" vertical="center"/>
    </xf>
    <xf numFmtId="43" fontId="17" fillId="7" borderId="2" xfId="0" applyNumberFormat="1" applyFont="1" applyFill="1" applyBorder="1" applyAlignment="1">
      <alignment horizontal="center" vertical="center"/>
    </xf>
    <xf numFmtId="43" fontId="17" fillId="0" borderId="2" xfId="0" applyNumberFormat="1" applyFont="1" applyFill="1" applyBorder="1" applyAlignment="1">
      <alignment horizontal="center" vertical="center"/>
    </xf>
    <xf numFmtId="43" fontId="12" fillId="0" borderId="16" xfId="0" applyNumberFormat="1" applyFont="1" applyBorder="1" applyAlignment="1">
      <alignment horizontal="center"/>
    </xf>
    <xf numFmtId="43" fontId="20" fillId="0" borderId="17" xfId="0" applyNumberFormat="1" applyFont="1" applyFill="1" applyBorder="1" applyAlignment="1">
      <alignment horizontal="right" vertical="center"/>
    </xf>
    <xf numFmtId="43" fontId="20" fillId="0" borderId="18" xfId="0" applyNumberFormat="1" applyFont="1" applyFill="1" applyBorder="1" applyAlignment="1">
      <alignment horizontal="right" vertical="center"/>
    </xf>
    <xf numFmtId="43" fontId="18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CFFFF"/>
      <color rgb="00333399"/>
      <color rgb="00FFFFCC"/>
      <color rgb="00FFFFFF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6"/>
  <sheetViews>
    <sheetView zoomScaleSheetLayoutView="60" topLeftCell="A2" workbookViewId="0">
      <pane xSplit="2" ySplit="2" topLeftCell="E4" activePane="bottomRight" state="frozen"/>
      <selection/>
      <selection pane="topRight"/>
      <selection pane="bottomLeft"/>
      <selection pane="bottomRight" activeCell="H17" sqref="H17"/>
    </sheetView>
  </sheetViews>
  <sheetFormatPr defaultColWidth="13.7142857142857" defaultRowHeight="12.75"/>
  <cols>
    <col min="1" max="1" width="12.7142857142857" customWidth="1"/>
    <col min="2" max="2" width="37.2857142857143" customWidth="1"/>
    <col min="3" max="3" width="17.4285714285714" style="97" customWidth="1"/>
    <col min="4" max="4" width="23.4285714285714" style="97" customWidth="1"/>
    <col min="5" max="5" width="16.8571428571429" customWidth="1"/>
    <col min="6" max="6" width="17.4285714285714" customWidth="1"/>
    <col min="7" max="7" width="16.1428571428571" customWidth="1"/>
    <col min="8" max="8" width="21.1428571428571" style="58" customWidth="1"/>
    <col min="9" max="9" width="16.4285714285714" customWidth="1"/>
  </cols>
  <sheetData>
    <row r="1" ht="30" customHeight="1" spans="1:9">
      <c r="A1" s="61" t="s">
        <v>0</v>
      </c>
      <c r="B1" s="61"/>
      <c r="C1" s="98"/>
      <c r="D1" s="98"/>
      <c r="E1" s="61"/>
      <c r="F1" s="61"/>
      <c r="G1" s="61"/>
      <c r="H1" s="99"/>
      <c r="I1" s="61"/>
    </row>
    <row r="2" s="95" customFormat="1" ht="16.35" customHeight="1" spans="1:9">
      <c r="A2" s="100" t="s">
        <v>1</v>
      </c>
      <c r="B2" s="101" t="s">
        <v>2</v>
      </c>
      <c r="C2" s="102" t="s">
        <v>3</v>
      </c>
      <c r="D2" s="103"/>
      <c r="E2" s="104"/>
      <c r="F2" s="104"/>
      <c r="G2" s="104"/>
      <c r="H2" s="105" t="s">
        <v>4</v>
      </c>
      <c r="I2" s="106" t="s">
        <v>5</v>
      </c>
    </row>
    <row r="3" s="95" customFormat="1" ht="16.35" customHeight="1" spans="1:9">
      <c r="A3" s="107"/>
      <c r="B3" s="108"/>
      <c r="C3" s="109" t="s">
        <v>6</v>
      </c>
      <c r="D3" s="109" t="s">
        <v>7</v>
      </c>
      <c r="E3" s="63" t="s">
        <v>8</v>
      </c>
      <c r="F3" s="68" t="s">
        <v>9</v>
      </c>
      <c r="G3" s="68" t="s">
        <v>10</v>
      </c>
      <c r="H3" s="70"/>
      <c r="I3" s="110"/>
    </row>
    <row r="4" ht="16.35" customHeight="1" spans="1:9">
      <c r="A4" s="77" t="s">
        <v>11</v>
      </c>
      <c r="B4" s="111" t="s">
        <v>12</v>
      </c>
      <c r="C4" s="112">
        <v>0</v>
      </c>
      <c r="D4" s="112">
        <v>0</v>
      </c>
      <c r="E4" s="113">
        <f>D4+C4</f>
        <v>0</v>
      </c>
      <c r="F4" s="112">
        <v>0</v>
      </c>
      <c r="G4" s="114">
        <f>+E4-F4</f>
        <v>0</v>
      </c>
      <c r="H4" s="115">
        <v>0</v>
      </c>
      <c r="I4" s="116">
        <f>H4-G4</f>
        <v>0</v>
      </c>
    </row>
    <row r="5" ht="16.35" customHeight="1" spans="1:9">
      <c r="A5" s="77" t="s">
        <v>13</v>
      </c>
      <c r="B5" s="111" t="s">
        <v>14</v>
      </c>
      <c r="C5" s="112">
        <v>184578.53</v>
      </c>
      <c r="D5" s="112">
        <v>0</v>
      </c>
      <c r="E5" s="113">
        <f t="shared" ref="E5:E36" si="0">D5+C5</f>
        <v>184578.53</v>
      </c>
      <c r="F5" s="112">
        <v>0</v>
      </c>
      <c r="G5" s="114">
        <f t="shared" ref="G5:G36" si="1">+E5-F5</f>
        <v>184578.53</v>
      </c>
      <c r="H5" s="115">
        <v>0</v>
      </c>
      <c r="I5" s="116">
        <f t="shared" ref="I5:I36" si="2">H5-G5</f>
        <v>-184578.53</v>
      </c>
    </row>
    <row r="6" s="58" customFormat="1" ht="16.35" customHeight="1" spans="1:9">
      <c r="A6" s="77" t="s">
        <v>15</v>
      </c>
      <c r="B6" s="117" t="s">
        <v>16</v>
      </c>
      <c r="C6" s="112">
        <v>0</v>
      </c>
      <c r="D6" s="112">
        <v>0</v>
      </c>
      <c r="E6" s="113">
        <f t="shared" si="0"/>
        <v>0</v>
      </c>
      <c r="F6" s="112">
        <v>0</v>
      </c>
      <c r="G6" s="114">
        <f t="shared" si="1"/>
        <v>0</v>
      </c>
      <c r="H6" s="115">
        <v>0</v>
      </c>
      <c r="I6" s="116">
        <f t="shared" si="2"/>
        <v>0</v>
      </c>
    </row>
    <row r="7" s="58" customFormat="1" ht="16.35" customHeight="1" spans="1:9">
      <c r="A7" s="118" t="s">
        <v>17</v>
      </c>
      <c r="B7" s="85" t="s">
        <v>18</v>
      </c>
      <c r="C7" s="112">
        <v>0</v>
      </c>
      <c r="D7" s="112">
        <v>952994.95</v>
      </c>
      <c r="E7" s="113">
        <f t="shared" si="0"/>
        <v>952994.95</v>
      </c>
      <c r="F7" s="112">
        <v>577450.22</v>
      </c>
      <c r="G7" s="114">
        <f t="shared" si="1"/>
        <v>375544.73</v>
      </c>
      <c r="H7" s="115">
        <v>211327.18</v>
      </c>
      <c r="I7" s="116">
        <f t="shared" si="2"/>
        <v>-164217.55</v>
      </c>
    </row>
    <row r="8" s="58" customFormat="1" ht="16.35" customHeight="1" spans="1:9">
      <c r="A8" s="118" t="s">
        <v>19</v>
      </c>
      <c r="B8" s="85" t="s">
        <v>20</v>
      </c>
      <c r="C8" s="112">
        <v>0</v>
      </c>
      <c r="D8" s="112">
        <v>0</v>
      </c>
      <c r="E8" s="113">
        <f t="shared" si="0"/>
        <v>0</v>
      </c>
      <c r="F8" s="112">
        <v>0</v>
      </c>
      <c r="G8" s="114">
        <f t="shared" si="1"/>
        <v>0</v>
      </c>
      <c r="H8" s="115">
        <v>0</v>
      </c>
      <c r="I8" s="116">
        <f t="shared" si="2"/>
        <v>0</v>
      </c>
    </row>
    <row r="9" s="58" customFormat="1" ht="16.35" customHeight="1" spans="1:9">
      <c r="A9" s="80" t="s">
        <v>21</v>
      </c>
      <c r="B9" s="85" t="s">
        <v>22</v>
      </c>
      <c r="C9" s="112">
        <v>0</v>
      </c>
      <c r="D9" s="112">
        <v>0</v>
      </c>
      <c r="E9" s="113">
        <f t="shared" si="0"/>
        <v>0</v>
      </c>
      <c r="F9" s="112">
        <v>0</v>
      </c>
      <c r="G9" s="114">
        <f t="shared" si="1"/>
        <v>0</v>
      </c>
      <c r="H9" s="115">
        <v>0</v>
      </c>
      <c r="I9" s="116">
        <f t="shared" si="2"/>
        <v>0</v>
      </c>
    </row>
    <row r="10" s="58" customFormat="1" ht="16.35" customHeight="1" spans="1:9">
      <c r="A10" s="118" t="s">
        <v>23</v>
      </c>
      <c r="B10" s="85" t="s">
        <v>24</v>
      </c>
      <c r="C10" s="112">
        <v>172703.97</v>
      </c>
      <c r="D10" s="112">
        <v>52616.31</v>
      </c>
      <c r="E10" s="113">
        <f t="shared" si="0"/>
        <v>225320.28</v>
      </c>
      <c r="F10" s="112">
        <v>155609.84</v>
      </c>
      <c r="G10" s="114">
        <f t="shared" si="1"/>
        <v>69710.44</v>
      </c>
      <c r="H10" s="115">
        <v>4893.22</v>
      </c>
      <c r="I10" s="116">
        <f t="shared" si="2"/>
        <v>-64817.22</v>
      </c>
    </row>
    <row r="11" s="58" customFormat="1" ht="16.35" customHeight="1" spans="1:9">
      <c r="A11" s="118" t="s">
        <v>25</v>
      </c>
      <c r="B11" s="85" t="s">
        <v>26</v>
      </c>
      <c r="C11" s="112">
        <v>0</v>
      </c>
      <c r="D11" s="112">
        <v>878308.44</v>
      </c>
      <c r="E11" s="113">
        <f t="shared" si="0"/>
        <v>878308.44</v>
      </c>
      <c r="F11" s="112">
        <v>470918.78</v>
      </c>
      <c r="G11" s="114">
        <f t="shared" si="1"/>
        <v>407389.66</v>
      </c>
      <c r="H11" s="115">
        <v>0</v>
      </c>
      <c r="I11" s="116">
        <f t="shared" si="2"/>
        <v>-407389.66</v>
      </c>
    </row>
    <row r="12" s="58" customFormat="1" ht="16.35" customHeight="1" spans="1:9">
      <c r="A12" s="118" t="s">
        <v>27</v>
      </c>
      <c r="B12" s="119" t="s">
        <v>28</v>
      </c>
      <c r="C12" s="112">
        <v>0</v>
      </c>
      <c r="D12" s="112">
        <v>7292</v>
      </c>
      <c r="E12" s="113">
        <f t="shared" si="0"/>
        <v>7292</v>
      </c>
      <c r="F12" s="112">
        <v>4792.98</v>
      </c>
      <c r="G12" s="114">
        <f t="shared" si="1"/>
        <v>2499.02</v>
      </c>
      <c r="H12" s="115">
        <v>0</v>
      </c>
      <c r="I12" s="116">
        <f t="shared" si="2"/>
        <v>-2499.02</v>
      </c>
    </row>
    <row r="13" s="58" customFormat="1" ht="16.35" customHeight="1" spans="1:9">
      <c r="A13" s="118" t="s">
        <v>29</v>
      </c>
      <c r="B13" s="85" t="s">
        <v>30</v>
      </c>
      <c r="C13" s="112">
        <v>0</v>
      </c>
      <c r="D13" s="112">
        <v>0</v>
      </c>
      <c r="E13" s="113">
        <f t="shared" si="0"/>
        <v>0</v>
      </c>
      <c r="F13" s="112">
        <v>0</v>
      </c>
      <c r="G13" s="114">
        <f t="shared" si="1"/>
        <v>0</v>
      </c>
      <c r="H13" s="115">
        <v>0</v>
      </c>
      <c r="I13" s="116">
        <f t="shared" si="2"/>
        <v>0</v>
      </c>
    </row>
    <row r="14" s="58" customFormat="1" ht="16.35" customHeight="1" spans="1:9">
      <c r="A14" s="80" t="s">
        <v>31</v>
      </c>
      <c r="B14" s="85" t="s">
        <v>32</v>
      </c>
      <c r="C14" s="112">
        <v>0</v>
      </c>
      <c r="D14" s="112">
        <v>0</v>
      </c>
      <c r="E14" s="113">
        <f t="shared" si="0"/>
        <v>0</v>
      </c>
      <c r="F14" s="112">
        <v>0</v>
      </c>
      <c r="G14" s="114">
        <f t="shared" si="1"/>
        <v>0</v>
      </c>
      <c r="H14" s="115">
        <v>0</v>
      </c>
      <c r="I14" s="116">
        <f t="shared" si="2"/>
        <v>0</v>
      </c>
    </row>
    <row r="15" s="58" customFormat="1" ht="16.35" customHeight="1" spans="1:9">
      <c r="A15" s="80" t="s">
        <v>33</v>
      </c>
      <c r="B15" s="85" t="s">
        <v>34</v>
      </c>
      <c r="C15" s="112">
        <v>103093.26</v>
      </c>
      <c r="D15" s="112">
        <v>41387.9</v>
      </c>
      <c r="E15" s="113">
        <f t="shared" si="0"/>
        <v>144481.16</v>
      </c>
      <c r="F15" s="112">
        <v>0</v>
      </c>
      <c r="G15" s="114">
        <f t="shared" si="1"/>
        <v>144481.16</v>
      </c>
      <c r="H15" s="115">
        <v>171692.17</v>
      </c>
      <c r="I15" s="116">
        <f t="shared" si="2"/>
        <v>27211.01</v>
      </c>
    </row>
    <row r="16" s="58" customFormat="1" ht="16.35" customHeight="1" spans="1:9">
      <c r="A16" s="80" t="s">
        <v>35</v>
      </c>
      <c r="B16" s="85" t="s">
        <v>36</v>
      </c>
      <c r="C16" s="112">
        <v>680151.1</v>
      </c>
      <c r="D16" s="112">
        <v>0</v>
      </c>
      <c r="E16" s="113">
        <f t="shared" si="0"/>
        <v>680151.1</v>
      </c>
      <c r="F16" s="112">
        <v>0</v>
      </c>
      <c r="G16" s="114">
        <f t="shared" si="1"/>
        <v>680151.1</v>
      </c>
      <c r="H16" s="115">
        <v>661375.2</v>
      </c>
      <c r="I16" s="116">
        <f t="shared" si="2"/>
        <v>-18775.9</v>
      </c>
    </row>
    <row r="17" s="58" customFormat="1" ht="16.35" customHeight="1" spans="1:9">
      <c r="A17" s="80" t="s">
        <v>37</v>
      </c>
      <c r="B17" s="119" t="s">
        <v>38</v>
      </c>
      <c r="C17" s="112">
        <v>1542034.52</v>
      </c>
      <c r="D17" s="112">
        <v>0</v>
      </c>
      <c r="E17" s="113">
        <f t="shared" si="0"/>
        <v>1542034.52</v>
      </c>
      <c r="F17" s="112">
        <v>0</v>
      </c>
      <c r="G17" s="114">
        <f t="shared" si="1"/>
        <v>1542034.52</v>
      </c>
      <c r="H17" s="115">
        <v>1482243.75</v>
      </c>
      <c r="I17" s="116">
        <f t="shared" si="2"/>
        <v>-59790.77</v>
      </c>
    </row>
    <row r="18" s="58" customFormat="1" ht="16.35" customHeight="1" spans="1:9">
      <c r="A18" s="80" t="s">
        <v>39</v>
      </c>
      <c r="B18" s="119" t="s">
        <v>40</v>
      </c>
      <c r="C18" s="112">
        <v>2080534</v>
      </c>
      <c r="D18" s="112">
        <v>0</v>
      </c>
      <c r="E18" s="113">
        <f t="shared" si="0"/>
        <v>2080534</v>
      </c>
      <c r="F18" s="112">
        <v>0</v>
      </c>
      <c r="G18" s="114">
        <f t="shared" si="1"/>
        <v>2080534</v>
      </c>
      <c r="H18" s="115">
        <v>1891615.12</v>
      </c>
      <c r="I18" s="116">
        <f t="shared" si="2"/>
        <v>-188918.88</v>
      </c>
    </row>
    <row r="19" s="58" customFormat="1" ht="16.35" customHeight="1" spans="1:9">
      <c r="A19" s="118" t="s">
        <v>41</v>
      </c>
      <c r="B19" s="85" t="s">
        <v>42</v>
      </c>
      <c r="C19" s="112">
        <v>0</v>
      </c>
      <c r="D19" s="112">
        <v>0</v>
      </c>
      <c r="E19" s="113">
        <f t="shared" si="0"/>
        <v>0</v>
      </c>
      <c r="F19" s="112">
        <v>0</v>
      </c>
      <c r="G19" s="114">
        <f t="shared" si="1"/>
        <v>0</v>
      </c>
      <c r="H19" s="115">
        <v>0</v>
      </c>
      <c r="I19" s="116">
        <f t="shared" si="2"/>
        <v>0</v>
      </c>
    </row>
    <row r="20" s="58" customFormat="1" ht="16.35" customHeight="1" spans="1:9">
      <c r="A20" s="80" t="s">
        <v>43</v>
      </c>
      <c r="B20" s="85" t="s">
        <v>44</v>
      </c>
      <c r="C20" s="112">
        <v>0</v>
      </c>
      <c r="D20" s="112">
        <v>0</v>
      </c>
      <c r="E20" s="113">
        <f t="shared" si="0"/>
        <v>0</v>
      </c>
      <c r="F20" s="112">
        <v>0</v>
      </c>
      <c r="G20" s="114">
        <f t="shared" si="1"/>
        <v>0</v>
      </c>
      <c r="H20" s="115">
        <v>0</v>
      </c>
      <c r="I20" s="116">
        <f t="shared" si="2"/>
        <v>0</v>
      </c>
    </row>
    <row r="21" s="58" customFormat="1" ht="16.35" customHeight="1" spans="1:9">
      <c r="A21" s="80" t="s">
        <v>45</v>
      </c>
      <c r="B21" s="85" t="s">
        <v>46</v>
      </c>
      <c r="C21" s="112">
        <v>69342.83</v>
      </c>
      <c r="D21" s="112">
        <v>45871.65</v>
      </c>
      <c r="E21" s="113">
        <f t="shared" si="0"/>
        <v>115214.48</v>
      </c>
      <c r="F21" s="112">
        <v>0</v>
      </c>
      <c r="G21" s="114">
        <f t="shared" si="1"/>
        <v>115214.48</v>
      </c>
      <c r="H21" s="115">
        <v>0</v>
      </c>
      <c r="I21" s="116">
        <f t="shared" si="2"/>
        <v>-115214.48</v>
      </c>
    </row>
    <row r="22" s="58" customFormat="1" ht="16.35" customHeight="1" spans="1:9">
      <c r="A22" s="80" t="s">
        <v>47</v>
      </c>
      <c r="B22" s="85" t="s">
        <v>48</v>
      </c>
      <c r="C22" s="112">
        <v>196711.68</v>
      </c>
      <c r="D22" s="112">
        <v>0</v>
      </c>
      <c r="E22" s="113">
        <f t="shared" si="0"/>
        <v>196711.68</v>
      </c>
      <c r="F22" s="112">
        <v>0</v>
      </c>
      <c r="G22" s="114">
        <f t="shared" si="1"/>
        <v>196711.68</v>
      </c>
      <c r="H22" s="115">
        <v>212081.83</v>
      </c>
      <c r="I22" s="116">
        <f t="shared" si="2"/>
        <v>15370.15</v>
      </c>
    </row>
    <row r="23" s="58" customFormat="1" ht="16.35" customHeight="1" spans="1:9">
      <c r="A23" s="80" t="s">
        <v>49</v>
      </c>
      <c r="B23" s="85" t="s">
        <v>50</v>
      </c>
      <c r="C23" s="112">
        <v>167787.77</v>
      </c>
      <c r="D23" s="112">
        <v>0</v>
      </c>
      <c r="E23" s="113">
        <f t="shared" si="0"/>
        <v>167787.77</v>
      </c>
      <c r="F23" s="112">
        <v>0</v>
      </c>
      <c r="G23" s="114">
        <f t="shared" si="1"/>
        <v>167787.77</v>
      </c>
      <c r="H23" s="115">
        <v>201107.98</v>
      </c>
      <c r="I23" s="116">
        <f t="shared" si="2"/>
        <v>33320.21</v>
      </c>
    </row>
    <row r="24" s="58" customFormat="1" ht="16.35" customHeight="1" spans="1:9">
      <c r="A24" s="80" t="s">
        <v>51</v>
      </c>
      <c r="B24" s="85" t="s">
        <v>52</v>
      </c>
      <c r="C24" s="112">
        <v>108087.11</v>
      </c>
      <c r="D24" s="112">
        <v>87716.3</v>
      </c>
      <c r="E24" s="113">
        <f t="shared" si="0"/>
        <v>195803.41</v>
      </c>
      <c r="F24" s="112">
        <v>0</v>
      </c>
      <c r="G24" s="114">
        <f t="shared" si="1"/>
        <v>195803.41</v>
      </c>
      <c r="H24" s="115">
        <v>200819.63</v>
      </c>
      <c r="I24" s="116">
        <f t="shared" si="2"/>
        <v>5016.22</v>
      </c>
    </row>
    <row r="25" s="58" customFormat="1" ht="16.35" customHeight="1" spans="1:9">
      <c r="A25" s="80" t="s">
        <v>53</v>
      </c>
      <c r="B25" s="85" t="s">
        <v>54</v>
      </c>
      <c r="C25" s="112">
        <v>1061696.48</v>
      </c>
      <c r="D25" s="112">
        <v>0</v>
      </c>
      <c r="E25" s="113">
        <f t="shared" si="0"/>
        <v>1061696.48</v>
      </c>
      <c r="F25" s="112">
        <v>0</v>
      </c>
      <c r="G25" s="114">
        <f t="shared" si="1"/>
        <v>1061696.48</v>
      </c>
      <c r="H25" s="115">
        <v>822882.85</v>
      </c>
      <c r="I25" s="116">
        <f t="shared" si="2"/>
        <v>-238813.63</v>
      </c>
    </row>
    <row r="26" s="58" customFormat="1" ht="16.35" customHeight="1" spans="1:9">
      <c r="A26" s="80" t="s">
        <v>55</v>
      </c>
      <c r="B26" s="80" t="s">
        <v>56</v>
      </c>
      <c r="C26" s="112">
        <v>308997.53</v>
      </c>
      <c r="D26" s="112">
        <v>0</v>
      </c>
      <c r="E26" s="113">
        <f t="shared" si="0"/>
        <v>308997.53</v>
      </c>
      <c r="F26" s="112">
        <v>0</v>
      </c>
      <c r="G26" s="114">
        <f t="shared" si="1"/>
        <v>308997.53</v>
      </c>
      <c r="H26" s="115">
        <v>0</v>
      </c>
      <c r="I26" s="116">
        <f t="shared" si="2"/>
        <v>-308997.53</v>
      </c>
    </row>
    <row r="27" s="58" customFormat="1" ht="16.35" customHeight="1" spans="1:9">
      <c r="A27" s="80" t="s">
        <v>57</v>
      </c>
      <c r="B27" s="85" t="s">
        <v>58</v>
      </c>
      <c r="C27" s="112">
        <v>22227.36</v>
      </c>
      <c r="D27" s="112">
        <v>0</v>
      </c>
      <c r="E27" s="113">
        <f t="shared" si="0"/>
        <v>22227.36</v>
      </c>
      <c r="F27" s="112">
        <v>0</v>
      </c>
      <c r="G27" s="114">
        <f t="shared" si="1"/>
        <v>22227.36</v>
      </c>
      <c r="H27" s="115">
        <v>111638.94</v>
      </c>
      <c r="I27" s="116">
        <f t="shared" si="2"/>
        <v>89411.58</v>
      </c>
    </row>
    <row r="28" s="58" customFormat="1" ht="16.35" customHeight="1" spans="1:9">
      <c r="A28" s="80" t="s">
        <v>59</v>
      </c>
      <c r="B28" s="85" t="s">
        <v>60</v>
      </c>
      <c r="C28" s="112">
        <v>86000</v>
      </c>
      <c r="D28" s="112">
        <v>0</v>
      </c>
      <c r="E28" s="113">
        <f t="shared" si="0"/>
        <v>86000</v>
      </c>
      <c r="F28" s="112">
        <v>0</v>
      </c>
      <c r="G28" s="114">
        <f t="shared" si="1"/>
        <v>86000</v>
      </c>
      <c r="H28" s="115">
        <v>149297.62</v>
      </c>
      <c r="I28" s="116">
        <f t="shared" si="2"/>
        <v>63297.62</v>
      </c>
    </row>
    <row r="29" s="58" customFormat="1" ht="16.35" customHeight="1" spans="1:9">
      <c r="A29" s="80" t="s">
        <v>61</v>
      </c>
      <c r="B29" s="85" t="s">
        <v>62</v>
      </c>
      <c r="C29" s="112">
        <v>78822</v>
      </c>
      <c r="D29" s="112">
        <v>0</v>
      </c>
      <c r="E29" s="113">
        <f t="shared" si="0"/>
        <v>78822</v>
      </c>
      <c r="F29" s="112">
        <v>0</v>
      </c>
      <c r="G29" s="114">
        <f t="shared" si="1"/>
        <v>78822</v>
      </c>
      <c r="H29" s="115">
        <v>98750</v>
      </c>
      <c r="I29" s="116">
        <f t="shared" si="2"/>
        <v>19928</v>
      </c>
    </row>
    <row r="30" s="58" customFormat="1" ht="16.35" customHeight="1" spans="1:9">
      <c r="A30" s="80" t="s">
        <v>63</v>
      </c>
      <c r="B30" s="85" t="s">
        <v>64</v>
      </c>
      <c r="C30" s="112">
        <v>2068.97</v>
      </c>
      <c r="D30" s="112">
        <v>0</v>
      </c>
      <c r="E30" s="113">
        <f t="shared" si="0"/>
        <v>2068.97</v>
      </c>
      <c r="F30" s="112">
        <v>0</v>
      </c>
      <c r="G30" s="114">
        <f t="shared" si="1"/>
        <v>2068.97</v>
      </c>
      <c r="H30" s="115">
        <v>0</v>
      </c>
      <c r="I30" s="116">
        <f t="shared" si="2"/>
        <v>-2068.97</v>
      </c>
    </row>
    <row r="31" s="58" customFormat="1" ht="16.35" customHeight="1" spans="1:9">
      <c r="A31" s="80" t="s">
        <v>65</v>
      </c>
      <c r="B31" s="85" t="s">
        <v>66</v>
      </c>
      <c r="C31" s="112">
        <v>0</v>
      </c>
      <c r="D31" s="112">
        <v>0</v>
      </c>
      <c r="E31" s="113">
        <f t="shared" si="0"/>
        <v>0</v>
      </c>
      <c r="F31" s="112">
        <v>0</v>
      </c>
      <c r="G31" s="114">
        <f t="shared" si="1"/>
        <v>0</v>
      </c>
      <c r="H31" s="115">
        <v>8498.08</v>
      </c>
      <c r="I31" s="116">
        <f t="shared" si="2"/>
        <v>8498.08</v>
      </c>
    </row>
    <row r="32" s="58" customFormat="1" ht="16.35" customHeight="1" spans="1:9">
      <c r="A32" s="80" t="s">
        <v>67</v>
      </c>
      <c r="B32" s="85" t="s">
        <v>68</v>
      </c>
      <c r="C32" s="112">
        <v>61000</v>
      </c>
      <c r="D32" s="112">
        <v>0</v>
      </c>
      <c r="E32" s="113">
        <f t="shared" si="0"/>
        <v>61000</v>
      </c>
      <c r="F32" s="112">
        <v>0</v>
      </c>
      <c r="G32" s="114">
        <f t="shared" si="1"/>
        <v>61000</v>
      </c>
      <c r="H32" s="115">
        <v>0</v>
      </c>
      <c r="I32" s="116">
        <f t="shared" si="2"/>
        <v>-61000</v>
      </c>
    </row>
    <row r="33" s="58" customFormat="1" ht="16.35" customHeight="1" spans="1:9">
      <c r="A33" s="80" t="s">
        <v>69</v>
      </c>
      <c r="B33" s="85" t="s">
        <v>70</v>
      </c>
      <c r="C33" s="112">
        <v>110007.23</v>
      </c>
      <c r="D33" s="112">
        <v>0</v>
      </c>
      <c r="E33" s="113">
        <f t="shared" si="0"/>
        <v>110007.23</v>
      </c>
      <c r="F33" s="112">
        <v>0</v>
      </c>
      <c r="G33" s="114">
        <f t="shared" si="1"/>
        <v>110007.23</v>
      </c>
      <c r="H33" s="115">
        <v>115940.99</v>
      </c>
      <c r="I33" s="116">
        <f t="shared" si="2"/>
        <v>5933.76000000001</v>
      </c>
    </row>
    <row r="34" s="58" customFormat="1" ht="16.35" customHeight="1" spans="1:9">
      <c r="A34" s="80" t="s">
        <v>71</v>
      </c>
      <c r="B34" s="85" t="s">
        <v>72</v>
      </c>
      <c r="C34" s="112">
        <v>0</v>
      </c>
      <c r="D34" s="112">
        <v>0</v>
      </c>
      <c r="E34" s="113">
        <f t="shared" si="0"/>
        <v>0</v>
      </c>
      <c r="F34" s="112">
        <v>0</v>
      </c>
      <c r="G34" s="114">
        <f t="shared" si="1"/>
        <v>0</v>
      </c>
      <c r="H34" s="115">
        <v>0</v>
      </c>
      <c r="I34" s="116">
        <f t="shared" si="2"/>
        <v>0</v>
      </c>
    </row>
    <row r="35" s="58" customFormat="1" ht="16.35" customHeight="1" spans="1:9">
      <c r="A35" s="80" t="s">
        <v>73</v>
      </c>
      <c r="B35" s="85" t="s">
        <v>74</v>
      </c>
      <c r="C35" s="112">
        <v>114099.9</v>
      </c>
      <c r="D35" s="112">
        <v>0</v>
      </c>
      <c r="E35" s="113">
        <f t="shared" si="0"/>
        <v>114099.9</v>
      </c>
      <c r="F35" s="112">
        <v>0</v>
      </c>
      <c r="G35" s="114">
        <f t="shared" si="1"/>
        <v>114099.9</v>
      </c>
      <c r="H35" s="115">
        <v>135117.53</v>
      </c>
      <c r="I35" s="116">
        <f t="shared" si="2"/>
        <v>21017.63</v>
      </c>
    </row>
    <row r="36" s="58" customFormat="1" ht="16.35" customHeight="1" spans="1:9">
      <c r="A36" s="80" t="s">
        <v>75</v>
      </c>
      <c r="B36" s="80" t="s">
        <v>76</v>
      </c>
      <c r="C36" s="112">
        <v>0</v>
      </c>
      <c r="D36" s="112">
        <v>0</v>
      </c>
      <c r="E36" s="113">
        <f t="shared" si="0"/>
        <v>0</v>
      </c>
      <c r="F36" s="112">
        <v>0</v>
      </c>
      <c r="G36" s="114">
        <f t="shared" si="1"/>
        <v>0</v>
      </c>
      <c r="H36" s="115">
        <v>0</v>
      </c>
      <c r="I36" s="116">
        <f t="shared" si="2"/>
        <v>0</v>
      </c>
    </row>
    <row r="37" s="58" customFormat="1" ht="16.35" customHeight="1" spans="1:9">
      <c r="A37" s="80" t="s">
        <v>77</v>
      </c>
      <c r="B37" s="80" t="s">
        <v>78</v>
      </c>
      <c r="C37" s="112">
        <v>0</v>
      </c>
      <c r="D37" s="112">
        <v>0</v>
      </c>
      <c r="E37" s="113">
        <f t="shared" ref="E37:E68" si="3">D37+C37</f>
        <v>0</v>
      </c>
      <c r="F37" s="112">
        <v>0</v>
      </c>
      <c r="G37" s="114">
        <f t="shared" ref="G37:G68" si="4">+E37-F37</f>
        <v>0</v>
      </c>
      <c r="H37" s="115">
        <v>383229.96</v>
      </c>
      <c r="I37" s="116">
        <f t="shared" ref="I37:I69" si="5">H37-G37</f>
        <v>383229.96</v>
      </c>
    </row>
    <row r="38" s="58" customFormat="1" ht="16.35" customHeight="1" spans="1:9">
      <c r="A38" s="80" t="s">
        <v>79</v>
      </c>
      <c r="B38" s="85" t="s">
        <v>80</v>
      </c>
      <c r="C38" s="112">
        <v>72489.45</v>
      </c>
      <c r="D38" s="112">
        <v>0</v>
      </c>
      <c r="E38" s="113">
        <f t="shared" si="3"/>
        <v>72489.45</v>
      </c>
      <c r="F38" s="112">
        <v>0</v>
      </c>
      <c r="G38" s="114">
        <f t="shared" si="4"/>
        <v>72489.45</v>
      </c>
      <c r="H38" s="115">
        <v>0</v>
      </c>
      <c r="I38" s="116">
        <f t="shared" si="5"/>
        <v>-72489.45</v>
      </c>
    </row>
    <row r="39" s="58" customFormat="1" ht="16.35" customHeight="1" spans="1:9">
      <c r="A39" s="80" t="s">
        <v>81</v>
      </c>
      <c r="B39" s="85" t="s">
        <v>82</v>
      </c>
      <c r="C39" s="112">
        <v>190380.08</v>
      </c>
      <c r="D39" s="112">
        <v>0</v>
      </c>
      <c r="E39" s="113">
        <f t="shared" si="3"/>
        <v>190380.08</v>
      </c>
      <c r="F39" s="112">
        <v>0</v>
      </c>
      <c r="G39" s="114">
        <f t="shared" si="4"/>
        <v>190380.08</v>
      </c>
      <c r="H39" s="115">
        <v>182182.78</v>
      </c>
      <c r="I39" s="116">
        <f t="shared" si="5"/>
        <v>-8197.29999999999</v>
      </c>
    </row>
    <row r="40" s="58" customFormat="1" ht="16.35" customHeight="1" spans="1:9">
      <c r="A40" s="80" t="s">
        <v>83</v>
      </c>
      <c r="B40" s="85" t="s">
        <v>84</v>
      </c>
      <c r="C40" s="112">
        <v>0</v>
      </c>
      <c r="D40" s="112">
        <v>0</v>
      </c>
      <c r="E40" s="113">
        <f t="shared" si="3"/>
        <v>0</v>
      </c>
      <c r="F40" s="112">
        <v>0</v>
      </c>
      <c r="G40" s="114">
        <f t="shared" si="4"/>
        <v>0</v>
      </c>
      <c r="H40" s="115">
        <v>0</v>
      </c>
      <c r="I40" s="116">
        <f t="shared" si="5"/>
        <v>0</v>
      </c>
    </row>
    <row r="41" s="58" customFormat="1" ht="16.35" customHeight="1" spans="1:9">
      <c r="A41" s="80" t="s">
        <v>85</v>
      </c>
      <c r="B41" s="85" t="s">
        <v>86</v>
      </c>
      <c r="C41" s="112">
        <v>135056.74</v>
      </c>
      <c r="D41" s="112">
        <v>0</v>
      </c>
      <c r="E41" s="113">
        <f t="shared" si="3"/>
        <v>135056.74</v>
      </c>
      <c r="F41" s="112">
        <v>0</v>
      </c>
      <c r="G41" s="114">
        <f t="shared" si="4"/>
        <v>135056.74</v>
      </c>
      <c r="H41" s="115">
        <v>149018.39</v>
      </c>
      <c r="I41" s="116">
        <f t="shared" si="5"/>
        <v>13961.65</v>
      </c>
    </row>
    <row r="42" s="58" customFormat="1" ht="16.35" customHeight="1" spans="1:9">
      <c r="A42" s="80" t="s">
        <v>87</v>
      </c>
      <c r="B42" s="85" t="s">
        <v>88</v>
      </c>
      <c r="C42" s="112">
        <v>1487842.89</v>
      </c>
      <c r="D42" s="112">
        <v>238044.9</v>
      </c>
      <c r="E42" s="113">
        <f t="shared" si="3"/>
        <v>1725887.79</v>
      </c>
      <c r="F42" s="112">
        <v>0</v>
      </c>
      <c r="G42" s="114">
        <f t="shared" si="4"/>
        <v>1725887.79</v>
      </c>
      <c r="H42" s="115">
        <v>1269013.48</v>
      </c>
      <c r="I42" s="116">
        <f t="shared" si="5"/>
        <v>-456874.31</v>
      </c>
    </row>
    <row r="43" s="58" customFormat="1" ht="16.35" customHeight="1" spans="1:9">
      <c r="A43" s="80" t="s">
        <v>89</v>
      </c>
      <c r="B43" s="85" t="s">
        <v>90</v>
      </c>
      <c r="C43" s="112">
        <v>0</v>
      </c>
      <c r="D43" s="112">
        <v>219377.71</v>
      </c>
      <c r="E43" s="113">
        <f t="shared" si="3"/>
        <v>219377.71</v>
      </c>
      <c r="F43" s="112">
        <v>0</v>
      </c>
      <c r="G43" s="114">
        <f t="shared" si="4"/>
        <v>219377.71</v>
      </c>
      <c r="H43" s="115">
        <v>0</v>
      </c>
      <c r="I43" s="116">
        <f t="shared" si="5"/>
        <v>-219377.71</v>
      </c>
    </row>
    <row r="44" s="58" customFormat="1" ht="16.35" customHeight="1" spans="1:9">
      <c r="A44" s="80" t="s">
        <v>91</v>
      </c>
      <c r="B44" s="85" t="s">
        <v>92</v>
      </c>
      <c r="C44" s="112">
        <v>0</v>
      </c>
      <c r="D44" s="112">
        <v>0</v>
      </c>
      <c r="E44" s="113">
        <f t="shared" si="3"/>
        <v>0</v>
      </c>
      <c r="F44" s="112">
        <v>0</v>
      </c>
      <c r="G44" s="114">
        <f t="shared" si="4"/>
        <v>0</v>
      </c>
      <c r="H44" s="115">
        <v>0</v>
      </c>
      <c r="I44" s="116">
        <f t="shared" si="5"/>
        <v>0</v>
      </c>
    </row>
    <row r="45" s="58" customFormat="1" ht="16.35" customHeight="1" spans="1:9">
      <c r="A45" s="118" t="s">
        <v>93</v>
      </c>
      <c r="B45" s="81" t="s">
        <v>94</v>
      </c>
      <c r="C45" s="112">
        <v>0</v>
      </c>
      <c r="D45" s="112">
        <v>0</v>
      </c>
      <c r="E45" s="113">
        <f t="shared" si="3"/>
        <v>0</v>
      </c>
      <c r="F45" s="112">
        <v>0</v>
      </c>
      <c r="G45" s="114">
        <f t="shared" si="4"/>
        <v>0</v>
      </c>
      <c r="H45" s="115">
        <v>0</v>
      </c>
      <c r="I45" s="116">
        <f t="shared" si="5"/>
        <v>0</v>
      </c>
    </row>
    <row r="46" s="58" customFormat="1" ht="16.35" customHeight="1" spans="1:9">
      <c r="A46" s="80" t="s">
        <v>95</v>
      </c>
      <c r="B46" s="85" t="s">
        <v>96</v>
      </c>
      <c r="C46" s="112">
        <v>270137.38</v>
      </c>
      <c r="D46" s="112">
        <v>0</v>
      </c>
      <c r="E46" s="113">
        <f t="shared" si="3"/>
        <v>270137.38</v>
      </c>
      <c r="F46" s="112">
        <v>0</v>
      </c>
      <c r="G46" s="114">
        <f t="shared" si="4"/>
        <v>270137.38</v>
      </c>
      <c r="H46" s="115">
        <v>175053.14</v>
      </c>
      <c r="I46" s="116">
        <f t="shared" si="5"/>
        <v>-95084.24</v>
      </c>
    </row>
    <row r="47" s="58" customFormat="1" ht="16.35" customHeight="1" spans="1:9">
      <c r="A47" s="80" t="s">
        <v>97</v>
      </c>
      <c r="B47" s="85" t="s">
        <v>98</v>
      </c>
      <c r="C47" s="112">
        <v>172040.25</v>
      </c>
      <c r="D47" s="112">
        <v>0</v>
      </c>
      <c r="E47" s="113">
        <f t="shared" si="3"/>
        <v>172040.25</v>
      </c>
      <c r="F47" s="112">
        <v>0</v>
      </c>
      <c r="G47" s="114">
        <f t="shared" si="4"/>
        <v>172040.25</v>
      </c>
      <c r="H47" s="115">
        <v>0</v>
      </c>
      <c r="I47" s="116">
        <f t="shared" si="5"/>
        <v>-172040.25</v>
      </c>
    </row>
    <row r="48" s="58" customFormat="1" ht="16.35" customHeight="1" spans="1:9">
      <c r="A48" s="80" t="s">
        <v>99</v>
      </c>
      <c r="B48" s="80" t="s">
        <v>100</v>
      </c>
      <c r="C48" s="112">
        <v>313004.13</v>
      </c>
      <c r="D48" s="112">
        <v>0</v>
      </c>
      <c r="E48" s="113">
        <f t="shared" si="3"/>
        <v>313004.13</v>
      </c>
      <c r="F48" s="112">
        <v>0</v>
      </c>
      <c r="G48" s="114">
        <f t="shared" si="4"/>
        <v>313004.13</v>
      </c>
      <c r="H48" s="115">
        <v>663469.57</v>
      </c>
      <c r="I48" s="116">
        <f t="shared" si="5"/>
        <v>350465.44</v>
      </c>
    </row>
    <row r="49" s="58" customFormat="1" ht="16.35" customHeight="1" spans="1:9">
      <c r="A49" s="80" t="s">
        <v>101</v>
      </c>
      <c r="B49" s="80" t="s">
        <v>102</v>
      </c>
      <c r="C49" s="112">
        <v>0</v>
      </c>
      <c r="D49" s="112">
        <v>0</v>
      </c>
      <c r="E49" s="113">
        <f t="shared" si="3"/>
        <v>0</v>
      </c>
      <c r="F49" s="112">
        <v>0</v>
      </c>
      <c r="G49" s="114">
        <f t="shared" si="4"/>
        <v>0</v>
      </c>
      <c r="H49" s="115">
        <v>0</v>
      </c>
      <c r="I49" s="116">
        <f t="shared" si="5"/>
        <v>0</v>
      </c>
    </row>
    <row r="50" s="58" customFormat="1" ht="16.35" customHeight="1" spans="1:9">
      <c r="A50" s="118" t="s">
        <v>103</v>
      </c>
      <c r="B50" s="85" t="s">
        <v>104</v>
      </c>
      <c r="C50" s="112">
        <v>0</v>
      </c>
      <c r="D50" s="112">
        <v>0</v>
      </c>
      <c r="E50" s="113">
        <f t="shared" si="3"/>
        <v>0</v>
      </c>
      <c r="F50" s="112">
        <v>0</v>
      </c>
      <c r="G50" s="114">
        <f t="shared" si="4"/>
        <v>0</v>
      </c>
      <c r="H50" s="115">
        <v>-30000</v>
      </c>
      <c r="I50" s="116">
        <f t="shared" si="5"/>
        <v>-30000</v>
      </c>
    </row>
    <row r="51" s="58" customFormat="1" ht="16.35" customHeight="1" spans="1:9">
      <c r="A51" s="118" t="s">
        <v>105</v>
      </c>
      <c r="B51" s="85" t="s">
        <v>106</v>
      </c>
      <c r="C51" s="112">
        <v>0</v>
      </c>
      <c r="D51" s="112">
        <v>0</v>
      </c>
      <c r="E51" s="113">
        <f t="shared" si="3"/>
        <v>0</v>
      </c>
      <c r="F51" s="112">
        <v>0</v>
      </c>
      <c r="G51" s="114">
        <f t="shared" si="4"/>
        <v>0</v>
      </c>
      <c r="H51" s="115">
        <v>211357.84</v>
      </c>
      <c r="I51" s="116">
        <f t="shared" si="5"/>
        <v>211357.84</v>
      </c>
    </row>
    <row r="52" s="58" customFormat="1" ht="16.35" customHeight="1" spans="1:9">
      <c r="A52" s="80" t="s">
        <v>107</v>
      </c>
      <c r="B52" s="85" t="s">
        <v>108</v>
      </c>
      <c r="C52" s="112">
        <v>0</v>
      </c>
      <c r="D52" s="112">
        <v>0</v>
      </c>
      <c r="E52" s="113">
        <f t="shared" si="3"/>
        <v>0</v>
      </c>
      <c r="F52" s="112">
        <v>0</v>
      </c>
      <c r="G52" s="114">
        <f t="shared" si="4"/>
        <v>0</v>
      </c>
      <c r="H52" s="115">
        <v>0</v>
      </c>
      <c r="I52" s="116">
        <f t="shared" si="5"/>
        <v>0</v>
      </c>
    </row>
    <row r="53" s="58" customFormat="1" ht="16.35" customHeight="1" spans="1:9">
      <c r="A53" s="80" t="s">
        <v>109</v>
      </c>
      <c r="B53" s="85" t="s">
        <v>110</v>
      </c>
      <c r="C53" s="112">
        <v>0</v>
      </c>
      <c r="D53" s="112">
        <v>0</v>
      </c>
      <c r="E53" s="113">
        <f t="shared" si="3"/>
        <v>0</v>
      </c>
      <c r="F53" s="112">
        <v>0</v>
      </c>
      <c r="G53" s="114">
        <f t="shared" si="4"/>
        <v>0</v>
      </c>
      <c r="H53" s="115">
        <v>0</v>
      </c>
      <c r="I53" s="116">
        <f t="shared" si="5"/>
        <v>0</v>
      </c>
    </row>
    <row r="54" s="58" customFormat="1" ht="16.35" customHeight="1" spans="1:9">
      <c r="A54" s="118" t="s">
        <v>111</v>
      </c>
      <c r="B54" s="85" t="s">
        <v>112</v>
      </c>
      <c r="C54" s="112">
        <v>0</v>
      </c>
      <c r="D54" s="112">
        <v>0</v>
      </c>
      <c r="E54" s="113">
        <f t="shared" si="3"/>
        <v>0</v>
      </c>
      <c r="F54" s="112">
        <v>0</v>
      </c>
      <c r="G54" s="114">
        <f t="shared" si="4"/>
        <v>0</v>
      </c>
      <c r="H54" s="115">
        <v>-1619.19</v>
      </c>
      <c r="I54" s="116">
        <f t="shared" si="5"/>
        <v>-1619.19</v>
      </c>
    </row>
    <row r="55" s="58" customFormat="1" ht="16.35" customHeight="1" spans="1:9">
      <c r="A55" s="118" t="s">
        <v>113</v>
      </c>
      <c r="B55" s="85" t="s">
        <v>114</v>
      </c>
      <c r="C55" s="112">
        <v>0</v>
      </c>
      <c r="D55" s="112">
        <v>0</v>
      </c>
      <c r="E55" s="113">
        <f t="shared" si="3"/>
        <v>0</v>
      </c>
      <c r="F55" s="112">
        <v>865.8</v>
      </c>
      <c r="G55" s="114">
        <f t="shared" si="4"/>
        <v>-865.8</v>
      </c>
      <c r="H55" s="115">
        <v>0</v>
      </c>
      <c r="I55" s="116">
        <f t="shared" si="5"/>
        <v>865.8</v>
      </c>
    </row>
    <row r="56" s="58" customFormat="1" ht="16.35" customHeight="1" spans="1:9">
      <c r="A56" s="118" t="s">
        <v>115</v>
      </c>
      <c r="B56" s="85" t="s">
        <v>116</v>
      </c>
      <c r="C56" s="112">
        <v>0</v>
      </c>
      <c r="D56" s="112">
        <v>0</v>
      </c>
      <c r="E56" s="113">
        <f t="shared" si="3"/>
        <v>0</v>
      </c>
      <c r="F56" s="112">
        <v>0</v>
      </c>
      <c r="G56" s="114">
        <f t="shared" si="4"/>
        <v>0</v>
      </c>
      <c r="H56" s="115">
        <v>261588.48</v>
      </c>
      <c r="I56" s="116">
        <f t="shared" si="5"/>
        <v>261588.48</v>
      </c>
    </row>
    <row r="57" s="58" customFormat="1" ht="16.35" customHeight="1" spans="1:9">
      <c r="A57" s="80" t="s">
        <v>117</v>
      </c>
      <c r="B57" s="85" t="s">
        <v>118</v>
      </c>
      <c r="C57" s="112">
        <v>139.7</v>
      </c>
      <c r="D57" s="112">
        <v>27369.51</v>
      </c>
      <c r="E57" s="113">
        <f t="shared" si="3"/>
        <v>27509.21</v>
      </c>
      <c r="F57" s="112">
        <v>4216.5</v>
      </c>
      <c r="G57" s="114">
        <f t="shared" si="4"/>
        <v>23292.71</v>
      </c>
      <c r="H57" s="115">
        <v>258442.95</v>
      </c>
      <c r="I57" s="116">
        <f t="shared" si="5"/>
        <v>235150.24</v>
      </c>
    </row>
    <row r="58" s="58" customFormat="1" ht="16.35" customHeight="1" spans="1:9">
      <c r="A58" s="80" t="s">
        <v>119</v>
      </c>
      <c r="B58" s="85" t="s">
        <v>120</v>
      </c>
      <c r="C58" s="112">
        <v>0</v>
      </c>
      <c r="D58" s="112">
        <v>125887.9</v>
      </c>
      <c r="E58" s="113">
        <f t="shared" si="3"/>
        <v>125887.9</v>
      </c>
      <c r="F58" s="112">
        <v>0</v>
      </c>
      <c r="G58" s="114">
        <f t="shared" si="4"/>
        <v>125887.9</v>
      </c>
      <c r="H58" s="115">
        <v>0</v>
      </c>
      <c r="I58" s="116">
        <f t="shared" si="5"/>
        <v>-125887.9</v>
      </c>
    </row>
    <row r="59" s="58" customFormat="1" ht="16.35" customHeight="1" spans="1:9">
      <c r="A59" s="80" t="s">
        <v>121</v>
      </c>
      <c r="B59" s="85" t="s">
        <v>122</v>
      </c>
      <c r="C59" s="112">
        <v>51954.5</v>
      </c>
      <c r="D59" s="112">
        <v>0</v>
      </c>
      <c r="E59" s="113">
        <f t="shared" si="3"/>
        <v>51954.5</v>
      </c>
      <c r="F59" s="112">
        <v>0</v>
      </c>
      <c r="G59" s="114">
        <f t="shared" si="4"/>
        <v>51954.5</v>
      </c>
      <c r="H59" s="115">
        <v>56992.07</v>
      </c>
      <c r="I59" s="116">
        <f t="shared" si="5"/>
        <v>5037.57</v>
      </c>
    </row>
    <row r="60" s="58" customFormat="1" ht="16.35" customHeight="1" spans="1:9">
      <c r="A60" s="80" t="s">
        <v>123</v>
      </c>
      <c r="B60" s="119" t="s">
        <v>124</v>
      </c>
      <c r="C60" s="112">
        <v>0</v>
      </c>
      <c r="D60" s="112">
        <v>0</v>
      </c>
      <c r="E60" s="113">
        <f t="shared" si="3"/>
        <v>0</v>
      </c>
      <c r="F60" s="112">
        <v>0</v>
      </c>
      <c r="G60" s="114">
        <f t="shared" si="4"/>
        <v>0</v>
      </c>
      <c r="H60" s="115">
        <v>0</v>
      </c>
      <c r="I60" s="116">
        <f t="shared" si="5"/>
        <v>0</v>
      </c>
    </row>
    <row r="61" s="58" customFormat="1" ht="16.35" customHeight="1" spans="1:9">
      <c r="A61" s="118" t="s">
        <v>125</v>
      </c>
      <c r="B61" s="85" t="s">
        <v>126</v>
      </c>
      <c r="C61" s="112">
        <v>0</v>
      </c>
      <c r="D61" s="112">
        <v>17041</v>
      </c>
      <c r="E61" s="113">
        <f t="shared" si="3"/>
        <v>17041</v>
      </c>
      <c r="F61" s="112">
        <v>0</v>
      </c>
      <c r="G61" s="114">
        <f t="shared" si="4"/>
        <v>17041</v>
      </c>
      <c r="H61" s="115">
        <v>33492.2</v>
      </c>
      <c r="I61" s="116">
        <f t="shared" si="5"/>
        <v>16451.2</v>
      </c>
    </row>
    <row r="62" s="58" customFormat="1" ht="16.35" customHeight="1" spans="1:9">
      <c r="A62" s="118" t="s">
        <v>127</v>
      </c>
      <c r="B62" s="85" t="s">
        <v>128</v>
      </c>
      <c r="C62" s="112">
        <v>0</v>
      </c>
      <c r="D62" s="112">
        <v>0</v>
      </c>
      <c r="E62" s="113">
        <f t="shared" si="3"/>
        <v>0</v>
      </c>
      <c r="F62" s="112">
        <v>0</v>
      </c>
      <c r="G62" s="114">
        <f t="shared" si="4"/>
        <v>0</v>
      </c>
      <c r="H62" s="115">
        <v>122644.11</v>
      </c>
      <c r="I62" s="116">
        <f t="shared" si="5"/>
        <v>122644.11</v>
      </c>
    </row>
    <row r="63" s="58" customFormat="1" ht="16.35" customHeight="1" spans="1:9">
      <c r="A63" s="80" t="s">
        <v>129</v>
      </c>
      <c r="B63" s="85" t="s">
        <v>130</v>
      </c>
      <c r="C63" s="112">
        <v>0</v>
      </c>
      <c r="D63" s="112">
        <v>0</v>
      </c>
      <c r="E63" s="113">
        <f t="shared" si="3"/>
        <v>0</v>
      </c>
      <c r="F63" s="112">
        <v>0</v>
      </c>
      <c r="G63" s="114">
        <f t="shared" si="4"/>
        <v>0</v>
      </c>
      <c r="H63" s="115">
        <v>0</v>
      </c>
      <c r="I63" s="116">
        <f t="shared" si="5"/>
        <v>0</v>
      </c>
    </row>
    <row r="64" s="58" customFormat="1" ht="16.35" customHeight="1" spans="1:9">
      <c r="A64" s="118" t="s">
        <v>131</v>
      </c>
      <c r="B64" s="119" t="s">
        <v>132</v>
      </c>
      <c r="C64" s="112">
        <v>0</v>
      </c>
      <c r="D64" s="112">
        <v>246497.44</v>
      </c>
      <c r="E64" s="113">
        <f t="shared" si="3"/>
        <v>246497.44</v>
      </c>
      <c r="F64" s="112">
        <v>0</v>
      </c>
      <c r="G64" s="114">
        <f t="shared" si="4"/>
        <v>246497.44</v>
      </c>
      <c r="H64" s="115">
        <v>177321</v>
      </c>
      <c r="I64" s="116">
        <f t="shared" si="5"/>
        <v>-69176.44</v>
      </c>
    </row>
    <row r="65" s="58" customFormat="1" ht="16.35" customHeight="1" spans="1:9">
      <c r="A65" s="80" t="s">
        <v>133</v>
      </c>
      <c r="B65" s="80" t="s">
        <v>134</v>
      </c>
      <c r="C65" s="112">
        <v>0</v>
      </c>
      <c r="D65" s="112">
        <v>0</v>
      </c>
      <c r="E65" s="113">
        <f t="shared" si="3"/>
        <v>0</v>
      </c>
      <c r="F65" s="112">
        <v>0</v>
      </c>
      <c r="G65" s="114">
        <f t="shared" si="4"/>
        <v>0</v>
      </c>
      <c r="H65" s="115">
        <v>0</v>
      </c>
      <c r="I65" s="116">
        <f t="shared" si="5"/>
        <v>0</v>
      </c>
    </row>
    <row r="66" s="58" customFormat="1" ht="16.35" customHeight="1" spans="1:9">
      <c r="A66" s="80" t="s">
        <v>135</v>
      </c>
      <c r="B66" s="80" t="s">
        <v>136</v>
      </c>
      <c r="C66" s="112">
        <v>0</v>
      </c>
      <c r="D66" s="112">
        <v>0</v>
      </c>
      <c r="E66" s="113">
        <f t="shared" si="3"/>
        <v>0</v>
      </c>
      <c r="F66" s="112">
        <v>0</v>
      </c>
      <c r="G66" s="114">
        <f t="shared" si="4"/>
        <v>0</v>
      </c>
      <c r="H66" s="115">
        <v>0</v>
      </c>
      <c r="I66" s="116">
        <f t="shared" si="5"/>
        <v>0</v>
      </c>
    </row>
    <row r="67" s="58" customFormat="1" ht="16.35" customHeight="1" spans="1:9">
      <c r="A67" s="80" t="s">
        <v>137</v>
      </c>
      <c r="B67" s="80" t="s">
        <v>138</v>
      </c>
      <c r="C67" s="112">
        <v>0</v>
      </c>
      <c r="D67" s="112">
        <v>0</v>
      </c>
      <c r="E67" s="113">
        <f t="shared" si="3"/>
        <v>0</v>
      </c>
      <c r="F67" s="112">
        <v>0</v>
      </c>
      <c r="G67" s="114">
        <f t="shared" si="4"/>
        <v>0</v>
      </c>
      <c r="H67" s="115">
        <v>36200.12</v>
      </c>
      <c r="I67" s="116">
        <f t="shared" si="5"/>
        <v>36200.12</v>
      </c>
    </row>
    <row r="68" s="58" customFormat="1" ht="16.35" customHeight="1" spans="1:9">
      <c r="A68" s="80" t="s">
        <v>139</v>
      </c>
      <c r="B68" s="85" t="s">
        <v>140</v>
      </c>
      <c r="C68" s="112">
        <v>601.88</v>
      </c>
      <c r="D68" s="112">
        <v>0</v>
      </c>
      <c r="E68" s="113">
        <f t="shared" si="3"/>
        <v>601.88</v>
      </c>
      <c r="F68" s="112">
        <v>0</v>
      </c>
      <c r="G68" s="114">
        <f t="shared" si="4"/>
        <v>601.88</v>
      </c>
      <c r="H68" s="115">
        <v>0</v>
      </c>
      <c r="I68" s="116">
        <f t="shared" si="5"/>
        <v>-601.88</v>
      </c>
    </row>
    <row r="69" s="58" customFormat="1" ht="16.35" customHeight="1" spans="1:9">
      <c r="A69" s="80" t="s">
        <v>141</v>
      </c>
      <c r="B69" s="85" t="s">
        <v>142</v>
      </c>
      <c r="C69" s="112">
        <v>41708.42</v>
      </c>
      <c r="D69" s="112">
        <v>0</v>
      </c>
      <c r="E69" s="113">
        <f t="shared" ref="E69:E90" si="6">D69+C69</f>
        <v>41708.42</v>
      </c>
      <c r="F69" s="112">
        <v>0</v>
      </c>
      <c r="G69" s="114">
        <f t="shared" ref="G69:G90" si="7">+E69-F69</f>
        <v>41708.42</v>
      </c>
      <c r="H69" s="115">
        <v>45261.49</v>
      </c>
      <c r="I69" s="116">
        <f t="shared" si="5"/>
        <v>3553.07</v>
      </c>
    </row>
    <row r="70" s="58" customFormat="1" ht="16.35" customHeight="1" spans="1:9">
      <c r="A70" s="85" t="s">
        <v>143</v>
      </c>
      <c r="B70" s="85" t="s">
        <v>144</v>
      </c>
      <c r="C70" s="112">
        <v>0</v>
      </c>
      <c r="D70" s="112">
        <v>0</v>
      </c>
      <c r="E70" s="113">
        <f t="shared" si="6"/>
        <v>0</v>
      </c>
      <c r="F70" s="112">
        <v>0</v>
      </c>
      <c r="G70" s="114">
        <f t="shared" si="7"/>
        <v>0</v>
      </c>
      <c r="H70" s="115">
        <v>568469</v>
      </c>
      <c r="I70" s="116">
        <f t="shared" ref="I70:I89" si="8">H70-G70</f>
        <v>568469</v>
      </c>
    </row>
    <row r="71" s="58" customFormat="1" ht="16.35" customHeight="1" spans="1:9">
      <c r="A71" s="85" t="s">
        <v>145</v>
      </c>
      <c r="B71" s="85" t="s">
        <v>146</v>
      </c>
      <c r="C71" s="112">
        <v>0</v>
      </c>
      <c r="D71" s="112">
        <v>0</v>
      </c>
      <c r="E71" s="113">
        <f t="shared" si="6"/>
        <v>0</v>
      </c>
      <c r="F71" s="112">
        <v>0</v>
      </c>
      <c r="G71" s="114">
        <f t="shared" si="7"/>
        <v>0</v>
      </c>
      <c r="H71" s="115">
        <v>92052.3</v>
      </c>
      <c r="I71" s="116">
        <f t="shared" si="8"/>
        <v>92052.3</v>
      </c>
    </row>
    <row r="72" s="58" customFormat="1" ht="16.35" customHeight="1" spans="1:9">
      <c r="A72" s="118" t="s">
        <v>147</v>
      </c>
      <c r="B72" s="85" t="s">
        <v>148</v>
      </c>
      <c r="C72" s="112">
        <v>0</v>
      </c>
      <c r="D72" s="112">
        <v>0</v>
      </c>
      <c r="E72" s="113">
        <f t="shared" si="6"/>
        <v>0</v>
      </c>
      <c r="F72" s="112">
        <v>0</v>
      </c>
      <c r="G72" s="114">
        <f t="shared" si="7"/>
        <v>0</v>
      </c>
      <c r="H72" s="115">
        <v>0</v>
      </c>
      <c r="I72" s="116">
        <f t="shared" si="8"/>
        <v>0</v>
      </c>
    </row>
    <row r="73" s="58" customFormat="1" ht="16.35" customHeight="1" spans="1:9">
      <c r="A73" s="118" t="s">
        <v>149</v>
      </c>
      <c r="B73" s="85" t="s">
        <v>150</v>
      </c>
      <c r="C73" s="112">
        <v>0</v>
      </c>
      <c r="D73" s="112">
        <v>0</v>
      </c>
      <c r="E73" s="113">
        <f t="shared" si="6"/>
        <v>0</v>
      </c>
      <c r="F73" s="112">
        <v>0</v>
      </c>
      <c r="G73" s="114">
        <f t="shared" si="7"/>
        <v>0</v>
      </c>
      <c r="H73" s="115">
        <v>0</v>
      </c>
      <c r="I73" s="116">
        <f t="shared" si="8"/>
        <v>0</v>
      </c>
    </row>
    <row r="74" s="58" customFormat="1" spans="1:9">
      <c r="A74" s="118" t="s">
        <v>151</v>
      </c>
      <c r="B74" s="85" t="s">
        <v>152</v>
      </c>
      <c r="C74" s="112">
        <v>0</v>
      </c>
      <c r="D74" s="112">
        <v>747861.24</v>
      </c>
      <c r="E74" s="113">
        <f t="shared" si="6"/>
        <v>747861.24</v>
      </c>
      <c r="F74" s="112">
        <v>2595.49</v>
      </c>
      <c r="G74" s="114">
        <f t="shared" si="7"/>
        <v>745265.75</v>
      </c>
      <c r="H74" s="115">
        <v>0</v>
      </c>
      <c r="I74" s="116">
        <f t="shared" si="8"/>
        <v>-745265.75</v>
      </c>
    </row>
    <row r="75" s="58" customFormat="1" spans="1:9">
      <c r="A75" s="80" t="s">
        <v>153</v>
      </c>
      <c r="B75" s="85" t="s">
        <v>154</v>
      </c>
      <c r="C75" s="112">
        <v>0</v>
      </c>
      <c r="D75" s="112">
        <v>0</v>
      </c>
      <c r="E75" s="113">
        <f t="shared" si="6"/>
        <v>0</v>
      </c>
      <c r="F75" s="112">
        <v>0</v>
      </c>
      <c r="G75" s="114">
        <f t="shared" si="7"/>
        <v>0</v>
      </c>
      <c r="H75" s="115">
        <v>0</v>
      </c>
      <c r="I75" s="116">
        <f t="shared" si="8"/>
        <v>0</v>
      </c>
    </row>
    <row r="76" s="58" customFormat="1" spans="1:9">
      <c r="A76" s="80" t="s">
        <v>155</v>
      </c>
      <c r="B76" s="85" t="s">
        <v>156</v>
      </c>
      <c r="C76" s="112">
        <v>151494.81</v>
      </c>
      <c r="D76" s="112">
        <v>621717.64</v>
      </c>
      <c r="E76" s="113">
        <f t="shared" si="6"/>
        <v>773212.45</v>
      </c>
      <c r="F76" s="112">
        <v>0</v>
      </c>
      <c r="G76" s="114">
        <f t="shared" si="7"/>
        <v>773212.45</v>
      </c>
      <c r="H76" s="115">
        <v>0</v>
      </c>
      <c r="I76" s="116">
        <f t="shared" si="8"/>
        <v>-773212.45</v>
      </c>
    </row>
    <row r="77" s="58" customFormat="1" spans="1:9">
      <c r="A77" s="80" t="s">
        <v>157</v>
      </c>
      <c r="B77" s="85" t="s">
        <v>158</v>
      </c>
      <c r="C77" s="112">
        <v>0</v>
      </c>
      <c r="D77" s="112">
        <v>0</v>
      </c>
      <c r="E77" s="113">
        <f t="shared" si="6"/>
        <v>0</v>
      </c>
      <c r="F77" s="112">
        <v>0</v>
      </c>
      <c r="G77" s="114">
        <f t="shared" si="7"/>
        <v>0</v>
      </c>
      <c r="H77" s="115">
        <v>0</v>
      </c>
      <c r="I77" s="116">
        <f t="shared" si="8"/>
        <v>0</v>
      </c>
    </row>
    <row r="78" s="58" customFormat="1" spans="1:9">
      <c r="A78" s="80" t="s">
        <v>159</v>
      </c>
      <c r="B78" s="85" t="s">
        <v>160</v>
      </c>
      <c r="C78" s="112">
        <v>86022</v>
      </c>
      <c r="D78" s="112">
        <v>0</v>
      </c>
      <c r="E78" s="113">
        <f t="shared" si="6"/>
        <v>86022</v>
      </c>
      <c r="F78" s="112">
        <v>0</v>
      </c>
      <c r="G78" s="114">
        <f t="shared" si="7"/>
        <v>86022</v>
      </c>
      <c r="H78" s="115">
        <v>86022</v>
      </c>
      <c r="I78" s="116">
        <f t="shared" si="8"/>
        <v>0</v>
      </c>
    </row>
    <row r="79" s="58" customFormat="1" spans="1:9">
      <c r="A79" s="80" t="s">
        <v>161</v>
      </c>
      <c r="B79" s="85" t="s">
        <v>162</v>
      </c>
      <c r="C79" s="112">
        <v>19412.11</v>
      </c>
      <c r="D79" s="112">
        <v>249052.53</v>
      </c>
      <c r="E79" s="113">
        <f t="shared" si="6"/>
        <v>268464.64</v>
      </c>
      <c r="F79" s="112">
        <v>0</v>
      </c>
      <c r="G79" s="114">
        <f t="shared" si="7"/>
        <v>268464.64</v>
      </c>
      <c r="H79" s="115">
        <v>0</v>
      </c>
      <c r="I79" s="116">
        <f t="shared" si="8"/>
        <v>-268464.64</v>
      </c>
    </row>
    <row r="80" s="58" customFormat="1" spans="1:9">
      <c r="A80" s="80" t="s">
        <v>163</v>
      </c>
      <c r="B80" s="85" t="s">
        <v>164</v>
      </c>
      <c r="C80" s="112">
        <v>51610.99</v>
      </c>
      <c r="D80" s="112">
        <v>364897.7</v>
      </c>
      <c r="E80" s="113">
        <f t="shared" si="6"/>
        <v>416508.69</v>
      </c>
      <c r="F80" s="112">
        <v>0</v>
      </c>
      <c r="G80" s="114">
        <f t="shared" si="7"/>
        <v>416508.69</v>
      </c>
      <c r="H80" s="115">
        <v>301272.45</v>
      </c>
      <c r="I80" s="116">
        <f t="shared" si="8"/>
        <v>-115236.24</v>
      </c>
    </row>
    <row r="81" s="58" customFormat="1" spans="1:9">
      <c r="A81" s="118" t="s">
        <v>165</v>
      </c>
      <c r="B81" s="85" t="s">
        <v>166</v>
      </c>
      <c r="C81" s="112">
        <v>0</v>
      </c>
      <c r="D81" s="112">
        <v>78252.87</v>
      </c>
      <c r="E81" s="113">
        <f t="shared" si="6"/>
        <v>78252.87</v>
      </c>
      <c r="F81" s="112">
        <v>55114.89</v>
      </c>
      <c r="G81" s="114">
        <f t="shared" si="7"/>
        <v>23137.98</v>
      </c>
      <c r="H81" s="115">
        <v>11416.75</v>
      </c>
      <c r="I81" s="116">
        <f t="shared" si="8"/>
        <v>-11721.23</v>
      </c>
    </row>
    <row r="82" s="96" customFormat="1" spans="1:9">
      <c r="A82" s="86" t="s">
        <v>167</v>
      </c>
      <c r="B82" s="87" t="s">
        <v>168</v>
      </c>
      <c r="C82" s="120">
        <v>0</v>
      </c>
      <c r="D82" s="120">
        <v>0</v>
      </c>
      <c r="E82" s="121">
        <f t="shared" si="6"/>
        <v>0</v>
      </c>
      <c r="F82" s="120">
        <v>0</v>
      </c>
      <c r="G82" s="122">
        <f t="shared" si="7"/>
        <v>0</v>
      </c>
      <c r="H82" s="123">
        <v>213402.66</v>
      </c>
      <c r="I82" s="124">
        <f t="shared" si="8"/>
        <v>213402.66</v>
      </c>
    </row>
    <row r="83" s="58" customFormat="1" spans="1:9">
      <c r="A83" s="80" t="s">
        <v>169</v>
      </c>
      <c r="B83" s="119" t="s">
        <v>170</v>
      </c>
      <c r="C83" s="112">
        <v>0</v>
      </c>
      <c r="D83" s="112">
        <v>0</v>
      </c>
      <c r="E83" s="113">
        <f t="shared" si="6"/>
        <v>0</v>
      </c>
      <c r="F83" s="112">
        <v>0</v>
      </c>
      <c r="G83" s="114">
        <f t="shared" si="7"/>
        <v>0</v>
      </c>
      <c r="H83" s="115">
        <v>0</v>
      </c>
      <c r="I83" s="116">
        <f t="shared" si="8"/>
        <v>0</v>
      </c>
    </row>
    <row r="84" s="58" customFormat="1" spans="1:9">
      <c r="A84" s="80" t="s">
        <v>171</v>
      </c>
      <c r="B84" s="85" t="s">
        <v>172</v>
      </c>
      <c r="C84" s="112">
        <v>0</v>
      </c>
      <c r="D84" s="112">
        <v>0</v>
      </c>
      <c r="E84" s="113">
        <f t="shared" si="6"/>
        <v>0</v>
      </c>
      <c r="F84" s="112">
        <v>0</v>
      </c>
      <c r="G84" s="114">
        <f t="shared" si="7"/>
        <v>0</v>
      </c>
      <c r="H84" s="115">
        <v>0</v>
      </c>
      <c r="I84" s="116">
        <f t="shared" si="8"/>
        <v>0</v>
      </c>
    </row>
    <row r="85" s="58" customFormat="1" spans="1:9">
      <c r="A85" s="80" t="s">
        <v>173</v>
      </c>
      <c r="B85" s="119" t="s">
        <v>174</v>
      </c>
      <c r="C85" s="112">
        <v>0</v>
      </c>
      <c r="D85" s="112">
        <v>0</v>
      </c>
      <c r="E85" s="113">
        <f t="shared" si="6"/>
        <v>0</v>
      </c>
      <c r="F85" s="112">
        <v>0</v>
      </c>
      <c r="G85" s="114">
        <f t="shared" si="7"/>
        <v>0</v>
      </c>
      <c r="H85" s="115">
        <v>0</v>
      </c>
      <c r="I85" s="116">
        <f t="shared" si="8"/>
        <v>0</v>
      </c>
    </row>
    <row r="86" s="58" customFormat="1" spans="1:9">
      <c r="A86" s="80" t="s">
        <v>175</v>
      </c>
      <c r="B86" s="85" t="s">
        <v>176</v>
      </c>
      <c r="C86" s="112">
        <v>580046.05</v>
      </c>
      <c r="D86" s="112">
        <v>0</v>
      </c>
      <c r="E86" s="113">
        <f t="shared" si="6"/>
        <v>580046.05</v>
      </c>
      <c r="F86" s="112">
        <v>0</v>
      </c>
      <c r="G86" s="114">
        <f t="shared" si="7"/>
        <v>580046.05</v>
      </c>
      <c r="H86" s="115">
        <v>627027.5</v>
      </c>
      <c r="I86" s="116">
        <f t="shared" si="8"/>
        <v>46981.45</v>
      </c>
    </row>
    <row r="87" s="58" customFormat="1" spans="1:9">
      <c r="A87" s="80" t="s">
        <v>177</v>
      </c>
      <c r="B87" s="85" t="s">
        <v>178</v>
      </c>
      <c r="C87" s="112">
        <v>44334.75</v>
      </c>
      <c r="D87" s="112">
        <v>263080.66</v>
      </c>
      <c r="E87" s="113">
        <f t="shared" si="6"/>
        <v>307415.41</v>
      </c>
      <c r="F87" s="112">
        <v>0</v>
      </c>
      <c r="G87" s="114">
        <f t="shared" si="7"/>
        <v>307415.41</v>
      </c>
      <c r="H87" s="115">
        <v>217411.76</v>
      </c>
      <c r="I87" s="116">
        <f t="shared" si="8"/>
        <v>-90003.65</v>
      </c>
    </row>
    <row r="88" s="58" customFormat="1" spans="1:9">
      <c r="A88" s="118" t="s">
        <v>179</v>
      </c>
      <c r="B88" s="119" t="s">
        <v>180</v>
      </c>
      <c r="C88" s="112">
        <v>0</v>
      </c>
      <c r="D88" s="112">
        <v>0</v>
      </c>
      <c r="E88" s="113">
        <f t="shared" si="6"/>
        <v>0</v>
      </c>
      <c r="F88" s="112">
        <v>0</v>
      </c>
      <c r="G88" s="114">
        <f t="shared" si="7"/>
        <v>0</v>
      </c>
      <c r="H88" s="115">
        <v>119482.18</v>
      </c>
      <c r="I88" s="116">
        <f t="shared" si="8"/>
        <v>119482.18</v>
      </c>
    </row>
    <row r="89" spans="1:9">
      <c r="A89" s="77" t="s">
        <v>181</v>
      </c>
      <c r="B89" s="77" t="s">
        <v>182</v>
      </c>
      <c r="C89" s="112">
        <v>0</v>
      </c>
      <c r="D89" s="112">
        <v>0</v>
      </c>
      <c r="E89" s="113">
        <f t="shared" si="6"/>
        <v>0</v>
      </c>
      <c r="F89" s="112">
        <v>0</v>
      </c>
      <c r="G89" s="114">
        <f t="shared" si="7"/>
        <v>0</v>
      </c>
      <c r="H89" s="115"/>
      <c r="I89" s="116">
        <f t="shared" si="8"/>
        <v>0</v>
      </c>
    </row>
    <row r="90" spans="1:9">
      <c r="A90" s="91" t="s">
        <v>8</v>
      </c>
      <c r="B90" s="125"/>
      <c r="C90" s="112">
        <f t="shared" ref="C90:I90" si="9">SUM(C4:C89)</f>
        <v>10818220.37</v>
      </c>
      <c r="D90" s="126">
        <f t="shared" si="9"/>
        <v>5265268.65</v>
      </c>
      <c r="E90" s="126">
        <f t="shared" si="9"/>
        <v>16083489.02</v>
      </c>
      <c r="F90" s="126">
        <f t="shared" si="9"/>
        <v>1271564.5</v>
      </c>
      <c r="G90" s="126">
        <f t="shared" si="9"/>
        <v>14811924.52</v>
      </c>
      <c r="H90" s="127">
        <f t="shared" si="9"/>
        <v>12709487.08</v>
      </c>
      <c r="I90" s="127">
        <f t="shared" si="9"/>
        <v>-2102437.44</v>
      </c>
    </row>
    <row r="96" spans="1:9">
      <c r="E96" s="97"/>
    </row>
  </sheetData>
  <mergeCells count="6">
    <mergeCell ref="A1:I1"/>
    <mergeCell ref="C2:G2"/>
    <mergeCell ref="A2:A3"/>
    <mergeCell ref="B2:B3"/>
    <mergeCell ref="H2:H3"/>
    <mergeCell ref="I2:I3"/>
  </mergeCells>
  <pageMargins left="0.75" right="0.75" top="1" bottom="1" header="0.5" footer="0.5"/>
  <pageSetup paperSize="9" orientation="portrait" horizontalDpi="300" verticalDpi="300"/>
  <headerFooter alignWithMargins="0"/>
  <ignoredErrors>
    <ignoredError sqref="A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90"/>
  <sheetViews>
    <sheetView tabSelected="1" zoomScaleSheetLayoutView="60" topLeftCell="B1" workbookViewId="0">
      <selection activeCell="G13" sqref="G13"/>
    </sheetView>
  </sheetViews>
  <sheetFormatPr defaultColWidth="13.7142857142857" defaultRowHeight="12.75"/>
  <cols>
    <col min="1" max="1" width="12.7142857142857" customWidth="1"/>
    <col min="2" max="2" width="37.1428571428571" customWidth="1"/>
    <col min="3" max="5" width="18.5714285714286" customWidth="1"/>
    <col min="6" max="6" width="17.4285714285714" customWidth="1"/>
    <col min="7" max="7" width="18.5714285714286" customWidth="1"/>
    <col min="8" max="8" width="18.5714285714286" style="60" customWidth="1"/>
    <col min="9" max="9" width="17.8571428571429" customWidth="1"/>
  </cols>
  <sheetData>
    <row r="1" ht="28.5" customHeight="1" spans="1:9">
      <c r="A1" s="61" t="s">
        <v>183</v>
      </c>
      <c r="B1" s="61"/>
      <c r="C1" s="61"/>
      <c r="D1" s="61"/>
      <c r="E1" s="61"/>
      <c r="F1" s="61"/>
      <c r="G1" s="61"/>
      <c r="H1" s="62"/>
      <c r="I1" s="61"/>
    </row>
    <row r="2" spans="1:9">
      <c r="A2" s="63" t="s">
        <v>1</v>
      </c>
      <c r="B2" s="64" t="s">
        <v>2</v>
      </c>
      <c r="C2" s="65" t="s">
        <v>3</v>
      </c>
      <c r="D2" s="66"/>
      <c r="E2" s="66"/>
      <c r="F2" s="66"/>
      <c r="G2" s="66"/>
      <c r="H2" s="67" t="s">
        <v>184</v>
      </c>
      <c r="I2" s="68" t="s">
        <v>5</v>
      </c>
    </row>
    <row r="3" ht="22.5" spans="1:9">
      <c r="A3" s="63"/>
      <c r="B3" s="64"/>
      <c r="C3" s="63" t="s">
        <v>6</v>
      </c>
      <c r="D3" s="69" t="s">
        <v>185</v>
      </c>
      <c r="E3" s="63" t="s">
        <v>8</v>
      </c>
      <c r="F3" s="68" t="s">
        <v>9</v>
      </c>
      <c r="G3" s="68" t="s">
        <v>10</v>
      </c>
      <c r="H3" s="70"/>
      <c r="I3" s="66"/>
    </row>
    <row r="4" ht="18" customHeight="1" spans="1:9">
      <c r="A4" s="71" t="s">
        <v>11</v>
      </c>
      <c r="B4" s="72" t="s">
        <v>12</v>
      </c>
      <c r="C4" s="73">
        <v>38398.38</v>
      </c>
      <c r="D4" s="73">
        <v>0</v>
      </c>
      <c r="E4" s="74">
        <f>D4+C4</f>
        <v>38398.38</v>
      </c>
      <c r="F4" s="75">
        <v>0</v>
      </c>
      <c r="G4" s="75">
        <f>E4-F4</f>
        <v>38398.38</v>
      </c>
      <c r="H4" s="76">
        <v>0</v>
      </c>
      <c r="I4" s="75">
        <f>H4-G4</f>
        <v>-38398.38</v>
      </c>
    </row>
    <row r="5" ht="18" customHeight="1" spans="1:9">
      <c r="A5" s="77" t="s">
        <v>13</v>
      </c>
      <c r="B5" s="78" t="s">
        <v>14</v>
      </c>
      <c r="C5" s="73">
        <v>1621880.88</v>
      </c>
      <c r="D5" s="73">
        <v>0</v>
      </c>
      <c r="E5" s="74">
        <f t="shared" ref="E5:E36" si="0">D5+C5</f>
        <v>1621880.88</v>
      </c>
      <c r="F5" s="75">
        <v>0</v>
      </c>
      <c r="G5" s="75">
        <f t="shared" ref="G5:G36" si="1">E5-F5</f>
        <v>1621880.88</v>
      </c>
      <c r="H5" s="76">
        <v>0</v>
      </c>
      <c r="I5" s="75">
        <f t="shared" ref="I5:I36" si="2">H5-G5</f>
        <v>-1621880.88</v>
      </c>
    </row>
    <row r="6" ht="18" customHeight="1" spans="1:9">
      <c r="A6" s="77" t="s">
        <v>15</v>
      </c>
      <c r="B6" s="79" t="s">
        <v>16</v>
      </c>
      <c r="C6" s="73">
        <v>0</v>
      </c>
      <c r="D6" s="73">
        <v>0</v>
      </c>
      <c r="E6" s="74">
        <f t="shared" si="0"/>
        <v>0</v>
      </c>
      <c r="F6" s="75">
        <v>0</v>
      </c>
      <c r="G6" s="75">
        <f t="shared" si="1"/>
        <v>0</v>
      </c>
      <c r="H6" s="76">
        <v>0</v>
      </c>
      <c r="I6" s="75">
        <f t="shared" si="2"/>
        <v>0</v>
      </c>
    </row>
    <row r="7" s="58" customFormat="1" ht="18" customHeight="1" spans="1:9">
      <c r="A7" s="80" t="s">
        <v>17</v>
      </c>
      <c r="B7" s="81" t="s">
        <v>18</v>
      </c>
      <c r="C7" s="73">
        <v>51632.39</v>
      </c>
      <c r="D7" s="73">
        <v>4288902.64</v>
      </c>
      <c r="E7" s="82">
        <f t="shared" si="0"/>
        <v>4340535.03</v>
      </c>
      <c r="F7" s="83">
        <v>2483367.61</v>
      </c>
      <c r="G7" s="75">
        <f t="shared" si="1"/>
        <v>1857167.42</v>
      </c>
      <c r="H7" s="76">
        <v>2229927.33</v>
      </c>
      <c r="I7" s="75">
        <f t="shared" si="2"/>
        <v>372759.91</v>
      </c>
    </row>
    <row r="8" ht="18" customHeight="1" spans="1:9">
      <c r="A8" s="77" t="s">
        <v>19</v>
      </c>
      <c r="B8" s="79" t="s">
        <v>20</v>
      </c>
      <c r="C8" s="73">
        <v>1408638.93</v>
      </c>
      <c r="D8" s="73">
        <v>3874616.62</v>
      </c>
      <c r="E8" s="74">
        <f t="shared" si="0"/>
        <v>5283255.55</v>
      </c>
      <c r="F8" s="75">
        <v>2428999.31</v>
      </c>
      <c r="G8" s="75">
        <f t="shared" si="1"/>
        <v>2854256.24</v>
      </c>
      <c r="H8" s="76">
        <v>2031874.59</v>
      </c>
      <c r="I8" s="75">
        <f t="shared" si="2"/>
        <v>-822381.65</v>
      </c>
    </row>
    <row r="9" ht="18" customHeight="1" spans="1:9">
      <c r="A9" s="77" t="s">
        <v>21</v>
      </c>
      <c r="B9" s="79" t="s">
        <v>22</v>
      </c>
      <c r="C9" s="73">
        <v>447199.05</v>
      </c>
      <c r="D9" s="73">
        <v>0</v>
      </c>
      <c r="E9" s="74">
        <f t="shared" si="0"/>
        <v>447199.05</v>
      </c>
      <c r="F9" s="75">
        <v>0</v>
      </c>
      <c r="G9" s="75">
        <f t="shared" si="1"/>
        <v>447199.05</v>
      </c>
      <c r="H9" s="76">
        <v>447882.86</v>
      </c>
      <c r="I9" s="75">
        <f t="shared" si="2"/>
        <v>683.809999999998</v>
      </c>
    </row>
    <row r="10" ht="18" customHeight="1" spans="1:9">
      <c r="A10" s="77" t="s">
        <v>23</v>
      </c>
      <c r="B10" s="79" t="s">
        <v>24</v>
      </c>
      <c r="C10" s="73">
        <v>1942087.54</v>
      </c>
      <c r="D10" s="73">
        <v>2401175.34</v>
      </c>
      <c r="E10" s="74">
        <f t="shared" si="0"/>
        <v>4343262.88</v>
      </c>
      <c r="F10" s="75">
        <v>2125290.44</v>
      </c>
      <c r="G10" s="75">
        <f t="shared" si="1"/>
        <v>2217972.44</v>
      </c>
      <c r="H10" s="76">
        <v>1265781.03</v>
      </c>
      <c r="I10" s="75">
        <f t="shared" si="2"/>
        <v>-952191.41</v>
      </c>
    </row>
    <row r="11" s="58" customFormat="1" ht="18" customHeight="1" spans="1:9">
      <c r="A11" s="77" t="s">
        <v>25</v>
      </c>
      <c r="B11" s="79" t="s">
        <v>26</v>
      </c>
      <c r="C11" s="73">
        <v>118163.56</v>
      </c>
      <c r="D11" s="73">
        <v>5408093.8</v>
      </c>
      <c r="E11" s="74">
        <f t="shared" si="0"/>
        <v>5526257.36</v>
      </c>
      <c r="F11" s="83">
        <v>2675420.34</v>
      </c>
      <c r="G11" s="75">
        <f t="shared" si="1"/>
        <v>2850837.02</v>
      </c>
      <c r="H11" s="76">
        <v>3056388.83</v>
      </c>
      <c r="I11" s="75">
        <f t="shared" si="2"/>
        <v>205551.81</v>
      </c>
    </row>
    <row r="12" s="58" customFormat="1" ht="18" customHeight="1" spans="1:9">
      <c r="A12" s="77" t="s">
        <v>27</v>
      </c>
      <c r="B12" s="78" t="s">
        <v>28</v>
      </c>
      <c r="C12" s="73">
        <v>0</v>
      </c>
      <c r="D12" s="73">
        <v>7037139.58</v>
      </c>
      <c r="E12" s="74">
        <f t="shared" si="0"/>
        <v>7037139.58</v>
      </c>
      <c r="F12" s="83">
        <v>3906539.76</v>
      </c>
      <c r="G12" s="75">
        <f t="shared" si="1"/>
        <v>3130599.82</v>
      </c>
      <c r="H12" s="76">
        <v>2476121.02</v>
      </c>
      <c r="I12" s="75">
        <f t="shared" si="2"/>
        <v>-654478.8</v>
      </c>
    </row>
    <row r="13" s="58" customFormat="1" ht="18" customHeight="1" spans="1:9">
      <c r="A13" s="77" t="s">
        <v>29</v>
      </c>
      <c r="B13" s="79" t="s">
        <v>30</v>
      </c>
      <c r="C13" s="73">
        <v>0</v>
      </c>
      <c r="D13" s="73">
        <v>4241785.47</v>
      </c>
      <c r="E13" s="74">
        <f t="shared" si="0"/>
        <v>4241785.47</v>
      </c>
      <c r="F13" s="83">
        <v>2154762.09</v>
      </c>
      <c r="G13" s="75">
        <f t="shared" si="1"/>
        <v>2087023.38</v>
      </c>
      <c r="H13" s="76">
        <v>2168870.08</v>
      </c>
      <c r="I13" s="75">
        <f t="shared" si="2"/>
        <v>81846.7000000002</v>
      </c>
    </row>
    <row r="14" ht="18" customHeight="1" spans="1:9">
      <c r="A14" s="77" t="s">
        <v>31</v>
      </c>
      <c r="B14" s="79" t="s">
        <v>32</v>
      </c>
      <c r="C14" s="73">
        <v>1670587.62</v>
      </c>
      <c r="D14" s="73">
        <v>0</v>
      </c>
      <c r="E14" s="74">
        <f t="shared" si="0"/>
        <v>1670587.62</v>
      </c>
      <c r="F14" s="75">
        <v>0</v>
      </c>
      <c r="G14" s="75">
        <f t="shared" si="1"/>
        <v>1670587.62</v>
      </c>
      <c r="H14" s="76">
        <v>1663298.74</v>
      </c>
      <c r="I14" s="75">
        <f t="shared" si="2"/>
        <v>-7288.88000000012</v>
      </c>
    </row>
    <row r="15" ht="18" customHeight="1" spans="1:9">
      <c r="A15" s="77" t="s">
        <v>33</v>
      </c>
      <c r="B15" s="79" t="s">
        <v>34</v>
      </c>
      <c r="C15" s="73">
        <v>1320366.57</v>
      </c>
      <c r="D15" s="73">
        <v>2980865.79</v>
      </c>
      <c r="E15" s="74">
        <f t="shared" si="0"/>
        <v>4301232.36</v>
      </c>
      <c r="F15" s="75">
        <v>0</v>
      </c>
      <c r="G15" s="75">
        <f t="shared" si="1"/>
        <v>4301232.36</v>
      </c>
      <c r="H15" s="76">
        <v>3438594.89</v>
      </c>
      <c r="I15" s="75">
        <f t="shared" si="2"/>
        <v>-862637.47</v>
      </c>
    </row>
    <row r="16" ht="18" customHeight="1" spans="1:9">
      <c r="A16" s="77" t="s">
        <v>35</v>
      </c>
      <c r="B16" s="78" t="s">
        <v>36</v>
      </c>
      <c r="C16" s="73">
        <v>11106684.2</v>
      </c>
      <c r="D16" s="73">
        <v>0</v>
      </c>
      <c r="E16" s="74">
        <f t="shared" si="0"/>
        <v>11106684.2</v>
      </c>
      <c r="F16" s="75">
        <v>0</v>
      </c>
      <c r="G16" s="75">
        <f t="shared" si="1"/>
        <v>11106684.2</v>
      </c>
      <c r="H16" s="76">
        <v>10471755.2</v>
      </c>
      <c r="I16" s="75">
        <f t="shared" si="2"/>
        <v>-634929</v>
      </c>
    </row>
    <row r="17" ht="18" customHeight="1" spans="1:9">
      <c r="A17" s="77" t="s">
        <v>37</v>
      </c>
      <c r="B17" s="78" t="s">
        <v>38</v>
      </c>
      <c r="C17" s="73">
        <v>18640689.85</v>
      </c>
      <c r="D17" s="73">
        <v>0</v>
      </c>
      <c r="E17" s="74">
        <f t="shared" si="0"/>
        <v>18640689.85</v>
      </c>
      <c r="F17" s="75">
        <v>0</v>
      </c>
      <c r="G17" s="75">
        <f t="shared" si="1"/>
        <v>18640689.85</v>
      </c>
      <c r="H17" s="76">
        <v>12010886.41</v>
      </c>
      <c r="I17" s="75">
        <f t="shared" si="2"/>
        <v>-6629803.44</v>
      </c>
    </row>
    <row r="18" ht="18" customHeight="1" spans="1:9">
      <c r="A18" s="77" t="s">
        <v>39</v>
      </c>
      <c r="B18" s="78" t="s">
        <v>40</v>
      </c>
      <c r="C18" s="73">
        <v>16113978.04</v>
      </c>
      <c r="D18" s="73">
        <v>0</v>
      </c>
      <c r="E18" s="74">
        <f t="shared" si="0"/>
        <v>16113978.04</v>
      </c>
      <c r="F18" s="75">
        <v>0</v>
      </c>
      <c r="G18" s="75">
        <f t="shared" si="1"/>
        <v>16113978.04</v>
      </c>
      <c r="H18" s="76">
        <v>14942615.48</v>
      </c>
      <c r="I18" s="75">
        <f t="shared" si="2"/>
        <v>-1171362.56</v>
      </c>
    </row>
    <row r="19" s="58" customFormat="1" ht="18" customHeight="1" spans="1:9">
      <c r="A19" s="77" t="s">
        <v>41</v>
      </c>
      <c r="B19" s="79" t="s">
        <v>42</v>
      </c>
      <c r="C19" s="73">
        <v>1449285.8</v>
      </c>
      <c r="D19" s="73">
        <v>4973500.82</v>
      </c>
      <c r="E19" s="74">
        <f t="shared" si="0"/>
        <v>6422786.62</v>
      </c>
      <c r="F19" s="83">
        <v>2744473.98</v>
      </c>
      <c r="G19" s="75">
        <f t="shared" si="1"/>
        <v>3678312.64</v>
      </c>
      <c r="H19" s="76">
        <v>1639655.38</v>
      </c>
      <c r="I19" s="75">
        <f t="shared" si="2"/>
        <v>-2038657.26</v>
      </c>
    </row>
    <row r="20" ht="18" customHeight="1" spans="1:9">
      <c r="A20" s="77" t="s">
        <v>43</v>
      </c>
      <c r="B20" s="79" t="s">
        <v>44</v>
      </c>
      <c r="C20" s="73">
        <v>-57142</v>
      </c>
      <c r="D20" s="73">
        <v>0</v>
      </c>
      <c r="E20" s="74">
        <f t="shared" si="0"/>
        <v>-57142</v>
      </c>
      <c r="F20" s="75">
        <v>0</v>
      </c>
      <c r="G20" s="75">
        <f t="shared" si="1"/>
        <v>-57142</v>
      </c>
      <c r="H20" s="76">
        <v>0</v>
      </c>
      <c r="I20" s="75">
        <f t="shared" si="2"/>
        <v>57142</v>
      </c>
    </row>
    <row r="21" ht="18" customHeight="1" spans="1:9">
      <c r="A21" s="77" t="s">
        <v>45</v>
      </c>
      <c r="B21" s="79" t="s">
        <v>46</v>
      </c>
      <c r="C21" s="73">
        <v>849513.9</v>
      </c>
      <c r="D21" s="73">
        <v>2206060.6</v>
      </c>
      <c r="E21" s="74">
        <f t="shared" si="0"/>
        <v>3055574.5</v>
      </c>
      <c r="F21" s="75">
        <v>0</v>
      </c>
      <c r="G21" s="75">
        <f t="shared" si="1"/>
        <v>3055574.5</v>
      </c>
      <c r="H21" s="76">
        <v>2188675.1</v>
      </c>
      <c r="I21" s="75">
        <f t="shared" si="2"/>
        <v>-866899.4</v>
      </c>
    </row>
    <row r="22" ht="18" customHeight="1" spans="1:9">
      <c r="A22" s="77" t="s">
        <v>47</v>
      </c>
      <c r="B22" s="79" t="s">
        <v>48</v>
      </c>
      <c r="C22" s="73">
        <v>1513179.9</v>
      </c>
      <c r="D22" s="73">
        <v>0</v>
      </c>
      <c r="E22" s="74">
        <f t="shared" si="0"/>
        <v>1513179.9</v>
      </c>
      <c r="F22" s="75">
        <v>0</v>
      </c>
      <c r="G22" s="75">
        <f t="shared" si="1"/>
        <v>1513179.9</v>
      </c>
      <c r="H22" s="76">
        <v>1640819.32</v>
      </c>
      <c r="I22" s="75">
        <f t="shared" si="2"/>
        <v>127639.42</v>
      </c>
    </row>
    <row r="23" ht="18" customHeight="1" spans="1:9">
      <c r="A23" s="77" t="s">
        <v>49</v>
      </c>
      <c r="B23" s="79" t="s">
        <v>50</v>
      </c>
      <c r="C23" s="73">
        <v>1196495.05</v>
      </c>
      <c r="D23" s="73">
        <v>0</v>
      </c>
      <c r="E23" s="74">
        <f t="shared" si="0"/>
        <v>1196495.05</v>
      </c>
      <c r="F23" s="75">
        <v>0</v>
      </c>
      <c r="G23" s="75">
        <f t="shared" si="1"/>
        <v>1196495.05</v>
      </c>
      <c r="H23" s="76">
        <v>1383359.01</v>
      </c>
      <c r="I23" s="75">
        <f t="shared" si="2"/>
        <v>186863.96</v>
      </c>
    </row>
    <row r="24" ht="18" customHeight="1" spans="1:9">
      <c r="A24" s="77" t="s">
        <v>51</v>
      </c>
      <c r="B24" s="79" t="s">
        <v>52</v>
      </c>
      <c r="C24" s="73">
        <v>602135.4</v>
      </c>
      <c r="D24" s="73">
        <v>362493.05</v>
      </c>
      <c r="E24" s="74">
        <f t="shared" si="0"/>
        <v>964628.45</v>
      </c>
      <c r="F24" s="75">
        <v>0</v>
      </c>
      <c r="G24" s="75">
        <f t="shared" si="1"/>
        <v>964628.45</v>
      </c>
      <c r="H24" s="76">
        <v>1327385.51</v>
      </c>
      <c r="I24" s="75">
        <f t="shared" si="2"/>
        <v>362757.06</v>
      </c>
    </row>
    <row r="25" ht="18" customHeight="1" spans="1:9">
      <c r="A25" s="77" t="s">
        <v>53</v>
      </c>
      <c r="B25" s="79" t="s">
        <v>54</v>
      </c>
      <c r="C25" s="73">
        <v>4465150.08</v>
      </c>
      <c r="D25" s="73">
        <v>0</v>
      </c>
      <c r="E25" s="74">
        <f t="shared" si="0"/>
        <v>4465150.08</v>
      </c>
      <c r="F25" s="75">
        <v>0</v>
      </c>
      <c r="G25" s="75">
        <f t="shared" si="1"/>
        <v>4465150.08</v>
      </c>
      <c r="H25" s="76">
        <v>5487607.81</v>
      </c>
      <c r="I25" s="75">
        <f t="shared" si="2"/>
        <v>1022457.73</v>
      </c>
    </row>
    <row r="26" ht="18" customHeight="1" spans="1:9">
      <c r="A26" s="77" t="s">
        <v>55</v>
      </c>
      <c r="B26" s="77" t="s">
        <v>56</v>
      </c>
      <c r="C26" s="73">
        <v>734305.01</v>
      </c>
      <c r="D26" s="73">
        <v>0</v>
      </c>
      <c r="E26" s="74">
        <f t="shared" si="0"/>
        <v>734305.01</v>
      </c>
      <c r="F26" s="75">
        <v>0</v>
      </c>
      <c r="G26" s="75">
        <f t="shared" si="1"/>
        <v>734305.01</v>
      </c>
      <c r="H26" s="76">
        <v>2454004.54</v>
      </c>
      <c r="I26" s="75">
        <f t="shared" si="2"/>
        <v>1719699.53</v>
      </c>
    </row>
    <row r="27" ht="18" customHeight="1" spans="1:9">
      <c r="A27" s="77" t="s">
        <v>57</v>
      </c>
      <c r="B27" s="79" t="s">
        <v>58</v>
      </c>
      <c r="C27" s="73">
        <v>1545468.07</v>
      </c>
      <c r="D27" s="73">
        <v>0</v>
      </c>
      <c r="E27" s="74">
        <f t="shared" si="0"/>
        <v>1545468.07</v>
      </c>
      <c r="F27" s="75">
        <v>0</v>
      </c>
      <c r="G27" s="75">
        <f t="shared" si="1"/>
        <v>1545468.07</v>
      </c>
      <c r="H27" s="76">
        <v>1394606.8</v>
      </c>
      <c r="I27" s="75">
        <f t="shared" si="2"/>
        <v>-150861.27</v>
      </c>
    </row>
    <row r="28" ht="18" customHeight="1" spans="1:9">
      <c r="A28" s="77" t="s">
        <v>59</v>
      </c>
      <c r="B28" s="79" t="s">
        <v>60</v>
      </c>
      <c r="C28" s="73">
        <v>1169844.2</v>
      </c>
      <c r="D28" s="73">
        <v>0</v>
      </c>
      <c r="E28" s="74">
        <f t="shared" si="0"/>
        <v>1169844.2</v>
      </c>
      <c r="F28" s="75">
        <v>0</v>
      </c>
      <c r="G28" s="75">
        <f t="shared" si="1"/>
        <v>1169844.2</v>
      </c>
      <c r="H28" s="76">
        <v>1978642.93</v>
      </c>
      <c r="I28" s="75">
        <f t="shared" si="2"/>
        <v>808798.73</v>
      </c>
    </row>
    <row r="29" ht="18" customHeight="1" spans="1:9">
      <c r="A29" s="77" t="s">
        <v>61</v>
      </c>
      <c r="B29" s="79" t="s">
        <v>62</v>
      </c>
      <c r="C29" s="73">
        <v>1574356.56</v>
      </c>
      <c r="D29" s="73">
        <v>0</v>
      </c>
      <c r="E29" s="74">
        <f t="shared" si="0"/>
        <v>1574356.56</v>
      </c>
      <c r="F29" s="75">
        <v>0</v>
      </c>
      <c r="G29" s="75">
        <f t="shared" si="1"/>
        <v>1574356.56</v>
      </c>
      <c r="H29" s="76">
        <v>989789.45</v>
      </c>
      <c r="I29" s="75">
        <f t="shared" si="2"/>
        <v>-584567.11</v>
      </c>
    </row>
    <row r="30" ht="18" customHeight="1" spans="1:9">
      <c r="A30" s="77" t="s">
        <v>63</v>
      </c>
      <c r="B30" s="79" t="s">
        <v>64</v>
      </c>
      <c r="C30" s="73">
        <v>1215840.95</v>
      </c>
      <c r="D30" s="73">
        <v>0</v>
      </c>
      <c r="E30" s="74">
        <f t="shared" si="0"/>
        <v>1215840.95</v>
      </c>
      <c r="F30" s="75">
        <v>0</v>
      </c>
      <c r="G30" s="75">
        <f t="shared" si="1"/>
        <v>1215840.95</v>
      </c>
      <c r="H30" s="76">
        <v>1518218.19</v>
      </c>
      <c r="I30" s="75">
        <f t="shared" si="2"/>
        <v>302377.24</v>
      </c>
    </row>
    <row r="31" ht="18" customHeight="1" spans="1:9">
      <c r="A31" s="77" t="s">
        <v>65</v>
      </c>
      <c r="B31" s="79" t="s">
        <v>66</v>
      </c>
      <c r="C31" s="73">
        <v>619030.33</v>
      </c>
      <c r="D31" s="73">
        <v>0</v>
      </c>
      <c r="E31" s="74">
        <f t="shared" si="0"/>
        <v>619030.33</v>
      </c>
      <c r="F31" s="75">
        <v>0</v>
      </c>
      <c r="G31" s="75">
        <f t="shared" si="1"/>
        <v>619030.33</v>
      </c>
      <c r="H31" s="76">
        <v>732705.87</v>
      </c>
      <c r="I31" s="75">
        <f t="shared" si="2"/>
        <v>113675.54</v>
      </c>
    </row>
    <row r="32" ht="18" customHeight="1" spans="1:9">
      <c r="A32" s="77" t="s">
        <v>67</v>
      </c>
      <c r="B32" s="79" t="s">
        <v>68</v>
      </c>
      <c r="C32" s="73">
        <v>813533.48</v>
      </c>
      <c r="D32" s="73">
        <v>0</v>
      </c>
      <c r="E32" s="74">
        <f t="shared" si="0"/>
        <v>813533.48</v>
      </c>
      <c r="F32" s="75">
        <v>0</v>
      </c>
      <c r="G32" s="75">
        <f t="shared" si="1"/>
        <v>813533.48</v>
      </c>
      <c r="H32" s="76">
        <v>0</v>
      </c>
      <c r="I32" s="75">
        <f t="shared" si="2"/>
        <v>-813533.48</v>
      </c>
    </row>
    <row r="33" ht="18" customHeight="1" spans="1:9">
      <c r="A33" s="77" t="s">
        <v>69</v>
      </c>
      <c r="B33" s="79" t="s">
        <v>70</v>
      </c>
      <c r="C33" s="73">
        <v>1590515.5</v>
      </c>
      <c r="D33" s="73">
        <v>0</v>
      </c>
      <c r="E33" s="74">
        <f t="shared" si="0"/>
        <v>1590515.5</v>
      </c>
      <c r="F33" s="75">
        <v>0</v>
      </c>
      <c r="G33" s="75">
        <f t="shared" si="1"/>
        <v>1590515.5</v>
      </c>
      <c r="H33" s="76">
        <v>1641217.74</v>
      </c>
      <c r="I33" s="75">
        <f t="shared" si="2"/>
        <v>50702.24</v>
      </c>
    </row>
    <row r="34" ht="18" customHeight="1" spans="1:9">
      <c r="A34" s="77" t="s">
        <v>71</v>
      </c>
      <c r="B34" s="79" t="s">
        <v>72</v>
      </c>
      <c r="C34" s="73">
        <v>563077.31</v>
      </c>
      <c r="D34" s="73">
        <v>0</v>
      </c>
      <c r="E34" s="74">
        <f t="shared" si="0"/>
        <v>563077.31</v>
      </c>
      <c r="F34" s="75">
        <v>0</v>
      </c>
      <c r="G34" s="75">
        <f t="shared" si="1"/>
        <v>563077.31</v>
      </c>
      <c r="H34" s="76">
        <v>570786.27</v>
      </c>
      <c r="I34" s="75">
        <f t="shared" si="2"/>
        <v>7708.95999999996</v>
      </c>
    </row>
    <row r="35" ht="18" customHeight="1" spans="1:9">
      <c r="A35" s="77" t="s">
        <v>73</v>
      </c>
      <c r="B35" s="79" t="s">
        <v>74</v>
      </c>
      <c r="C35" s="73">
        <v>761860.69</v>
      </c>
      <c r="D35" s="73">
        <v>0</v>
      </c>
      <c r="E35" s="74">
        <f t="shared" si="0"/>
        <v>761860.69</v>
      </c>
      <c r="F35" s="75">
        <v>0</v>
      </c>
      <c r="G35" s="75">
        <f t="shared" si="1"/>
        <v>761860.69</v>
      </c>
      <c r="H35" s="76">
        <v>1179670.8</v>
      </c>
      <c r="I35" s="75">
        <f t="shared" si="2"/>
        <v>417810.11</v>
      </c>
    </row>
    <row r="36" ht="18" customHeight="1" spans="1:9">
      <c r="A36" s="77" t="s">
        <v>75</v>
      </c>
      <c r="B36" s="77" t="s">
        <v>76</v>
      </c>
      <c r="C36" s="73">
        <v>0</v>
      </c>
      <c r="D36" s="73">
        <v>0</v>
      </c>
      <c r="E36" s="74">
        <f t="shared" si="0"/>
        <v>0</v>
      </c>
      <c r="F36" s="75">
        <v>0</v>
      </c>
      <c r="G36" s="75">
        <f t="shared" si="1"/>
        <v>0</v>
      </c>
      <c r="H36" s="76">
        <v>1533731.12</v>
      </c>
      <c r="I36" s="75">
        <f t="shared" si="2"/>
        <v>1533731.12</v>
      </c>
    </row>
    <row r="37" ht="18" customHeight="1" spans="1:9">
      <c r="A37" s="77" t="s">
        <v>77</v>
      </c>
      <c r="B37" s="77" t="s">
        <v>78</v>
      </c>
      <c r="C37" s="73">
        <v>0</v>
      </c>
      <c r="D37" s="73">
        <v>0</v>
      </c>
      <c r="E37" s="74">
        <f t="shared" ref="E37:E72" si="3">D37+C37</f>
        <v>0</v>
      </c>
      <c r="F37" s="75">
        <v>0</v>
      </c>
      <c r="G37" s="75">
        <f t="shared" ref="G37:G81" si="4">E37-F37</f>
        <v>0</v>
      </c>
      <c r="H37" s="76">
        <v>1995197.36</v>
      </c>
      <c r="I37" s="75">
        <f t="shared" ref="I37:I68" si="5">H37-G37</f>
        <v>1995197.36</v>
      </c>
    </row>
    <row r="38" ht="18" customHeight="1" spans="1:9">
      <c r="A38" s="77" t="s">
        <v>79</v>
      </c>
      <c r="B38" s="79" t="s">
        <v>80</v>
      </c>
      <c r="C38" s="73">
        <v>993738.98</v>
      </c>
      <c r="D38" s="73">
        <v>453416.1</v>
      </c>
      <c r="E38" s="74">
        <f t="shared" si="3"/>
        <v>1447155.08</v>
      </c>
      <c r="F38" s="75">
        <v>0</v>
      </c>
      <c r="G38" s="75">
        <f t="shared" si="4"/>
        <v>1447155.08</v>
      </c>
      <c r="H38" s="76">
        <v>974747.99</v>
      </c>
      <c r="I38" s="75">
        <f t="shared" si="5"/>
        <v>-472407.09</v>
      </c>
    </row>
    <row r="39" ht="18" customHeight="1" spans="1:9">
      <c r="A39" s="77" t="s">
        <v>81</v>
      </c>
      <c r="B39" s="79" t="s">
        <v>82</v>
      </c>
      <c r="C39" s="73">
        <v>2223138.91</v>
      </c>
      <c r="D39" s="73">
        <v>0</v>
      </c>
      <c r="E39" s="74">
        <f t="shared" si="3"/>
        <v>2223138.91</v>
      </c>
      <c r="F39" s="75">
        <v>0</v>
      </c>
      <c r="G39" s="75">
        <f t="shared" si="4"/>
        <v>2223138.91</v>
      </c>
      <c r="H39" s="76">
        <v>1445400.42</v>
      </c>
      <c r="I39" s="75">
        <f t="shared" si="5"/>
        <v>-777738.49</v>
      </c>
    </row>
    <row r="40" ht="18" customHeight="1" spans="1:9">
      <c r="A40" s="77" t="s">
        <v>83</v>
      </c>
      <c r="B40" s="79" t="s">
        <v>84</v>
      </c>
      <c r="C40" s="73">
        <v>695015</v>
      </c>
      <c r="D40" s="73">
        <v>0</v>
      </c>
      <c r="E40" s="74">
        <f t="shared" si="3"/>
        <v>695015</v>
      </c>
      <c r="F40" s="75">
        <v>0</v>
      </c>
      <c r="G40" s="75">
        <f t="shared" si="4"/>
        <v>695015</v>
      </c>
      <c r="H40" s="76">
        <v>0</v>
      </c>
      <c r="I40" s="75">
        <f t="shared" si="5"/>
        <v>-695015</v>
      </c>
    </row>
    <row r="41" ht="18" customHeight="1" spans="1:9">
      <c r="A41" s="77" t="s">
        <v>85</v>
      </c>
      <c r="B41" s="79" t="s">
        <v>86</v>
      </c>
      <c r="C41" s="73">
        <v>4847034.51</v>
      </c>
      <c r="D41" s="73">
        <v>0</v>
      </c>
      <c r="E41" s="74">
        <f t="shared" si="3"/>
        <v>4847034.51</v>
      </c>
      <c r="F41" s="75">
        <v>0</v>
      </c>
      <c r="G41" s="75">
        <f t="shared" si="4"/>
        <v>4847034.51</v>
      </c>
      <c r="H41" s="76">
        <v>1565367.81</v>
      </c>
      <c r="I41" s="75">
        <f t="shared" si="5"/>
        <v>-3281666.7</v>
      </c>
    </row>
    <row r="42" ht="18" customHeight="1" spans="1:9">
      <c r="A42" s="77" t="s">
        <v>87</v>
      </c>
      <c r="B42" s="79" t="s">
        <v>88</v>
      </c>
      <c r="C42" s="73">
        <v>4499997.99</v>
      </c>
      <c r="D42" s="73">
        <v>1586829.8</v>
      </c>
      <c r="E42" s="74">
        <f t="shared" si="3"/>
        <v>6086827.79</v>
      </c>
      <c r="F42" s="75">
        <v>0</v>
      </c>
      <c r="G42" s="75">
        <f t="shared" si="4"/>
        <v>6086827.79</v>
      </c>
      <c r="H42" s="76">
        <v>4710662.65</v>
      </c>
      <c r="I42" s="75">
        <f t="shared" si="5"/>
        <v>-1376165.14</v>
      </c>
    </row>
    <row r="43" s="58" customFormat="1" ht="18" customHeight="1" spans="1:9">
      <c r="A43" s="77" t="s">
        <v>89</v>
      </c>
      <c r="B43" s="79" t="s">
        <v>90</v>
      </c>
      <c r="C43" s="73">
        <v>24780.5</v>
      </c>
      <c r="D43" s="73">
        <v>4932768.98</v>
      </c>
      <c r="E43" s="74">
        <f t="shared" si="3"/>
        <v>4957549.48</v>
      </c>
      <c r="F43" s="83">
        <v>231592.05</v>
      </c>
      <c r="G43" s="75">
        <f t="shared" si="4"/>
        <v>4725957.43</v>
      </c>
      <c r="H43" s="76">
        <v>3713205.36</v>
      </c>
      <c r="I43" s="75">
        <f t="shared" si="5"/>
        <v>-1012752.07</v>
      </c>
    </row>
    <row r="44" ht="18" customHeight="1" spans="1:9">
      <c r="A44" s="77" t="s">
        <v>91</v>
      </c>
      <c r="B44" s="79" t="s">
        <v>92</v>
      </c>
      <c r="C44" s="73">
        <v>0</v>
      </c>
      <c r="D44" s="73">
        <v>5534209.5</v>
      </c>
      <c r="E44" s="74">
        <f t="shared" si="3"/>
        <v>5534209.5</v>
      </c>
      <c r="F44" s="75">
        <v>0</v>
      </c>
      <c r="G44" s="75">
        <f t="shared" si="4"/>
        <v>5534209.5</v>
      </c>
      <c r="H44" s="76">
        <v>0</v>
      </c>
      <c r="I44" s="75">
        <f t="shared" si="5"/>
        <v>-5534209.5</v>
      </c>
    </row>
    <row r="45" ht="18" customHeight="1" spans="1:9">
      <c r="A45" s="77" t="s">
        <v>93</v>
      </c>
      <c r="B45" s="79" t="s">
        <v>94</v>
      </c>
      <c r="C45" s="73">
        <v>0</v>
      </c>
      <c r="D45" s="73">
        <v>4758363.04</v>
      </c>
      <c r="E45" s="74">
        <f t="shared" si="3"/>
        <v>4758363.04</v>
      </c>
      <c r="F45" s="75">
        <v>297741.84</v>
      </c>
      <c r="G45" s="75">
        <f t="shared" si="4"/>
        <v>4460621.2</v>
      </c>
      <c r="H45" s="76">
        <v>4294834.34</v>
      </c>
      <c r="I45" s="75">
        <f t="shared" si="5"/>
        <v>-165786.86</v>
      </c>
    </row>
    <row r="46" ht="18" customHeight="1" spans="1:9">
      <c r="A46" s="77" t="s">
        <v>95</v>
      </c>
      <c r="B46" s="79" t="s">
        <v>96</v>
      </c>
      <c r="C46" s="73">
        <v>1716825.53</v>
      </c>
      <c r="D46" s="73">
        <v>0</v>
      </c>
      <c r="E46" s="74">
        <f t="shared" si="3"/>
        <v>1716825.53</v>
      </c>
      <c r="F46" s="75">
        <v>0</v>
      </c>
      <c r="G46" s="75">
        <f t="shared" si="4"/>
        <v>1716825.53</v>
      </c>
      <c r="H46" s="76">
        <v>1723914.96</v>
      </c>
      <c r="I46" s="75">
        <f t="shared" si="5"/>
        <v>7089.42999999993</v>
      </c>
    </row>
    <row r="47" ht="18" customHeight="1" spans="1:9">
      <c r="A47" s="77" t="s">
        <v>97</v>
      </c>
      <c r="B47" s="79" t="s">
        <v>98</v>
      </c>
      <c r="C47" s="73">
        <v>564798.36</v>
      </c>
      <c r="D47" s="73">
        <v>353699.31</v>
      </c>
      <c r="E47" s="74">
        <f t="shared" si="3"/>
        <v>918497.67</v>
      </c>
      <c r="F47" s="75">
        <v>0</v>
      </c>
      <c r="G47" s="75">
        <f t="shared" si="4"/>
        <v>918497.67</v>
      </c>
      <c r="H47" s="76">
        <v>0</v>
      </c>
      <c r="I47" s="75">
        <f t="shared" si="5"/>
        <v>-918497.67</v>
      </c>
    </row>
    <row r="48" ht="18" customHeight="1" spans="1:9">
      <c r="A48" s="77" t="s">
        <v>99</v>
      </c>
      <c r="B48" s="79" t="s">
        <v>100</v>
      </c>
      <c r="C48" s="73">
        <v>313004.13</v>
      </c>
      <c r="D48" s="73">
        <v>0</v>
      </c>
      <c r="E48" s="74">
        <f t="shared" si="3"/>
        <v>313004.13</v>
      </c>
      <c r="F48" s="75">
        <v>0</v>
      </c>
      <c r="G48" s="75">
        <f t="shared" si="4"/>
        <v>313004.13</v>
      </c>
      <c r="H48" s="76">
        <v>4951812.33</v>
      </c>
      <c r="I48" s="75">
        <f t="shared" si="5"/>
        <v>4638808.2</v>
      </c>
    </row>
    <row r="49" ht="18" customHeight="1" spans="1:9">
      <c r="A49" s="77" t="s">
        <v>101</v>
      </c>
      <c r="B49" s="79" t="s">
        <v>102</v>
      </c>
      <c r="C49" s="73">
        <v>0</v>
      </c>
      <c r="D49" s="73">
        <v>0</v>
      </c>
      <c r="E49" s="74">
        <f t="shared" si="3"/>
        <v>0</v>
      </c>
      <c r="F49" s="75">
        <v>0</v>
      </c>
      <c r="G49" s="75">
        <f t="shared" si="4"/>
        <v>0</v>
      </c>
      <c r="H49" s="76">
        <v>2539628.15</v>
      </c>
      <c r="I49" s="75">
        <f t="shared" si="5"/>
        <v>2539628.15</v>
      </c>
    </row>
    <row r="50" s="58" customFormat="1" ht="18" customHeight="1" spans="1:9">
      <c r="A50" s="77" t="s">
        <v>103</v>
      </c>
      <c r="B50" s="79" t="s">
        <v>104</v>
      </c>
      <c r="C50" s="73">
        <v>2684611.31</v>
      </c>
      <c r="D50" s="73">
        <v>1810455.72</v>
      </c>
      <c r="E50" s="74">
        <f t="shared" si="3"/>
        <v>4495067.03</v>
      </c>
      <c r="F50" s="83">
        <v>1744640.35</v>
      </c>
      <c r="G50" s="75">
        <f t="shared" si="4"/>
        <v>2750426.68</v>
      </c>
      <c r="H50" s="76">
        <v>2601465.19</v>
      </c>
      <c r="I50" s="75">
        <f t="shared" si="5"/>
        <v>-148961.49</v>
      </c>
    </row>
    <row r="51" s="58" customFormat="1" ht="18" customHeight="1" spans="1:9">
      <c r="A51" s="77" t="s">
        <v>105</v>
      </c>
      <c r="B51" s="79" t="s">
        <v>106</v>
      </c>
      <c r="C51" s="73">
        <v>779384.29</v>
      </c>
      <c r="D51" s="73">
        <v>4667981.55</v>
      </c>
      <c r="E51" s="74">
        <f t="shared" si="3"/>
        <v>5447365.84</v>
      </c>
      <c r="F51" s="83">
        <v>121604.41</v>
      </c>
      <c r="G51" s="75">
        <f t="shared" si="4"/>
        <v>5325761.43</v>
      </c>
      <c r="H51" s="76">
        <v>4032924.12</v>
      </c>
      <c r="I51" s="75">
        <f t="shared" si="5"/>
        <v>-1292837.31</v>
      </c>
    </row>
    <row r="52" s="58" customFormat="1" ht="18" customHeight="1" spans="1:9">
      <c r="A52" s="77" t="s">
        <v>107</v>
      </c>
      <c r="B52" s="79" t="s">
        <v>108</v>
      </c>
      <c r="C52" s="73">
        <v>1220508.98</v>
      </c>
      <c r="D52" s="73">
        <v>4178164.33</v>
      </c>
      <c r="E52" s="74">
        <f t="shared" si="3"/>
        <v>5398673.31</v>
      </c>
      <c r="F52" s="83">
        <v>403149.26</v>
      </c>
      <c r="G52" s="75">
        <f t="shared" si="4"/>
        <v>4995524.05</v>
      </c>
      <c r="H52" s="76">
        <v>198365.9</v>
      </c>
      <c r="I52" s="75">
        <f t="shared" si="5"/>
        <v>-4797158.15</v>
      </c>
    </row>
    <row r="53" ht="18" customHeight="1" spans="1:9">
      <c r="A53" s="77" t="s">
        <v>109</v>
      </c>
      <c r="B53" s="79" t="s">
        <v>110</v>
      </c>
      <c r="C53" s="73">
        <v>373107.82</v>
      </c>
      <c r="D53" s="73">
        <v>1187008.79</v>
      </c>
      <c r="E53" s="74">
        <f t="shared" si="3"/>
        <v>1560116.61</v>
      </c>
      <c r="F53" s="75">
        <v>0</v>
      </c>
      <c r="G53" s="75">
        <f t="shared" si="4"/>
        <v>1560116.61</v>
      </c>
      <c r="H53" s="76">
        <v>1211948.11</v>
      </c>
      <c r="I53" s="75">
        <f t="shared" si="5"/>
        <v>-348168.5</v>
      </c>
    </row>
    <row r="54" ht="18" customHeight="1" spans="1:9">
      <c r="A54" s="77" t="s">
        <v>111</v>
      </c>
      <c r="B54" s="79" t="s">
        <v>112</v>
      </c>
      <c r="C54" s="73">
        <v>1740245.39</v>
      </c>
      <c r="D54" s="73">
        <v>3124535</v>
      </c>
      <c r="E54" s="74">
        <f t="shared" si="3"/>
        <v>4864780.39</v>
      </c>
      <c r="F54" s="75">
        <v>132973.73</v>
      </c>
      <c r="G54" s="75">
        <f t="shared" si="4"/>
        <v>4731806.66</v>
      </c>
      <c r="H54" s="76">
        <v>3373952.28</v>
      </c>
      <c r="I54" s="75">
        <f t="shared" si="5"/>
        <v>-1357854.38</v>
      </c>
    </row>
    <row r="55" s="58" customFormat="1" ht="18" customHeight="1" spans="1:9">
      <c r="A55" s="77" t="s">
        <v>113</v>
      </c>
      <c r="B55" s="79" t="s">
        <v>114</v>
      </c>
      <c r="C55" s="73">
        <v>1040859.84</v>
      </c>
      <c r="D55" s="73">
        <v>5304681.28</v>
      </c>
      <c r="E55" s="74">
        <f t="shared" si="3"/>
        <v>6345541.12</v>
      </c>
      <c r="F55" s="83">
        <v>2929286.89</v>
      </c>
      <c r="G55" s="75">
        <f t="shared" si="4"/>
        <v>3416254.23</v>
      </c>
      <c r="H55" s="76">
        <v>2866549.33</v>
      </c>
      <c r="I55" s="75">
        <f t="shared" si="5"/>
        <v>-549704.9</v>
      </c>
    </row>
    <row r="56" s="58" customFormat="1" ht="18" customHeight="1" spans="1:9">
      <c r="A56" s="77" t="s">
        <v>115</v>
      </c>
      <c r="B56" s="79" t="s">
        <v>116</v>
      </c>
      <c r="C56" s="73">
        <v>494128.09</v>
      </c>
      <c r="D56" s="73">
        <v>1953259.31</v>
      </c>
      <c r="E56" s="74">
        <f t="shared" si="3"/>
        <v>2447387.4</v>
      </c>
      <c r="F56" s="83">
        <v>171744.24</v>
      </c>
      <c r="G56" s="75">
        <f t="shared" si="4"/>
        <v>2275643.16</v>
      </c>
      <c r="H56" s="76">
        <v>2222024.87</v>
      </c>
      <c r="I56" s="75">
        <f t="shared" si="5"/>
        <v>-53618.29</v>
      </c>
    </row>
    <row r="57" s="58" customFormat="1" ht="18" customHeight="1" spans="1:9">
      <c r="A57" s="77" t="s">
        <v>117</v>
      </c>
      <c r="B57" s="79" t="s">
        <v>118</v>
      </c>
      <c r="C57" s="73">
        <v>1058426.31</v>
      </c>
      <c r="D57" s="73">
        <v>3604548.89</v>
      </c>
      <c r="E57" s="74">
        <f t="shared" si="3"/>
        <v>4662975.2</v>
      </c>
      <c r="F57" s="83">
        <v>165091.02</v>
      </c>
      <c r="G57" s="75">
        <f t="shared" si="4"/>
        <v>4497884.18</v>
      </c>
      <c r="H57" s="76">
        <v>6520925.64</v>
      </c>
      <c r="I57" s="75">
        <f t="shared" si="5"/>
        <v>2023041.46</v>
      </c>
    </row>
    <row r="58" ht="18" customHeight="1" spans="1:9">
      <c r="A58" s="77" t="s">
        <v>119</v>
      </c>
      <c r="B58" s="79" t="s">
        <v>120</v>
      </c>
      <c r="C58" s="73">
        <v>677882.09</v>
      </c>
      <c r="D58" s="73">
        <v>4281270.58</v>
      </c>
      <c r="E58" s="74">
        <f t="shared" si="3"/>
        <v>4959152.67</v>
      </c>
      <c r="F58" s="75">
        <v>0</v>
      </c>
      <c r="G58" s="75">
        <f t="shared" si="4"/>
        <v>4959152.67</v>
      </c>
      <c r="H58" s="76">
        <v>232956.91</v>
      </c>
      <c r="I58" s="75">
        <f t="shared" si="5"/>
        <v>-4726195.76</v>
      </c>
    </row>
    <row r="59" ht="18" customHeight="1" spans="1:9">
      <c r="A59" s="77" t="s">
        <v>121</v>
      </c>
      <c r="B59" s="79" t="s">
        <v>122</v>
      </c>
      <c r="C59" s="73">
        <v>505248.49</v>
      </c>
      <c r="D59" s="73">
        <v>0</v>
      </c>
      <c r="E59" s="74">
        <f t="shared" si="3"/>
        <v>505248.49</v>
      </c>
      <c r="F59" s="75">
        <v>0</v>
      </c>
      <c r="G59" s="75">
        <f t="shared" si="4"/>
        <v>505248.49</v>
      </c>
      <c r="H59" s="76">
        <v>489744.92</v>
      </c>
      <c r="I59" s="75">
        <f t="shared" si="5"/>
        <v>-15503.57</v>
      </c>
    </row>
    <row r="60" ht="18" customHeight="1" spans="1:9">
      <c r="A60" s="77" t="s">
        <v>123</v>
      </c>
      <c r="B60" s="78" t="s">
        <v>124</v>
      </c>
      <c r="C60" s="73">
        <v>-3481.15</v>
      </c>
      <c r="D60" s="73">
        <v>0</v>
      </c>
      <c r="E60" s="74">
        <f t="shared" si="3"/>
        <v>-3481.15</v>
      </c>
      <c r="F60" s="75">
        <v>0</v>
      </c>
      <c r="G60" s="75">
        <f t="shared" si="4"/>
        <v>-3481.15</v>
      </c>
      <c r="H60" s="76">
        <v>0</v>
      </c>
      <c r="I60" s="75">
        <f t="shared" si="5"/>
        <v>3481.15</v>
      </c>
    </row>
    <row r="61" ht="18" customHeight="1" spans="1:9">
      <c r="A61" s="77" t="s">
        <v>125</v>
      </c>
      <c r="B61" s="79" t="s">
        <v>126</v>
      </c>
      <c r="C61" s="73">
        <v>0</v>
      </c>
      <c r="D61" s="73">
        <v>4719870.88</v>
      </c>
      <c r="E61" s="74">
        <f t="shared" si="3"/>
        <v>4719870.88</v>
      </c>
      <c r="F61" s="75">
        <v>116416.98</v>
      </c>
      <c r="G61" s="75">
        <f t="shared" si="4"/>
        <v>4603453.9</v>
      </c>
      <c r="H61" s="76">
        <v>3851883.52</v>
      </c>
      <c r="I61" s="75">
        <f t="shared" si="5"/>
        <v>-751570.38</v>
      </c>
    </row>
    <row r="62" ht="18" customHeight="1" spans="1:9">
      <c r="A62" s="77" t="s">
        <v>127</v>
      </c>
      <c r="B62" s="79" t="s">
        <v>128</v>
      </c>
      <c r="C62" s="73">
        <v>1475494.85</v>
      </c>
      <c r="D62" s="73">
        <v>464985.22</v>
      </c>
      <c r="E62" s="74">
        <f t="shared" si="3"/>
        <v>1940480.07</v>
      </c>
      <c r="F62" s="75">
        <v>9300</v>
      </c>
      <c r="G62" s="75">
        <f t="shared" si="4"/>
        <v>1931180.07</v>
      </c>
      <c r="H62" s="76">
        <v>2539571.18</v>
      </c>
      <c r="I62" s="75">
        <f t="shared" si="5"/>
        <v>608391.11</v>
      </c>
    </row>
    <row r="63" ht="18" customHeight="1" spans="1:9">
      <c r="A63" s="77" t="s">
        <v>129</v>
      </c>
      <c r="B63" s="79" t="s">
        <v>130</v>
      </c>
      <c r="C63" s="73">
        <v>1169226.98</v>
      </c>
      <c r="D63" s="73">
        <v>2206515.04</v>
      </c>
      <c r="E63" s="74">
        <f t="shared" si="3"/>
        <v>3375742.02</v>
      </c>
      <c r="F63" s="75">
        <v>0</v>
      </c>
      <c r="G63" s="75">
        <f t="shared" si="4"/>
        <v>3375742.02</v>
      </c>
      <c r="H63" s="76">
        <v>3442425.5</v>
      </c>
      <c r="I63" s="75">
        <f t="shared" si="5"/>
        <v>66683.48</v>
      </c>
    </row>
    <row r="64" ht="18" customHeight="1" spans="1:9">
      <c r="A64" s="84" t="s">
        <v>131</v>
      </c>
      <c r="B64" s="78" t="s">
        <v>132</v>
      </c>
      <c r="C64" s="73">
        <v>0</v>
      </c>
      <c r="D64" s="73">
        <v>2070477.94</v>
      </c>
      <c r="E64" s="74">
        <f t="shared" si="3"/>
        <v>2070477.94</v>
      </c>
      <c r="F64" s="75">
        <v>0</v>
      </c>
      <c r="G64" s="75">
        <f t="shared" si="4"/>
        <v>2070477.94</v>
      </c>
      <c r="H64" s="76">
        <v>2086861.52</v>
      </c>
      <c r="I64" s="75">
        <f t="shared" si="5"/>
        <v>16383.5800000001</v>
      </c>
    </row>
    <row r="65" ht="18" customHeight="1" spans="1:9">
      <c r="A65" s="77" t="s">
        <v>133</v>
      </c>
      <c r="B65" s="77" t="s">
        <v>134</v>
      </c>
      <c r="C65" s="73">
        <v>0</v>
      </c>
      <c r="D65" s="73">
        <v>0</v>
      </c>
      <c r="E65" s="74">
        <f t="shared" si="3"/>
        <v>0</v>
      </c>
      <c r="F65" s="75">
        <v>0</v>
      </c>
      <c r="G65" s="75">
        <f t="shared" si="4"/>
        <v>0</v>
      </c>
      <c r="H65" s="76">
        <v>2034260.76</v>
      </c>
      <c r="I65" s="75">
        <f t="shared" si="5"/>
        <v>2034260.76</v>
      </c>
    </row>
    <row r="66" ht="18" customHeight="1" spans="1:9">
      <c r="A66" s="77" t="s">
        <v>135</v>
      </c>
      <c r="B66" s="77" t="s">
        <v>136</v>
      </c>
      <c r="C66" s="73">
        <v>0</v>
      </c>
      <c r="D66" s="73">
        <v>0</v>
      </c>
      <c r="E66" s="74">
        <f t="shared" si="3"/>
        <v>0</v>
      </c>
      <c r="F66" s="75">
        <v>0</v>
      </c>
      <c r="G66" s="75">
        <f t="shared" si="4"/>
        <v>0</v>
      </c>
      <c r="H66" s="76">
        <v>1283059.09</v>
      </c>
      <c r="I66" s="75">
        <f t="shared" si="5"/>
        <v>1283059.09</v>
      </c>
    </row>
    <row r="67" ht="18" customHeight="1" spans="1:9">
      <c r="A67" s="77" t="s">
        <v>137</v>
      </c>
      <c r="B67" s="77" t="s">
        <v>138</v>
      </c>
      <c r="C67" s="73">
        <v>0</v>
      </c>
      <c r="D67" s="73">
        <v>0</v>
      </c>
      <c r="E67" s="74">
        <f t="shared" si="3"/>
        <v>0</v>
      </c>
      <c r="F67" s="75">
        <v>0</v>
      </c>
      <c r="G67" s="75">
        <f t="shared" si="4"/>
        <v>0</v>
      </c>
      <c r="H67" s="76">
        <v>1167749.23</v>
      </c>
      <c r="I67" s="75">
        <f t="shared" si="5"/>
        <v>1167749.23</v>
      </c>
    </row>
    <row r="68" ht="18" customHeight="1" spans="1:9">
      <c r="A68" s="77" t="s">
        <v>139</v>
      </c>
      <c r="B68" s="79" t="s">
        <v>140</v>
      </c>
      <c r="C68" s="73">
        <v>197113.15</v>
      </c>
      <c r="D68" s="73">
        <v>249249.11</v>
      </c>
      <c r="E68" s="74">
        <f t="shared" si="3"/>
        <v>446362.26</v>
      </c>
      <c r="F68" s="75">
        <v>0</v>
      </c>
      <c r="G68" s="75">
        <f t="shared" si="4"/>
        <v>446362.26</v>
      </c>
      <c r="H68" s="76">
        <v>0</v>
      </c>
      <c r="I68" s="75">
        <f t="shared" si="5"/>
        <v>-446362.26</v>
      </c>
    </row>
    <row r="69" ht="18" customHeight="1" spans="1:9">
      <c r="A69" s="77" t="s">
        <v>141</v>
      </c>
      <c r="B69" s="79" t="s">
        <v>142</v>
      </c>
      <c r="C69" s="73">
        <v>345983.61</v>
      </c>
      <c r="D69" s="73">
        <v>0</v>
      </c>
      <c r="E69" s="74">
        <f t="shared" si="3"/>
        <v>345983.61</v>
      </c>
      <c r="F69" s="75">
        <v>0</v>
      </c>
      <c r="G69" s="75">
        <f t="shared" si="4"/>
        <v>345983.61</v>
      </c>
      <c r="H69" s="76">
        <v>450591.17</v>
      </c>
      <c r="I69" s="75">
        <f t="shared" ref="I69:I90" si="6">H69-G69</f>
        <v>104607.56</v>
      </c>
    </row>
    <row r="70" ht="18" customHeight="1" spans="1:9">
      <c r="A70" s="85" t="s">
        <v>143</v>
      </c>
      <c r="B70" s="85" t="s">
        <v>144</v>
      </c>
      <c r="C70" s="73">
        <v>0</v>
      </c>
      <c r="D70" s="73">
        <v>0</v>
      </c>
      <c r="E70" s="74">
        <f t="shared" si="3"/>
        <v>0</v>
      </c>
      <c r="F70" s="75">
        <v>0</v>
      </c>
      <c r="G70" s="75">
        <f t="shared" si="4"/>
        <v>0</v>
      </c>
      <c r="H70" s="76">
        <v>568469</v>
      </c>
      <c r="I70" s="75">
        <f t="shared" si="6"/>
        <v>568469</v>
      </c>
    </row>
    <row r="71" ht="18" customHeight="1" spans="1:9">
      <c r="A71" s="85" t="s">
        <v>145</v>
      </c>
      <c r="B71" s="85" t="s">
        <v>146</v>
      </c>
      <c r="C71" s="73">
        <v>0</v>
      </c>
      <c r="D71" s="73">
        <v>0</v>
      </c>
      <c r="E71" s="74">
        <f t="shared" si="3"/>
        <v>0</v>
      </c>
      <c r="F71" s="75">
        <v>0</v>
      </c>
      <c r="G71" s="75">
        <f t="shared" si="4"/>
        <v>0</v>
      </c>
      <c r="H71" s="76">
        <v>92052.3</v>
      </c>
      <c r="I71" s="75">
        <f t="shared" si="6"/>
        <v>92052.3</v>
      </c>
    </row>
    <row r="72" ht="18" customHeight="1" spans="1:9">
      <c r="A72" s="77" t="s">
        <v>147</v>
      </c>
      <c r="B72" s="79" t="s">
        <v>148</v>
      </c>
      <c r="C72" s="73">
        <v>0</v>
      </c>
      <c r="D72" s="73">
        <v>1991122.56</v>
      </c>
      <c r="E72" s="74">
        <f t="shared" si="3"/>
        <v>1991122.56</v>
      </c>
      <c r="F72" s="75">
        <v>623319.02</v>
      </c>
      <c r="G72" s="75">
        <f t="shared" si="4"/>
        <v>1367803.54</v>
      </c>
      <c r="H72" s="76">
        <v>1319760.81</v>
      </c>
      <c r="I72" s="75">
        <f t="shared" si="6"/>
        <v>-48042.73</v>
      </c>
    </row>
    <row r="73" s="58" customFormat="1" ht="18" customHeight="1" spans="1:9">
      <c r="A73" s="77" t="s">
        <v>149</v>
      </c>
      <c r="B73" s="79" t="s">
        <v>150</v>
      </c>
      <c r="C73" s="73">
        <v>0</v>
      </c>
      <c r="D73" s="73">
        <v>792995.04</v>
      </c>
      <c r="E73" s="74">
        <f t="shared" ref="E72:E89" si="7">D73+C73</f>
        <v>792995.04</v>
      </c>
      <c r="F73" s="83">
        <v>425226.87</v>
      </c>
      <c r="G73" s="75">
        <f t="shared" si="4"/>
        <v>367768.17</v>
      </c>
      <c r="H73" s="76">
        <v>229138.84</v>
      </c>
      <c r="I73" s="75">
        <f t="shared" si="6"/>
        <v>-138629.33</v>
      </c>
    </row>
    <row r="74" ht="18" customHeight="1" spans="1:9">
      <c r="A74" s="77" t="s">
        <v>151</v>
      </c>
      <c r="B74" s="79" t="s">
        <v>152</v>
      </c>
      <c r="C74" s="73">
        <v>4975.9</v>
      </c>
      <c r="D74" s="73">
        <v>5618447.1</v>
      </c>
      <c r="E74" s="74">
        <f t="shared" si="7"/>
        <v>5623423</v>
      </c>
      <c r="F74" s="75">
        <v>616837.35</v>
      </c>
      <c r="G74" s="75">
        <f t="shared" si="4"/>
        <v>5006585.65</v>
      </c>
      <c r="H74" s="76">
        <v>2459784.52</v>
      </c>
      <c r="I74" s="75">
        <f t="shared" si="6"/>
        <v>-2546801.13</v>
      </c>
    </row>
    <row r="75" ht="18" customHeight="1" spans="1:9">
      <c r="A75" s="77" t="s">
        <v>153</v>
      </c>
      <c r="B75" s="79" t="s">
        <v>154</v>
      </c>
      <c r="C75" s="73">
        <v>354429.43</v>
      </c>
      <c r="D75" s="73">
        <v>697978.15</v>
      </c>
      <c r="E75" s="74">
        <f t="shared" si="7"/>
        <v>1052407.58</v>
      </c>
      <c r="F75" s="75">
        <v>0</v>
      </c>
      <c r="G75" s="75">
        <f t="shared" si="4"/>
        <v>1052407.58</v>
      </c>
      <c r="H75" s="76">
        <v>0</v>
      </c>
      <c r="I75" s="75">
        <f t="shared" si="6"/>
        <v>-1052407.58</v>
      </c>
    </row>
    <row r="76" ht="18" customHeight="1" spans="1:9">
      <c r="A76" s="77" t="s">
        <v>155</v>
      </c>
      <c r="B76" s="79" t="s">
        <v>156</v>
      </c>
      <c r="C76" s="73">
        <v>1086010.73</v>
      </c>
      <c r="D76" s="73">
        <v>4137262.16</v>
      </c>
      <c r="E76" s="74">
        <f t="shared" si="7"/>
        <v>5223272.89</v>
      </c>
      <c r="F76" s="75">
        <v>0</v>
      </c>
      <c r="G76" s="75">
        <f t="shared" si="4"/>
        <v>5223272.89</v>
      </c>
      <c r="H76" s="76">
        <v>3763282.06</v>
      </c>
      <c r="I76" s="75">
        <f t="shared" si="6"/>
        <v>-1459990.83</v>
      </c>
    </row>
    <row r="77" spans="1:9">
      <c r="A77" s="77" t="s">
        <v>157</v>
      </c>
      <c r="B77" s="79" t="s">
        <v>158</v>
      </c>
      <c r="C77" s="73">
        <v>0</v>
      </c>
      <c r="D77" s="73">
        <v>0</v>
      </c>
      <c r="E77" s="74">
        <f t="shared" si="7"/>
        <v>0</v>
      </c>
      <c r="F77" s="75">
        <v>0</v>
      </c>
      <c r="G77" s="75">
        <f t="shared" si="4"/>
        <v>0</v>
      </c>
      <c r="H77" s="76">
        <v>0</v>
      </c>
      <c r="I77" s="75">
        <f t="shared" si="6"/>
        <v>0</v>
      </c>
    </row>
    <row r="78" spans="1:9">
      <c r="A78" s="77" t="s">
        <v>159</v>
      </c>
      <c r="B78" s="79" t="s">
        <v>160</v>
      </c>
      <c r="C78" s="73">
        <v>607257</v>
      </c>
      <c r="D78" s="73">
        <v>0</v>
      </c>
      <c r="E78" s="74">
        <f t="shared" si="7"/>
        <v>607257</v>
      </c>
      <c r="F78" s="75">
        <v>0</v>
      </c>
      <c r="G78" s="75">
        <f t="shared" si="4"/>
        <v>607257</v>
      </c>
      <c r="H78" s="76">
        <v>618392</v>
      </c>
      <c r="I78" s="75">
        <f t="shared" si="6"/>
        <v>11135</v>
      </c>
    </row>
    <row r="79" spans="1:9">
      <c r="A79" s="77" t="s">
        <v>161</v>
      </c>
      <c r="B79" s="79" t="s">
        <v>162</v>
      </c>
      <c r="C79" s="73">
        <v>605040.13</v>
      </c>
      <c r="D79" s="73">
        <v>4884660.04</v>
      </c>
      <c r="E79" s="74">
        <f t="shared" si="7"/>
        <v>5489700.17</v>
      </c>
      <c r="F79" s="75">
        <v>0</v>
      </c>
      <c r="G79" s="75">
        <f t="shared" si="4"/>
        <v>5489700.17</v>
      </c>
      <c r="H79" s="76">
        <v>6945428.24</v>
      </c>
      <c r="I79" s="75">
        <f t="shared" si="6"/>
        <v>1455728.07</v>
      </c>
    </row>
    <row r="80" s="58" customFormat="1" spans="1:9">
      <c r="A80" s="77" t="s">
        <v>163</v>
      </c>
      <c r="B80" s="79" t="s">
        <v>164</v>
      </c>
      <c r="C80" s="73">
        <v>1084603.61</v>
      </c>
      <c r="D80" s="73">
        <v>4225896.2</v>
      </c>
      <c r="E80" s="74">
        <f t="shared" si="7"/>
        <v>5310499.81</v>
      </c>
      <c r="F80" s="83">
        <v>0</v>
      </c>
      <c r="G80" s="75">
        <f t="shared" si="4"/>
        <v>5310499.81</v>
      </c>
      <c r="H80" s="76">
        <v>5709528.32</v>
      </c>
      <c r="I80" s="75">
        <f t="shared" si="6"/>
        <v>399028.510000001</v>
      </c>
    </row>
    <row r="81" spans="1:9">
      <c r="A81" s="77" t="s">
        <v>165</v>
      </c>
      <c r="B81" s="79" t="s">
        <v>166</v>
      </c>
      <c r="C81" s="73">
        <v>0</v>
      </c>
      <c r="D81" s="73">
        <v>5138520.6</v>
      </c>
      <c r="E81" s="74">
        <f t="shared" si="7"/>
        <v>5138520.6</v>
      </c>
      <c r="F81" s="75">
        <v>2192229.46</v>
      </c>
      <c r="G81" s="75">
        <f t="shared" si="4"/>
        <v>2946291.14</v>
      </c>
      <c r="H81" s="76">
        <v>4701165.22</v>
      </c>
      <c r="I81" s="75">
        <f t="shared" si="6"/>
        <v>1754874.08</v>
      </c>
    </row>
    <row r="82" s="59" customFormat="1" spans="1:9">
      <c r="A82" s="86" t="s">
        <v>167</v>
      </c>
      <c r="B82" s="87" t="s">
        <v>168</v>
      </c>
      <c r="C82" s="73">
        <v>0</v>
      </c>
      <c r="D82" s="73">
        <v>0</v>
      </c>
      <c r="E82" s="88"/>
      <c r="F82" s="89">
        <v>0</v>
      </c>
      <c r="G82" s="89"/>
      <c r="H82" s="90">
        <v>584614.79</v>
      </c>
      <c r="I82" s="89">
        <f t="shared" si="6"/>
        <v>584614.79</v>
      </c>
    </row>
    <row r="83" spans="1:9">
      <c r="A83" s="77" t="s">
        <v>169</v>
      </c>
      <c r="B83" s="78" t="s">
        <v>170</v>
      </c>
      <c r="C83" s="73">
        <v>0</v>
      </c>
      <c r="D83" s="73">
        <v>0</v>
      </c>
      <c r="E83" s="74">
        <f t="shared" ref="E83:E90" si="8">D83+C83</f>
        <v>0</v>
      </c>
      <c r="F83" s="75">
        <v>0</v>
      </c>
      <c r="G83" s="75">
        <f t="shared" ref="G83:G88" si="9">E83-F83</f>
        <v>0</v>
      </c>
      <c r="H83" s="76">
        <v>0</v>
      </c>
      <c r="I83" s="75">
        <f t="shared" si="6"/>
        <v>0</v>
      </c>
    </row>
    <row r="84" spans="1:9">
      <c r="A84" s="77" t="s">
        <v>171</v>
      </c>
      <c r="B84" s="78" t="s">
        <v>172</v>
      </c>
      <c r="C84" s="73">
        <v>0</v>
      </c>
      <c r="D84" s="73">
        <v>0.01</v>
      </c>
      <c r="E84" s="74">
        <f t="shared" si="8"/>
        <v>0.01</v>
      </c>
      <c r="F84" s="75">
        <v>0</v>
      </c>
      <c r="G84" s="75">
        <f t="shared" si="9"/>
        <v>0.01</v>
      </c>
      <c r="H84" s="76">
        <v>0</v>
      </c>
      <c r="I84" s="75">
        <f t="shared" si="6"/>
        <v>-0.01</v>
      </c>
    </row>
    <row r="85" spans="1:9">
      <c r="A85" s="77" t="s">
        <v>173</v>
      </c>
      <c r="B85" s="78" t="s">
        <v>174</v>
      </c>
      <c r="C85" s="73">
        <v>0</v>
      </c>
      <c r="D85" s="73">
        <v>0</v>
      </c>
      <c r="E85" s="74">
        <f t="shared" si="8"/>
        <v>0</v>
      </c>
      <c r="F85" s="75">
        <v>0</v>
      </c>
      <c r="G85" s="75">
        <f t="shared" si="9"/>
        <v>0</v>
      </c>
      <c r="H85" s="76">
        <v>0</v>
      </c>
      <c r="I85" s="75">
        <f t="shared" si="6"/>
        <v>0</v>
      </c>
    </row>
    <row r="86" spans="1:9">
      <c r="A86" s="77" t="s">
        <v>175</v>
      </c>
      <c r="B86" s="79" t="s">
        <v>176</v>
      </c>
      <c r="C86" s="73">
        <v>5137520.2</v>
      </c>
      <c r="D86" s="73">
        <v>0</v>
      </c>
      <c r="E86" s="74">
        <f t="shared" si="8"/>
        <v>5137520.2</v>
      </c>
      <c r="F86" s="75">
        <v>0</v>
      </c>
      <c r="G86" s="75">
        <f t="shared" si="9"/>
        <v>5137520.2</v>
      </c>
      <c r="H86" s="76">
        <v>6426031.92</v>
      </c>
      <c r="I86" s="75">
        <f t="shared" si="6"/>
        <v>1288511.72</v>
      </c>
    </row>
    <row r="87" spans="1:9">
      <c r="A87" s="77" t="s">
        <v>177</v>
      </c>
      <c r="B87" s="79" t="s">
        <v>178</v>
      </c>
      <c r="C87" s="73">
        <v>1666806.81</v>
      </c>
      <c r="D87" s="73">
        <v>16701256.95</v>
      </c>
      <c r="E87" s="74">
        <f t="shared" si="8"/>
        <v>18368063.76</v>
      </c>
      <c r="F87" s="75">
        <v>0</v>
      </c>
      <c r="G87" s="75">
        <f t="shared" si="9"/>
        <v>18368063.76</v>
      </c>
      <c r="H87" s="76">
        <v>15347299.96</v>
      </c>
      <c r="I87" s="75">
        <f t="shared" si="6"/>
        <v>-3020763.8</v>
      </c>
    </row>
    <row r="88" s="58" customFormat="1" spans="1:9">
      <c r="A88" s="77" t="s">
        <v>179</v>
      </c>
      <c r="B88" s="79" t="s">
        <v>180</v>
      </c>
      <c r="C88" s="73">
        <v>0</v>
      </c>
      <c r="D88" s="73">
        <v>3053480.16</v>
      </c>
      <c r="E88" s="74">
        <f t="shared" si="8"/>
        <v>3053480.16</v>
      </c>
      <c r="F88" s="83">
        <v>17640.98</v>
      </c>
      <c r="G88" s="83">
        <f t="shared" si="9"/>
        <v>3035839.18</v>
      </c>
      <c r="H88" s="76">
        <v>2506598.06</v>
      </c>
      <c r="I88" s="75">
        <f t="shared" si="6"/>
        <v>-529241.12</v>
      </c>
    </row>
    <row r="89" spans="1:9">
      <c r="A89" s="77" t="s">
        <v>181</v>
      </c>
      <c r="B89" s="77" t="s">
        <v>182</v>
      </c>
      <c r="C89" s="73">
        <v>0</v>
      </c>
      <c r="D89" s="73">
        <v>0</v>
      </c>
      <c r="E89" s="74">
        <f t="shared" si="8"/>
        <v>0</v>
      </c>
      <c r="F89" s="74">
        <f>(((E89+D89)+0)+0)+0</f>
        <v>0</v>
      </c>
      <c r="G89" s="75">
        <v>0</v>
      </c>
      <c r="H89" s="76">
        <v>358400</v>
      </c>
      <c r="I89" s="75">
        <f t="shared" si="6"/>
        <v>358400</v>
      </c>
    </row>
    <row r="90" ht="29" customHeight="1" spans="1:9">
      <c r="A90" s="91" t="s">
        <v>8</v>
      </c>
      <c r="B90" s="92"/>
      <c r="C90" s="93">
        <f t="shared" ref="C90:I90" si="10">SUM(C4:C89)</f>
        <v>115270475.01</v>
      </c>
      <c r="D90" s="93">
        <f t="shared" si="10"/>
        <v>142458543.05</v>
      </c>
      <c r="E90" s="93">
        <f t="shared" si="10"/>
        <v>257729018.06</v>
      </c>
      <c r="F90" s="93">
        <f t="shared" si="10"/>
        <v>28717647.98</v>
      </c>
      <c r="G90" s="93">
        <f t="shared" si="10"/>
        <v>229011370.08</v>
      </c>
      <c r="H90" s="94">
        <f t="shared" si="10"/>
        <v>204016848.95</v>
      </c>
      <c r="I90" s="75">
        <f t="shared" si="6"/>
        <v>-24994521.13</v>
      </c>
    </row>
  </sheetData>
  <mergeCells count="6">
    <mergeCell ref="A1:I1"/>
    <mergeCell ref="C2:G2"/>
    <mergeCell ref="A2:A3"/>
    <mergeCell ref="B2:B3"/>
    <mergeCell ref="H2:H3"/>
    <mergeCell ref="I2:I3"/>
  </mergeCells>
  <pageMargins left="0.7" right="0.7" top="0.75" bottom="0.75" header="0.3" footer="0.3"/>
  <headerFooter/>
  <ignoredErrors>
    <ignoredError sqref="A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Q95"/>
  <sheetViews>
    <sheetView topLeftCell="A79" workbookViewId="0">
      <selection activeCell="A1" sqref="$A1:$XFD1048576"/>
    </sheetView>
  </sheetViews>
  <sheetFormatPr defaultColWidth="18.2857142857143" defaultRowHeight="18" customHeight="1"/>
  <cols>
    <col min="1" max="1" width="6.14285714285714" style="1" customWidth="1"/>
    <col min="2" max="2" width="22" style="1" customWidth="1"/>
    <col min="3" max="3" width="35.8571428571429" style="1" customWidth="1"/>
    <col min="4" max="4" width="9.28571428571429" style="1" customWidth="1"/>
    <col min="5" max="6" width="9.85714285714286" style="2" customWidth="1"/>
    <col min="7" max="7" width="18.1428571428571" style="1" customWidth="1"/>
    <col min="8" max="8" width="17.1428571428571" style="1" customWidth="1"/>
    <col min="9" max="9" width="18.1428571428571" style="1" customWidth="1"/>
    <col min="10" max="10" width="14.5714285714286" style="1" customWidth="1"/>
    <col min="11" max="13" width="18.1428571428571" style="8" customWidth="1"/>
    <col min="14" max="14" width="19" style="1" customWidth="1"/>
    <col min="15" max="15" width="18.8571428571429" style="1"/>
    <col min="16" max="251" width="18.2857142857143" style="1"/>
    <col min="252" max="16384" width="18.2857142857143" style="4"/>
  </cols>
  <sheetData>
    <row r="1" s="1" customFormat="1" ht="44" customHeight="1" spans="1:15">
      <c r="A1" s="9" t="s">
        <v>186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="1" customFormat="1" ht="80" customHeight="1" spans="1:15">
      <c r="A2" s="10" t="s">
        <v>187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="2" customFormat="1" ht="39.75" customHeight="1" spans="1:15">
      <c r="A3" s="11" t="s">
        <v>188</v>
      </c>
      <c r="B3" s="12" t="s">
        <v>189</v>
      </c>
      <c r="C3" s="11" t="s">
        <v>2</v>
      </c>
      <c r="D3" s="12" t="s">
        <v>190</v>
      </c>
      <c r="E3" s="12" t="s">
        <v>191</v>
      </c>
      <c r="F3" s="12" t="s">
        <v>192</v>
      </c>
      <c r="G3" s="13" t="s">
        <v>193</v>
      </c>
      <c r="H3" s="13"/>
      <c r="I3" s="13"/>
      <c r="J3" s="13"/>
      <c r="K3" s="13"/>
      <c r="L3" s="13"/>
      <c r="M3" s="13"/>
      <c r="N3" s="12" t="s">
        <v>194</v>
      </c>
      <c r="O3" s="12" t="s">
        <v>195</v>
      </c>
    </row>
    <row r="4" s="2" customFormat="1" ht="39.75" customHeight="1" spans="1:15">
      <c r="A4" s="14"/>
      <c r="B4" s="14"/>
      <c r="C4" s="14"/>
      <c r="D4" s="14"/>
      <c r="E4" s="14"/>
      <c r="F4" s="15"/>
      <c r="G4" s="13" t="s">
        <v>196</v>
      </c>
      <c r="H4" s="13" t="s">
        <v>197</v>
      </c>
      <c r="I4" s="16" t="s">
        <v>198</v>
      </c>
      <c r="J4" s="16" t="s">
        <v>199</v>
      </c>
      <c r="K4" s="13" t="s">
        <v>200</v>
      </c>
      <c r="L4" s="17" t="s">
        <v>201</v>
      </c>
      <c r="M4" s="13" t="s">
        <v>202</v>
      </c>
      <c r="N4" s="14"/>
      <c r="O4" s="14"/>
    </row>
    <row r="5" s="1" customFormat="1" ht="33.95" hidden="1" customHeight="1" spans="1:15">
      <c r="A5" s="18">
        <v>1</v>
      </c>
      <c r="B5" s="18" t="s">
        <v>93</v>
      </c>
      <c r="C5" s="19" t="s">
        <v>203</v>
      </c>
      <c r="D5" s="20" t="s">
        <v>204</v>
      </c>
      <c r="E5" s="20" t="s">
        <v>205</v>
      </c>
      <c r="F5" s="20" t="s">
        <v>206</v>
      </c>
      <c r="G5" s="21"/>
      <c r="H5" s="21">
        <v>64466.04</v>
      </c>
      <c r="I5" s="21"/>
      <c r="J5" s="21"/>
      <c r="K5" s="21"/>
      <c r="L5" s="22"/>
      <c r="M5" s="22">
        <f t="shared" ref="M5:M64" si="0">+G5+H5+I5+J5+K5</f>
        <v>64466.04</v>
      </c>
      <c r="N5" s="21">
        <v>812754.62</v>
      </c>
      <c r="O5" s="23">
        <f t="shared" ref="O5:O68" si="1">+N5-M5</f>
        <v>748288.58</v>
      </c>
    </row>
    <row r="6" s="1" customFormat="1" ht="33.95" hidden="1" customHeight="1" spans="1:15">
      <c r="A6" s="18">
        <v>2</v>
      </c>
      <c r="B6" s="18" t="s">
        <v>107</v>
      </c>
      <c r="C6" s="24" t="s">
        <v>108</v>
      </c>
      <c r="D6" s="20" t="s">
        <v>207</v>
      </c>
      <c r="E6" s="20" t="s">
        <v>205</v>
      </c>
      <c r="F6" s="20" t="s">
        <v>206</v>
      </c>
      <c r="G6" s="21"/>
      <c r="H6" s="21"/>
      <c r="I6" s="21"/>
      <c r="J6" s="21"/>
      <c r="K6" s="21"/>
      <c r="L6" s="22"/>
      <c r="M6" s="22">
        <f t="shared" si="0"/>
        <v>0</v>
      </c>
      <c r="N6" s="21">
        <v>663612.23</v>
      </c>
      <c r="O6" s="23">
        <f t="shared" si="1"/>
        <v>663612.23</v>
      </c>
    </row>
    <row r="7" s="1" customFormat="1" ht="33.95" hidden="1" customHeight="1" spans="1:15">
      <c r="A7" s="18">
        <v>3</v>
      </c>
      <c r="B7" s="18" t="s">
        <v>113</v>
      </c>
      <c r="C7" s="24" t="s">
        <v>114</v>
      </c>
      <c r="D7" s="20" t="s">
        <v>204</v>
      </c>
      <c r="E7" s="20" t="s">
        <v>205</v>
      </c>
      <c r="F7" s="20" t="s">
        <v>206</v>
      </c>
      <c r="G7" s="21">
        <f>168589.98+67620.8</f>
        <v>236210.78</v>
      </c>
      <c r="H7" s="21">
        <f>16609.39+11564.56+67.61+2652.44</f>
        <v>30894</v>
      </c>
      <c r="I7" s="21">
        <f>73252.29+19663.68</f>
        <v>92915.97</v>
      </c>
      <c r="J7" s="21">
        <v>0</v>
      </c>
      <c r="K7" s="21">
        <v>0</v>
      </c>
      <c r="L7" s="22">
        <v>0</v>
      </c>
      <c r="M7" s="22">
        <f t="shared" si="0"/>
        <v>360020.75</v>
      </c>
      <c r="N7" s="21">
        <v>717738.25</v>
      </c>
      <c r="O7" s="23">
        <f t="shared" si="1"/>
        <v>357717.5</v>
      </c>
    </row>
    <row r="8" s="1" customFormat="1" ht="33.95" hidden="1" customHeight="1" spans="1:15">
      <c r="A8" s="18">
        <v>4</v>
      </c>
      <c r="B8" s="18" t="s">
        <v>119</v>
      </c>
      <c r="C8" s="24" t="s">
        <v>120</v>
      </c>
      <c r="D8" s="20" t="s">
        <v>208</v>
      </c>
      <c r="E8" s="20" t="s">
        <v>205</v>
      </c>
      <c r="F8" s="20" t="s">
        <v>206</v>
      </c>
      <c r="G8" s="21"/>
      <c r="H8" s="21"/>
      <c r="I8" s="21"/>
      <c r="J8" s="21"/>
      <c r="K8" s="21"/>
      <c r="L8" s="22"/>
      <c r="M8" s="22">
        <f t="shared" si="0"/>
        <v>0</v>
      </c>
      <c r="N8" s="21">
        <v>890671.19</v>
      </c>
      <c r="O8" s="23">
        <f t="shared" si="1"/>
        <v>890671.19</v>
      </c>
    </row>
    <row r="9" s="1" customFormat="1" ht="33" hidden="1" customHeight="1" spans="1:15">
      <c r="A9" s="18">
        <v>5</v>
      </c>
      <c r="B9" s="18" t="s">
        <v>103</v>
      </c>
      <c r="C9" s="24" t="s">
        <v>104</v>
      </c>
      <c r="D9" s="20" t="s">
        <v>207</v>
      </c>
      <c r="E9" s="20" t="s">
        <v>205</v>
      </c>
      <c r="F9" s="20" t="s">
        <v>206</v>
      </c>
      <c r="G9" s="21">
        <f>21516+87980</f>
        <v>109496</v>
      </c>
      <c r="H9" s="21">
        <v>61084.75</v>
      </c>
      <c r="I9" s="21">
        <v>15463.58</v>
      </c>
      <c r="J9" s="21">
        <v>1000</v>
      </c>
      <c r="K9" s="21">
        <v>0</v>
      </c>
      <c r="L9" s="22">
        <v>274592.63</v>
      </c>
      <c r="M9" s="22">
        <f t="shared" si="0"/>
        <v>187044.33</v>
      </c>
      <c r="N9" s="21">
        <v>844401.17</v>
      </c>
      <c r="O9" s="23">
        <f t="shared" si="1"/>
        <v>657356.84</v>
      </c>
    </row>
    <row r="10" s="1" customFormat="1" ht="33" hidden="1" customHeight="1" spans="1:15">
      <c r="A10" s="18">
        <v>6</v>
      </c>
      <c r="B10" s="18" t="s">
        <v>105</v>
      </c>
      <c r="C10" s="24" t="s">
        <v>106</v>
      </c>
      <c r="D10" s="20" t="s">
        <v>207</v>
      </c>
      <c r="E10" s="20" t="s">
        <v>205</v>
      </c>
      <c r="F10" s="20" t="s">
        <v>206</v>
      </c>
      <c r="G10" s="21">
        <v>0</v>
      </c>
      <c r="H10" s="21">
        <v>15596.78</v>
      </c>
      <c r="I10" s="21">
        <v>0</v>
      </c>
      <c r="J10" s="21">
        <v>0</v>
      </c>
      <c r="K10" s="21">
        <v>0</v>
      </c>
      <c r="L10" s="22">
        <v>0</v>
      </c>
      <c r="M10" s="22">
        <f t="shared" si="0"/>
        <v>15596.78</v>
      </c>
      <c r="N10" s="21">
        <v>965399.06</v>
      </c>
      <c r="O10" s="23">
        <f t="shared" si="1"/>
        <v>949802.28</v>
      </c>
    </row>
    <row r="11" s="1" customFormat="1" ht="21.95" hidden="1" customHeight="1" spans="1:15">
      <c r="A11" s="18">
        <v>7</v>
      </c>
      <c r="B11" s="18" t="s">
        <v>111</v>
      </c>
      <c r="C11" s="24" t="s">
        <v>112</v>
      </c>
      <c r="D11" s="20" t="s">
        <v>204</v>
      </c>
      <c r="E11" s="20" t="s">
        <v>205</v>
      </c>
      <c r="F11" s="20" t="s">
        <v>206</v>
      </c>
      <c r="G11" s="21"/>
      <c r="H11" s="21">
        <f>3457.93+17477.43</f>
        <v>20935.36</v>
      </c>
      <c r="I11" s="21"/>
      <c r="J11" s="21"/>
      <c r="K11" s="21"/>
      <c r="L11" s="22"/>
      <c r="M11" s="22">
        <f t="shared" si="0"/>
        <v>20935.36</v>
      </c>
      <c r="N11" s="21">
        <v>894316.08</v>
      </c>
      <c r="O11" s="23">
        <f t="shared" si="1"/>
        <v>873380.72</v>
      </c>
    </row>
    <row r="12" s="1" customFormat="1" ht="21.95" hidden="1" customHeight="1" spans="1:15">
      <c r="A12" s="18">
        <v>8</v>
      </c>
      <c r="B12" s="18" t="s">
        <v>115</v>
      </c>
      <c r="C12" s="24" t="s">
        <v>116</v>
      </c>
      <c r="D12" s="20" t="s">
        <v>204</v>
      </c>
      <c r="E12" s="20" t="s">
        <v>205</v>
      </c>
      <c r="F12" s="20" t="s">
        <v>206</v>
      </c>
      <c r="G12" s="21"/>
      <c r="H12" s="21">
        <f>-5167.67+7658.31</f>
        <v>2490.64</v>
      </c>
      <c r="I12" s="21"/>
      <c r="J12" s="21"/>
      <c r="K12" s="21"/>
      <c r="L12" s="22"/>
      <c r="M12" s="22">
        <f t="shared" si="0"/>
        <v>2490.64</v>
      </c>
      <c r="N12" s="21">
        <v>424706.61</v>
      </c>
      <c r="O12" s="23">
        <f t="shared" si="1"/>
        <v>422215.97</v>
      </c>
    </row>
    <row r="13" s="1" customFormat="1" ht="21.95" hidden="1" customHeight="1" spans="1:15">
      <c r="A13" s="18">
        <v>9</v>
      </c>
      <c r="B13" s="18" t="s">
        <v>125</v>
      </c>
      <c r="C13" s="24" t="s">
        <v>209</v>
      </c>
      <c r="D13" s="20" t="s">
        <v>210</v>
      </c>
      <c r="E13" s="20" t="s">
        <v>205</v>
      </c>
      <c r="F13" s="20" t="s">
        <v>206</v>
      </c>
      <c r="G13" s="21"/>
      <c r="H13" s="21">
        <v>19077.71</v>
      </c>
      <c r="I13" s="21">
        <v>14750</v>
      </c>
      <c r="J13" s="21"/>
      <c r="K13" s="21"/>
      <c r="L13" s="22"/>
      <c r="M13" s="22">
        <f t="shared" si="0"/>
        <v>33827.71</v>
      </c>
      <c r="N13" s="21">
        <v>763108.43</v>
      </c>
      <c r="O13" s="23">
        <f t="shared" si="1"/>
        <v>729280.72</v>
      </c>
    </row>
    <row r="14" s="1" customFormat="1" ht="21.95" hidden="1" customHeight="1" spans="1:15">
      <c r="A14" s="18">
        <v>10</v>
      </c>
      <c r="B14" s="18" t="s">
        <v>127</v>
      </c>
      <c r="C14" s="24" t="s">
        <v>128</v>
      </c>
      <c r="D14" s="20" t="s">
        <v>210</v>
      </c>
      <c r="E14" s="20" t="s">
        <v>205</v>
      </c>
      <c r="F14" s="20" t="s">
        <v>206</v>
      </c>
      <c r="G14" s="21"/>
      <c r="H14" s="21"/>
      <c r="I14" s="21"/>
      <c r="J14" s="21">
        <v>3500</v>
      </c>
      <c r="K14" s="21"/>
      <c r="L14" s="22"/>
      <c r="M14" s="22">
        <f t="shared" si="0"/>
        <v>3500</v>
      </c>
      <c r="N14" s="21">
        <v>300274.23</v>
      </c>
      <c r="O14" s="23">
        <f t="shared" si="1"/>
        <v>296774.23</v>
      </c>
    </row>
    <row r="15" s="1" customFormat="1" ht="21.95" hidden="1" customHeight="1" spans="1:15">
      <c r="A15" s="18">
        <v>11</v>
      </c>
      <c r="B15" s="18" t="s">
        <v>133</v>
      </c>
      <c r="C15" s="24" t="s">
        <v>134</v>
      </c>
      <c r="D15" s="20" t="s">
        <v>210</v>
      </c>
      <c r="E15" s="20" t="s">
        <v>205</v>
      </c>
      <c r="F15" s="20" t="s">
        <v>206</v>
      </c>
      <c r="G15" s="21">
        <v>0</v>
      </c>
      <c r="H15" s="21">
        <v>0</v>
      </c>
      <c r="I15" s="21"/>
      <c r="J15" s="21"/>
      <c r="K15" s="21"/>
      <c r="L15" s="22"/>
      <c r="M15" s="22">
        <f t="shared" si="0"/>
        <v>0</v>
      </c>
      <c r="N15" s="21">
        <v>0</v>
      </c>
      <c r="O15" s="23">
        <f t="shared" si="1"/>
        <v>0</v>
      </c>
    </row>
    <row r="16" s="1" customFormat="1" ht="21.95" hidden="1" customHeight="1" spans="1:15">
      <c r="A16" s="18">
        <v>12</v>
      </c>
      <c r="B16" s="18" t="s">
        <v>135</v>
      </c>
      <c r="C16" s="24" t="s">
        <v>136</v>
      </c>
      <c r="D16" s="20" t="s">
        <v>207</v>
      </c>
      <c r="E16" s="20" t="s">
        <v>205</v>
      </c>
      <c r="F16" s="20" t="s">
        <v>206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2">
        <v>0</v>
      </c>
      <c r="M16" s="22">
        <f t="shared" si="0"/>
        <v>0</v>
      </c>
      <c r="N16" s="21">
        <v>0</v>
      </c>
      <c r="O16" s="23">
        <f t="shared" si="1"/>
        <v>0</v>
      </c>
    </row>
    <row r="17" s="1" customFormat="1" ht="21.95" hidden="1" customHeight="1" spans="1:15">
      <c r="A17" s="18">
        <v>13</v>
      </c>
      <c r="B17" s="18" t="s">
        <v>147</v>
      </c>
      <c r="C17" s="24" t="s">
        <v>148</v>
      </c>
      <c r="D17" s="20" t="s">
        <v>208</v>
      </c>
      <c r="E17" s="20" t="s">
        <v>205</v>
      </c>
      <c r="F17" s="20" t="s">
        <v>206</v>
      </c>
      <c r="G17" s="21">
        <v>91521.94</v>
      </c>
      <c r="H17" s="21">
        <f>20329.05+5472.28</f>
        <v>25801.33</v>
      </c>
      <c r="I17" s="21"/>
      <c r="J17" s="21"/>
      <c r="K17" s="21"/>
      <c r="L17" s="22"/>
      <c r="M17" s="22">
        <f t="shared" si="0"/>
        <v>117323.27</v>
      </c>
      <c r="N17" s="21">
        <v>279148.45</v>
      </c>
      <c r="O17" s="23">
        <f t="shared" si="1"/>
        <v>161825.18</v>
      </c>
    </row>
    <row r="18" s="1" customFormat="1" ht="21.95" hidden="1" customHeight="1" spans="1:15">
      <c r="A18" s="18">
        <v>14</v>
      </c>
      <c r="B18" s="18" t="s">
        <v>149</v>
      </c>
      <c r="C18" s="24" t="s">
        <v>150</v>
      </c>
      <c r="D18" s="20" t="s">
        <v>207</v>
      </c>
      <c r="E18" s="20" t="s">
        <v>205</v>
      </c>
      <c r="F18" s="20" t="s">
        <v>206</v>
      </c>
      <c r="G18" s="21">
        <v>0</v>
      </c>
      <c r="H18" s="21">
        <v>2625.61</v>
      </c>
      <c r="I18" s="21">
        <v>63000</v>
      </c>
      <c r="J18" s="21">
        <v>0</v>
      </c>
      <c r="K18" s="21">
        <v>0</v>
      </c>
      <c r="L18" s="22">
        <v>0</v>
      </c>
      <c r="M18" s="22">
        <f t="shared" si="0"/>
        <v>65625.61</v>
      </c>
      <c r="N18" s="21">
        <v>80123</v>
      </c>
      <c r="O18" s="23">
        <f t="shared" si="1"/>
        <v>14497.39</v>
      </c>
    </row>
    <row r="19" s="1" customFormat="1" ht="21.95" hidden="1" customHeight="1" spans="1:15">
      <c r="A19" s="18">
        <v>15</v>
      </c>
      <c r="B19" s="18" t="s">
        <v>151</v>
      </c>
      <c r="C19" s="24" t="s">
        <v>152</v>
      </c>
      <c r="D19" s="20" t="s">
        <v>207</v>
      </c>
      <c r="E19" s="20" t="s">
        <v>205</v>
      </c>
      <c r="F19" s="20" t="s">
        <v>206</v>
      </c>
      <c r="G19" s="21">
        <v>0</v>
      </c>
      <c r="H19" s="21">
        <v>0</v>
      </c>
      <c r="I19" s="21">
        <v>3674.22</v>
      </c>
      <c r="J19" s="21">
        <v>0</v>
      </c>
      <c r="K19" s="21">
        <v>0</v>
      </c>
      <c r="L19" s="22">
        <v>0</v>
      </c>
      <c r="M19" s="22">
        <f t="shared" si="0"/>
        <v>3674.22</v>
      </c>
      <c r="N19" s="21">
        <v>1381629.82</v>
      </c>
      <c r="O19" s="23">
        <f t="shared" si="1"/>
        <v>1377955.6</v>
      </c>
    </row>
    <row r="20" s="1" customFormat="1" ht="21.95" hidden="1" customHeight="1" spans="1:15">
      <c r="A20" s="18">
        <v>16</v>
      </c>
      <c r="B20" s="18" t="s">
        <v>165</v>
      </c>
      <c r="C20" s="24" t="s">
        <v>166</v>
      </c>
      <c r="D20" s="20" t="s">
        <v>208</v>
      </c>
      <c r="E20" s="20" t="s">
        <v>205</v>
      </c>
      <c r="F20" s="20" t="s">
        <v>206</v>
      </c>
      <c r="G20" s="21">
        <v>154687.79</v>
      </c>
      <c r="H20" s="21">
        <v>12488.45</v>
      </c>
      <c r="I20" s="21"/>
      <c r="J20" s="21"/>
      <c r="K20" s="21"/>
      <c r="L20" s="22"/>
      <c r="M20" s="22">
        <f t="shared" si="0"/>
        <v>167176.24</v>
      </c>
      <c r="N20" s="21">
        <v>317463.94</v>
      </c>
      <c r="O20" s="23">
        <f t="shared" si="1"/>
        <v>150287.7</v>
      </c>
    </row>
    <row r="21" s="1" customFormat="1" ht="21.95" hidden="1" customHeight="1" spans="1:15">
      <c r="A21" s="18">
        <v>17</v>
      </c>
      <c r="B21" s="18" t="s">
        <v>179</v>
      </c>
      <c r="C21" s="24" t="s">
        <v>180</v>
      </c>
      <c r="D21" s="20" t="s">
        <v>207</v>
      </c>
      <c r="E21" s="20" t="s">
        <v>205</v>
      </c>
      <c r="F21" s="20" t="s">
        <v>206</v>
      </c>
      <c r="G21" s="21">
        <v>0</v>
      </c>
      <c r="H21" s="21">
        <v>2198.41</v>
      </c>
      <c r="I21" s="21">
        <v>0</v>
      </c>
      <c r="J21" s="21">
        <v>0</v>
      </c>
      <c r="K21" s="21">
        <v>0</v>
      </c>
      <c r="L21" s="22">
        <v>0</v>
      </c>
      <c r="M21" s="22">
        <f t="shared" si="0"/>
        <v>2198.41</v>
      </c>
      <c r="N21" s="21">
        <v>462400.47</v>
      </c>
      <c r="O21" s="23">
        <f t="shared" si="1"/>
        <v>460202.06</v>
      </c>
    </row>
    <row r="22" s="1" customFormat="1" ht="21.95" hidden="1" customHeight="1" spans="1:15">
      <c r="A22" s="18">
        <v>18</v>
      </c>
      <c r="B22" s="18" t="s">
        <v>101</v>
      </c>
      <c r="C22" s="24" t="s">
        <v>102</v>
      </c>
      <c r="D22" s="20" t="s">
        <v>204</v>
      </c>
      <c r="E22" s="20" t="s">
        <v>211</v>
      </c>
      <c r="F22" s="20" t="s">
        <v>206</v>
      </c>
      <c r="G22" s="21"/>
      <c r="H22" s="21"/>
      <c r="I22" s="21"/>
      <c r="J22" s="21"/>
      <c r="K22" s="21"/>
      <c r="L22" s="22"/>
      <c r="M22" s="22">
        <f t="shared" si="0"/>
        <v>0</v>
      </c>
      <c r="N22" s="21">
        <v>0</v>
      </c>
      <c r="O22" s="23">
        <f t="shared" si="1"/>
        <v>0</v>
      </c>
    </row>
    <row r="23" s="1" customFormat="1" ht="21.95" hidden="1" customHeight="1" spans="1:15">
      <c r="A23" s="18">
        <v>19</v>
      </c>
      <c r="B23" s="18" t="s">
        <v>137</v>
      </c>
      <c r="C23" s="24" t="s">
        <v>138</v>
      </c>
      <c r="D23" s="20" t="s">
        <v>210</v>
      </c>
      <c r="E23" s="20" t="s">
        <v>211</v>
      </c>
      <c r="F23" s="20" t="s">
        <v>206</v>
      </c>
      <c r="G23" s="21">
        <v>0</v>
      </c>
      <c r="H23" s="21"/>
      <c r="I23" s="21"/>
      <c r="J23" s="21"/>
      <c r="K23" s="21"/>
      <c r="L23" s="22"/>
      <c r="M23" s="22">
        <f t="shared" si="0"/>
        <v>0</v>
      </c>
      <c r="N23" s="21">
        <v>0</v>
      </c>
      <c r="O23" s="23">
        <f t="shared" si="1"/>
        <v>0</v>
      </c>
    </row>
    <row r="24" s="1" customFormat="1" ht="21.95" hidden="1" customHeight="1" spans="1:15">
      <c r="A24" s="18">
        <v>20</v>
      </c>
      <c r="B24" s="18" t="s">
        <v>91</v>
      </c>
      <c r="C24" s="24" t="s">
        <v>92</v>
      </c>
      <c r="D24" s="20" t="s">
        <v>204</v>
      </c>
      <c r="E24" s="20" t="s">
        <v>205</v>
      </c>
      <c r="F24" s="20" t="s">
        <v>206</v>
      </c>
      <c r="G24" s="21"/>
      <c r="H24" s="21"/>
      <c r="I24" s="21"/>
      <c r="J24" s="21"/>
      <c r="K24" s="21"/>
      <c r="L24" s="22"/>
      <c r="M24" s="22">
        <f t="shared" si="0"/>
        <v>0</v>
      </c>
      <c r="N24" s="21">
        <v>1131660.74</v>
      </c>
      <c r="O24" s="23">
        <f t="shared" si="1"/>
        <v>1131660.74</v>
      </c>
    </row>
    <row r="25" s="1" customFormat="1" ht="21.95" hidden="1" customHeight="1" spans="1:15">
      <c r="A25" s="18">
        <v>21</v>
      </c>
      <c r="B25" s="18" t="s">
        <v>75</v>
      </c>
      <c r="C25" s="24" t="s">
        <v>76</v>
      </c>
      <c r="D25" s="20" t="s">
        <v>207</v>
      </c>
      <c r="E25" s="20" t="s">
        <v>211</v>
      </c>
      <c r="F25" s="20" t="s">
        <v>206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v>0</v>
      </c>
      <c r="M25" s="22">
        <f t="shared" si="0"/>
        <v>0</v>
      </c>
      <c r="N25" s="21">
        <v>0</v>
      </c>
      <c r="O25" s="23">
        <f t="shared" si="1"/>
        <v>0</v>
      </c>
    </row>
    <row r="26" s="3" customFormat="1" ht="21.95" hidden="1" customHeight="1" spans="1:15">
      <c r="A26" s="18">
        <v>22</v>
      </c>
      <c r="B26" s="18" t="s">
        <v>89</v>
      </c>
      <c r="C26" s="24" t="s">
        <v>90</v>
      </c>
      <c r="D26" s="20" t="s">
        <v>212</v>
      </c>
      <c r="E26" s="20" t="s">
        <v>211</v>
      </c>
      <c r="F26" s="20" t="s">
        <v>206</v>
      </c>
      <c r="G26" s="21"/>
      <c r="H26" s="21">
        <f>14998.44+24148.11</f>
        <v>39146.55</v>
      </c>
      <c r="I26" s="21"/>
      <c r="J26" s="21"/>
      <c r="K26" s="21"/>
      <c r="L26" s="22"/>
      <c r="M26" s="22">
        <f t="shared" si="0"/>
        <v>39146.55</v>
      </c>
      <c r="N26" s="21">
        <v>741532.54</v>
      </c>
      <c r="O26" s="23">
        <f t="shared" si="1"/>
        <v>702385.99</v>
      </c>
    </row>
    <row r="27" s="3" customFormat="1" ht="21.95" hidden="1" customHeight="1" spans="1:15">
      <c r="A27" s="18">
        <v>23</v>
      </c>
      <c r="B27" s="18" t="s">
        <v>117</v>
      </c>
      <c r="C27" s="24" t="s">
        <v>118</v>
      </c>
      <c r="D27" s="25" t="s">
        <v>208</v>
      </c>
      <c r="E27" s="20" t="s">
        <v>205</v>
      </c>
      <c r="F27" s="20" t="s">
        <v>206</v>
      </c>
      <c r="G27" s="26">
        <f>4000+3770.31</f>
        <v>7770.31</v>
      </c>
      <c r="H27" s="27"/>
      <c r="I27" s="27"/>
      <c r="J27" s="28"/>
      <c r="K27" s="27"/>
      <c r="L27" s="22"/>
      <c r="M27" s="22">
        <f t="shared" si="0"/>
        <v>7770.31</v>
      </c>
      <c r="N27" s="21">
        <v>448177.45</v>
      </c>
      <c r="O27" s="23">
        <f t="shared" si="1"/>
        <v>440407.14</v>
      </c>
    </row>
    <row r="28" s="3" customFormat="1" ht="21.95" hidden="1" customHeight="1" spans="1:15">
      <c r="A28" s="18">
        <v>24</v>
      </c>
      <c r="B28" s="18" t="s">
        <v>17</v>
      </c>
      <c r="C28" s="24" t="s">
        <v>213</v>
      </c>
      <c r="D28" s="25" t="s">
        <v>210</v>
      </c>
      <c r="E28" s="20" t="s">
        <v>211</v>
      </c>
      <c r="F28" s="20" t="s">
        <v>206</v>
      </c>
      <c r="G28" s="26">
        <v>105999.68</v>
      </c>
      <c r="H28" s="28">
        <v>16391.31</v>
      </c>
      <c r="I28" s="27"/>
      <c r="J28" s="27"/>
      <c r="K28" s="29"/>
      <c r="L28" s="22">
        <v>20000</v>
      </c>
      <c r="M28" s="22">
        <f t="shared" si="0"/>
        <v>122390.99</v>
      </c>
      <c r="N28" s="21">
        <v>285931.23</v>
      </c>
      <c r="O28" s="23">
        <f t="shared" si="1"/>
        <v>163540.24</v>
      </c>
    </row>
    <row r="29" s="3" customFormat="1" ht="21.95" hidden="1" customHeight="1" spans="1:15">
      <c r="A29" s="18">
        <v>25</v>
      </c>
      <c r="B29" s="18" t="s">
        <v>19</v>
      </c>
      <c r="C29" s="24" t="s">
        <v>20</v>
      </c>
      <c r="D29" s="25" t="s">
        <v>210</v>
      </c>
      <c r="E29" s="20" t="s">
        <v>211</v>
      </c>
      <c r="F29" s="20" t="s">
        <v>206</v>
      </c>
      <c r="G29" s="26">
        <v>253302.29</v>
      </c>
      <c r="H29" s="28">
        <v>45219.66</v>
      </c>
      <c r="I29" s="27"/>
      <c r="J29" s="27"/>
      <c r="K29" s="29"/>
      <c r="L29" s="22">
        <v>20000</v>
      </c>
      <c r="M29" s="22">
        <f t="shared" si="0"/>
        <v>298521.95</v>
      </c>
      <c r="N29" s="21">
        <v>664871.43</v>
      </c>
      <c r="O29" s="23">
        <f t="shared" si="1"/>
        <v>366349.48</v>
      </c>
    </row>
    <row r="30" s="3" customFormat="1" ht="21.95" hidden="1" customHeight="1" spans="1:15">
      <c r="A30" s="18">
        <v>26</v>
      </c>
      <c r="B30" s="18" t="s">
        <v>23</v>
      </c>
      <c r="C30" s="24" t="s">
        <v>24</v>
      </c>
      <c r="D30" s="25" t="s">
        <v>210</v>
      </c>
      <c r="E30" s="20" t="s">
        <v>211</v>
      </c>
      <c r="F30" s="20" t="s">
        <v>206</v>
      </c>
      <c r="G30" s="26">
        <f>270667.83+23582.8</f>
        <v>294250.63</v>
      </c>
      <c r="H30" s="28">
        <f>5600.24</f>
        <v>5600.24</v>
      </c>
      <c r="I30" s="27"/>
      <c r="J30" s="27"/>
      <c r="K30" s="29"/>
      <c r="L30" s="22">
        <v>20000</v>
      </c>
      <c r="M30" s="22">
        <f t="shared" si="0"/>
        <v>299850.87</v>
      </c>
      <c r="N30" s="21">
        <v>600075.74</v>
      </c>
      <c r="O30" s="23">
        <f t="shared" si="1"/>
        <v>300224.87</v>
      </c>
    </row>
    <row r="31" s="3" customFormat="1" ht="21.95" hidden="1" customHeight="1" spans="1:15">
      <c r="A31" s="18">
        <v>27</v>
      </c>
      <c r="B31" s="18" t="s">
        <v>25</v>
      </c>
      <c r="C31" s="24" t="s">
        <v>26</v>
      </c>
      <c r="D31" s="25" t="s">
        <v>207</v>
      </c>
      <c r="E31" s="20" t="s">
        <v>211</v>
      </c>
      <c r="F31" s="20" t="s">
        <v>206</v>
      </c>
      <c r="G31" s="26">
        <v>205838.48</v>
      </c>
      <c r="H31" s="28">
        <v>16433.98</v>
      </c>
      <c r="I31" s="27">
        <v>0</v>
      </c>
      <c r="J31" s="27">
        <v>0</v>
      </c>
      <c r="K31" s="27">
        <v>0</v>
      </c>
      <c r="L31" s="22">
        <v>0</v>
      </c>
      <c r="M31" s="22">
        <f t="shared" si="0"/>
        <v>222272.46</v>
      </c>
      <c r="N31" s="21">
        <v>437461.06</v>
      </c>
      <c r="O31" s="23">
        <f t="shared" si="1"/>
        <v>215188.6</v>
      </c>
    </row>
    <row r="32" s="3" customFormat="1" ht="21.95" hidden="1" customHeight="1" spans="1:15">
      <c r="A32" s="18">
        <v>28</v>
      </c>
      <c r="B32" s="18" t="s">
        <v>27</v>
      </c>
      <c r="C32" s="24" t="s">
        <v>28</v>
      </c>
      <c r="D32" s="25" t="s">
        <v>207</v>
      </c>
      <c r="E32" s="20" t="s">
        <v>211</v>
      </c>
      <c r="F32" s="20" t="s">
        <v>206</v>
      </c>
      <c r="G32" s="26">
        <v>1057319.83</v>
      </c>
      <c r="H32" s="28">
        <v>26888.33</v>
      </c>
      <c r="I32" s="27">
        <v>0</v>
      </c>
      <c r="J32" s="27">
        <v>0</v>
      </c>
      <c r="K32" s="29">
        <v>0</v>
      </c>
      <c r="L32" s="22">
        <v>20000</v>
      </c>
      <c r="M32" s="22">
        <f t="shared" si="0"/>
        <v>1084208.16</v>
      </c>
      <c r="N32" s="21">
        <v>1830755.57</v>
      </c>
      <c r="O32" s="23">
        <f t="shared" si="1"/>
        <v>746547.41</v>
      </c>
    </row>
    <row r="33" s="3" customFormat="1" ht="21.95" hidden="1" customHeight="1" spans="1:15">
      <c r="A33" s="18">
        <v>29</v>
      </c>
      <c r="B33" s="18" t="s">
        <v>41</v>
      </c>
      <c r="C33" s="24" t="s">
        <v>42</v>
      </c>
      <c r="D33" s="25" t="s">
        <v>207</v>
      </c>
      <c r="E33" s="20" t="s">
        <v>211</v>
      </c>
      <c r="F33" s="20" t="s">
        <v>206</v>
      </c>
      <c r="G33" s="26">
        <v>567553.19</v>
      </c>
      <c r="H33" s="28">
        <v>54442.93</v>
      </c>
      <c r="I33" s="27">
        <v>0</v>
      </c>
      <c r="J33" s="27">
        <v>0</v>
      </c>
      <c r="K33" s="29">
        <v>0</v>
      </c>
      <c r="L33" s="22">
        <v>20000</v>
      </c>
      <c r="M33" s="22">
        <f t="shared" si="0"/>
        <v>621996.12</v>
      </c>
      <c r="N33" s="21">
        <v>1405443.46</v>
      </c>
      <c r="O33" s="23">
        <f t="shared" si="1"/>
        <v>783447.34</v>
      </c>
    </row>
    <row r="34" s="3" customFormat="1" ht="21.95" hidden="1" customHeight="1" spans="1:15">
      <c r="A34" s="18">
        <v>30</v>
      </c>
      <c r="B34" s="18" t="s">
        <v>29</v>
      </c>
      <c r="C34" s="24" t="s">
        <v>30</v>
      </c>
      <c r="D34" s="25" t="s">
        <v>207</v>
      </c>
      <c r="E34" s="20" t="s">
        <v>211</v>
      </c>
      <c r="F34" s="20" t="s">
        <v>206</v>
      </c>
      <c r="G34" s="26">
        <v>216368.29</v>
      </c>
      <c r="H34" s="28">
        <v>23406.5</v>
      </c>
      <c r="I34" s="27">
        <v>0</v>
      </c>
      <c r="J34" s="27">
        <v>0</v>
      </c>
      <c r="K34" s="27">
        <v>0</v>
      </c>
      <c r="L34" s="22">
        <v>0</v>
      </c>
      <c r="M34" s="22">
        <f t="shared" si="0"/>
        <v>239774.79</v>
      </c>
      <c r="N34" s="21">
        <v>557500.1</v>
      </c>
      <c r="O34" s="23">
        <f t="shared" si="1"/>
        <v>317725.31</v>
      </c>
    </row>
    <row r="35" s="3" customFormat="1" ht="21.95" hidden="1" customHeight="1" spans="1:15">
      <c r="A35" s="30">
        <v>1</v>
      </c>
      <c r="B35" s="30" t="s">
        <v>93</v>
      </c>
      <c r="C35" s="31" t="s">
        <v>203</v>
      </c>
      <c r="D35" s="32" t="s">
        <v>204</v>
      </c>
      <c r="E35" s="32" t="s">
        <v>205</v>
      </c>
      <c r="F35" s="32" t="s">
        <v>214</v>
      </c>
      <c r="G35" s="33"/>
      <c r="H35" s="33">
        <v>76467.78</v>
      </c>
      <c r="I35" s="33"/>
      <c r="J35" s="33"/>
      <c r="K35" s="33"/>
      <c r="L35" s="34"/>
      <c r="M35" s="34">
        <f t="shared" si="0"/>
        <v>76467.78</v>
      </c>
      <c r="N35" s="33">
        <v>1277323.73</v>
      </c>
      <c r="O35" s="35">
        <f t="shared" si="1"/>
        <v>1200855.95</v>
      </c>
    </row>
    <row r="36" s="3" customFormat="1" ht="21.95" hidden="1" customHeight="1" spans="1:15">
      <c r="A36" s="30">
        <v>2</v>
      </c>
      <c r="B36" s="30" t="s">
        <v>107</v>
      </c>
      <c r="C36" s="36" t="s">
        <v>108</v>
      </c>
      <c r="D36" s="32" t="s">
        <v>207</v>
      </c>
      <c r="E36" s="32" t="s">
        <v>205</v>
      </c>
      <c r="F36" s="32" t="s">
        <v>214</v>
      </c>
      <c r="G36" s="33"/>
      <c r="H36" s="33"/>
      <c r="I36" s="33"/>
      <c r="J36" s="33"/>
      <c r="K36" s="33"/>
      <c r="L36" s="34"/>
      <c r="M36" s="34">
        <f t="shared" si="0"/>
        <v>0</v>
      </c>
      <c r="N36" s="33">
        <v>1205188.42</v>
      </c>
      <c r="O36" s="35">
        <f t="shared" si="1"/>
        <v>1205188.42</v>
      </c>
    </row>
    <row r="37" s="3" customFormat="1" ht="21.95" hidden="1" customHeight="1" spans="1:15">
      <c r="A37" s="30">
        <v>3</v>
      </c>
      <c r="B37" s="30" t="s">
        <v>113</v>
      </c>
      <c r="C37" s="36" t="s">
        <v>114</v>
      </c>
      <c r="D37" s="32" t="s">
        <v>204</v>
      </c>
      <c r="E37" s="32" t="s">
        <v>205</v>
      </c>
      <c r="F37" s="32" t="s">
        <v>214</v>
      </c>
      <c r="G37" s="33">
        <v>467266.35</v>
      </c>
      <c r="H37" s="33">
        <f>28077+17630</f>
        <v>45707</v>
      </c>
      <c r="I37" s="33">
        <v>196995.8</v>
      </c>
      <c r="J37" s="33">
        <v>0</v>
      </c>
      <c r="K37" s="33">
        <v>0</v>
      </c>
      <c r="L37" s="34">
        <v>0</v>
      </c>
      <c r="M37" s="34">
        <f t="shared" si="0"/>
        <v>709969.15</v>
      </c>
      <c r="N37" s="33">
        <v>1515352.31</v>
      </c>
      <c r="O37" s="35">
        <f t="shared" si="1"/>
        <v>805383.16</v>
      </c>
    </row>
    <row r="38" s="3" customFormat="1" ht="21.95" hidden="1" customHeight="1" spans="1:15">
      <c r="A38" s="30">
        <v>4</v>
      </c>
      <c r="B38" s="30" t="s">
        <v>119</v>
      </c>
      <c r="C38" s="36" t="s">
        <v>120</v>
      </c>
      <c r="D38" s="32" t="s">
        <v>208</v>
      </c>
      <c r="E38" s="32" t="s">
        <v>205</v>
      </c>
      <c r="F38" s="32" t="s">
        <v>214</v>
      </c>
      <c r="G38" s="33"/>
      <c r="H38" s="33"/>
      <c r="I38" s="33"/>
      <c r="J38" s="33"/>
      <c r="K38" s="33"/>
      <c r="L38" s="34"/>
      <c r="M38" s="34">
        <f t="shared" si="0"/>
        <v>0</v>
      </c>
      <c r="N38" s="33">
        <v>980447.73</v>
      </c>
      <c r="O38" s="35">
        <f t="shared" si="1"/>
        <v>980447.73</v>
      </c>
    </row>
    <row r="39" s="3" customFormat="1" ht="21.95" hidden="1" customHeight="1" spans="1:15">
      <c r="A39" s="30">
        <v>5</v>
      </c>
      <c r="B39" s="30" t="s">
        <v>103</v>
      </c>
      <c r="C39" s="36" t="s">
        <v>104</v>
      </c>
      <c r="D39" s="32" t="s">
        <v>207</v>
      </c>
      <c r="E39" s="32" t="s">
        <v>205</v>
      </c>
      <c r="F39" s="32" t="s">
        <v>214</v>
      </c>
      <c r="G39" s="33">
        <v>76856</v>
      </c>
      <c r="H39" s="33">
        <v>53190.2</v>
      </c>
      <c r="I39" s="33">
        <v>17855.19</v>
      </c>
      <c r="J39" s="33">
        <v>0</v>
      </c>
      <c r="K39" s="33">
        <v>0</v>
      </c>
      <c r="L39" s="34">
        <v>182984.39</v>
      </c>
      <c r="M39" s="34">
        <f t="shared" si="0"/>
        <v>147901.39</v>
      </c>
      <c r="N39" s="33">
        <v>1098544.33</v>
      </c>
      <c r="O39" s="35">
        <f t="shared" si="1"/>
        <v>950642.94</v>
      </c>
    </row>
    <row r="40" s="3" customFormat="1" ht="21.95" hidden="1" customHeight="1" spans="1:15">
      <c r="A40" s="30">
        <v>6</v>
      </c>
      <c r="B40" s="30" t="s">
        <v>105</v>
      </c>
      <c r="C40" s="36" t="s">
        <v>106</v>
      </c>
      <c r="D40" s="32" t="s">
        <v>207</v>
      </c>
      <c r="E40" s="32" t="s">
        <v>205</v>
      </c>
      <c r="F40" s="32" t="s">
        <v>214</v>
      </c>
      <c r="G40" s="33">
        <v>0</v>
      </c>
      <c r="H40" s="33">
        <v>24364.28</v>
      </c>
      <c r="I40" s="33">
        <v>0</v>
      </c>
      <c r="J40" s="33">
        <v>0</v>
      </c>
      <c r="K40" s="33">
        <v>0</v>
      </c>
      <c r="L40" s="34">
        <v>0</v>
      </c>
      <c r="M40" s="34">
        <f t="shared" si="0"/>
        <v>24364.28</v>
      </c>
      <c r="N40" s="33">
        <v>1388481.52</v>
      </c>
      <c r="O40" s="35">
        <f t="shared" si="1"/>
        <v>1364117.24</v>
      </c>
    </row>
    <row r="41" s="3" customFormat="1" ht="21.95" hidden="1" customHeight="1" spans="1:15">
      <c r="A41" s="30">
        <v>7</v>
      </c>
      <c r="B41" s="30" t="s">
        <v>111</v>
      </c>
      <c r="C41" s="36" t="s">
        <v>112</v>
      </c>
      <c r="D41" s="32" t="s">
        <v>204</v>
      </c>
      <c r="E41" s="32" t="s">
        <v>205</v>
      </c>
      <c r="F41" s="32" t="s">
        <v>214</v>
      </c>
      <c r="G41" s="33"/>
      <c r="H41" s="33">
        <f>21199.29+6304.6</f>
        <v>27503.89</v>
      </c>
      <c r="I41" s="33"/>
      <c r="J41" s="33"/>
      <c r="K41" s="33"/>
      <c r="L41" s="34"/>
      <c r="M41" s="34">
        <f t="shared" si="0"/>
        <v>27503.89</v>
      </c>
      <c r="N41" s="33">
        <v>1057806.02</v>
      </c>
      <c r="O41" s="35">
        <f t="shared" si="1"/>
        <v>1030302.13</v>
      </c>
    </row>
    <row r="42" s="3" customFormat="1" ht="21.95" hidden="1" customHeight="1" spans="1:15">
      <c r="A42" s="30">
        <v>8</v>
      </c>
      <c r="B42" s="30" t="s">
        <v>115</v>
      </c>
      <c r="C42" s="36" t="s">
        <v>116</v>
      </c>
      <c r="D42" s="32" t="s">
        <v>204</v>
      </c>
      <c r="E42" s="32" t="s">
        <v>205</v>
      </c>
      <c r="F42" s="32" t="s">
        <v>214</v>
      </c>
      <c r="G42" s="33"/>
      <c r="H42" s="33">
        <f>13773.25+6893.43</f>
        <v>20666.68</v>
      </c>
      <c r="I42" s="33"/>
      <c r="J42" s="33"/>
      <c r="K42" s="33"/>
      <c r="L42" s="34"/>
      <c r="M42" s="34">
        <f t="shared" si="0"/>
        <v>20666.68</v>
      </c>
      <c r="N42" s="33">
        <v>720445.1</v>
      </c>
      <c r="O42" s="35">
        <f t="shared" si="1"/>
        <v>699778.42</v>
      </c>
    </row>
    <row r="43" s="3" customFormat="1" ht="21.95" hidden="1" customHeight="1" spans="1:15">
      <c r="A43" s="30">
        <v>9</v>
      </c>
      <c r="B43" s="30" t="s">
        <v>125</v>
      </c>
      <c r="C43" s="36" t="s">
        <v>209</v>
      </c>
      <c r="D43" s="32" t="s">
        <v>210</v>
      </c>
      <c r="E43" s="32" t="s">
        <v>205</v>
      </c>
      <c r="F43" s="32" t="s">
        <v>214</v>
      </c>
      <c r="G43" s="33"/>
      <c r="H43" s="33">
        <v>36589.62</v>
      </c>
      <c r="I43" s="33">
        <v>29500</v>
      </c>
      <c r="J43" s="33"/>
      <c r="K43" s="33"/>
      <c r="L43" s="34"/>
      <c r="M43" s="34">
        <f t="shared" si="0"/>
        <v>66089.62</v>
      </c>
      <c r="N43" s="33">
        <v>1219653.92</v>
      </c>
      <c r="O43" s="35">
        <f t="shared" si="1"/>
        <v>1153564.3</v>
      </c>
    </row>
    <row r="44" s="3" customFormat="1" ht="21.95" hidden="1" customHeight="1" spans="1:15">
      <c r="A44" s="30">
        <v>10</v>
      </c>
      <c r="B44" s="30" t="s">
        <v>127</v>
      </c>
      <c r="C44" s="36" t="s">
        <v>128</v>
      </c>
      <c r="D44" s="32" t="s">
        <v>210</v>
      </c>
      <c r="E44" s="32" t="s">
        <v>205</v>
      </c>
      <c r="F44" s="32" t="s">
        <v>214</v>
      </c>
      <c r="G44" s="33"/>
      <c r="H44" s="33"/>
      <c r="I44" s="33"/>
      <c r="J44" s="33"/>
      <c r="K44" s="33"/>
      <c r="L44" s="34"/>
      <c r="M44" s="34">
        <f t="shared" si="0"/>
        <v>0</v>
      </c>
      <c r="N44" s="33">
        <v>435612</v>
      </c>
      <c r="O44" s="35">
        <f t="shared" si="1"/>
        <v>435612</v>
      </c>
    </row>
    <row r="45" s="3" customFormat="1" ht="21.95" hidden="1" customHeight="1" spans="1:15">
      <c r="A45" s="30">
        <v>11</v>
      </c>
      <c r="B45" s="30" t="s">
        <v>133</v>
      </c>
      <c r="C45" s="36" t="s">
        <v>134</v>
      </c>
      <c r="D45" s="32" t="s">
        <v>210</v>
      </c>
      <c r="E45" s="32" t="s">
        <v>205</v>
      </c>
      <c r="F45" s="32" t="s">
        <v>214</v>
      </c>
      <c r="G45" s="33">
        <v>0</v>
      </c>
      <c r="H45" s="33">
        <v>0</v>
      </c>
      <c r="I45" s="33"/>
      <c r="J45" s="33"/>
      <c r="K45" s="33"/>
      <c r="L45" s="34"/>
      <c r="M45" s="34">
        <f t="shared" si="0"/>
        <v>0</v>
      </c>
      <c r="N45" s="33">
        <v>0</v>
      </c>
      <c r="O45" s="35">
        <f t="shared" si="1"/>
        <v>0</v>
      </c>
    </row>
    <row r="46" s="3" customFormat="1" ht="21.95" hidden="1" customHeight="1" spans="1:15">
      <c r="A46" s="30">
        <v>12</v>
      </c>
      <c r="B46" s="30" t="s">
        <v>135</v>
      </c>
      <c r="C46" s="36" t="s">
        <v>136</v>
      </c>
      <c r="D46" s="32" t="s">
        <v>207</v>
      </c>
      <c r="E46" s="32" t="s">
        <v>205</v>
      </c>
      <c r="F46" s="32" t="s">
        <v>214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4">
        <v>0</v>
      </c>
      <c r="M46" s="34">
        <f t="shared" si="0"/>
        <v>0</v>
      </c>
      <c r="N46" s="33">
        <v>0</v>
      </c>
      <c r="O46" s="35">
        <f t="shared" si="1"/>
        <v>0</v>
      </c>
    </row>
    <row r="47" s="3" customFormat="1" ht="21.95" hidden="1" customHeight="1" spans="1:15">
      <c r="A47" s="30">
        <v>13</v>
      </c>
      <c r="B47" s="30" t="s">
        <v>147</v>
      </c>
      <c r="C47" s="36" t="s">
        <v>148</v>
      </c>
      <c r="D47" s="32" t="s">
        <v>208</v>
      </c>
      <c r="E47" s="32" t="s">
        <v>205</v>
      </c>
      <c r="F47" s="32" t="s">
        <v>214</v>
      </c>
      <c r="G47" s="33">
        <v>113871.93</v>
      </c>
      <c r="H47" s="33">
        <f>13607.72+9176.28</f>
        <v>22784</v>
      </c>
      <c r="I47" s="33"/>
      <c r="J47" s="33"/>
      <c r="K47" s="33"/>
      <c r="L47" s="34"/>
      <c r="M47" s="34">
        <f t="shared" si="0"/>
        <v>136655.93</v>
      </c>
      <c r="N47" s="33">
        <v>417862.48</v>
      </c>
      <c r="O47" s="35">
        <f t="shared" si="1"/>
        <v>281206.55</v>
      </c>
    </row>
    <row r="48" s="3" customFormat="1" ht="21.95" hidden="1" customHeight="1" spans="1:15">
      <c r="A48" s="30">
        <v>14</v>
      </c>
      <c r="B48" s="30" t="s">
        <v>149</v>
      </c>
      <c r="C48" s="36" t="s">
        <v>150</v>
      </c>
      <c r="D48" s="32" t="s">
        <v>207</v>
      </c>
      <c r="E48" s="32" t="s">
        <v>205</v>
      </c>
      <c r="F48" s="32" t="s">
        <v>214</v>
      </c>
      <c r="G48" s="33">
        <v>0</v>
      </c>
      <c r="H48" s="33">
        <v>14002.72</v>
      </c>
      <c r="I48" s="33">
        <v>63000</v>
      </c>
      <c r="J48" s="33">
        <v>0</v>
      </c>
      <c r="K48" s="33">
        <v>0</v>
      </c>
      <c r="L48" s="34">
        <v>0</v>
      </c>
      <c r="M48" s="34">
        <f t="shared" si="0"/>
        <v>77002.72</v>
      </c>
      <c r="N48" s="33">
        <v>218706.57</v>
      </c>
      <c r="O48" s="35">
        <f t="shared" si="1"/>
        <v>141703.85</v>
      </c>
    </row>
    <row r="49" s="3" customFormat="1" ht="21.95" hidden="1" customHeight="1" spans="1:251">
      <c r="A49" s="30">
        <v>15</v>
      </c>
      <c r="B49" s="30" t="s">
        <v>151</v>
      </c>
      <c r="C49" s="36" t="s">
        <v>152</v>
      </c>
      <c r="D49" s="32" t="s">
        <v>207</v>
      </c>
      <c r="E49" s="32" t="s">
        <v>205</v>
      </c>
      <c r="F49" s="32" t="s">
        <v>214</v>
      </c>
      <c r="G49" s="33">
        <v>0</v>
      </c>
      <c r="H49" s="33">
        <v>0</v>
      </c>
      <c r="I49" s="33">
        <f>120000+1694.7</f>
        <v>121694.7</v>
      </c>
      <c r="J49" s="33">
        <v>0</v>
      </c>
      <c r="K49" s="33">
        <v>0</v>
      </c>
      <c r="L49" s="34">
        <v>0</v>
      </c>
      <c r="M49" s="34">
        <f t="shared" si="0"/>
        <v>121694.7</v>
      </c>
      <c r="N49" s="33">
        <v>847350.43</v>
      </c>
      <c r="O49" s="35">
        <f t="shared" si="1"/>
        <v>725655.73</v>
      </c>
    </row>
    <row r="50" s="3" customFormat="1" ht="21.95" hidden="1" customHeight="1" spans="1:251">
      <c r="A50" s="30">
        <v>16</v>
      </c>
      <c r="B50" s="30" t="s">
        <v>165</v>
      </c>
      <c r="C50" s="36" t="s">
        <v>166</v>
      </c>
      <c r="D50" s="32" t="s">
        <v>208</v>
      </c>
      <c r="E50" s="32" t="s">
        <v>205</v>
      </c>
      <c r="F50" s="32" t="s">
        <v>214</v>
      </c>
      <c r="G50" s="33">
        <v>503281.76</v>
      </c>
      <c r="H50" s="33">
        <v>68009.39</v>
      </c>
      <c r="I50" s="33"/>
      <c r="J50" s="33"/>
      <c r="K50" s="33"/>
      <c r="L50" s="34"/>
      <c r="M50" s="34">
        <f t="shared" si="0"/>
        <v>571291.15</v>
      </c>
      <c r="N50" s="33">
        <v>1445553.94</v>
      </c>
      <c r="O50" s="35">
        <f t="shared" si="1"/>
        <v>874262.79</v>
      </c>
    </row>
    <row r="51" s="3" customFormat="1" ht="21.95" hidden="1" customHeight="1" spans="1:251">
      <c r="A51" s="30">
        <v>17</v>
      </c>
      <c r="B51" s="30" t="s">
        <v>179</v>
      </c>
      <c r="C51" s="36" t="s">
        <v>180</v>
      </c>
      <c r="D51" s="32" t="s">
        <v>207</v>
      </c>
      <c r="E51" s="32" t="s">
        <v>205</v>
      </c>
      <c r="F51" s="32" t="s">
        <v>214</v>
      </c>
      <c r="G51" s="33">
        <v>0</v>
      </c>
      <c r="H51" s="33">
        <v>2224.3</v>
      </c>
      <c r="I51" s="33">
        <v>0</v>
      </c>
      <c r="J51" s="33">
        <v>0</v>
      </c>
      <c r="K51" s="33">
        <v>0</v>
      </c>
      <c r="L51" s="34">
        <v>0</v>
      </c>
      <c r="M51" s="34">
        <f t="shared" si="0"/>
        <v>2224.3</v>
      </c>
      <c r="N51" s="33">
        <v>798917.04</v>
      </c>
      <c r="O51" s="35">
        <f t="shared" si="1"/>
        <v>796692.74</v>
      </c>
    </row>
    <row r="52" s="3" customFormat="1" ht="21.95" hidden="1" customHeight="1" spans="1:251">
      <c r="A52" s="30">
        <v>18</v>
      </c>
      <c r="B52" s="30" t="s">
        <v>101</v>
      </c>
      <c r="C52" s="36" t="s">
        <v>102</v>
      </c>
      <c r="D52" s="32" t="s">
        <v>204</v>
      </c>
      <c r="E52" s="32" t="s">
        <v>211</v>
      </c>
      <c r="F52" s="32" t="s">
        <v>214</v>
      </c>
      <c r="G52" s="33"/>
      <c r="H52" s="33">
        <v>0</v>
      </c>
      <c r="I52" s="33"/>
      <c r="J52" s="33"/>
      <c r="K52" s="33"/>
      <c r="L52" s="34"/>
      <c r="M52" s="34">
        <f t="shared" si="0"/>
        <v>0</v>
      </c>
      <c r="N52" s="33">
        <v>0</v>
      </c>
      <c r="O52" s="35">
        <f t="shared" si="1"/>
        <v>0</v>
      </c>
    </row>
    <row r="53" s="3" customFormat="1" ht="21.95" hidden="1" customHeight="1" spans="1:251">
      <c r="A53" s="30">
        <v>19</v>
      </c>
      <c r="B53" s="30" t="s">
        <v>137</v>
      </c>
      <c r="C53" s="36" t="s">
        <v>138</v>
      </c>
      <c r="D53" s="32" t="s">
        <v>210</v>
      </c>
      <c r="E53" s="32" t="s">
        <v>211</v>
      </c>
      <c r="F53" s="32" t="s">
        <v>214</v>
      </c>
      <c r="G53" s="33">
        <v>0</v>
      </c>
      <c r="H53" s="33">
        <v>0</v>
      </c>
      <c r="I53" s="33"/>
      <c r="J53" s="33"/>
      <c r="K53" s="33"/>
      <c r="L53" s="34"/>
      <c r="M53" s="34">
        <f t="shared" si="0"/>
        <v>0</v>
      </c>
      <c r="N53" s="33">
        <v>0</v>
      </c>
      <c r="O53" s="35">
        <f t="shared" si="1"/>
        <v>0</v>
      </c>
    </row>
    <row r="54" s="3" customFormat="1" ht="21.95" hidden="1" customHeight="1" spans="1:251">
      <c r="A54" s="30">
        <v>20</v>
      </c>
      <c r="B54" s="30" t="s">
        <v>91</v>
      </c>
      <c r="C54" s="36" t="s">
        <v>92</v>
      </c>
      <c r="D54" s="32" t="s">
        <v>204</v>
      </c>
      <c r="E54" s="32" t="s">
        <v>205</v>
      </c>
      <c r="F54" s="32" t="s">
        <v>214</v>
      </c>
      <c r="G54" s="33"/>
      <c r="H54" s="33"/>
      <c r="I54" s="33"/>
      <c r="J54" s="33"/>
      <c r="K54" s="33"/>
      <c r="L54" s="34"/>
      <c r="M54" s="34">
        <f t="shared" si="0"/>
        <v>0</v>
      </c>
      <c r="N54" s="33">
        <v>1219063.57</v>
      </c>
      <c r="O54" s="35">
        <f t="shared" si="1"/>
        <v>1219063.57</v>
      </c>
    </row>
    <row r="55" s="3" customFormat="1" ht="21.95" hidden="1" customHeight="1" spans="1:251">
      <c r="A55" s="30">
        <v>21</v>
      </c>
      <c r="B55" s="30" t="s">
        <v>75</v>
      </c>
      <c r="C55" s="36" t="s">
        <v>76</v>
      </c>
      <c r="D55" s="32" t="s">
        <v>207</v>
      </c>
      <c r="E55" s="32" t="s">
        <v>211</v>
      </c>
      <c r="F55" s="32" t="s">
        <v>214</v>
      </c>
      <c r="G55" s="33">
        <v>0</v>
      </c>
      <c r="H55" s="33">
        <v>0</v>
      </c>
      <c r="I55" s="33">
        <v>0</v>
      </c>
      <c r="J55" s="33">
        <v>0</v>
      </c>
      <c r="K55" s="33">
        <v>0</v>
      </c>
      <c r="L55" s="34">
        <v>0</v>
      </c>
      <c r="M55" s="34">
        <f t="shared" si="0"/>
        <v>0</v>
      </c>
      <c r="N55" s="33">
        <v>0</v>
      </c>
      <c r="O55" s="35">
        <f t="shared" si="1"/>
        <v>0</v>
      </c>
    </row>
    <row r="56" s="3" customFormat="1" ht="21.95" hidden="1" customHeight="1" spans="1:251">
      <c r="A56" s="30">
        <v>22</v>
      </c>
      <c r="B56" s="30" t="s">
        <v>89</v>
      </c>
      <c r="C56" s="36" t="s">
        <v>90</v>
      </c>
      <c r="D56" s="32" t="s">
        <v>212</v>
      </c>
      <c r="E56" s="32" t="s">
        <v>211</v>
      </c>
      <c r="F56" s="32" t="s">
        <v>214</v>
      </c>
      <c r="G56" s="33"/>
      <c r="H56" s="33">
        <v>87347.56</v>
      </c>
      <c r="I56" s="33"/>
      <c r="J56" s="33"/>
      <c r="K56" s="33"/>
      <c r="L56" s="34"/>
      <c r="M56" s="34">
        <f t="shared" si="0"/>
        <v>87347.56</v>
      </c>
      <c r="N56" s="33">
        <v>1348572.78</v>
      </c>
      <c r="O56" s="35">
        <f t="shared" si="1"/>
        <v>1261225.22</v>
      </c>
    </row>
    <row r="57" s="3" customFormat="1" ht="21.95" hidden="1" customHeight="1" spans="1:251">
      <c r="A57" s="30">
        <v>23</v>
      </c>
      <c r="B57" s="30" t="s">
        <v>117</v>
      </c>
      <c r="C57" s="36" t="s">
        <v>118</v>
      </c>
      <c r="D57" s="37" t="s">
        <v>208</v>
      </c>
      <c r="E57" s="32" t="s">
        <v>205</v>
      </c>
      <c r="F57" s="32" t="s">
        <v>214</v>
      </c>
      <c r="G57" s="38">
        <v>15452.83</v>
      </c>
      <c r="H57" s="39"/>
      <c r="I57" s="39"/>
      <c r="J57" s="40">
        <v>9000</v>
      </c>
      <c r="K57" s="39"/>
      <c r="L57" s="34"/>
      <c r="M57" s="34">
        <f t="shared" si="0"/>
        <v>24452.83</v>
      </c>
      <c r="N57" s="33">
        <v>1115752</v>
      </c>
      <c r="O57" s="35">
        <f t="shared" si="1"/>
        <v>1091299.17</v>
      </c>
    </row>
    <row r="58" s="3" customFormat="1" ht="21.95" hidden="1" customHeight="1" spans="1:251">
      <c r="A58" s="30">
        <v>24</v>
      </c>
      <c r="B58" s="30" t="s">
        <v>17</v>
      </c>
      <c r="C58" s="36" t="s">
        <v>213</v>
      </c>
      <c r="D58" s="37" t="s">
        <v>210</v>
      </c>
      <c r="E58" s="32" t="s">
        <v>211</v>
      </c>
      <c r="F58" s="32" t="s">
        <v>214</v>
      </c>
      <c r="G58" s="38">
        <v>248868.75</v>
      </c>
      <c r="H58" s="40">
        <f>5826+14581.5</f>
        <v>20407.5</v>
      </c>
      <c r="I58" s="39"/>
      <c r="J58" s="39"/>
      <c r="K58" s="41"/>
      <c r="L58" s="34">
        <v>0</v>
      </c>
      <c r="M58" s="34">
        <f t="shared" si="0"/>
        <v>269276.25</v>
      </c>
      <c r="N58" s="33">
        <v>497214.04</v>
      </c>
      <c r="O58" s="35">
        <f t="shared" si="1"/>
        <v>227937.79</v>
      </c>
    </row>
    <row r="59" s="3" customFormat="1" ht="21.95" hidden="1" customHeight="1" spans="1:251">
      <c r="A59" s="30">
        <v>25</v>
      </c>
      <c r="B59" s="30" t="s">
        <v>19</v>
      </c>
      <c r="C59" s="36" t="s">
        <v>20</v>
      </c>
      <c r="D59" s="37" t="s">
        <v>210</v>
      </c>
      <c r="E59" s="32" t="s">
        <v>211</v>
      </c>
      <c r="F59" s="32" t="s">
        <v>214</v>
      </c>
      <c r="G59" s="38">
        <v>516253.86</v>
      </c>
      <c r="H59" s="40">
        <f>9100.2+65797.38</f>
        <v>74897.58</v>
      </c>
      <c r="I59" s="39"/>
      <c r="J59" s="39"/>
      <c r="K59" s="41"/>
      <c r="L59" s="34">
        <v>20000</v>
      </c>
      <c r="M59" s="34">
        <f t="shared" si="0"/>
        <v>591151.44</v>
      </c>
      <c r="N59" s="33">
        <v>1220925.21</v>
      </c>
      <c r="O59" s="35">
        <f t="shared" si="1"/>
        <v>629773.77</v>
      </c>
    </row>
    <row r="60" s="3" customFormat="1" ht="21.95" hidden="1" customHeight="1" spans="1:251">
      <c r="A60" s="30">
        <v>26</v>
      </c>
      <c r="B60" s="30" t="s">
        <v>23</v>
      </c>
      <c r="C60" s="36" t="s">
        <v>24</v>
      </c>
      <c r="D60" s="37" t="s">
        <v>210</v>
      </c>
      <c r="E60" s="32" t="s">
        <v>211</v>
      </c>
      <c r="F60" s="32" t="s">
        <v>214</v>
      </c>
      <c r="G60" s="38">
        <f>20750.7+313506.79</f>
        <v>334257.49</v>
      </c>
      <c r="H60" s="40">
        <f>4982.32</f>
        <v>4982.32</v>
      </c>
      <c r="I60" s="39"/>
      <c r="J60" s="39"/>
      <c r="K60" s="41"/>
      <c r="L60" s="34">
        <v>20000</v>
      </c>
      <c r="M60" s="34">
        <f t="shared" si="0"/>
        <v>339239.81</v>
      </c>
      <c r="N60" s="33">
        <v>896978.78</v>
      </c>
      <c r="O60" s="35">
        <f t="shared" si="1"/>
        <v>557738.97</v>
      </c>
    </row>
    <row r="61" s="3" customFormat="1" ht="21.95" hidden="1" customHeight="1" spans="1:251">
      <c r="A61" s="30">
        <v>27</v>
      </c>
      <c r="B61" s="30" t="s">
        <v>25</v>
      </c>
      <c r="C61" s="36" t="s">
        <v>26</v>
      </c>
      <c r="D61" s="37" t="s">
        <v>207</v>
      </c>
      <c r="E61" s="32" t="s">
        <v>211</v>
      </c>
      <c r="F61" s="32" t="s">
        <v>214</v>
      </c>
      <c r="G61" s="38">
        <f>65520+342570.84</f>
        <v>408090.84</v>
      </c>
      <c r="H61" s="40">
        <v>16913.4</v>
      </c>
      <c r="I61" s="39">
        <v>0</v>
      </c>
      <c r="J61" s="39">
        <v>0</v>
      </c>
      <c r="K61" s="39">
        <v>0</v>
      </c>
      <c r="L61" s="34">
        <v>0</v>
      </c>
      <c r="M61" s="34">
        <f t="shared" si="0"/>
        <v>425004.24</v>
      </c>
      <c r="N61" s="33">
        <v>771795.38</v>
      </c>
      <c r="O61" s="35">
        <f t="shared" si="1"/>
        <v>346791.14</v>
      </c>
    </row>
    <row r="62" s="1" customFormat="1" ht="21.95" hidden="1" customHeight="1" spans="1:251">
      <c r="A62" s="30">
        <v>28</v>
      </c>
      <c r="B62" s="30" t="s">
        <v>27</v>
      </c>
      <c r="C62" s="36" t="s">
        <v>28</v>
      </c>
      <c r="D62" s="37" t="s">
        <v>207</v>
      </c>
      <c r="E62" s="32" t="s">
        <v>211</v>
      </c>
      <c r="F62" s="32" t="s">
        <v>214</v>
      </c>
      <c r="G62" s="38">
        <v>720106.56</v>
      </c>
      <c r="H62" s="40">
        <v>35070.19</v>
      </c>
      <c r="I62" s="39">
        <v>0</v>
      </c>
      <c r="J62" s="39">
        <v>0</v>
      </c>
      <c r="K62" s="41">
        <v>0</v>
      </c>
      <c r="L62" s="34">
        <v>20000</v>
      </c>
      <c r="M62" s="34">
        <f t="shared" si="0"/>
        <v>755176.75</v>
      </c>
      <c r="N62" s="33">
        <v>1405637.08</v>
      </c>
      <c r="O62" s="35">
        <f t="shared" si="1"/>
        <v>650460.33</v>
      </c>
    </row>
    <row r="63" s="1" customFormat="1" ht="21.95" hidden="1" customHeight="1" spans="1:251">
      <c r="A63" s="30">
        <v>29</v>
      </c>
      <c r="B63" s="30" t="s">
        <v>41</v>
      </c>
      <c r="C63" s="36" t="s">
        <v>42</v>
      </c>
      <c r="D63" s="37" t="s">
        <v>207</v>
      </c>
      <c r="E63" s="32" t="s">
        <v>211</v>
      </c>
      <c r="F63" s="32" t="s">
        <v>214</v>
      </c>
      <c r="G63" s="38">
        <f>441589.3+14000</f>
        <v>455589.3</v>
      </c>
      <c r="H63" s="40">
        <v>53010.78</v>
      </c>
      <c r="I63" s="39">
        <v>0</v>
      </c>
      <c r="J63" s="39">
        <v>0</v>
      </c>
      <c r="K63" s="41">
        <v>0</v>
      </c>
      <c r="L63" s="34">
        <v>20000</v>
      </c>
      <c r="M63" s="34">
        <f t="shared" si="0"/>
        <v>508600.08</v>
      </c>
      <c r="N63" s="33">
        <v>1328476.99</v>
      </c>
      <c r="O63" s="35">
        <f t="shared" si="1"/>
        <v>819876.91</v>
      </c>
    </row>
    <row r="64" s="4" customFormat="1" hidden="1" customHeight="1" spans="1:251">
      <c r="A64" s="30">
        <v>30</v>
      </c>
      <c r="B64" s="30" t="s">
        <v>29</v>
      </c>
      <c r="C64" s="36" t="s">
        <v>30</v>
      </c>
      <c r="D64" s="37" t="s">
        <v>207</v>
      </c>
      <c r="E64" s="32" t="s">
        <v>211</v>
      </c>
      <c r="F64" s="32" t="s">
        <v>214</v>
      </c>
      <c r="G64" s="42">
        <v>483074.71</v>
      </c>
      <c r="H64" s="43">
        <v>29775.9</v>
      </c>
      <c r="I64" s="44">
        <v>0</v>
      </c>
      <c r="J64" s="44">
        <v>0</v>
      </c>
      <c r="K64" s="44">
        <v>0</v>
      </c>
      <c r="L64" s="45">
        <v>0</v>
      </c>
      <c r="M64" s="34">
        <f t="shared" si="0"/>
        <v>512850.61</v>
      </c>
      <c r="N64" s="33">
        <v>1017527.99</v>
      </c>
      <c r="O64" s="35">
        <f t="shared" si="1"/>
        <v>504677.38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</row>
    <row r="65" s="5" customFormat="1" ht="21.95" customHeight="1" spans="1:15">
      <c r="A65" s="46">
        <v>1</v>
      </c>
      <c r="B65" s="46" t="s">
        <v>93</v>
      </c>
      <c r="C65" s="47" t="s">
        <v>203</v>
      </c>
      <c r="D65" s="48" t="s">
        <v>204</v>
      </c>
      <c r="E65" s="48" t="s">
        <v>205</v>
      </c>
      <c r="F65" s="49" t="s">
        <v>215</v>
      </c>
      <c r="G65" s="50"/>
      <c r="H65" s="50">
        <v>55410.12</v>
      </c>
      <c r="I65" s="50"/>
      <c r="J65" s="50"/>
      <c r="K65" s="50"/>
      <c r="L65" s="50"/>
      <c r="M65" s="51">
        <f t="shared" ref="M65:M94" si="2">SUM(G65:L65)</f>
        <v>55410.12</v>
      </c>
      <c r="N65" s="52"/>
      <c r="O65" s="53">
        <f t="shared" si="1"/>
        <v>-55410.12</v>
      </c>
    </row>
    <row r="66" s="5" customFormat="1" ht="21.95" customHeight="1" spans="1:15">
      <c r="A66" s="46">
        <v>2</v>
      </c>
      <c r="B66" s="46" t="s">
        <v>107</v>
      </c>
      <c r="C66" s="54" t="s">
        <v>108</v>
      </c>
      <c r="D66" s="48" t="s">
        <v>207</v>
      </c>
      <c r="E66" s="48" t="s">
        <v>205</v>
      </c>
      <c r="F66" s="49" t="s">
        <v>215</v>
      </c>
      <c r="G66" s="55" t="s">
        <v>216</v>
      </c>
      <c r="H66" s="55" t="s">
        <v>216</v>
      </c>
      <c r="I66" s="55" t="s">
        <v>216</v>
      </c>
      <c r="J66" s="55" t="s">
        <v>216</v>
      </c>
      <c r="K66" s="55" t="s">
        <v>216</v>
      </c>
      <c r="L66" s="55" t="s">
        <v>216</v>
      </c>
      <c r="M66" s="51">
        <f t="shared" si="2"/>
        <v>0</v>
      </c>
      <c r="N66" s="52"/>
      <c r="O66" s="53">
        <f t="shared" si="1"/>
        <v>0</v>
      </c>
    </row>
    <row r="67" s="5" customFormat="1" ht="21.95" customHeight="1" spans="1:15">
      <c r="A67" s="46">
        <v>3</v>
      </c>
      <c r="B67" s="46" t="s">
        <v>113</v>
      </c>
      <c r="C67" s="54" t="s">
        <v>114</v>
      </c>
      <c r="D67" s="48" t="s">
        <v>204</v>
      </c>
      <c r="E67" s="48" t="s">
        <v>205</v>
      </c>
      <c r="F67" s="49" t="s">
        <v>215</v>
      </c>
      <c r="G67" s="56">
        <v>129039.98</v>
      </c>
      <c r="H67" s="56">
        <v>54356</v>
      </c>
      <c r="I67" s="56">
        <v>191537.64</v>
      </c>
      <c r="J67" s="50">
        <v>5100</v>
      </c>
      <c r="K67" s="50"/>
      <c r="L67" s="50"/>
      <c r="M67" s="51">
        <f t="shared" si="2"/>
        <v>380033.62</v>
      </c>
      <c r="N67" s="52"/>
      <c r="O67" s="53">
        <f t="shared" si="1"/>
        <v>-380033.62</v>
      </c>
    </row>
    <row r="68" s="5" customFormat="1" ht="21.95" customHeight="1" spans="1:15">
      <c r="A68" s="46">
        <v>4</v>
      </c>
      <c r="B68" s="46" t="s">
        <v>119</v>
      </c>
      <c r="C68" s="54" t="s">
        <v>120</v>
      </c>
      <c r="D68" s="48" t="s">
        <v>208</v>
      </c>
      <c r="E68" s="48" t="s">
        <v>205</v>
      </c>
      <c r="F68" s="49" t="s">
        <v>215</v>
      </c>
      <c r="G68" s="50"/>
      <c r="H68" s="50"/>
      <c r="I68" s="50"/>
      <c r="J68" s="50"/>
      <c r="K68" s="50"/>
      <c r="L68" s="50"/>
      <c r="M68" s="51">
        <f t="shared" si="2"/>
        <v>0</v>
      </c>
      <c r="N68" s="52"/>
      <c r="O68" s="53">
        <f t="shared" si="1"/>
        <v>0</v>
      </c>
    </row>
    <row r="69" s="5" customFormat="1" ht="21.95" customHeight="1" spans="1:15">
      <c r="A69" s="46">
        <v>5</v>
      </c>
      <c r="B69" s="46" t="s">
        <v>103</v>
      </c>
      <c r="C69" s="54" t="s">
        <v>104</v>
      </c>
      <c r="D69" s="48" t="s">
        <v>207</v>
      </c>
      <c r="E69" s="48" t="s">
        <v>205</v>
      </c>
      <c r="F69" s="49" t="s">
        <v>215</v>
      </c>
      <c r="G69" s="50">
        <v>78618</v>
      </c>
      <c r="H69" s="50">
        <v>47647.47</v>
      </c>
      <c r="I69" s="50">
        <f>18392.12+11563.08</f>
        <v>29955.2</v>
      </c>
      <c r="J69" s="50">
        <v>200</v>
      </c>
      <c r="K69" s="50"/>
      <c r="L69" s="50">
        <v>182567.27</v>
      </c>
      <c r="M69" s="51">
        <f t="shared" si="2"/>
        <v>338987.94</v>
      </c>
      <c r="N69" s="52"/>
      <c r="O69" s="53">
        <f t="shared" ref="O69:O94" si="3">+N69-M69</f>
        <v>-338987.94</v>
      </c>
    </row>
    <row r="70" s="5" customFormat="1" ht="21.95" customHeight="1" spans="1:15">
      <c r="A70" s="46">
        <v>6</v>
      </c>
      <c r="B70" s="46" t="s">
        <v>105</v>
      </c>
      <c r="C70" s="54" t="s">
        <v>106</v>
      </c>
      <c r="D70" s="48" t="s">
        <v>207</v>
      </c>
      <c r="E70" s="48" t="s">
        <v>205</v>
      </c>
      <c r="F70" s="49" t="s">
        <v>215</v>
      </c>
      <c r="G70" s="50"/>
      <c r="H70" s="50">
        <v>19754.75</v>
      </c>
      <c r="I70" s="50"/>
      <c r="J70" s="50"/>
      <c r="K70" s="50"/>
      <c r="L70" s="50"/>
      <c r="M70" s="51">
        <f t="shared" si="2"/>
        <v>19754.75</v>
      </c>
      <c r="N70" s="52"/>
      <c r="O70" s="53">
        <f t="shared" si="3"/>
        <v>-19754.75</v>
      </c>
    </row>
    <row r="71" s="5" customFormat="1" ht="21.95" customHeight="1" spans="1:15">
      <c r="A71" s="46">
        <v>7</v>
      </c>
      <c r="B71" s="46" t="s">
        <v>111</v>
      </c>
      <c r="C71" s="54" t="s">
        <v>112</v>
      </c>
      <c r="D71" s="48" t="s">
        <v>204</v>
      </c>
      <c r="E71" s="48" t="s">
        <v>205</v>
      </c>
      <c r="F71" s="49" t="s">
        <v>215</v>
      </c>
      <c r="G71" s="50"/>
      <c r="H71" s="50">
        <f>20599.02+7641.09</f>
        <v>28240.11</v>
      </c>
      <c r="I71" s="50"/>
      <c r="J71" s="50"/>
      <c r="K71" s="50"/>
      <c r="L71" s="50"/>
      <c r="M71" s="51">
        <f t="shared" si="2"/>
        <v>28240.11</v>
      </c>
      <c r="N71" s="52"/>
      <c r="O71" s="53">
        <f t="shared" si="3"/>
        <v>-28240.11</v>
      </c>
    </row>
    <row r="72" s="5" customFormat="1" ht="21.95" customHeight="1" spans="1:15">
      <c r="A72" s="46">
        <v>8</v>
      </c>
      <c r="B72" s="46" t="s">
        <v>115</v>
      </c>
      <c r="C72" s="54" t="s">
        <v>116</v>
      </c>
      <c r="D72" s="48" t="s">
        <v>204</v>
      </c>
      <c r="E72" s="48" t="s">
        <v>205</v>
      </c>
      <c r="F72" s="49" t="s">
        <v>215</v>
      </c>
      <c r="G72" s="50"/>
      <c r="H72" s="50">
        <f>17000+8500</f>
        <v>25500</v>
      </c>
      <c r="I72" s="50"/>
      <c r="J72" s="50"/>
      <c r="K72" s="50"/>
      <c r="L72" s="50"/>
      <c r="M72" s="51">
        <f t="shared" si="2"/>
        <v>25500</v>
      </c>
      <c r="N72" s="52"/>
      <c r="O72" s="53">
        <f t="shared" si="3"/>
        <v>-25500</v>
      </c>
    </row>
    <row r="73" s="5" customFormat="1" ht="21.95" customHeight="1" spans="1:15">
      <c r="A73" s="46">
        <v>9</v>
      </c>
      <c r="B73" s="46" t="s">
        <v>125</v>
      </c>
      <c r="C73" s="54" t="s">
        <v>209</v>
      </c>
      <c r="D73" s="48" t="s">
        <v>210</v>
      </c>
      <c r="E73" s="48" t="s">
        <v>205</v>
      </c>
      <c r="F73" s="49" t="s">
        <v>215</v>
      </c>
      <c r="G73" s="50"/>
      <c r="H73" s="50">
        <v>28253.09</v>
      </c>
      <c r="I73" s="50">
        <v>-154706.46</v>
      </c>
      <c r="J73" s="50"/>
      <c r="K73" s="50"/>
      <c r="L73" s="50"/>
      <c r="M73" s="51">
        <f t="shared" si="2"/>
        <v>-126453.37</v>
      </c>
      <c r="N73" s="52"/>
      <c r="O73" s="53">
        <f t="shared" si="3"/>
        <v>126453.37</v>
      </c>
    </row>
    <row r="74" s="5" customFormat="1" ht="21.95" customHeight="1" spans="1:15">
      <c r="A74" s="46">
        <v>10</v>
      </c>
      <c r="B74" s="46" t="s">
        <v>127</v>
      </c>
      <c r="C74" s="54" t="s">
        <v>128</v>
      </c>
      <c r="D74" s="48" t="s">
        <v>210</v>
      </c>
      <c r="E74" s="48" t="s">
        <v>205</v>
      </c>
      <c r="F74" s="49" t="s">
        <v>215</v>
      </c>
      <c r="G74" s="50"/>
      <c r="H74" s="50"/>
      <c r="I74" s="50"/>
      <c r="J74" s="50"/>
      <c r="K74" s="50"/>
      <c r="L74" s="50"/>
      <c r="M74" s="51">
        <f t="shared" si="2"/>
        <v>0</v>
      </c>
      <c r="N74" s="52"/>
      <c r="O74" s="53">
        <f t="shared" si="3"/>
        <v>0</v>
      </c>
    </row>
    <row r="75" s="5" customFormat="1" ht="21.95" customHeight="1" spans="1:15">
      <c r="A75" s="46">
        <v>11</v>
      </c>
      <c r="B75" s="46" t="s">
        <v>133</v>
      </c>
      <c r="C75" s="54" t="s">
        <v>134</v>
      </c>
      <c r="D75" s="48" t="s">
        <v>210</v>
      </c>
      <c r="E75" s="48" t="s">
        <v>205</v>
      </c>
      <c r="F75" s="49" t="s">
        <v>215</v>
      </c>
      <c r="G75" s="50"/>
      <c r="H75" s="50"/>
      <c r="I75" s="50"/>
      <c r="J75" s="50"/>
      <c r="K75" s="50"/>
      <c r="L75" s="50"/>
      <c r="M75" s="51">
        <f t="shared" si="2"/>
        <v>0</v>
      </c>
      <c r="N75" s="52"/>
      <c r="O75" s="53">
        <f t="shared" si="3"/>
        <v>0</v>
      </c>
    </row>
    <row r="76" s="5" customFormat="1" ht="21.95" customHeight="1" spans="1:15">
      <c r="A76" s="46">
        <v>12</v>
      </c>
      <c r="B76" s="46" t="s">
        <v>135</v>
      </c>
      <c r="C76" s="54" t="s">
        <v>136</v>
      </c>
      <c r="D76" s="48" t="s">
        <v>207</v>
      </c>
      <c r="E76" s="48" t="s">
        <v>205</v>
      </c>
      <c r="F76" s="49" t="s">
        <v>215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1">
        <f t="shared" si="2"/>
        <v>0</v>
      </c>
      <c r="N76" s="52"/>
      <c r="O76" s="53">
        <f t="shared" si="3"/>
        <v>0</v>
      </c>
    </row>
    <row r="77" s="5" customFormat="1" ht="21.95" customHeight="1" spans="1:15">
      <c r="A77" s="46">
        <v>13</v>
      </c>
      <c r="B77" s="46" t="s">
        <v>147</v>
      </c>
      <c r="C77" s="54" t="s">
        <v>148</v>
      </c>
      <c r="D77" s="48" t="s">
        <v>208</v>
      </c>
      <c r="E77" s="48" t="s">
        <v>205</v>
      </c>
      <c r="F77" s="49" t="s">
        <v>215</v>
      </c>
      <c r="G77" s="50">
        <v>109265.08</v>
      </c>
      <c r="H77" s="50">
        <v>23265</v>
      </c>
      <c r="I77" s="50"/>
      <c r="J77" s="50"/>
      <c r="K77" s="50"/>
      <c r="L77" s="50"/>
      <c r="M77" s="51">
        <f t="shared" si="2"/>
        <v>132530.08</v>
      </c>
      <c r="N77" s="52"/>
      <c r="O77" s="53">
        <f t="shared" si="3"/>
        <v>-132530.08</v>
      </c>
    </row>
    <row r="78" s="5" customFormat="1" ht="21.95" customHeight="1" spans="1:15">
      <c r="A78" s="46">
        <v>14</v>
      </c>
      <c r="B78" s="46" t="s">
        <v>149</v>
      </c>
      <c r="C78" s="54" t="s">
        <v>150</v>
      </c>
      <c r="D78" s="48" t="s">
        <v>207</v>
      </c>
      <c r="E78" s="48" t="s">
        <v>205</v>
      </c>
      <c r="F78" s="49" t="s">
        <v>215</v>
      </c>
      <c r="G78" s="50"/>
      <c r="H78" s="50">
        <v>4722.5</v>
      </c>
      <c r="I78" s="50">
        <f>63000+300</f>
        <v>63300</v>
      </c>
      <c r="J78" s="50"/>
      <c r="K78" s="50">
        <v>223.69</v>
      </c>
      <c r="L78" s="50"/>
      <c r="M78" s="51">
        <f t="shared" si="2"/>
        <v>68246.19</v>
      </c>
      <c r="N78" s="52"/>
      <c r="O78" s="53">
        <f t="shared" si="3"/>
        <v>-68246.19</v>
      </c>
    </row>
    <row r="79" s="5" customFormat="1" ht="21.95" customHeight="1" spans="1:15">
      <c r="A79" s="46">
        <v>15</v>
      </c>
      <c r="B79" s="46" t="s">
        <v>151</v>
      </c>
      <c r="C79" s="54" t="s">
        <v>152</v>
      </c>
      <c r="D79" s="48" t="s">
        <v>207</v>
      </c>
      <c r="E79" s="48" t="s">
        <v>205</v>
      </c>
      <c r="F79" s="49" t="s">
        <v>215</v>
      </c>
      <c r="G79" s="50"/>
      <c r="H79" s="50"/>
      <c r="I79" s="50">
        <f>120000+1448.88</f>
        <v>121448.88</v>
      </c>
      <c r="J79" s="50"/>
      <c r="K79" s="50"/>
      <c r="L79" s="50"/>
      <c r="M79" s="51">
        <f t="shared" si="2"/>
        <v>121448.88</v>
      </c>
      <c r="N79" s="52"/>
      <c r="O79" s="53">
        <f t="shared" si="3"/>
        <v>-121448.88</v>
      </c>
    </row>
    <row r="80" s="5" customFormat="1" ht="21.95" customHeight="1" spans="1:15">
      <c r="A80" s="46">
        <v>16</v>
      </c>
      <c r="B80" s="46" t="s">
        <v>165</v>
      </c>
      <c r="C80" s="54" t="s">
        <v>166</v>
      </c>
      <c r="D80" s="48" t="s">
        <v>208</v>
      </c>
      <c r="E80" s="48" t="s">
        <v>205</v>
      </c>
      <c r="F80" s="49" t="s">
        <v>215</v>
      </c>
      <c r="G80" s="50">
        <v>428028.55</v>
      </c>
      <c r="H80" s="50">
        <v>62796.94</v>
      </c>
      <c r="I80" s="50"/>
      <c r="J80" s="50"/>
      <c r="K80" s="50"/>
      <c r="L80" s="50"/>
      <c r="M80" s="51">
        <f t="shared" si="2"/>
        <v>490825.49</v>
      </c>
      <c r="N80" s="52"/>
      <c r="O80" s="53">
        <f t="shared" si="3"/>
        <v>-490825.49</v>
      </c>
    </row>
    <row r="81" s="5" customFormat="1" ht="21.95" customHeight="1" spans="1:251">
      <c r="A81" s="46">
        <v>17</v>
      </c>
      <c r="B81" s="46" t="s">
        <v>179</v>
      </c>
      <c r="C81" s="54" t="s">
        <v>180</v>
      </c>
      <c r="D81" s="48" t="s">
        <v>207</v>
      </c>
      <c r="E81" s="48" t="s">
        <v>205</v>
      </c>
      <c r="F81" s="49" t="s">
        <v>215</v>
      </c>
      <c r="G81" s="50"/>
      <c r="H81" s="50">
        <v>2262.65</v>
      </c>
      <c r="I81" s="50"/>
      <c r="J81" s="50"/>
      <c r="K81" s="50"/>
      <c r="L81" s="50"/>
      <c r="M81" s="51">
        <f t="shared" si="2"/>
        <v>2262.65</v>
      </c>
      <c r="N81" s="52"/>
      <c r="O81" s="53">
        <f t="shared" si="3"/>
        <v>-2262.65</v>
      </c>
    </row>
    <row r="82" s="5" customFormat="1" ht="21.95" customHeight="1" spans="1:251">
      <c r="A82" s="46">
        <v>18</v>
      </c>
      <c r="B82" s="46" t="s">
        <v>101</v>
      </c>
      <c r="C82" s="54" t="s">
        <v>102</v>
      </c>
      <c r="D82" s="48" t="s">
        <v>204</v>
      </c>
      <c r="E82" s="48" t="s">
        <v>211</v>
      </c>
      <c r="F82" s="49" t="s">
        <v>215</v>
      </c>
      <c r="G82" s="50"/>
      <c r="H82" s="50"/>
      <c r="I82" s="50"/>
      <c r="J82" s="50"/>
      <c r="K82" s="50"/>
      <c r="L82" s="50"/>
      <c r="M82" s="51">
        <f t="shared" si="2"/>
        <v>0</v>
      </c>
      <c r="N82" s="52"/>
      <c r="O82" s="53">
        <f t="shared" si="3"/>
        <v>0</v>
      </c>
    </row>
    <row r="83" s="5" customFormat="1" ht="21.95" customHeight="1" spans="1:251">
      <c r="A83" s="46">
        <v>19</v>
      </c>
      <c r="B83" s="46" t="s">
        <v>137</v>
      </c>
      <c r="C83" s="54" t="s">
        <v>138</v>
      </c>
      <c r="D83" s="48" t="s">
        <v>210</v>
      </c>
      <c r="E83" s="48" t="s">
        <v>211</v>
      </c>
      <c r="F83" s="49" t="s">
        <v>215</v>
      </c>
      <c r="G83" s="50"/>
      <c r="H83" s="50"/>
      <c r="I83" s="50"/>
      <c r="J83" s="50"/>
      <c r="K83" s="50"/>
      <c r="L83" s="50"/>
      <c r="M83" s="51">
        <f t="shared" si="2"/>
        <v>0</v>
      </c>
      <c r="N83" s="52"/>
      <c r="O83" s="53">
        <f t="shared" si="3"/>
        <v>0</v>
      </c>
    </row>
    <row r="84" s="5" customFormat="1" ht="21.95" customHeight="1" spans="1:251">
      <c r="A84" s="46">
        <v>20</v>
      </c>
      <c r="B84" s="46" t="s">
        <v>91</v>
      </c>
      <c r="C84" s="54" t="s">
        <v>92</v>
      </c>
      <c r="D84" s="48" t="s">
        <v>204</v>
      </c>
      <c r="E84" s="48" t="s">
        <v>205</v>
      </c>
      <c r="F84" s="49" t="s">
        <v>215</v>
      </c>
      <c r="G84" s="50"/>
      <c r="H84" s="50"/>
      <c r="I84" s="50"/>
      <c r="J84" s="50"/>
      <c r="K84" s="50"/>
      <c r="L84" s="50"/>
      <c r="M84" s="51">
        <f t="shared" si="2"/>
        <v>0</v>
      </c>
      <c r="N84" s="52"/>
      <c r="O84" s="53">
        <f t="shared" si="3"/>
        <v>0</v>
      </c>
    </row>
    <row r="85" s="5" customFormat="1" ht="21.95" customHeight="1" spans="1:251">
      <c r="A85" s="46">
        <v>21</v>
      </c>
      <c r="B85" s="46" t="s">
        <v>75</v>
      </c>
      <c r="C85" s="54" t="s">
        <v>76</v>
      </c>
      <c r="D85" s="48" t="s">
        <v>207</v>
      </c>
      <c r="E85" s="48" t="s">
        <v>211</v>
      </c>
      <c r="F85" s="49" t="s">
        <v>215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1">
        <f t="shared" si="2"/>
        <v>0</v>
      </c>
      <c r="N85" s="52"/>
      <c r="O85" s="53">
        <f t="shared" si="3"/>
        <v>0</v>
      </c>
    </row>
    <row r="86" s="5" customFormat="1" ht="21.95" customHeight="1" spans="1:251">
      <c r="A86" s="46">
        <v>22</v>
      </c>
      <c r="B86" s="46" t="s">
        <v>89</v>
      </c>
      <c r="C86" s="54" t="s">
        <v>90</v>
      </c>
      <c r="D86" s="48" t="s">
        <v>212</v>
      </c>
      <c r="E86" s="48" t="s">
        <v>211</v>
      </c>
      <c r="F86" s="49" t="s">
        <v>215</v>
      </c>
      <c r="G86" s="50"/>
      <c r="H86" s="50">
        <v>51520.39</v>
      </c>
      <c r="I86" s="50"/>
      <c r="J86" s="50"/>
      <c r="K86" s="50"/>
      <c r="L86" s="50"/>
      <c r="M86" s="51">
        <f t="shared" si="2"/>
        <v>51520.39</v>
      </c>
      <c r="N86" s="52"/>
      <c r="O86" s="53">
        <f t="shared" si="3"/>
        <v>-51520.39</v>
      </c>
    </row>
    <row r="87" s="5" customFormat="1" ht="21.95" customHeight="1" spans="1:251">
      <c r="A87" s="46">
        <v>23</v>
      </c>
      <c r="B87" s="46" t="s">
        <v>117</v>
      </c>
      <c r="C87" s="54" t="s">
        <v>118</v>
      </c>
      <c r="D87" s="57" t="s">
        <v>208</v>
      </c>
      <c r="E87" s="48" t="s">
        <v>205</v>
      </c>
      <c r="F87" s="49" t="s">
        <v>215</v>
      </c>
      <c r="G87" s="50">
        <v>18445.69</v>
      </c>
      <c r="H87" s="50"/>
      <c r="I87" s="50"/>
      <c r="J87" s="50">
        <v>2000</v>
      </c>
      <c r="K87" s="50"/>
      <c r="L87" s="50"/>
      <c r="M87" s="51">
        <f t="shared" si="2"/>
        <v>20445.69</v>
      </c>
      <c r="N87" s="52"/>
      <c r="O87" s="53">
        <f t="shared" si="3"/>
        <v>-20445.69</v>
      </c>
    </row>
    <row r="88" s="5" customFormat="1" ht="21.95" customHeight="1" spans="1:251">
      <c r="A88" s="46">
        <v>24</v>
      </c>
      <c r="B88" s="46" t="s">
        <v>17</v>
      </c>
      <c r="C88" s="54" t="s">
        <v>213</v>
      </c>
      <c r="D88" s="57" t="s">
        <v>210</v>
      </c>
      <c r="E88" s="48" t="s">
        <v>211</v>
      </c>
      <c r="F88" s="49" t="s">
        <v>215</v>
      </c>
      <c r="G88" s="50">
        <v>292714.81</v>
      </c>
      <c r="H88" s="50">
        <f>6326.58+15618.44</f>
        <v>21945.02</v>
      </c>
      <c r="I88" s="50"/>
      <c r="J88" s="50"/>
      <c r="K88" s="50"/>
      <c r="L88" s="50"/>
      <c r="M88" s="51">
        <f t="shared" si="2"/>
        <v>314659.83</v>
      </c>
      <c r="N88" s="52"/>
      <c r="O88" s="53">
        <f t="shared" si="3"/>
        <v>-314659.83</v>
      </c>
    </row>
    <row r="89" s="5" customFormat="1" ht="21.95" customHeight="1" spans="1:251">
      <c r="A89" s="46">
        <v>25</v>
      </c>
      <c r="B89" s="46" t="s">
        <v>19</v>
      </c>
      <c r="C89" s="54" t="s">
        <v>20</v>
      </c>
      <c r="D89" s="57" t="s">
        <v>210</v>
      </c>
      <c r="E89" s="48" t="s">
        <v>211</v>
      </c>
      <c r="F89" s="49" t="s">
        <v>215</v>
      </c>
      <c r="G89" s="50">
        <v>517381.77</v>
      </c>
      <c r="H89" s="50">
        <f>9785.4+60822.05</f>
        <v>70607.45</v>
      </c>
      <c r="I89" s="50"/>
      <c r="J89" s="50"/>
      <c r="K89" s="50"/>
      <c r="L89" s="50">
        <v>20000</v>
      </c>
      <c r="M89" s="51">
        <f t="shared" si="2"/>
        <v>607989.22</v>
      </c>
      <c r="N89" s="52"/>
      <c r="O89" s="53">
        <f t="shared" si="3"/>
        <v>-607989.22</v>
      </c>
    </row>
    <row r="90" s="5" customFormat="1" ht="21.95" customHeight="1" spans="1:251">
      <c r="A90" s="46">
        <v>26</v>
      </c>
      <c r="B90" s="46" t="s">
        <v>23</v>
      </c>
      <c r="C90" s="54" t="s">
        <v>24</v>
      </c>
      <c r="D90" s="57" t="s">
        <v>210</v>
      </c>
      <c r="E90" s="48" t="s">
        <v>211</v>
      </c>
      <c r="F90" s="49" t="s">
        <v>215</v>
      </c>
      <c r="G90" s="50">
        <f>385379.3+28119.8</f>
        <v>413499.1</v>
      </c>
      <c r="H90" s="50">
        <v>7959.51</v>
      </c>
      <c r="I90" s="50"/>
      <c r="J90" s="50"/>
      <c r="K90" s="50"/>
      <c r="L90" s="50">
        <v>20000</v>
      </c>
      <c r="M90" s="51">
        <f t="shared" si="2"/>
        <v>441458.61</v>
      </c>
      <c r="N90" s="52"/>
      <c r="O90" s="53">
        <f t="shared" si="3"/>
        <v>-441458.61</v>
      </c>
    </row>
    <row r="91" s="5" customFormat="1" ht="21.95" customHeight="1" spans="1:251">
      <c r="A91" s="46">
        <v>27</v>
      </c>
      <c r="B91" s="46" t="s">
        <v>25</v>
      </c>
      <c r="C91" s="54" t="s">
        <v>26</v>
      </c>
      <c r="D91" s="57" t="s">
        <v>207</v>
      </c>
      <c r="E91" s="48" t="s">
        <v>211</v>
      </c>
      <c r="F91" s="49" t="s">
        <v>215</v>
      </c>
      <c r="G91" s="50">
        <v>344192.34</v>
      </c>
      <c r="H91" s="50">
        <v>19738.04</v>
      </c>
      <c r="I91" s="50"/>
      <c r="J91" s="50"/>
      <c r="K91" s="50"/>
      <c r="L91" s="50"/>
      <c r="M91" s="51">
        <f t="shared" si="2"/>
        <v>363930.38</v>
      </c>
      <c r="N91" s="52"/>
      <c r="O91" s="53">
        <f t="shared" si="3"/>
        <v>-363930.38</v>
      </c>
    </row>
    <row r="92" s="6" customFormat="1" ht="21.95" customHeight="1" spans="1:251">
      <c r="A92" s="46">
        <v>28</v>
      </c>
      <c r="B92" s="46" t="s">
        <v>27</v>
      </c>
      <c r="C92" s="54" t="s">
        <v>28</v>
      </c>
      <c r="D92" s="57" t="s">
        <v>207</v>
      </c>
      <c r="E92" s="48" t="s">
        <v>211</v>
      </c>
      <c r="F92" s="49" t="s">
        <v>215</v>
      </c>
      <c r="G92" s="50">
        <v>722711.69</v>
      </c>
      <c r="H92" s="50">
        <v>35458.62</v>
      </c>
      <c r="I92" s="50"/>
      <c r="J92" s="50"/>
      <c r="K92" s="50"/>
      <c r="L92" s="50"/>
      <c r="M92" s="51">
        <f t="shared" si="2"/>
        <v>758170.31</v>
      </c>
      <c r="N92" s="52"/>
      <c r="O92" s="53">
        <f t="shared" si="3"/>
        <v>-758170.31</v>
      </c>
    </row>
    <row r="93" s="6" customFormat="1" ht="21.95" customHeight="1" spans="1:251">
      <c r="A93" s="46">
        <v>29</v>
      </c>
      <c r="B93" s="46" t="s">
        <v>41</v>
      </c>
      <c r="C93" s="54" t="s">
        <v>42</v>
      </c>
      <c r="D93" s="57" t="s">
        <v>207</v>
      </c>
      <c r="E93" s="48" t="s">
        <v>211</v>
      </c>
      <c r="F93" s="49" t="s">
        <v>215</v>
      </c>
      <c r="G93" s="50">
        <v>439871.53</v>
      </c>
      <c r="H93" s="50">
        <v>38513.82</v>
      </c>
      <c r="I93" s="50"/>
      <c r="J93" s="50"/>
      <c r="K93" s="50"/>
      <c r="L93" s="50"/>
      <c r="M93" s="51">
        <f t="shared" si="2"/>
        <v>478385.35</v>
      </c>
      <c r="N93" s="52"/>
      <c r="O93" s="53">
        <f t="shared" si="3"/>
        <v>-478385.35</v>
      </c>
    </row>
    <row r="94" s="7" customFormat="1" customHeight="1" spans="1:251">
      <c r="A94" s="46">
        <v>30</v>
      </c>
      <c r="B94" s="46" t="s">
        <v>29</v>
      </c>
      <c r="C94" s="54" t="s">
        <v>30</v>
      </c>
      <c r="D94" s="57" t="s">
        <v>207</v>
      </c>
      <c r="E94" s="48" t="s">
        <v>211</v>
      </c>
      <c r="F94" s="49" t="s">
        <v>215</v>
      </c>
      <c r="G94" s="50">
        <v>457206.69</v>
      </c>
      <c r="H94" s="50">
        <v>29208.21</v>
      </c>
      <c r="I94" s="50"/>
      <c r="J94" s="50"/>
      <c r="K94" s="50"/>
      <c r="L94" s="50"/>
      <c r="M94" s="51">
        <f t="shared" si="2"/>
        <v>486414.9</v>
      </c>
      <c r="N94" s="52"/>
      <c r="O94" s="53">
        <f t="shared" si="3"/>
        <v>-486414.9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</row>
    <row r="95" s="4" customFormat="1" customHeight="1" spans="1:251">
      <c r="A95" s="1"/>
      <c r="B95" s="1"/>
      <c r="C95" s="1"/>
      <c r="D95" s="1"/>
      <c r="E95" s="2"/>
      <c r="F95" s="2"/>
      <c r="G95" s="1"/>
      <c r="H95" s="1"/>
      <c r="I95" s="1"/>
      <c r="J95" s="1"/>
      <c r="K95" s="8"/>
      <c r="L95" s="8"/>
      <c r="M95" s="8">
        <f>SUM(M65:M94)</f>
        <v>5059761.14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</row>
  </sheetData>
  <mergeCells count="11">
    <mergeCell ref="A1:O1"/>
    <mergeCell ref="A2:O2"/>
    <mergeCell ref="G3:M3"/>
    <mergeCell ref="A3:A4"/>
    <mergeCell ref="B3:B4"/>
    <mergeCell ref="C3:C4"/>
    <mergeCell ref="D3:D4"/>
    <mergeCell ref="E3:E4"/>
    <mergeCell ref="F3:F4"/>
    <mergeCell ref="N3:N4"/>
    <mergeCell ref="O3:O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科桥餐饮项目营业额统计分析表当月</vt:lpstr>
      <vt:lpstr>科桥餐饮项目营业额统计分析表累计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24027</dc:creator>
  <cp:lastModifiedBy>云端的故事</cp:lastModifiedBy>
  <dcterms:created xsi:type="dcterms:W3CDTF">2024-07-02T08:22:00Z</dcterms:created>
  <dcterms:modified xsi:type="dcterms:W3CDTF">2026-09-06T02:13:32Z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215F05D08C9241CF8F83EDDF0862A514_13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