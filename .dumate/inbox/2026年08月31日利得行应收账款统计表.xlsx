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360MoveData\Users\云淡\Desktop\终稿\8月\"/>
    </mc:Choice>
  </mc:AlternateContent>
  <bookViews>
    <workbookView windowWidth="28800" windowHeight="12255"/>
  </bookViews>
  <sheets>
    <sheet name="汇总" sheetId="2" r:id="rId1"/>
    <sheet name="2026年8月利得行公司应收账款统计表" sheetId="1" r:id="rId2"/>
  </sheets>
  <definedNames>
    <definedName name="_xlnm._FilterDatabase" localSheetId="1" hidden="1">'2026年8月利得行公司应收账款统计表'!$A$3:$M$18</definedName>
    <definedName name="UFPrn20070711110626">#REF!</definedName>
    <definedName name="UFPrn20070711110853">#REF!</definedName>
    <definedName name="UFPrn2007071111101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<sst xmlns="http://schemas.openxmlformats.org/spreadsheetml/2006/main" count="80" uniqueCount="62">
  <si>
    <t>2026年08月利得行公司应收账款统计表                   金额：元</t>
  </si>
  <si>
    <t>序号</t>
  </si>
  <si>
    <t>年度</t>
  </si>
  <si>
    <t>总金额
（截止至2026.03.31）
（1）+（2）+（3）</t>
  </si>
  <si>
    <t>（1）正常应收帐款</t>
  </si>
  <si>
    <t>（2）逾期应收帐款</t>
  </si>
  <si>
    <t>备注</t>
  </si>
  <si>
    <t>逾期1个月</t>
  </si>
  <si>
    <t>逾期2-3个月</t>
  </si>
  <si>
    <t>逾期3个月以上-6个月以内（含6个月）</t>
  </si>
  <si>
    <t>逾期6个月以上-12个月以内（含12个月）</t>
  </si>
  <si>
    <t>逾期12个月以上</t>
  </si>
  <si>
    <t>小计</t>
  </si>
  <si>
    <t>2024年度</t>
  </si>
  <si>
    <t>2025年度</t>
  </si>
  <si>
    <t>2026年1-8月</t>
  </si>
  <si>
    <t>总 计</t>
  </si>
  <si>
    <t>填报：财务部（收入核算科）</t>
  </si>
  <si>
    <t>复核：谢苗苗</t>
  </si>
  <si>
    <t>2026年08月利得行公司应收账款统计表（时间：截至2026.08.31）        金额：元</t>
  </si>
  <si>
    <t>客商</t>
  </si>
  <si>
    <t>应收金额合计
（1）+（2）</t>
  </si>
  <si>
    <t>（1）正常应收账款</t>
  </si>
  <si>
    <t>（2）逾期应收账款</t>
  </si>
  <si>
    <t>产生日期</t>
  </si>
  <si>
    <t>账款催讨责任人</t>
  </si>
  <si>
    <t>A.逾期1个月</t>
  </si>
  <si>
    <t>B.逾期2-3个月</t>
  </si>
  <si>
    <t>C.逾期3个月以上-6个月以内（含6个月）</t>
  </si>
  <si>
    <t>D.逾期6个月以上-12个月以内（含12个月）</t>
  </si>
  <si>
    <t>E.逾期12个月以上</t>
  </si>
  <si>
    <t>中国中医科学院大学</t>
  </si>
  <si>
    <t>2024年7-9月</t>
  </si>
  <si>
    <t>薛迎春</t>
  </si>
  <si>
    <t>按季付(撤场项目)</t>
  </si>
  <si>
    <t>常州江茂房地产开发有限公司（河海大学教职工公寓查验项目）</t>
  </si>
  <si>
    <t>2024年4-6月</t>
  </si>
  <si>
    <t>按工程进度付款（2025年1月开票475000元，撤场项目）</t>
  </si>
  <si>
    <t>浙江江南工程管理股份有限公司（四川大学眉山校区）</t>
  </si>
  <si>
    <t>2024年3月-2024年12月</t>
  </si>
  <si>
    <t>按工程进度付款</t>
  </si>
  <si>
    <t>2024年合计</t>
  </si>
  <si>
    <t>西南交通大学</t>
  </si>
  <si>
    <t>2025年1月-2025年11月</t>
  </si>
  <si>
    <t>按比例（12月开票20000元,撤场项目)）</t>
  </si>
  <si>
    <t>苏新美好生活服务股份有限公司</t>
  </si>
  <si>
    <t>按季付</t>
  </si>
  <si>
    <t>华东理工大学</t>
  </si>
  <si>
    <t>按比例（10月开票13000元,撤场项目）</t>
  </si>
  <si>
    <t>苏州苏大教育服务投资发展（集团）有限公司（重庆交通大学后勤咨询服务协议）</t>
  </si>
  <si>
    <t>按次(撤场项目)</t>
  </si>
  <si>
    <t>2025年合计</t>
  </si>
  <si>
    <t>2026年1月-2026年6月</t>
  </si>
  <si>
    <t>北京科技大学</t>
  </si>
  <si>
    <t>按次</t>
  </si>
  <si>
    <t>东吴物业产业集团（江苏）有限公司（中国中医科学院工程管理服务）</t>
  </si>
  <si>
    <t>2026年6-8月</t>
  </si>
  <si>
    <t>湖南大学设计研究院有限公司</t>
  </si>
  <si>
    <t>按次6月已开票</t>
  </si>
  <si>
    <t>2026年合计</t>
  </si>
  <si>
    <t>2024-2026年合计</t>
  </si>
  <si>
    <t>日期：2026/9/4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</si>
</sst>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yyyy&quot;年&quot;m&quot;月&quot;;@"/>
    <numFmt numFmtId="178" formatCode="0.00_ "/>
    <numFmt numFmtId="179" formatCode="yyyy&quot;年&quot;m&quot;月&quot;d&quot;日&quot;;@"/>
  </numFmts>
  <fonts count="29">
    <font>
      <sz val="12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sz val="10"/>
      <color rgb="FF000000"/>
      <name val="宋体"/>
      <charset val="134"/>
    </font>
    <font>
      <b/>
      <sz val="11"/>
      <name val="宋体"/>
      <charset val="134"/>
    </font>
    <font>
      <b/>
      <sz val="9"/>
      <name val="宋体"/>
      <charset val="134"/>
    </font>
    <font>
      <sz val="10"/>
      <name val="Arial"/>
      <charset val="0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55748161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1" fillId="10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 readingOrder="1"/>
    </xf>
    <xf numFmtId="43" fontId="1" fillId="0" borderId="0" xfId="1" applyFont="1" applyAlignment="1">
      <alignment horizontal="right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3" fontId="4" fillId="2" borderId="1" xfId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43" fontId="4" fillId="2" borderId="3" xfId="1" applyFont="1" applyFill="1" applyBorder="1" applyAlignment="1">
      <alignment horizontal="center" vertical="center" wrapText="1"/>
    </xf>
    <xf numFmtId="43" fontId="4" fillId="2" borderId="4" xfId="1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3" fontId="4" fillId="2" borderId="6" xfId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3" fontId="5" fillId="0" borderId="1" xfId="1" applyFont="1" applyFill="1" applyBorder="1" applyAlignment="1">
      <alignment horizontal="right" vertical="center" shrinkToFit="1"/>
    </xf>
    <xf numFmtId="177" fontId="5" fillId="0" borderId="1" xfId="1" applyNumberFormat="1" applyFont="1" applyFill="1" applyBorder="1" applyAlignment="1">
      <alignment horizontal="center" vertical="center" shrinkToFit="1"/>
    </xf>
    <xf numFmtId="177" fontId="5" fillId="4" borderId="1" xfId="1" applyNumberFormat="1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left" vertical="center" wrapText="1"/>
    </xf>
    <xf numFmtId="43" fontId="5" fillId="0" borderId="1" xfId="1" applyFont="1" applyFill="1" applyBorder="1" applyAlignment="1">
      <alignment vertical="center" shrinkToFit="1"/>
    </xf>
    <xf numFmtId="0" fontId="1" fillId="0" borderId="1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43" fontId="4" fillId="5" borderId="1" xfId="1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43" fontId="4" fillId="5" borderId="3" xfId="1" applyFont="1" applyFill="1" applyBorder="1" applyAlignment="1">
      <alignment horizontal="center" vertical="center"/>
    </xf>
    <xf numFmtId="43" fontId="4" fillId="5" borderId="5" xfId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178" fontId="6" fillId="0" borderId="0" xfId="0" applyNumberFormat="1" applyFont="1" applyAlignment="1">
      <alignment horizontal="right" vertical="center"/>
    </xf>
    <xf numFmtId="43" fontId="1" fillId="0" borderId="0" xfId="1" applyFont="1" applyAlignment="1">
      <alignment horizontal="center" vertical="center" readingOrder="1"/>
    </xf>
    <xf numFmtId="43" fontId="6" fillId="0" borderId="0" xfId="1" applyFont="1" applyAlignment="1">
      <alignment horizontal="right" vertical="center"/>
    </xf>
    <xf numFmtId="43" fontId="0" fillId="0" borderId="0" xfId="1" applyFont="1" applyAlignment="1">
      <alignment vertical="center"/>
    </xf>
    <xf numFmtId="43" fontId="6" fillId="0" borderId="0" xfId="1" applyFont="1" applyAlignment="1">
      <alignment horizontal="center" vertical="center" wrapText="1"/>
    </xf>
    <xf numFmtId="179" fontId="6" fillId="0" borderId="7" xfId="0" applyNumberFormat="1" applyFont="1" applyBorder="1" applyAlignment="1">
      <alignment horizontal="center" vertical="center" wrapText="1"/>
    </xf>
    <xf numFmtId="43" fontId="1" fillId="0" borderId="0" xfId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Fill="1" applyBorder="1" applyAlignment="1"/>
    <xf numFmtId="0" fontId="3" fillId="0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3" fontId="4" fillId="6" borderId="1" xfId="1" applyNumberFormat="1" applyFont="1" applyFill="1" applyBorder="1" applyAlignment="1">
      <alignment horizontal="center" vertical="center" wrapText="1"/>
    </xf>
    <xf numFmtId="43" fontId="4" fillId="2" borderId="1" xfId="1" applyNumberFormat="1" applyFont="1" applyFill="1" applyBorder="1" applyAlignment="1">
      <alignment horizontal="center" vertical="center"/>
    </xf>
    <xf numFmtId="43" fontId="4" fillId="6" borderId="1" xfId="1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43" fontId="4" fillId="6" borderId="1" xfId="1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43" fontId="4" fillId="0" borderId="1" xfId="1" applyNumberFormat="1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57" fontId="4" fillId="0" borderId="1" xfId="0" applyNumberFormat="1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9"/>
  <sheetViews>
    <sheetView tabSelected="1" workbookViewId="0">
      <selection activeCell="G3" sqref="G3"/>
    </sheetView>
  </sheetViews>
  <sheetFormatPr defaultColWidth="13.4166666666667" defaultRowHeight="12.75"/>
  <cols>
    <col min="1" max="2" width="13.4166666666667" style="43" customWidth="1"/>
    <col min="3" max="3" width="17.125" style="43" customWidth="1"/>
    <col min="4" max="4" width="17.0083333333333" style="43" customWidth="1"/>
    <col min="5" max="10" width="16.525" style="43" customWidth="1"/>
    <col min="11" max="16384" width="13.4166666666667" style="43"/>
  </cols>
  <sheetData>
    <row r="1" s="43" customFormat="1" ht="55.5" customHeight="1" spans="1:11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="43" customFormat="1" ht="54.75" customHeight="1" spans="1:11">
      <c r="A2" s="45" t="s">
        <v>1</v>
      </c>
      <c r="B2" s="45" t="s">
        <v>2</v>
      </c>
      <c r="C2" s="46" t="s">
        <v>3</v>
      </c>
      <c r="D2" s="47" t="s">
        <v>4</v>
      </c>
      <c r="E2" s="48" t="s">
        <v>5</v>
      </c>
      <c r="F2" s="48"/>
      <c r="G2" s="48"/>
      <c r="H2" s="48"/>
      <c r="I2" s="48"/>
      <c r="J2" s="48"/>
      <c r="K2" s="45" t="s">
        <v>6</v>
      </c>
    </row>
    <row r="3" s="43" customFormat="1" ht="36" spans="1:11">
      <c r="A3" s="45"/>
      <c r="B3" s="49"/>
      <c r="C3" s="50"/>
      <c r="D3" s="47"/>
      <c r="E3" s="48" t="s">
        <v>7</v>
      </c>
      <c r="F3" s="46" t="s">
        <v>8</v>
      </c>
      <c r="G3" s="46" t="s">
        <v>9</v>
      </c>
      <c r="H3" s="46" t="s">
        <v>10</v>
      </c>
      <c r="I3" s="46" t="s">
        <v>11</v>
      </c>
      <c r="J3" s="46" t="s">
        <v>12</v>
      </c>
      <c r="K3" s="45"/>
    </row>
    <row r="4" s="43" customFormat="1" ht="60" customHeight="1" spans="1:11">
      <c r="A4" s="51">
        <v>1</v>
      </c>
      <c r="B4" s="52" t="s">
        <v>13</v>
      </c>
      <c r="C4" s="53">
        <f>'2026年8月利得行公司应收账款统计表'!C7</f>
        <v>731200.96</v>
      </c>
      <c r="D4" s="53">
        <f>'2026年8月利得行公司应收账款统计表'!D7</f>
        <v>137950.95</v>
      </c>
      <c r="E4" s="53">
        <f>'2026年8月利得行公司应收账款统计表'!E7</f>
        <v>0</v>
      </c>
      <c r="F4" s="53">
        <f>'2026年8月利得行公司应收账款统计表'!F7</f>
        <v>0</v>
      </c>
      <c r="G4" s="53">
        <f>'2026年8月利得行公司应收账款统计表'!G7</f>
        <v>0</v>
      </c>
      <c r="H4" s="53">
        <f>'2026年8月利得行公司应收账款统计表'!H7</f>
        <v>0</v>
      </c>
      <c r="I4" s="53">
        <f>'2026年8月利得行公司应收账款统计表'!I7</f>
        <v>593250.01</v>
      </c>
      <c r="J4" s="53">
        <f>'2026年8月利得行公司应收账款统计表'!J7</f>
        <v>593250.01</v>
      </c>
      <c r="K4" s="54"/>
    </row>
    <row r="5" s="43" customFormat="1" ht="67.5" customHeight="1" spans="1:11">
      <c r="A5" s="51">
        <v>2</v>
      </c>
      <c r="B5" s="52" t="s">
        <v>14</v>
      </c>
      <c r="C5" s="53">
        <f>'2026年8月利得行公司应收账款统计表'!C12</f>
        <v>236095.63</v>
      </c>
      <c r="D5" s="53">
        <f>'2026年8月利得行公司应收账款统计表'!D12</f>
        <v>127395.73</v>
      </c>
      <c r="E5" s="53">
        <f>'2026年8月利得行公司应收账款统计表'!E12</f>
        <v>0</v>
      </c>
      <c r="F5" s="53">
        <f>'2026年8月利得行公司应收账款统计表'!F12</f>
        <v>0</v>
      </c>
      <c r="G5" s="53">
        <f>'2026年8月利得行公司应收账款统计表'!G12</f>
        <v>205695.63</v>
      </c>
      <c r="H5" s="53">
        <f>'2026年8月利得行公司应收账款统计表'!H12</f>
        <v>13000</v>
      </c>
      <c r="I5" s="53">
        <f>'2026年8月利得行公司应收账款统计表'!I12</f>
        <v>0</v>
      </c>
      <c r="J5" s="53">
        <f>'2026年8月利得行公司应收账款统计表'!J12</f>
        <v>218695.63</v>
      </c>
      <c r="K5" s="55"/>
    </row>
    <row r="6" s="43" customFormat="1" ht="67.5" customHeight="1" spans="1:11">
      <c r="A6" s="51">
        <v>3</v>
      </c>
      <c r="B6" s="56" t="s">
        <v>15</v>
      </c>
      <c r="C6" s="53">
        <f>'2026年8月利得行公司应收账款统计表'!C17</f>
        <v>1514003.26</v>
      </c>
      <c r="D6" s="53">
        <f>'2026年8月利得行公司应收账款统计表'!D17</f>
        <v>854028.86</v>
      </c>
      <c r="E6" s="53">
        <f>'2026年8月利得行公司应收账款统计表'!E17</f>
        <v>0</v>
      </c>
      <c r="F6" s="53">
        <f>'2026年8月利得行公司应收账款统计表'!F17</f>
        <v>439982.93</v>
      </c>
      <c r="G6" s="53">
        <f>'2026年8月利得行公司应收账款统计表'!G17</f>
        <v>219991.47</v>
      </c>
      <c r="H6" s="53">
        <f>'2026年8月利得行公司应收账款统计表'!H17</f>
        <v>0</v>
      </c>
      <c r="I6" s="53">
        <f>'2026年8月利得行公司应收账款统计表'!I17</f>
        <v>0</v>
      </c>
      <c r="J6" s="53">
        <f>'2026年8月利得行公司应收账款统计表'!J17</f>
        <v>659974.4</v>
      </c>
      <c r="K6" s="55"/>
    </row>
    <row r="7" s="43" customFormat="1" ht="60" customHeight="1" spans="1:11">
      <c r="A7" s="45" t="s">
        <v>16</v>
      </c>
      <c r="B7" s="45"/>
      <c r="C7" s="48">
        <f>SUM(C4:C6)</f>
        <v>2481299.85</v>
      </c>
      <c r="D7" s="48">
        <f t="shared" ref="D7:J7" si="0">SUM(D4:D6)</f>
        <v>1119375.54</v>
      </c>
      <c r="E7" s="48">
        <f t="shared" si="0"/>
        <v>0</v>
      </c>
      <c r="F7" s="48">
        <f t="shared" si="0"/>
        <v>439982.93</v>
      </c>
      <c r="G7" s="48">
        <f t="shared" si="0"/>
        <v>425687.1</v>
      </c>
      <c r="H7" s="48">
        <f t="shared" si="0"/>
        <v>13000</v>
      </c>
      <c r="I7" s="48">
        <f t="shared" si="0"/>
        <v>593250.01</v>
      </c>
      <c r="J7" s="48">
        <f t="shared" si="0"/>
        <v>1471920.04</v>
      </c>
      <c r="K7" s="48"/>
    </row>
    <row r="8" s="43" customFormat="1" ht="21.75" customHeight="1"/>
    <row r="9" s="43" customFormat="1" ht="21" customHeight="1" spans="1:11">
      <c r="J9" s="42" t="s">
        <v>17</v>
      </c>
    </row>
    <row r="10" s="43" customFormat="1" ht="21" customHeight="1" spans="1:11">
      <c r="J10" s="42" t="s">
        <v>18</v>
      </c>
    </row>
    <row r="11" s="43" customFormat="1" ht="21" customHeight="1" spans="1:11">
      <c r="J11" s="42" t="str">
        <f>'2026年8月利得行公司应收账款统计表'!L22</f>
        <v>日期：2026/9/4</v>
      </c>
    </row>
    <row r="19" s="43" customFormat="1" spans="10:10">
      <c r="J19" s="57"/>
    </row>
  </sheetData>
  <mergeCells count="9">
    <mergeCell ref="A1:K1"/>
    <mergeCell ref="E2:J2"/>
    <mergeCell ref="A7:B7"/>
    <mergeCell ref="A2:A3"/>
    <mergeCell ref="B2:B3"/>
    <mergeCell ref="C2:C3"/>
    <mergeCell ref="D2:D3"/>
    <mergeCell ref="K2:K3"/>
    <mergeCell ref="K4:K5"/>
  </mergeCells>
  <pageMargins left="0.75" right="0.75" top="1" bottom="1" header="0.5" footer="0.5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4"/>
  <sheetViews>
    <sheetView topLeftCell="A4" workbookViewId="0">
      <selection activeCell="C13" sqref="C13"/>
    </sheetView>
  </sheetViews>
  <sheetFormatPr defaultColWidth="9" defaultRowHeight="24.75" customHeight="1"/>
  <cols>
    <col min="1" max="1" width="7.5" style="5" customWidth="1"/>
    <col min="2" max="2" width="30.2" style="5" customWidth="1"/>
    <col min="3" max="3" width="14.7" style="6" customWidth="1"/>
    <col min="4" max="4" width="16" style="6" customWidth="1"/>
    <col min="5" max="5" width="13.75" style="6" customWidth="1"/>
    <col min="6" max="6" width="13.625" style="6" customWidth="1"/>
    <col min="7" max="7" width="15.25" style="6" customWidth="1"/>
    <col min="8" max="8" width="15.375" style="6" customWidth="1"/>
    <col min="9" max="9" width="14" style="6" customWidth="1"/>
    <col min="10" max="10" width="15" style="6" customWidth="1"/>
    <col min="11" max="11" width="20.5" style="7" customWidth="1"/>
    <col min="12" max="12" width="16.2" style="7" customWidth="1"/>
    <col min="13" max="13" width="22" style="8" customWidth="1"/>
    <col min="14" max="14" width="9.2" style="8"/>
    <col min="15" max="259" width="9" style="8"/>
    <col min="260" max="260" width="8" style="8" customWidth="1"/>
    <col min="261" max="261" width="35.5" style="8" customWidth="1"/>
    <col min="262" max="262" width="18.1" style="8" customWidth="1"/>
    <col min="263" max="265" width="20.2" style="8" customWidth="1"/>
    <col min="266" max="266" width="15.7" style="8" customWidth="1"/>
    <col min="267" max="267" width="24.5" style="8" customWidth="1"/>
    <col min="268" max="268" width="9" style="8"/>
    <col min="269" max="269" width="12.2" style="8" customWidth="1"/>
    <col min="270" max="515" width="9" style="8"/>
    <col min="516" max="516" width="8" style="8" customWidth="1"/>
    <col min="517" max="517" width="35.5" style="8" customWidth="1"/>
    <col min="518" max="518" width="18.1" style="8" customWidth="1"/>
    <col min="519" max="521" width="20.2" style="8" customWidth="1"/>
    <col min="522" max="522" width="15.7" style="8" customWidth="1"/>
    <col min="523" max="523" width="24.5" style="8" customWidth="1"/>
    <col min="524" max="524" width="9" style="8"/>
    <col min="525" max="525" width="12.2" style="8" customWidth="1"/>
    <col min="526" max="771" width="9" style="8"/>
    <col min="772" max="772" width="8" style="8" customWidth="1"/>
    <col min="773" max="773" width="35.5" style="8" customWidth="1"/>
    <col min="774" max="774" width="18.1" style="8" customWidth="1"/>
    <col min="775" max="777" width="20.2" style="8" customWidth="1"/>
    <col min="778" max="778" width="15.7" style="8" customWidth="1"/>
    <col min="779" max="779" width="24.5" style="8" customWidth="1"/>
    <col min="780" max="780" width="9" style="8"/>
    <col min="781" max="781" width="12.2" style="8" customWidth="1"/>
    <col min="782" max="1027" width="9" style="8"/>
    <col min="1028" max="1028" width="8" style="8" customWidth="1"/>
    <col min="1029" max="1029" width="35.5" style="8" customWidth="1"/>
    <col min="1030" max="1030" width="18.1" style="8" customWidth="1"/>
    <col min="1031" max="1033" width="20.2" style="8" customWidth="1"/>
    <col min="1034" max="1034" width="15.7" style="8" customWidth="1"/>
    <col min="1035" max="1035" width="24.5" style="8" customWidth="1"/>
    <col min="1036" max="1036" width="9" style="8"/>
    <col min="1037" max="1037" width="12.2" style="8" customWidth="1"/>
    <col min="1038" max="1283" width="9" style="8"/>
    <col min="1284" max="1284" width="8" style="8" customWidth="1"/>
    <col min="1285" max="1285" width="35.5" style="8" customWidth="1"/>
    <col min="1286" max="1286" width="18.1" style="8" customWidth="1"/>
    <col min="1287" max="1289" width="20.2" style="8" customWidth="1"/>
    <col min="1290" max="1290" width="15.7" style="8" customWidth="1"/>
    <col min="1291" max="1291" width="24.5" style="8" customWidth="1"/>
    <col min="1292" max="1292" width="9" style="8"/>
    <col min="1293" max="1293" width="12.2" style="8" customWidth="1"/>
    <col min="1294" max="1539" width="9" style="8"/>
    <col min="1540" max="1540" width="8" style="8" customWidth="1"/>
    <col min="1541" max="1541" width="35.5" style="8" customWidth="1"/>
    <col min="1542" max="1542" width="18.1" style="8" customWidth="1"/>
    <col min="1543" max="1545" width="20.2" style="8" customWidth="1"/>
    <col min="1546" max="1546" width="15.7" style="8" customWidth="1"/>
    <col min="1547" max="1547" width="24.5" style="8" customWidth="1"/>
    <col min="1548" max="1548" width="9" style="8"/>
    <col min="1549" max="1549" width="12.2" style="8" customWidth="1"/>
    <col min="1550" max="1795" width="9" style="8"/>
    <col min="1796" max="1796" width="8" style="8" customWidth="1"/>
    <col min="1797" max="1797" width="35.5" style="8" customWidth="1"/>
    <col min="1798" max="1798" width="18.1" style="8" customWidth="1"/>
    <col min="1799" max="1801" width="20.2" style="8" customWidth="1"/>
    <col min="1802" max="1802" width="15.7" style="8" customWidth="1"/>
    <col min="1803" max="1803" width="24.5" style="8" customWidth="1"/>
    <col min="1804" max="1804" width="9" style="8"/>
    <col min="1805" max="1805" width="12.2" style="8" customWidth="1"/>
    <col min="1806" max="2051" width="9" style="8"/>
    <col min="2052" max="2052" width="8" style="8" customWidth="1"/>
    <col min="2053" max="2053" width="35.5" style="8" customWidth="1"/>
    <col min="2054" max="2054" width="18.1" style="8" customWidth="1"/>
    <col min="2055" max="2057" width="20.2" style="8" customWidth="1"/>
    <col min="2058" max="2058" width="15.7" style="8" customWidth="1"/>
    <col min="2059" max="2059" width="24.5" style="8" customWidth="1"/>
    <col min="2060" max="2060" width="9" style="8"/>
    <col min="2061" max="2061" width="12.2" style="8" customWidth="1"/>
    <col min="2062" max="2307" width="9" style="8"/>
    <col min="2308" max="2308" width="8" style="8" customWidth="1"/>
    <col min="2309" max="2309" width="35.5" style="8" customWidth="1"/>
    <col min="2310" max="2310" width="18.1" style="8" customWidth="1"/>
    <col min="2311" max="2313" width="20.2" style="8" customWidth="1"/>
    <col min="2314" max="2314" width="15.7" style="8" customWidth="1"/>
    <col min="2315" max="2315" width="24.5" style="8" customWidth="1"/>
    <col min="2316" max="2316" width="9" style="8"/>
    <col min="2317" max="2317" width="12.2" style="8" customWidth="1"/>
    <col min="2318" max="2563" width="9" style="8"/>
    <col min="2564" max="2564" width="8" style="8" customWidth="1"/>
    <col min="2565" max="2565" width="35.5" style="8" customWidth="1"/>
    <col min="2566" max="2566" width="18.1" style="8" customWidth="1"/>
    <col min="2567" max="2569" width="20.2" style="8" customWidth="1"/>
    <col min="2570" max="2570" width="15.7" style="8" customWidth="1"/>
    <col min="2571" max="2571" width="24.5" style="8" customWidth="1"/>
    <col min="2572" max="2572" width="9" style="8"/>
    <col min="2573" max="2573" width="12.2" style="8" customWidth="1"/>
    <col min="2574" max="2819" width="9" style="8"/>
    <col min="2820" max="2820" width="8" style="8" customWidth="1"/>
    <col min="2821" max="2821" width="35.5" style="8" customWidth="1"/>
    <col min="2822" max="2822" width="18.1" style="8" customWidth="1"/>
    <col min="2823" max="2825" width="20.2" style="8" customWidth="1"/>
    <col min="2826" max="2826" width="15.7" style="8" customWidth="1"/>
    <col min="2827" max="2827" width="24.5" style="8" customWidth="1"/>
    <col min="2828" max="2828" width="9" style="8"/>
    <col min="2829" max="2829" width="12.2" style="8" customWidth="1"/>
    <col min="2830" max="3075" width="9" style="8"/>
    <col min="3076" max="3076" width="8" style="8" customWidth="1"/>
    <col min="3077" max="3077" width="35.5" style="8" customWidth="1"/>
    <col min="3078" max="3078" width="18.1" style="8" customWidth="1"/>
    <col min="3079" max="3081" width="20.2" style="8" customWidth="1"/>
    <col min="3082" max="3082" width="15.7" style="8" customWidth="1"/>
    <col min="3083" max="3083" width="24.5" style="8" customWidth="1"/>
    <col min="3084" max="3084" width="9" style="8"/>
    <col min="3085" max="3085" width="12.2" style="8" customWidth="1"/>
    <col min="3086" max="3331" width="9" style="8"/>
    <col min="3332" max="3332" width="8" style="8" customWidth="1"/>
    <col min="3333" max="3333" width="35.5" style="8" customWidth="1"/>
    <col min="3334" max="3334" width="18.1" style="8" customWidth="1"/>
    <col min="3335" max="3337" width="20.2" style="8" customWidth="1"/>
    <col min="3338" max="3338" width="15.7" style="8" customWidth="1"/>
    <col min="3339" max="3339" width="24.5" style="8" customWidth="1"/>
    <col min="3340" max="3340" width="9" style="8"/>
    <col min="3341" max="3341" width="12.2" style="8" customWidth="1"/>
    <col min="3342" max="3587" width="9" style="8"/>
    <col min="3588" max="3588" width="8" style="8" customWidth="1"/>
    <col min="3589" max="3589" width="35.5" style="8" customWidth="1"/>
    <col min="3590" max="3590" width="18.1" style="8" customWidth="1"/>
    <col min="3591" max="3593" width="20.2" style="8" customWidth="1"/>
    <col min="3594" max="3594" width="15.7" style="8" customWidth="1"/>
    <col min="3595" max="3595" width="24.5" style="8" customWidth="1"/>
    <col min="3596" max="3596" width="9" style="8"/>
    <col min="3597" max="3597" width="12.2" style="8" customWidth="1"/>
    <col min="3598" max="3843" width="9" style="8"/>
    <col min="3844" max="3844" width="8" style="8" customWidth="1"/>
    <col min="3845" max="3845" width="35.5" style="8" customWidth="1"/>
    <col min="3846" max="3846" width="18.1" style="8" customWidth="1"/>
    <col min="3847" max="3849" width="20.2" style="8" customWidth="1"/>
    <col min="3850" max="3850" width="15.7" style="8" customWidth="1"/>
    <col min="3851" max="3851" width="24.5" style="8" customWidth="1"/>
    <col min="3852" max="3852" width="9" style="8"/>
    <col min="3853" max="3853" width="12.2" style="8" customWidth="1"/>
    <col min="3854" max="4099" width="9" style="8"/>
    <col min="4100" max="4100" width="8" style="8" customWidth="1"/>
    <col min="4101" max="4101" width="35.5" style="8" customWidth="1"/>
    <col min="4102" max="4102" width="18.1" style="8" customWidth="1"/>
    <col min="4103" max="4105" width="20.2" style="8" customWidth="1"/>
    <col min="4106" max="4106" width="15.7" style="8" customWidth="1"/>
    <col min="4107" max="4107" width="24.5" style="8" customWidth="1"/>
    <col min="4108" max="4108" width="9" style="8"/>
    <col min="4109" max="4109" width="12.2" style="8" customWidth="1"/>
    <col min="4110" max="4355" width="9" style="8"/>
    <col min="4356" max="4356" width="8" style="8" customWidth="1"/>
    <col min="4357" max="4357" width="35.5" style="8" customWidth="1"/>
    <col min="4358" max="4358" width="18.1" style="8" customWidth="1"/>
    <col min="4359" max="4361" width="20.2" style="8" customWidth="1"/>
    <col min="4362" max="4362" width="15.7" style="8" customWidth="1"/>
    <col min="4363" max="4363" width="24.5" style="8" customWidth="1"/>
    <col min="4364" max="4364" width="9" style="8"/>
    <col min="4365" max="4365" width="12.2" style="8" customWidth="1"/>
    <col min="4366" max="4611" width="9" style="8"/>
    <col min="4612" max="4612" width="8" style="8" customWidth="1"/>
    <col min="4613" max="4613" width="35.5" style="8" customWidth="1"/>
    <col min="4614" max="4614" width="18.1" style="8" customWidth="1"/>
    <col min="4615" max="4617" width="20.2" style="8" customWidth="1"/>
    <col min="4618" max="4618" width="15.7" style="8" customWidth="1"/>
    <col min="4619" max="4619" width="24.5" style="8" customWidth="1"/>
    <col min="4620" max="4620" width="9" style="8"/>
    <col min="4621" max="4621" width="12.2" style="8" customWidth="1"/>
    <col min="4622" max="4867" width="9" style="8"/>
    <col min="4868" max="4868" width="8" style="8" customWidth="1"/>
    <col min="4869" max="4869" width="35.5" style="8" customWidth="1"/>
    <col min="4870" max="4870" width="18.1" style="8" customWidth="1"/>
    <col min="4871" max="4873" width="20.2" style="8" customWidth="1"/>
    <col min="4874" max="4874" width="15.7" style="8" customWidth="1"/>
    <col min="4875" max="4875" width="24.5" style="8" customWidth="1"/>
    <col min="4876" max="4876" width="9" style="8"/>
    <col min="4877" max="4877" width="12.2" style="8" customWidth="1"/>
    <col min="4878" max="5123" width="9" style="8"/>
    <col min="5124" max="5124" width="8" style="8" customWidth="1"/>
    <col min="5125" max="5125" width="35.5" style="8" customWidth="1"/>
    <col min="5126" max="5126" width="18.1" style="8" customWidth="1"/>
    <col min="5127" max="5129" width="20.2" style="8" customWidth="1"/>
    <col min="5130" max="5130" width="15.7" style="8" customWidth="1"/>
    <col min="5131" max="5131" width="24.5" style="8" customWidth="1"/>
    <col min="5132" max="5132" width="9" style="8"/>
    <col min="5133" max="5133" width="12.2" style="8" customWidth="1"/>
    <col min="5134" max="5379" width="9" style="8"/>
    <col min="5380" max="5380" width="8" style="8" customWidth="1"/>
    <col min="5381" max="5381" width="35.5" style="8" customWidth="1"/>
    <col min="5382" max="5382" width="18.1" style="8" customWidth="1"/>
    <col min="5383" max="5385" width="20.2" style="8" customWidth="1"/>
    <col min="5386" max="5386" width="15.7" style="8" customWidth="1"/>
    <col min="5387" max="5387" width="24.5" style="8" customWidth="1"/>
    <col min="5388" max="5388" width="9" style="8"/>
    <col min="5389" max="5389" width="12.2" style="8" customWidth="1"/>
    <col min="5390" max="5635" width="9" style="8"/>
    <col min="5636" max="5636" width="8" style="8" customWidth="1"/>
    <col min="5637" max="5637" width="35.5" style="8" customWidth="1"/>
    <col min="5638" max="5638" width="18.1" style="8" customWidth="1"/>
    <col min="5639" max="5641" width="20.2" style="8" customWidth="1"/>
    <col min="5642" max="5642" width="15.7" style="8" customWidth="1"/>
    <col min="5643" max="5643" width="24.5" style="8" customWidth="1"/>
    <col min="5644" max="5644" width="9" style="8"/>
    <col min="5645" max="5645" width="12.2" style="8" customWidth="1"/>
    <col min="5646" max="5891" width="9" style="8"/>
    <col min="5892" max="5892" width="8" style="8" customWidth="1"/>
    <col min="5893" max="5893" width="35.5" style="8" customWidth="1"/>
    <col min="5894" max="5894" width="18.1" style="8" customWidth="1"/>
    <col min="5895" max="5897" width="20.2" style="8" customWidth="1"/>
    <col min="5898" max="5898" width="15.7" style="8" customWidth="1"/>
    <col min="5899" max="5899" width="24.5" style="8" customWidth="1"/>
    <col min="5900" max="5900" width="9" style="8"/>
    <col min="5901" max="5901" width="12.2" style="8" customWidth="1"/>
    <col min="5902" max="6147" width="9" style="8"/>
    <col min="6148" max="6148" width="8" style="8" customWidth="1"/>
    <col min="6149" max="6149" width="35.5" style="8" customWidth="1"/>
    <col min="6150" max="6150" width="18.1" style="8" customWidth="1"/>
    <col min="6151" max="6153" width="20.2" style="8" customWidth="1"/>
    <col min="6154" max="6154" width="15.7" style="8" customWidth="1"/>
    <col min="6155" max="6155" width="24.5" style="8" customWidth="1"/>
    <col min="6156" max="6156" width="9" style="8"/>
    <col min="6157" max="6157" width="12.2" style="8" customWidth="1"/>
    <col min="6158" max="6403" width="9" style="8"/>
    <col min="6404" max="6404" width="8" style="8" customWidth="1"/>
    <col min="6405" max="6405" width="35.5" style="8" customWidth="1"/>
    <col min="6406" max="6406" width="18.1" style="8" customWidth="1"/>
    <col min="6407" max="6409" width="20.2" style="8" customWidth="1"/>
    <col min="6410" max="6410" width="15.7" style="8" customWidth="1"/>
    <col min="6411" max="6411" width="24.5" style="8" customWidth="1"/>
    <col min="6412" max="6412" width="9" style="8"/>
    <col min="6413" max="6413" width="12.2" style="8" customWidth="1"/>
    <col min="6414" max="6659" width="9" style="8"/>
    <col min="6660" max="6660" width="8" style="8" customWidth="1"/>
    <col min="6661" max="6661" width="35.5" style="8" customWidth="1"/>
    <col min="6662" max="6662" width="18.1" style="8" customWidth="1"/>
    <col min="6663" max="6665" width="20.2" style="8" customWidth="1"/>
    <col min="6666" max="6666" width="15.7" style="8" customWidth="1"/>
    <col min="6667" max="6667" width="24.5" style="8" customWidth="1"/>
    <col min="6668" max="6668" width="9" style="8"/>
    <col min="6669" max="6669" width="12.2" style="8" customWidth="1"/>
    <col min="6670" max="6915" width="9" style="8"/>
    <col min="6916" max="6916" width="8" style="8" customWidth="1"/>
    <col min="6917" max="6917" width="35.5" style="8" customWidth="1"/>
    <col min="6918" max="6918" width="18.1" style="8" customWidth="1"/>
    <col min="6919" max="6921" width="20.2" style="8" customWidth="1"/>
    <col min="6922" max="6922" width="15.7" style="8" customWidth="1"/>
    <col min="6923" max="6923" width="24.5" style="8" customWidth="1"/>
    <col min="6924" max="6924" width="9" style="8"/>
    <col min="6925" max="6925" width="12.2" style="8" customWidth="1"/>
    <col min="6926" max="7171" width="9" style="8"/>
    <col min="7172" max="7172" width="8" style="8" customWidth="1"/>
    <col min="7173" max="7173" width="35.5" style="8" customWidth="1"/>
    <col min="7174" max="7174" width="18.1" style="8" customWidth="1"/>
    <col min="7175" max="7177" width="20.2" style="8" customWidth="1"/>
    <col min="7178" max="7178" width="15.7" style="8" customWidth="1"/>
    <col min="7179" max="7179" width="24.5" style="8" customWidth="1"/>
    <col min="7180" max="7180" width="9" style="8"/>
    <col min="7181" max="7181" width="12.2" style="8" customWidth="1"/>
    <col min="7182" max="7427" width="9" style="8"/>
    <col min="7428" max="7428" width="8" style="8" customWidth="1"/>
    <col min="7429" max="7429" width="35.5" style="8" customWidth="1"/>
    <col min="7430" max="7430" width="18.1" style="8" customWidth="1"/>
    <col min="7431" max="7433" width="20.2" style="8" customWidth="1"/>
    <col min="7434" max="7434" width="15.7" style="8" customWidth="1"/>
    <col min="7435" max="7435" width="24.5" style="8" customWidth="1"/>
    <col min="7436" max="7436" width="9" style="8"/>
    <col min="7437" max="7437" width="12.2" style="8" customWidth="1"/>
    <col min="7438" max="7683" width="9" style="8"/>
    <col min="7684" max="7684" width="8" style="8" customWidth="1"/>
    <col min="7685" max="7685" width="35.5" style="8" customWidth="1"/>
    <col min="7686" max="7686" width="18.1" style="8" customWidth="1"/>
    <col min="7687" max="7689" width="20.2" style="8" customWidth="1"/>
    <col min="7690" max="7690" width="15.7" style="8" customWidth="1"/>
    <col min="7691" max="7691" width="24.5" style="8" customWidth="1"/>
    <col min="7692" max="7692" width="9" style="8"/>
    <col min="7693" max="7693" width="12.2" style="8" customWidth="1"/>
    <col min="7694" max="7939" width="9" style="8"/>
    <col min="7940" max="7940" width="8" style="8" customWidth="1"/>
    <col min="7941" max="7941" width="35.5" style="8" customWidth="1"/>
    <col min="7942" max="7942" width="18.1" style="8" customWidth="1"/>
    <col min="7943" max="7945" width="20.2" style="8" customWidth="1"/>
    <col min="7946" max="7946" width="15.7" style="8" customWidth="1"/>
    <col min="7947" max="7947" width="24.5" style="8" customWidth="1"/>
    <col min="7948" max="7948" width="9" style="8"/>
    <col min="7949" max="7949" width="12.2" style="8" customWidth="1"/>
    <col min="7950" max="8195" width="9" style="8"/>
    <col min="8196" max="8196" width="8" style="8" customWidth="1"/>
    <col min="8197" max="8197" width="35.5" style="8" customWidth="1"/>
    <col min="8198" max="8198" width="18.1" style="8" customWidth="1"/>
    <col min="8199" max="8201" width="20.2" style="8" customWidth="1"/>
    <col min="8202" max="8202" width="15.7" style="8" customWidth="1"/>
    <col min="8203" max="8203" width="24.5" style="8" customWidth="1"/>
    <col min="8204" max="8204" width="9" style="8"/>
    <col min="8205" max="8205" width="12.2" style="8" customWidth="1"/>
    <col min="8206" max="8451" width="9" style="8"/>
    <col min="8452" max="8452" width="8" style="8" customWidth="1"/>
    <col min="8453" max="8453" width="35.5" style="8" customWidth="1"/>
    <col min="8454" max="8454" width="18.1" style="8" customWidth="1"/>
    <col min="8455" max="8457" width="20.2" style="8" customWidth="1"/>
    <col min="8458" max="8458" width="15.7" style="8" customWidth="1"/>
    <col min="8459" max="8459" width="24.5" style="8" customWidth="1"/>
    <col min="8460" max="8460" width="9" style="8"/>
    <col min="8461" max="8461" width="12.2" style="8" customWidth="1"/>
    <col min="8462" max="8707" width="9" style="8"/>
    <col min="8708" max="8708" width="8" style="8" customWidth="1"/>
    <col min="8709" max="8709" width="35.5" style="8" customWidth="1"/>
    <col min="8710" max="8710" width="18.1" style="8" customWidth="1"/>
    <col min="8711" max="8713" width="20.2" style="8" customWidth="1"/>
    <col min="8714" max="8714" width="15.7" style="8" customWidth="1"/>
    <col min="8715" max="8715" width="24.5" style="8" customWidth="1"/>
    <col min="8716" max="8716" width="9" style="8"/>
    <col min="8717" max="8717" width="12.2" style="8" customWidth="1"/>
    <col min="8718" max="8963" width="9" style="8"/>
    <col min="8964" max="8964" width="8" style="8" customWidth="1"/>
    <col min="8965" max="8965" width="35.5" style="8" customWidth="1"/>
    <col min="8966" max="8966" width="18.1" style="8" customWidth="1"/>
    <col min="8967" max="8969" width="20.2" style="8" customWidth="1"/>
    <col min="8970" max="8970" width="15.7" style="8" customWidth="1"/>
    <col min="8971" max="8971" width="24.5" style="8" customWidth="1"/>
    <col min="8972" max="8972" width="9" style="8"/>
    <col min="8973" max="8973" width="12.2" style="8" customWidth="1"/>
    <col min="8974" max="9219" width="9" style="8"/>
    <col min="9220" max="9220" width="8" style="8" customWidth="1"/>
    <col min="9221" max="9221" width="35.5" style="8" customWidth="1"/>
    <col min="9222" max="9222" width="18.1" style="8" customWidth="1"/>
    <col min="9223" max="9225" width="20.2" style="8" customWidth="1"/>
    <col min="9226" max="9226" width="15.7" style="8" customWidth="1"/>
    <col min="9227" max="9227" width="24.5" style="8" customWidth="1"/>
    <col min="9228" max="9228" width="9" style="8"/>
    <col min="9229" max="9229" width="12.2" style="8" customWidth="1"/>
    <col min="9230" max="9475" width="9" style="8"/>
    <col min="9476" max="9476" width="8" style="8" customWidth="1"/>
    <col min="9477" max="9477" width="35.5" style="8" customWidth="1"/>
    <col min="9478" max="9478" width="18.1" style="8" customWidth="1"/>
    <col min="9479" max="9481" width="20.2" style="8" customWidth="1"/>
    <col min="9482" max="9482" width="15.7" style="8" customWidth="1"/>
    <col min="9483" max="9483" width="24.5" style="8" customWidth="1"/>
    <col min="9484" max="9484" width="9" style="8"/>
    <col min="9485" max="9485" width="12.2" style="8" customWidth="1"/>
    <col min="9486" max="9731" width="9" style="8"/>
    <col min="9732" max="9732" width="8" style="8" customWidth="1"/>
    <col min="9733" max="9733" width="35.5" style="8" customWidth="1"/>
    <col min="9734" max="9734" width="18.1" style="8" customWidth="1"/>
    <col min="9735" max="9737" width="20.2" style="8" customWidth="1"/>
    <col min="9738" max="9738" width="15.7" style="8" customWidth="1"/>
    <col min="9739" max="9739" width="24.5" style="8" customWidth="1"/>
    <col min="9740" max="9740" width="9" style="8"/>
    <col min="9741" max="9741" width="12.2" style="8" customWidth="1"/>
    <col min="9742" max="9987" width="9" style="8"/>
    <col min="9988" max="9988" width="8" style="8" customWidth="1"/>
    <col min="9989" max="9989" width="35.5" style="8" customWidth="1"/>
    <col min="9990" max="9990" width="18.1" style="8" customWidth="1"/>
    <col min="9991" max="9993" width="20.2" style="8" customWidth="1"/>
    <col min="9994" max="9994" width="15.7" style="8" customWidth="1"/>
    <col min="9995" max="9995" width="24.5" style="8" customWidth="1"/>
    <col min="9996" max="9996" width="9" style="8"/>
    <col min="9997" max="9997" width="12.2" style="8" customWidth="1"/>
    <col min="9998" max="10243" width="9" style="8"/>
    <col min="10244" max="10244" width="8" style="8" customWidth="1"/>
    <col min="10245" max="10245" width="35.5" style="8" customWidth="1"/>
    <col min="10246" max="10246" width="18.1" style="8" customWidth="1"/>
    <col min="10247" max="10249" width="20.2" style="8" customWidth="1"/>
    <col min="10250" max="10250" width="15.7" style="8" customWidth="1"/>
    <col min="10251" max="10251" width="24.5" style="8" customWidth="1"/>
    <col min="10252" max="10252" width="9" style="8"/>
    <col min="10253" max="10253" width="12.2" style="8" customWidth="1"/>
    <col min="10254" max="10499" width="9" style="8"/>
    <col min="10500" max="10500" width="8" style="8" customWidth="1"/>
    <col min="10501" max="10501" width="35.5" style="8" customWidth="1"/>
    <col min="10502" max="10502" width="18.1" style="8" customWidth="1"/>
    <col min="10503" max="10505" width="20.2" style="8" customWidth="1"/>
    <col min="10506" max="10506" width="15.7" style="8" customWidth="1"/>
    <col min="10507" max="10507" width="24.5" style="8" customWidth="1"/>
    <col min="10508" max="10508" width="9" style="8"/>
    <col min="10509" max="10509" width="12.2" style="8" customWidth="1"/>
    <col min="10510" max="10755" width="9" style="8"/>
    <col min="10756" max="10756" width="8" style="8" customWidth="1"/>
    <col min="10757" max="10757" width="35.5" style="8" customWidth="1"/>
    <col min="10758" max="10758" width="18.1" style="8" customWidth="1"/>
    <col min="10759" max="10761" width="20.2" style="8" customWidth="1"/>
    <col min="10762" max="10762" width="15.7" style="8" customWidth="1"/>
    <col min="10763" max="10763" width="24.5" style="8" customWidth="1"/>
    <col min="10764" max="10764" width="9" style="8"/>
    <col min="10765" max="10765" width="12.2" style="8" customWidth="1"/>
    <col min="10766" max="11011" width="9" style="8"/>
    <col min="11012" max="11012" width="8" style="8" customWidth="1"/>
    <col min="11013" max="11013" width="35.5" style="8" customWidth="1"/>
    <col min="11014" max="11014" width="18.1" style="8" customWidth="1"/>
    <col min="11015" max="11017" width="20.2" style="8" customWidth="1"/>
    <col min="11018" max="11018" width="15.7" style="8" customWidth="1"/>
    <col min="11019" max="11019" width="24.5" style="8" customWidth="1"/>
    <col min="11020" max="11020" width="9" style="8"/>
    <col min="11021" max="11021" width="12.2" style="8" customWidth="1"/>
    <col min="11022" max="11267" width="9" style="8"/>
    <col min="11268" max="11268" width="8" style="8" customWidth="1"/>
    <col min="11269" max="11269" width="35.5" style="8" customWidth="1"/>
    <col min="11270" max="11270" width="18.1" style="8" customWidth="1"/>
    <col min="11271" max="11273" width="20.2" style="8" customWidth="1"/>
    <col min="11274" max="11274" width="15.7" style="8" customWidth="1"/>
    <col min="11275" max="11275" width="24.5" style="8" customWidth="1"/>
    <col min="11276" max="11276" width="9" style="8"/>
    <col min="11277" max="11277" width="12.2" style="8" customWidth="1"/>
    <col min="11278" max="11523" width="9" style="8"/>
    <col min="11524" max="11524" width="8" style="8" customWidth="1"/>
    <col min="11525" max="11525" width="35.5" style="8" customWidth="1"/>
    <col min="11526" max="11526" width="18.1" style="8" customWidth="1"/>
    <col min="11527" max="11529" width="20.2" style="8" customWidth="1"/>
    <col min="11530" max="11530" width="15.7" style="8" customWidth="1"/>
    <col min="11531" max="11531" width="24.5" style="8" customWidth="1"/>
    <col min="11532" max="11532" width="9" style="8"/>
    <col min="11533" max="11533" width="12.2" style="8" customWidth="1"/>
    <col min="11534" max="11779" width="9" style="8"/>
    <col min="11780" max="11780" width="8" style="8" customWidth="1"/>
    <col min="11781" max="11781" width="35.5" style="8" customWidth="1"/>
    <col min="11782" max="11782" width="18.1" style="8" customWidth="1"/>
    <col min="11783" max="11785" width="20.2" style="8" customWidth="1"/>
    <col min="11786" max="11786" width="15.7" style="8" customWidth="1"/>
    <col min="11787" max="11787" width="24.5" style="8" customWidth="1"/>
    <col min="11788" max="11788" width="9" style="8"/>
    <col min="11789" max="11789" width="12.2" style="8" customWidth="1"/>
    <col min="11790" max="12035" width="9" style="8"/>
    <col min="12036" max="12036" width="8" style="8" customWidth="1"/>
    <col min="12037" max="12037" width="35.5" style="8" customWidth="1"/>
    <col min="12038" max="12038" width="18.1" style="8" customWidth="1"/>
    <col min="12039" max="12041" width="20.2" style="8" customWidth="1"/>
    <col min="12042" max="12042" width="15.7" style="8" customWidth="1"/>
    <col min="12043" max="12043" width="24.5" style="8" customWidth="1"/>
    <col min="12044" max="12044" width="9" style="8"/>
    <col min="12045" max="12045" width="12.2" style="8" customWidth="1"/>
    <col min="12046" max="12291" width="9" style="8"/>
    <col min="12292" max="12292" width="8" style="8" customWidth="1"/>
    <col min="12293" max="12293" width="35.5" style="8" customWidth="1"/>
    <col min="12294" max="12294" width="18.1" style="8" customWidth="1"/>
    <col min="12295" max="12297" width="20.2" style="8" customWidth="1"/>
    <col min="12298" max="12298" width="15.7" style="8" customWidth="1"/>
    <col min="12299" max="12299" width="24.5" style="8" customWidth="1"/>
    <col min="12300" max="12300" width="9" style="8"/>
    <col min="12301" max="12301" width="12.2" style="8" customWidth="1"/>
    <col min="12302" max="12547" width="9" style="8"/>
    <col min="12548" max="12548" width="8" style="8" customWidth="1"/>
    <col min="12549" max="12549" width="35.5" style="8" customWidth="1"/>
    <col min="12550" max="12550" width="18.1" style="8" customWidth="1"/>
    <col min="12551" max="12553" width="20.2" style="8" customWidth="1"/>
    <col min="12554" max="12554" width="15.7" style="8" customWidth="1"/>
    <col min="12555" max="12555" width="24.5" style="8" customWidth="1"/>
    <col min="12556" max="12556" width="9" style="8"/>
    <col min="12557" max="12557" width="12.2" style="8" customWidth="1"/>
    <col min="12558" max="12803" width="9" style="8"/>
    <col min="12804" max="12804" width="8" style="8" customWidth="1"/>
    <col min="12805" max="12805" width="35.5" style="8" customWidth="1"/>
    <col min="12806" max="12806" width="18.1" style="8" customWidth="1"/>
    <col min="12807" max="12809" width="20.2" style="8" customWidth="1"/>
    <col min="12810" max="12810" width="15.7" style="8" customWidth="1"/>
    <col min="12811" max="12811" width="24.5" style="8" customWidth="1"/>
    <col min="12812" max="12812" width="9" style="8"/>
    <col min="12813" max="12813" width="12.2" style="8" customWidth="1"/>
    <col min="12814" max="13059" width="9" style="8"/>
    <col min="13060" max="13060" width="8" style="8" customWidth="1"/>
    <col min="13061" max="13061" width="35.5" style="8" customWidth="1"/>
    <col min="13062" max="13062" width="18.1" style="8" customWidth="1"/>
    <col min="13063" max="13065" width="20.2" style="8" customWidth="1"/>
    <col min="13066" max="13066" width="15.7" style="8" customWidth="1"/>
    <col min="13067" max="13067" width="24.5" style="8" customWidth="1"/>
    <col min="13068" max="13068" width="9" style="8"/>
    <col min="13069" max="13069" width="12.2" style="8" customWidth="1"/>
    <col min="13070" max="13315" width="9" style="8"/>
    <col min="13316" max="13316" width="8" style="8" customWidth="1"/>
    <col min="13317" max="13317" width="35.5" style="8" customWidth="1"/>
    <col min="13318" max="13318" width="18.1" style="8" customWidth="1"/>
    <col min="13319" max="13321" width="20.2" style="8" customWidth="1"/>
    <col min="13322" max="13322" width="15.7" style="8" customWidth="1"/>
    <col min="13323" max="13323" width="24.5" style="8" customWidth="1"/>
    <col min="13324" max="13324" width="9" style="8"/>
    <col min="13325" max="13325" width="12.2" style="8" customWidth="1"/>
    <col min="13326" max="13571" width="9" style="8"/>
    <col min="13572" max="13572" width="8" style="8" customWidth="1"/>
    <col min="13573" max="13573" width="35.5" style="8" customWidth="1"/>
    <col min="13574" max="13574" width="18.1" style="8" customWidth="1"/>
    <col min="13575" max="13577" width="20.2" style="8" customWidth="1"/>
    <col min="13578" max="13578" width="15.7" style="8" customWidth="1"/>
    <col min="13579" max="13579" width="24.5" style="8" customWidth="1"/>
    <col min="13580" max="13580" width="9" style="8"/>
    <col min="13581" max="13581" width="12.2" style="8" customWidth="1"/>
    <col min="13582" max="13827" width="9" style="8"/>
    <col min="13828" max="13828" width="8" style="8" customWidth="1"/>
    <col min="13829" max="13829" width="35.5" style="8" customWidth="1"/>
    <col min="13830" max="13830" width="18.1" style="8" customWidth="1"/>
    <col min="13831" max="13833" width="20.2" style="8" customWidth="1"/>
    <col min="13834" max="13834" width="15.7" style="8" customWidth="1"/>
    <col min="13835" max="13835" width="24.5" style="8" customWidth="1"/>
    <col min="13836" max="13836" width="9" style="8"/>
    <col min="13837" max="13837" width="12.2" style="8" customWidth="1"/>
    <col min="13838" max="14083" width="9" style="8"/>
    <col min="14084" max="14084" width="8" style="8" customWidth="1"/>
    <col min="14085" max="14085" width="35.5" style="8" customWidth="1"/>
    <col min="14086" max="14086" width="18.1" style="8" customWidth="1"/>
    <col min="14087" max="14089" width="20.2" style="8" customWidth="1"/>
    <col min="14090" max="14090" width="15.7" style="8" customWidth="1"/>
    <col min="14091" max="14091" width="24.5" style="8" customWidth="1"/>
    <col min="14092" max="14092" width="9" style="8"/>
    <col min="14093" max="14093" width="12.2" style="8" customWidth="1"/>
    <col min="14094" max="14339" width="9" style="8"/>
    <col min="14340" max="14340" width="8" style="8" customWidth="1"/>
    <col min="14341" max="14341" width="35.5" style="8" customWidth="1"/>
    <col min="14342" max="14342" width="18.1" style="8" customWidth="1"/>
    <col min="14343" max="14345" width="20.2" style="8" customWidth="1"/>
    <col min="14346" max="14346" width="15.7" style="8" customWidth="1"/>
    <col min="14347" max="14347" width="24.5" style="8" customWidth="1"/>
    <col min="14348" max="14348" width="9" style="8"/>
    <col min="14349" max="14349" width="12.2" style="8" customWidth="1"/>
    <col min="14350" max="14595" width="9" style="8"/>
    <col min="14596" max="14596" width="8" style="8" customWidth="1"/>
    <col min="14597" max="14597" width="35.5" style="8" customWidth="1"/>
    <col min="14598" max="14598" width="18.1" style="8" customWidth="1"/>
    <col min="14599" max="14601" width="20.2" style="8" customWidth="1"/>
    <col min="14602" max="14602" width="15.7" style="8" customWidth="1"/>
    <col min="14603" max="14603" width="24.5" style="8" customWidth="1"/>
    <col min="14604" max="14604" width="9" style="8"/>
    <col min="14605" max="14605" width="12.2" style="8" customWidth="1"/>
    <col min="14606" max="14851" width="9" style="8"/>
    <col min="14852" max="14852" width="8" style="8" customWidth="1"/>
    <col min="14853" max="14853" width="35.5" style="8" customWidth="1"/>
    <col min="14854" max="14854" width="18.1" style="8" customWidth="1"/>
    <col min="14855" max="14857" width="20.2" style="8" customWidth="1"/>
    <col min="14858" max="14858" width="15.7" style="8" customWidth="1"/>
    <col min="14859" max="14859" width="24.5" style="8" customWidth="1"/>
    <col min="14860" max="14860" width="9" style="8"/>
    <col min="14861" max="14861" width="12.2" style="8" customWidth="1"/>
    <col min="14862" max="15107" width="9" style="8"/>
    <col min="15108" max="15108" width="8" style="8" customWidth="1"/>
    <col min="15109" max="15109" width="35.5" style="8" customWidth="1"/>
    <col min="15110" max="15110" width="18.1" style="8" customWidth="1"/>
    <col min="15111" max="15113" width="20.2" style="8" customWidth="1"/>
    <col min="15114" max="15114" width="15.7" style="8" customWidth="1"/>
    <col min="15115" max="15115" width="24.5" style="8" customWidth="1"/>
    <col min="15116" max="15116" width="9" style="8"/>
    <col min="15117" max="15117" width="12.2" style="8" customWidth="1"/>
    <col min="15118" max="15363" width="9" style="8"/>
    <col min="15364" max="15364" width="8" style="8" customWidth="1"/>
    <col min="15365" max="15365" width="35.5" style="8" customWidth="1"/>
    <col min="15366" max="15366" width="18.1" style="8" customWidth="1"/>
    <col min="15367" max="15369" width="20.2" style="8" customWidth="1"/>
    <col min="15370" max="15370" width="15.7" style="8" customWidth="1"/>
    <col min="15371" max="15371" width="24.5" style="8" customWidth="1"/>
    <col min="15372" max="15372" width="9" style="8"/>
    <col min="15373" max="15373" width="12.2" style="8" customWidth="1"/>
    <col min="15374" max="15619" width="9" style="8"/>
    <col min="15620" max="15620" width="8" style="8" customWidth="1"/>
    <col min="15621" max="15621" width="35.5" style="8" customWidth="1"/>
    <col min="15622" max="15622" width="18.1" style="8" customWidth="1"/>
    <col min="15623" max="15625" width="20.2" style="8" customWidth="1"/>
    <col min="15626" max="15626" width="15.7" style="8" customWidth="1"/>
    <col min="15627" max="15627" width="24.5" style="8" customWidth="1"/>
    <col min="15628" max="15628" width="9" style="8"/>
    <col min="15629" max="15629" width="12.2" style="8" customWidth="1"/>
    <col min="15630" max="15875" width="9" style="8"/>
    <col min="15876" max="15876" width="8" style="8" customWidth="1"/>
    <col min="15877" max="15877" width="35.5" style="8" customWidth="1"/>
    <col min="15878" max="15878" width="18.1" style="8" customWidth="1"/>
    <col min="15879" max="15881" width="20.2" style="8" customWidth="1"/>
    <col min="15882" max="15882" width="15.7" style="8" customWidth="1"/>
    <col min="15883" max="15883" width="24.5" style="8" customWidth="1"/>
    <col min="15884" max="15884" width="9" style="8"/>
    <col min="15885" max="15885" width="12.2" style="8" customWidth="1"/>
    <col min="15886" max="16131" width="9" style="8"/>
    <col min="16132" max="16132" width="8" style="8" customWidth="1"/>
    <col min="16133" max="16133" width="35.5" style="8" customWidth="1"/>
    <col min="16134" max="16134" width="18.1" style="8" customWidth="1"/>
    <col min="16135" max="16137" width="20.2" style="8" customWidth="1"/>
    <col min="16138" max="16138" width="15.7" style="8" customWidth="1"/>
    <col min="16139" max="16139" width="24.5" style="8" customWidth="1"/>
    <col min="16140" max="16140" width="9" style="8"/>
    <col min="16141" max="16141" width="12.2" style="8" customWidth="1"/>
    <col min="16142" max="16384" width="9" style="8"/>
  </cols>
  <sheetData>
    <row r="1" ht="36" customHeight="1" spans="1:13">
      <c r="A1" s="9" t="s">
        <v>19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customHeight="1" spans="1:13">
      <c r="A2" s="10" t="s">
        <v>1</v>
      </c>
      <c r="B2" s="10" t="s">
        <v>20</v>
      </c>
      <c r="C2" s="11" t="s">
        <v>21</v>
      </c>
      <c r="D2" s="12" t="s">
        <v>22</v>
      </c>
      <c r="E2" s="13" t="s">
        <v>23</v>
      </c>
      <c r="F2" s="14"/>
      <c r="G2" s="14"/>
      <c r="H2" s="14"/>
      <c r="I2" s="14"/>
      <c r="J2" s="15"/>
      <c r="K2" s="16" t="s">
        <v>24</v>
      </c>
      <c r="L2" s="17" t="s">
        <v>25</v>
      </c>
      <c r="M2" s="10" t="s">
        <v>6</v>
      </c>
    </row>
    <row r="3" s="1" customFormat="1" ht="45" customHeight="1" spans="1:13">
      <c r="A3" s="10"/>
      <c r="B3" s="10"/>
      <c r="C3" s="11"/>
      <c r="D3" s="18"/>
      <c r="E3" s="11" t="s">
        <v>26</v>
      </c>
      <c r="F3" s="11" t="s">
        <v>27</v>
      </c>
      <c r="G3" s="11" t="s">
        <v>28</v>
      </c>
      <c r="H3" s="11" t="s">
        <v>29</v>
      </c>
      <c r="I3" s="11" t="s">
        <v>30</v>
      </c>
      <c r="J3" s="11" t="s">
        <v>12</v>
      </c>
      <c r="K3" s="16"/>
      <c r="L3" s="19"/>
      <c r="M3" s="10"/>
    </row>
    <row r="4" ht="33" customHeight="1" spans="1:13">
      <c r="A4" s="20">
        <v>1</v>
      </c>
      <c r="B4" s="21" t="s">
        <v>31</v>
      </c>
      <c r="C4" s="22">
        <f>23650+23650+23650+39416.67+39416.67+39416.67-70950</f>
        <v>118250.01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22">
        <v>118250.01</v>
      </c>
      <c r="J4" s="22">
        <f>SUM(E4:I4)</f>
        <v>118250.01</v>
      </c>
      <c r="K4" s="23" t="s">
        <v>32</v>
      </c>
      <c r="L4" s="24" t="s">
        <v>33</v>
      </c>
      <c r="M4" s="25" t="s">
        <v>34</v>
      </c>
    </row>
    <row r="5" ht="33" customHeight="1" spans="1:13">
      <c r="A5" s="20">
        <v>2</v>
      </c>
      <c r="B5" s="21" t="s">
        <v>35</v>
      </c>
      <c r="C5" s="22">
        <v>475000</v>
      </c>
      <c r="D5" s="26">
        <f>C5-E5-F5-G5-H5-I5</f>
        <v>0</v>
      </c>
      <c r="E5" s="22">
        <v>0</v>
      </c>
      <c r="F5" s="22">
        <v>0</v>
      </c>
      <c r="G5" s="22">
        <v>0</v>
      </c>
      <c r="H5" s="22">
        <v>0</v>
      </c>
      <c r="I5" s="22">
        <v>475000</v>
      </c>
      <c r="J5" s="22">
        <f>SUM(E5:I5)</f>
        <v>475000</v>
      </c>
      <c r="K5" s="23" t="s">
        <v>36</v>
      </c>
      <c r="L5" s="24" t="s">
        <v>33</v>
      </c>
      <c r="M5" s="25" t="s">
        <v>37</v>
      </c>
    </row>
    <row r="6" s="2" customFormat="1" ht="33" customHeight="1" spans="1:13">
      <c r="A6" s="20">
        <v>3</v>
      </c>
      <c r="B6" s="27" t="s">
        <v>38</v>
      </c>
      <c r="C6" s="22">
        <f>141000+47000+47000-76000+47000+47000+47000+47000+47000+47000-76000-227049.05</f>
        <v>137950.95</v>
      </c>
      <c r="D6" s="26">
        <f t="shared" ref="D6" si="0">C6-E6-F6-G6-H6-I6</f>
        <v>137950.95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f>SUM(E6:I6)</f>
        <v>0</v>
      </c>
      <c r="K6" s="23" t="s">
        <v>39</v>
      </c>
      <c r="L6" s="24" t="s">
        <v>33</v>
      </c>
      <c r="M6" s="25" t="s">
        <v>40</v>
      </c>
    </row>
    <row r="7" s="3" customFormat="1" ht="33" customHeight="1" spans="1:13">
      <c r="A7" s="28" t="s">
        <v>41</v>
      </c>
      <c r="B7" s="29"/>
      <c r="C7" s="30">
        <f>SUM(C4:C6)</f>
        <v>731200.96</v>
      </c>
      <c r="D7" s="30">
        <f t="shared" ref="C7:J7" si="1">SUM(D4:D6)</f>
        <v>137950.95</v>
      </c>
      <c r="E7" s="30">
        <f t="shared" si="1"/>
        <v>0</v>
      </c>
      <c r="F7" s="30">
        <f t="shared" si="1"/>
        <v>0</v>
      </c>
      <c r="G7" s="30">
        <f t="shared" si="1"/>
        <v>0</v>
      </c>
      <c r="H7" s="30">
        <f t="shared" si="1"/>
        <v>0</v>
      </c>
      <c r="I7" s="30">
        <f t="shared" si="1"/>
        <v>593250.01</v>
      </c>
      <c r="J7" s="30">
        <f t="shared" si="1"/>
        <v>593250.01</v>
      </c>
      <c r="K7" s="30"/>
      <c r="L7" s="30"/>
      <c r="M7" s="30"/>
    </row>
    <row r="8" ht="33" customHeight="1" spans="1:13">
      <c r="A8" s="20">
        <v>1</v>
      </c>
      <c r="B8" s="21" t="s">
        <v>42</v>
      </c>
      <c r="C8" s="22">
        <f>1666.67+1666.67+1666.67+1666.67+1666.67+1666.67+1666.67+1666.67+1666.67+1666.67+1666.67+1666.63</f>
        <v>20000</v>
      </c>
      <c r="D8" s="26">
        <v>0</v>
      </c>
      <c r="E8" s="22">
        <v>0</v>
      </c>
      <c r="F8" s="22">
        <f>SUM(F5:F7)</f>
        <v>0</v>
      </c>
      <c r="G8" s="26">
        <v>20000</v>
      </c>
      <c r="H8" s="22">
        <v>0</v>
      </c>
      <c r="I8" s="22">
        <v>0</v>
      </c>
      <c r="J8" s="22">
        <f>SUM(E8:I8)</f>
        <v>20000</v>
      </c>
      <c r="K8" s="23" t="s">
        <v>43</v>
      </c>
      <c r="L8" s="24" t="s">
        <v>33</v>
      </c>
      <c r="M8" s="31" t="s">
        <v>44</v>
      </c>
    </row>
    <row r="9" ht="33" customHeight="1" spans="1:13">
      <c r="A9" s="20">
        <v>2</v>
      </c>
      <c r="B9" s="21" t="s">
        <v>45</v>
      </c>
      <c r="C9" s="22">
        <f>109995.73+109995.73+109995.73+109995.73+109995.73-329987.2+0.01+109995.73+109995.73+109995.73+109995.73+0.01-329987.2+109995.73+109995.73+0.01+109995.73-0.09+109995.73-329987.2-329987.2</f>
        <v>109995.63</v>
      </c>
      <c r="D9" s="26">
        <v>109995.73</v>
      </c>
      <c r="E9" s="22">
        <v>0</v>
      </c>
      <c r="F9" s="26">
        <v>0</v>
      </c>
      <c r="G9" s="22">
        <v>109995.63</v>
      </c>
      <c r="H9" s="22">
        <v>0</v>
      </c>
      <c r="I9" s="22">
        <v>0</v>
      </c>
      <c r="J9" s="22">
        <f t="shared" ref="J9:J16" si="2">SUM(E9:I9)</f>
        <v>109995.63</v>
      </c>
      <c r="K9" s="23">
        <v>45992</v>
      </c>
      <c r="L9" s="24" t="s">
        <v>33</v>
      </c>
      <c r="M9" s="31" t="s">
        <v>46</v>
      </c>
    </row>
    <row r="10" ht="33" customHeight="1" spans="1:13">
      <c r="A10" s="20">
        <v>3</v>
      </c>
      <c r="B10" s="21" t="s">
        <v>47</v>
      </c>
      <c r="C10" s="22">
        <v>13000</v>
      </c>
      <c r="D10" s="26">
        <f t="shared" ref="D10:D16" si="3">C10-E10-F10-G10-H10-I10</f>
        <v>0</v>
      </c>
      <c r="E10" s="22">
        <v>0</v>
      </c>
      <c r="F10" s="22">
        <v>0</v>
      </c>
      <c r="G10" s="22">
        <v>0</v>
      </c>
      <c r="H10" s="22">
        <v>13000</v>
      </c>
      <c r="I10" s="22">
        <v>0</v>
      </c>
      <c r="J10" s="22">
        <f t="shared" si="2"/>
        <v>13000</v>
      </c>
      <c r="K10" s="23">
        <v>45931</v>
      </c>
      <c r="L10" s="24" t="s">
        <v>33</v>
      </c>
      <c r="M10" s="31" t="s">
        <v>48</v>
      </c>
    </row>
    <row r="11" ht="33" customHeight="1" spans="1:13">
      <c r="A11" s="20">
        <v>5</v>
      </c>
      <c r="B11" s="21" t="s">
        <v>49</v>
      </c>
      <c r="C11" s="22">
        <f>D11+J11</f>
        <v>93100</v>
      </c>
      <c r="D11" s="26">
        <v>17400</v>
      </c>
      <c r="E11" s="22">
        <v>0</v>
      </c>
      <c r="F11" s="26">
        <v>0</v>
      </c>
      <c r="G11" s="22">
        <v>75700</v>
      </c>
      <c r="H11" s="22">
        <v>0</v>
      </c>
      <c r="I11" s="22">
        <v>0</v>
      </c>
      <c r="J11" s="22">
        <f t="shared" si="2"/>
        <v>75700</v>
      </c>
      <c r="K11" s="23">
        <v>45992</v>
      </c>
      <c r="L11" s="24" t="s">
        <v>33</v>
      </c>
      <c r="M11" s="31" t="s">
        <v>50</v>
      </c>
    </row>
    <row r="12" ht="33" customHeight="1" spans="1:13">
      <c r="A12" s="32" t="s">
        <v>51</v>
      </c>
      <c r="B12" s="33"/>
      <c r="C12" s="30">
        <f>SUM(C8:C11)</f>
        <v>236095.63</v>
      </c>
      <c r="D12" s="30">
        <f t="shared" ref="C12:J12" si="4">SUM(D8:D11)</f>
        <v>127395.73</v>
      </c>
      <c r="E12" s="30">
        <f t="shared" si="4"/>
        <v>0</v>
      </c>
      <c r="F12" s="30">
        <f t="shared" si="4"/>
        <v>0</v>
      </c>
      <c r="G12" s="30">
        <f t="shared" si="4"/>
        <v>205695.63</v>
      </c>
      <c r="H12" s="30">
        <f t="shared" si="4"/>
        <v>13000</v>
      </c>
      <c r="I12" s="30">
        <f t="shared" si="4"/>
        <v>0</v>
      </c>
      <c r="J12" s="30">
        <f t="shared" si="4"/>
        <v>218695.63</v>
      </c>
      <c r="K12" s="30"/>
      <c r="L12" s="30"/>
      <c r="M12" s="30"/>
    </row>
    <row r="13" customFormat="1" ht="33" customHeight="1" spans="1:13">
      <c r="A13" s="20">
        <v>1</v>
      </c>
      <c r="B13" s="21" t="s">
        <v>45</v>
      </c>
      <c r="C13" s="22">
        <f>109995.74+109995.73+109995.73+109995.73+109995.73+109995.73+109995.73+109995.73</f>
        <v>879965.85</v>
      </c>
      <c r="D13" s="26">
        <f>C13-E13-F13-G13-H13-I13</f>
        <v>219991.45</v>
      </c>
      <c r="E13" s="22">
        <v>0</v>
      </c>
      <c r="F13" s="22">
        <f>109995.74+109995.73+109995.73+109995.73</f>
        <v>439982.93</v>
      </c>
      <c r="G13" s="22">
        <f>109995.74+109995.73</f>
        <v>219991.47</v>
      </c>
      <c r="H13" s="22">
        <v>0</v>
      </c>
      <c r="I13" s="22">
        <v>0</v>
      </c>
      <c r="J13" s="22">
        <f t="shared" si="2"/>
        <v>659974.4</v>
      </c>
      <c r="K13" s="23" t="s">
        <v>52</v>
      </c>
      <c r="L13" s="24" t="s">
        <v>33</v>
      </c>
      <c r="M13" s="31" t="s">
        <v>46</v>
      </c>
    </row>
    <row r="14" customFormat="1" ht="33" customHeight="1" spans="1:13">
      <c r="A14" s="20">
        <v>2</v>
      </c>
      <c r="B14" s="21" t="s">
        <v>53</v>
      </c>
      <c r="C14" s="22">
        <v>78400</v>
      </c>
      <c r="D14" s="26">
        <f t="shared" si="3"/>
        <v>78400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f t="shared" si="2"/>
        <v>0</v>
      </c>
      <c r="K14" s="23">
        <v>46204</v>
      </c>
      <c r="L14" s="24" t="s">
        <v>33</v>
      </c>
      <c r="M14" s="31" t="s">
        <v>54</v>
      </c>
    </row>
    <row r="15" customFormat="1" ht="33" customHeight="1" spans="1:13">
      <c r="A15" s="34">
        <v>3</v>
      </c>
      <c r="B15" s="21" t="s">
        <v>55</v>
      </c>
      <c r="C15" s="22">
        <f>178068.15*2+160501.11</f>
        <v>516637.41</v>
      </c>
      <c r="D15" s="26">
        <f t="shared" si="3"/>
        <v>516637.41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f t="shared" si="2"/>
        <v>0</v>
      </c>
      <c r="K15" s="23" t="s">
        <v>56</v>
      </c>
      <c r="L15" s="24" t="s">
        <v>33</v>
      </c>
      <c r="M15" s="31" t="s">
        <v>46</v>
      </c>
    </row>
    <row r="16" customFormat="1" ht="33" customHeight="1" spans="1:13">
      <c r="A16" s="34">
        <v>4</v>
      </c>
      <c r="B16" s="21" t="s">
        <v>57</v>
      </c>
      <c r="C16" s="22">
        <v>39000</v>
      </c>
      <c r="D16" s="26">
        <f t="shared" si="3"/>
        <v>39000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f t="shared" si="2"/>
        <v>0</v>
      </c>
      <c r="K16" s="23">
        <v>46174</v>
      </c>
      <c r="L16" s="24" t="s">
        <v>33</v>
      </c>
      <c r="M16" s="31" t="s">
        <v>58</v>
      </c>
    </row>
    <row r="17" customFormat="1" ht="33" customHeight="1" spans="1:13">
      <c r="A17" s="32" t="s">
        <v>59</v>
      </c>
      <c r="B17" s="33"/>
      <c r="C17" s="30">
        <f>SUM(C13:C16)</f>
        <v>1514003.26</v>
      </c>
      <c r="D17" s="30">
        <f t="shared" ref="D17:J17" si="5">SUM(D13:D16)</f>
        <v>854028.86</v>
      </c>
      <c r="E17" s="30">
        <f t="shared" si="5"/>
        <v>0</v>
      </c>
      <c r="F17" s="30">
        <f t="shared" si="5"/>
        <v>439982.93</v>
      </c>
      <c r="G17" s="30">
        <f t="shared" si="5"/>
        <v>219991.47</v>
      </c>
      <c r="H17" s="30">
        <f t="shared" si="5"/>
        <v>0</v>
      </c>
      <c r="I17" s="30">
        <f t="shared" si="5"/>
        <v>0</v>
      </c>
      <c r="J17" s="30">
        <f t="shared" si="5"/>
        <v>659974.4</v>
      </c>
      <c r="K17" s="30"/>
      <c r="L17" s="30"/>
      <c r="M17" s="30"/>
    </row>
    <row r="18" s="3" customFormat="1" ht="33" customHeight="1" spans="1:13">
      <c r="A18" s="32" t="s">
        <v>60</v>
      </c>
      <c r="B18" s="33"/>
      <c r="C18" s="30">
        <f>C12+C7+C17</f>
        <v>2481299.85</v>
      </c>
      <c r="D18" s="30">
        <f t="shared" ref="D18:L18" si="6">D12+D7+D17</f>
        <v>1119375.54</v>
      </c>
      <c r="E18" s="30">
        <f t="shared" si="6"/>
        <v>0</v>
      </c>
      <c r="F18" s="30">
        <f t="shared" si="6"/>
        <v>439982.93</v>
      </c>
      <c r="G18" s="30">
        <f t="shared" si="6"/>
        <v>425687.1</v>
      </c>
      <c r="H18" s="30">
        <f t="shared" si="6"/>
        <v>13000</v>
      </c>
      <c r="I18" s="30">
        <f t="shared" si="6"/>
        <v>593250.01</v>
      </c>
      <c r="J18" s="30">
        <f t="shared" si="6"/>
        <v>1471920.04</v>
      </c>
      <c r="K18" s="30"/>
      <c r="L18" s="30"/>
      <c r="M18" s="30"/>
    </row>
    <row r="19" s="4" customFormat="1" ht="5" customHeight="1" spans="1:13">
      <c r="A19" s="5"/>
      <c r="B19" s="35"/>
      <c r="C19" s="36"/>
      <c r="D19" s="37"/>
      <c r="E19" s="38"/>
      <c r="F19" s="39"/>
      <c r="G19" s="39"/>
      <c r="H19" s="39"/>
      <c r="I19" s="38"/>
      <c r="J19" s="38"/>
      <c r="K19" s="40"/>
      <c r="L19" s="40"/>
      <c r="M19" s="40"/>
    </row>
    <row r="20" customHeight="1" spans="1:13">
      <c r="C20" s="41"/>
      <c r="D20" s="41"/>
      <c r="L20" s="42" t="s">
        <v>17</v>
      </c>
    </row>
    <row r="21" customHeight="1" spans="1:13">
      <c r="L21" s="42" t="s">
        <v>18</v>
      </c>
    </row>
    <row r="22" customHeight="1" spans="1:13">
      <c r="L22" s="42" t="s">
        <v>61</v>
      </c>
    </row>
    <row r="23" customHeight="1" spans="1:13">
      <c r="K23" s="6"/>
    </row>
    <row r="24" customHeight="1" spans="1:13">
      <c r="K24" s="6"/>
    </row>
  </sheetData>
  <mergeCells count="15">
    <mergeCell ref="A1:M1"/>
    <mergeCell ref="E2:J2"/>
    <mergeCell ref="A7:B7"/>
    <mergeCell ref="A12:B12"/>
    <mergeCell ref="A17:B17"/>
    <mergeCell ref="A18:B18"/>
    <mergeCell ref="F19:H19"/>
    <mergeCell ref="K19:M19"/>
    <mergeCell ref="A2:A3"/>
    <mergeCell ref="B2:B3"/>
    <mergeCell ref="C2:C3"/>
    <mergeCell ref="D2:D3"/>
    <mergeCell ref="K2:K3"/>
    <mergeCell ref="L2:L3"/>
    <mergeCell ref="M2:M3"/>
  </mergeCells>
  <conditionalFormatting sqref="A7">
    <cfRule type="duplicateValues" dxfId="0" priority="1"/>
  </conditionalFormatting>
  <printOptions horizontalCentered="1"/>
  <pageMargins left="0.708333333333333" right="0.708333333333333" top="0.786805555555556" bottom="0.393055555555556" header="0.314583333333333" footer="0.314583333333333"/>
  <pageSetup paperSize="8" scale="84" fitToHeight="0" orientation="landscape" horizontalDpi="600"/>
  <headerFooter/>
  <ignoredErrors>
    <ignoredError sqref="J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2026年8月利得行公司应收账款统计表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沈斌</dc:creator>
  <cp:lastModifiedBy>云端的故事</cp:lastModifiedBy>
  <dcterms:created xsi:type="dcterms:W3CDTF">2023-06-06T07:32:00Z</dcterms:created>
  <cp:lastPrinted>2025-03-04T08:13:00Z</cp:lastPrinted>
  <dcterms:modified xsi:type="dcterms:W3CDTF">2026-09-03T08:35:31Z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22E84C504B3E479787B57F8B1B9C9F46_13</vt:lpwstr>
  </property>
  <property fmtid="{D5CDD505-2E9C-101B-9397-08002B2CF9AE}" pid="4" name="CalculationRule">
    <vt:i4>0</vt:i4>
  </property>
</Properties>
</file>