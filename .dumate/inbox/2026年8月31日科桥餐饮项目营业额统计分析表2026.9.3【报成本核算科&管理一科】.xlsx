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360MoveData\Users\云淡\Desktop\终稿\8月\8月\"/>
    </mc:Choice>
  </mc:AlternateContent>
  <bookViews>
    <workbookView windowWidth="28800" windowHeight="12255"/>
  </bookViews>
  <sheets>
    <sheet name="科桥餐饮项目营业额统计分析表当月数" sheetId="3" r:id="rId1"/>
    <sheet name="科桥餐饮项目营业额统计分析表累计" sheetId="2" r:id="rId2"/>
  </sheets>
  <definedNames>
    <definedName name="_xlnm._FilterDatabase" localSheetId="1" hidden="1">科桥餐饮项目营业额统计分析表累计!$A$3:$H$78</definedName>
    <definedName name="_xlnm._FilterDatabase" localSheetId="0" hidden="1">科桥餐饮项目营业额统计分析表当月数!$A$3:$I$78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云淡</author>
  </authors>
  <commentList>
    <comment ref="D12" authorId="0">
      <text>
        <r>
          <rPr>
            <sz val="9"/>
            <rFont val="宋体"/>
            <charset val="134"/>
          </rPr>
          <t xml:space="preserve">强责项目
</t>
        </r>
      </text>
    </comment>
    <comment ref="G13" authorId="0">
      <text>
        <r>
          <rPr>
            <sz val="9"/>
            <rFont val="宋体"/>
            <charset val="134"/>
          </rPr>
          <t xml:space="preserve">拉面组不计提管理费
</t>
        </r>
      </text>
    </comment>
    <comment ref="B24" authorId="0">
      <text>
        <r>
          <rPr>
            <sz val="9"/>
            <rFont val="宋体"/>
            <charset val="134"/>
          </rPr>
          <t>含博习企服当期营业额</t>
        </r>
      </text>
    </comment>
  </commentList>
</comments>
</file>

<file path=xl/sharedStrings.xml><?xml version="1.0" encoding="utf-8"?>
<sst xmlns="http://schemas.openxmlformats.org/spreadsheetml/2006/main" count="320" uniqueCount="163">
  <si>
    <t>2026年8月科桥餐饮项目营业额统计分析表（当月数）</t>
  </si>
  <si>
    <t>项目编码</t>
  </si>
  <si>
    <t>差额</t>
  </si>
  <si>
    <t>全额</t>
  </si>
  <si>
    <t>项目名称</t>
  </si>
  <si>
    <t>本期自营收入</t>
  </si>
  <si>
    <t>本期网点收入
（含强责）</t>
  </si>
  <si>
    <t>合计</t>
  </si>
  <si>
    <t>全额营业额</t>
  </si>
  <si>
    <t>不收管理费营业额</t>
  </si>
  <si>
    <t>计提管理费营业额</t>
  </si>
  <si>
    <t>0300</t>
  </si>
  <si>
    <t>科桥餐饮公司</t>
  </si>
  <si>
    <t>C001</t>
  </si>
  <si>
    <t>餐饮综合部</t>
  </si>
  <si>
    <t>C004</t>
  </si>
  <si>
    <t>餐饮物资采供部</t>
  </si>
  <si>
    <t>CF101</t>
  </si>
  <si>
    <t>苏大本部方塔食堂</t>
  </si>
  <si>
    <t>CF102</t>
  </si>
  <si>
    <t>苏大东区四食堂</t>
  </si>
  <si>
    <t>CF107</t>
  </si>
  <si>
    <t>苏大东区教工食堂</t>
  </si>
  <si>
    <t>CF108</t>
  </si>
  <si>
    <t>苏大北区六食堂</t>
  </si>
  <si>
    <t>CF120</t>
  </si>
  <si>
    <t>苏大独墅湖一食堂</t>
  </si>
  <si>
    <t>CF121</t>
  </si>
  <si>
    <t>苏大独墅湖二食堂</t>
  </si>
  <si>
    <t>CF122</t>
  </si>
  <si>
    <t>苏大独墅湖六食堂</t>
  </si>
  <si>
    <t>CF124</t>
  </si>
  <si>
    <t>苏州评弹学院食堂</t>
  </si>
  <si>
    <t>CF125</t>
  </si>
  <si>
    <t>西浦大学宏愿南食堂</t>
  </si>
  <si>
    <t>CF126</t>
  </si>
  <si>
    <t>西浦附校食堂</t>
  </si>
  <si>
    <t>CF127-1</t>
  </si>
  <si>
    <t>泰科老厂餐厅</t>
  </si>
  <si>
    <t>CF127-3</t>
  </si>
  <si>
    <t>泰科新厂餐厅</t>
  </si>
  <si>
    <t>CF134</t>
  </si>
  <si>
    <t>苏大独墅湖五食堂</t>
  </si>
  <si>
    <t>CF137</t>
  </si>
  <si>
    <t>西浦大学宏愿北食堂</t>
  </si>
  <si>
    <t>CF138</t>
  </si>
  <si>
    <t>苏州生物产业园三期餐厅</t>
  </si>
  <si>
    <t>CF139</t>
  </si>
  <si>
    <t>苏州中科新药篮餐厅</t>
  </si>
  <si>
    <t>CF140</t>
  </si>
  <si>
    <t>西浦大学太仓校区食堂</t>
  </si>
  <si>
    <t>CF141</t>
  </si>
  <si>
    <t>泰科阳澄湖工厂</t>
  </si>
  <si>
    <t>CF142</t>
  </si>
  <si>
    <t>卡特彼勒（吴江）餐厅</t>
  </si>
  <si>
    <t>CF160</t>
  </si>
  <si>
    <t>高新区实验高中食堂（金山路校区）</t>
  </si>
  <si>
    <t>CF173</t>
  </si>
  <si>
    <t>高新区一中食堂（汾湖路校区）</t>
  </si>
  <si>
    <t>CF174</t>
  </si>
  <si>
    <t>高新区实验高中食堂（科技城校区）</t>
  </si>
  <si>
    <t>CF175</t>
  </si>
  <si>
    <t>高新区实验初中食堂（金山路校区）</t>
  </si>
  <si>
    <t>CF177</t>
  </si>
  <si>
    <t>高新区实验初中食堂（锦峰路校区）</t>
  </si>
  <si>
    <t>CF179</t>
  </si>
  <si>
    <t>高新区一中食堂（科技城校区）</t>
  </si>
  <si>
    <t>CF180</t>
  </si>
  <si>
    <t>高新区一初中食堂（珠江路校区）</t>
  </si>
  <si>
    <t>CF181</t>
  </si>
  <si>
    <t>中科大苏州研究院食堂</t>
  </si>
  <si>
    <t>CF182</t>
  </si>
  <si>
    <t>无锡工艺第二食堂</t>
  </si>
  <si>
    <t>CF183</t>
  </si>
  <si>
    <t>中医科苏州新校区食堂</t>
  </si>
  <si>
    <t>CF190</t>
  </si>
  <si>
    <t>苏旅财食堂</t>
  </si>
  <si>
    <t>CF191</t>
  </si>
  <si>
    <t>苏州旭辉彩园餐厅</t>
  </si>
  <si>
    <t>CF212</t>
  </si>
  <si>
    <t>苏中附校苏州湾食堂</t>
  </si>
  <si>
    <t>CF213</t>
  </si>
  <si>
    <t>苏州大脑营行餐厅</t>
  </si>
  <si>
    <t>CF251</t>
  </si>
  <si>
    <t>苏州职大第二学生食堂</t>
  </si>
  <si>
    <t>CF272</t>
  </si>
  <si>
    <t>苏州工学院南一食堂</t>
  </si>
  <si>
    <t>CF273</t>
  </si>
  <si>
    <t>南大苏州校区科创大厦食堂</t>
  </si>
  <si>
    <t>CF275</t>
  </si>
  <si>
    <t>南大苏州校区西区二食堂</t>
  </si>
  <si>
    <t>CF276</t>
  </si>
  <si>
    <t>苏州经贸第二食堂</t>
  </si>
  <si>
    <t>CF293</t>
  </si>
  <si>
    <t>江苏二师石湫校区食堂</t>
  </si>
  <si>
    <t>CF320</t>
  </si>
  <si>
    <t>江苏财经梅园食堂</t>
  </si>
  <si>
    <t>CF340</t>
  </si>
  <si>
    <t>扬大广陵1号食堂一楼</t>
  </si>
  <si>
    <t>CF341</t>
  </si>
  <si>
    <t>扬大荷花池校区二楼食堂</t>
  </si>
  <si>
    <t>CF360</t>
  </si>
  <si>
    <t>南通师专新校区食堂</t>
  </si>
  <si>
    <t>CF363</t>
  </si>
  <si>
    <t>南通大学启东一期食堂一楼</t>
  </si>
  <si>
    <t>CF364</t>
  </si>
  <si>
    <t>江苏航运思本轩二楼食堂</t>
  </si>
  <si>
    <t>CF450</t>
  </si>
  <si>
    <t>天津大学学二食堂</t>
  </si>
  <si>
    <t>CF452</t>
  </si>
  <si>
    <t>兰州大学丹桂苑三楼食堂</t>
  </si>
  <si>
    <t>CF453</t>
  </si>
  <si>
    <t>天津大学学四食堂</t>
  </si>
  <si>
    <t>CF474</t>
  </si>
  <si>
    <t>安工大七食堂</t>
  </si>
  <si>
    <t>CF475</t>
  </si>
  <si>
    <t>国科大南京学院食堂</t>
  </si>
  <si>
    <t>CF477</t>
  </si>
  <si>
    <t>上海民航第一食堂</t>
  </si>
  <si>
    <t>CF478</t>
  </si>
  <si>
    <t>苏州华扬电子食堂</t>
  </si>
  <si>
    <t>CF479</t>
  </si>
  <si>
    <t>江苏交通第一学生食堂</t>
  </si>
  <si>
    <t>CF480</t>
  </si>
  <si>
    <t>江苏旅游学生食堂二楼</t>
  </si>
  <si>
    <t>CF481</t>
  </si>
  <si>
    <t>常熟世华高级中学食堂</t>
  </si>
  <si>
    <t>CF513</t>
  </si>
  <si>
    <t>天津大学学三食堂</t>
  </si>
  <si>
    <t>CF514</t>
  </si>
  <si>
    <t>昆山康桥培英高级中学食堂</t>
  </si>
  <si>
    <t>CF516</t>
  </si>
  <si>
    <t>苏州北美高中食堂</t>
  </si>
  <si>
    <t>CF620</t>
  </si>
  <si>
    <t>山西大学B6食堂三层</t>
  </si>
  <si>
    <t>CF640</t>
  </si>
  <si>
    <t>广东财大雅食园食堂</t>
  </si>
  <si>
    <t>CF641</t>
  </si>
  <si>
    <t>中山大学北学二食堂</t>
  </si>
  <si>
    <t>CF694</t>
  </si>
  <si>
    <t>兰理工彭家坪北村食堂</t>
  </si>
  <si>
    <t>CF696</t>
  </si>
  <si>
    <t>甘肃省气象局餐厅</t>
  </si>
  <si>
    <t>CF697</t>
  </si>
  <si>
    <t>兰交大百苑二楼食堂</t>
  </si>
  <si>
    <t>CF698</t>
  </si>
  <si>
    <t>兰理工兰工坪校区第一食堂</t>
  </si>
  <si>
    <t>CF699</t>
  </si>
  <si>
    <t>徐医大第一食堂</t>
  </si>
  <si>
    <t>CF700</t>
  </si>
  <si>
    <t>北理工长三角研究院(嘉兴)食堂</t>
  </si>
  <si>
    <t>CF751</t>
  </si>
  <si>
    <t>国防科大（长沙）食堂</t>
  </si>
  <si>
    <t>CF780</t>
  </si>
  <si>
    <t>吉建大二食堂</t>
  </si>
  <si>
    <t>CF781</t>
  </si>
  <si>
    <t>苏食院第一学生食堂</t>
  </si>
  <si>
    <t>CF782</t>
  </si>
  <si>
    <t>宿迁安园中央厨房</t>
  </si>
  <si>
    <t>合   计</t>
  </si>
  <si>
    <t>2026年1-8月科桥餐饮项目营业额统计分析表（累计数）</t>
  </si>
  <si>
    <t>不收管理费
营业额</t>
  </si>
  <si>
    <t>合    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</si>
</sst>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3" formatCode="_ * #,##0.00_ ;_ * \-#,##0.00_ ;_ * &quot;-&quot;??_ ;_ @_ "/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32">
    <font>
      <sz val="10"/>
      <name val="Arial"/>
      <charset val="0"/>
    </font>
    <font>
      <sz val="10"/>
      <color rgb="FFFF0000"/>
      <name val="Arial"/>
      <charset val="0"/>
    </font>
    <font>
      <b/>
      <sz val="13"/>
      <name val="宋体"/>
      <charset val="134"/>
    </font>
    <font>
      <b/>
      <sz val="9"/>
      <color indexed="62"/>
      <name val="宋体"/>
      <charset val="134"/>
    </font>
    <font>
      <sz val="9"/>
      <color indexed="8"/>
      <name val="宋体"/>
      <charset val="134"/>
    </font>
    <font>
      <sz val="9"/>
      <color rgb="FFFF0000"/>
      <name val="宋体"/>
      <charset val="134"/>
    </font>
    <font>
      <sz val="9"/>
      <name val="宋体"/>
      <charset val="134"/>
    </font>
    <font>
      <b/>
      <sz val="9"/>
      <color indexed="8"/>
      <name val="宋体"/>
      <charset val="134"/>
    </font>
    <font>
      <b/>
      <sz val="10"/>
      <name val="Arial"/>
      <charset val="0"/>
    </font>
    <font>
      <b/>
      <sz val="10"/>
      <name val="宋体"/>
      <charset val="0"/>
    </font>
    <font>
      <b/>
      <sz val="9"/>
      <name val="宋体"/>
      <charset val="134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sz val="12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3" applyNumberFormat="0" applyAlignment="0" applyProtection="0">
      <alignment vertical="center"/>
    </xf>
    <xf numFmtId="0" fontId="20" fillId="7" borderId="14" applyNumberFormat="0" applyAlignment="0" applyProtection="0">
      <alignment vertical="center"/>
    </xf>
    <xf numFmtId="0" fontId="21" fillId="7" borderId="13" applyNumberFormat="0" applyAlignment="0" applyProtection="0">
      <alignment vertical="center"/>
    </xf>
    <xf numFmtId="0" fontId="22" fillId="8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0" borderId="0"/>
    <xf numFmtId="43" fontId="30" fillId="0" borderId="0" applyFont="0" applyFill="0" applyBorder="0" applyAlignment="0" applyProtection="0">
      <alignment vertical="center"/>
    </xf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43" fontId="0" fillId="0" borderId="0" xfId="0" applyNumberFormat="1"/>
    <xf numFmtId="0" fontId="2" fillId="0" borderId="0" xfId="0" applyNumberFormat="1" applyFont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3" fontId="3" fillId="2" borderId="1" xfId="0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 wrapText="1"/>
    </xf>
    <xf numFmtId="43" fontId="3" fillId="2" borderId="3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left" vertical="center"/>
    </xf>
    <xf numFmtId="49" fontId="5" fillId="3" borderId="3" xfId="0" applyNumberFormat="1" applyFont="1" applyFill="1" applyBorder="1" applyAlignment="1">
      <alignment horizontal="left" vertical="center"/>
    </xf>
    <xf numFmtId="43" fontId="4" fillId="4" borderId="3" xfId="0" applyNumberFormat="1" applyFont="1" applyFill="1" applyBorder="1" applyAlignment="1">
      <alignment horizontal="right" vertical="center"/>
    </xf>
    <xf numFmtId="43" fontId="6" fillId="0" borderId="3" xfId="0" applyNumberFormat="1" applyFont="1" applyBorder="1" applyAlignment="1">
      <alignment horizontal="right" vertical="center"/>
    </xf>
    <xf numFmtId="43" fontId="0" fillId="0" borderId="3" xfId="0" applyNumberFormat="1" applyBorder="1"/>
    <xf numFmtId="43" fontId="4" fillId="4" borderId="4" xfId="0" applyNumberFormat="1" applyFont="1" applyFill="1" applyBorder="1" applyAlignment="1">
      <alignment horizontal="right" vertical="center"/>
    </xf>
    <xf numFmtId="0" fontId="4" fillId="3" borderId="3" xfId="0" applyNumberFormat="1" applyFont="1" applyFill="1" applyBorder="1" applyAlignment="1">
      <alignment horizontal="left" vertical="center"/>
    </xf>
    <xf numFmtId="43" fontId="5" fillId="4" borderId="3" xfId="0" applyNumberFormat="1" applyFont="1" applyFill="1" applyBorder="1" applyAlignment="1">
      <alignment horizontal="right" vertical="center"/>
    </xf>
    <xf numFmtId="43" fontId="6" fillId="4" borderId="3" xfId="0" applyNumberFormat="1" applyFont="1" applyFill="1" applyBorder="1" applyAlignment="1">
      <alignment horizontal="right" vertical="center"/>
    </xf>
    <xf numFmtId="0" fontId="0" fillId="0" borderId="3" xfId="0" applyBorder="1"/>
    <xf numFmtId="0" fontId="5" fillId="3" borderId="5" xfId="0" applyNumberFormat="1" applyFont="1" applyFill="1" applyBorder="1" applyAlignment="1">
      <alignment horizontal="left" vertical="center"/>
    </xf>
    <xf numFmtId="43" fontId="5" fillId="0" borderId="3" xfId="0" applyNumberFormat="1" applyFont="1" applyBorder="1" applyAlignment="1">
      <alignment horizontal="right" vertical="center"/>
    </xf>
    <xf numFmtId="43" fontId="1" fillId="0" borderId="3" xfId="0" applyNumberFormat="1" applyFont="1" applyBorder="1"/>
    <xf numFmtId="43" fontId="5" fillId="4" borderId="4" xfId="0" applyNumberFormat="1" applyFont="1" applyFill="1" applyBorder="1" applyAlignment="1">
      <alignment horizontal="right" vertical="center"/>
    </xf>
    <xf numFmtId="43" fontId="7" fillId="0" borderId="6" xfId="0" applyNumberFormat="1" applyFont="1" applyFill="1" applyBorder="1" applyAlignment="1">
      <alignment horizontal="center" vertical="center"/>
    </xf>
    <xf numFmtId="43" fontId="7" fillId="0" borderId="7" xfId="0" applyNumberFormat="1" applyFont="1" applyFill="1" applyBorder="1" applyAlignment="1">
      <alignment horizontal="center" vertical="center"/>
    </xf>
    <xf numFmtId="43" fontId="7" fillId="0" borderId="8" xfId="0" applyNumberFormat="1" applyFont="1" applyFill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0" fillId="0" borderId="0" xfId="0" applyNumberFormat="1"/>
    <xf numFmtId="0" fontId="3" fillId="2" borderId="3" xfId="0" applyNumberFormat="1" applyFont="1" applyFill="1" applyBorder="1" applyAlignment="1">
      <alignment vertical="center"/>
    </xf>
    <xf numFmtId="0" fontId="5" fillId="3" borderId="3" xfId="0" applyNumberFormat="1" applyFont="1" applyFill="1" applyBorder="1" applyAlignment="1">
      <alignment horizontal="left" vertical="center"/>
    </xf>
    <xf numFmtId="0" fontId="4" fillId="3" borderId="5" xfId="0" applyNumberFormat="1" applyFont="1" applyFill="1" applyBorder="1" applyAlignment="1">
      <alignment horizontal="left" vertical="center"/>
    </xf>
    <xf numFmtId="0" fontId="9" fillId="0" borderId="6" xfId="0" applyNumberFormat="1" applyFont="1" applyBorder="1" applyAlignment="1">
      <alignment horizontal="center" vertical="center"/>
    </xf>
    <xf numFmtId="0" fontId="8" fillId="0" borderId="7" xfId="0" applyNumberFormat="1" applyFont="1" applyBorder="1" applyAlignment="1">
      <alignment horizontal="center" vertical="center"/>
    </xf>
    <xf numFmtId="43" fontId="7" fillId="4" borderId="3" xfId="0" applyNumberFormat="1" applyFont="1" applyFill="1" applyBorder="1" applyAlignment="1">
      <alignment horizontal="right" vertical="center"/>
    </xf>
    <xf numFmtId="43" fontId="10" fillId="0" borderId="3" xfId="0" applyNumberFormat="1" applyFont="1" applyBorder="1" applyAlignment="1">
      <alignment horizontal="right" vertical="center"/>
    </xf>
    <xf numFmtId="0" fontId="4" fillId="3" borderId="3" xfId="0" applyNumberFormat="1" applyFont="1" applyFill="1" applyBorder="1" applyAlignment="1" quotePrefix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Light16"/>
  <colors>
    <mruColors>
      <color rgb="00CCFFFF"/>
      <color rgb="00333399"/>
      <color rgb="00FFFFFF"/>
      <color rgb="00FFFFCC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78"/>
  <sheetViews>
    <sheetView tabSelected="1" workbookViewId="0">
      <pane xSplit="2" ySplit="3" topLeftCell="C58" activePane="bottomRight" state="frozen"/>
      <selection/>
      <selection pane="topRight"/>
      <selection pane="bottomLeft"/>
      <selection pane="bottomRight" activeCell="F73" sqref="F73"/>
    </sheetView>
  </sheetViews>
  <sheetFormatPr defaultColWidth="13.6666666666667" defaultRowHeight="12.75" outlineLevelCol="7"/>
  <cols>
    <col min="1" max="1" width="12.6666666666667" style="33" customWidth="1"/>
    <col min="2" max="2" width="31.4285714285714" customWidth="1"/>
    <col min="3" max="3" width="16.2857142857143" style="33" customWidth="1"/>
    <col min="4" max="4" width="16.2857142857143" customWidth="1"/>
    <col min="5" max="6" width="17.4285714285714" customWidth="1"/>
    <col min="7" max="7" width="17.2857142857143" customWidth="1"/>
    <col min="8" max="8" width="17.4285714285714" customWidth="1"/>
  </cols>
  <sheetData>
    <row r="1" ht="28.5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spans="1:8">
      <c r="A2" s="6" t="s">
        <v>1</v>
      </c>
      <c r="B2" s="7" t="s">
        <v>2</v>
      </c>
      <c r="C2" s="7"/>
      <c r="D2" s="7"/>
      <c r="E2" s="7"/>
      <c r="F2" s="6" t="s">
        <v>3</v>
      </c>
      <c r="G2" s="6"/>
      <c r="H2" s="9"/>
    </row>
    <row r="3" ht="22.5" spans="1:8">
      <c r="A3" s="10"/>
      <c r="B3" s="11" t="s">
        <v>4</v>
      </c>
      <c r="C3" s="10" t="s">
        <v>5</v>
      </c>
      <c r="D3" s="12" t="s">
        <v>6</v>
      </c>
      <c r="E3" s="11" t="s">
        <v>7</v>
      </c>
      <c r="F3" s="34" t="s">
        <v>8</v>
      </c>
      <c r="G3" s="10" t="s">
        <v>9</v>
      </c>
      <c r="H3" s="14" t="s">
        <v>10</v>
      </c>
    </row>
    <row r="4" ht="18" customHeight="1" spans="1:8">
      <c r="A4" s="41" t="s">
        <v>11</v>
      </c>
      <c r="B4" s="16" t="s">
        <v>12</v>
      </c>
      <c r="C4" s="17">
        <v>0</v>
      </c>
      <c r="D4" s="17">
        <v>0</v>
      </c>
      <c r="E4" s="18">
        <f>SUM(C4:D4)</f>
        <v>0</v>
      </c>
      <c r="F4" s="17">
        <v>0</v>
      </c>
      <c r="G4" s="17">
        <v>0</v>
      </c>
      <c r="H4" s="17">
        <f>+F4-G4</f>
        <v>0</v>
      </c>
    </row>
    <row r="5" ht="18" customHeight="1" spans="1:8">
      <c r="A5" s="21" t="s">
        <v>13</v>
      </c>
      <c r="B5" s="16" t="s">
        <v>14</v>
      </c>
      <c r="C5" s="17">
        <v>0</v>
      </c>
      <c r="D5" s="17">
        <v>0</v>
      </c>
      <c r="E5" s="18">
        <f>SUM(C5:D5)</f>
        <v>0</v>
      </c>
      <c r="F5" s="17">
        <v>0</v>
      </c>
      <c r="G5" s="17">
        <v>0</v>
      </c>
      <c r="H5" s="17">
        <f t="shared" ref="H5:H36" si="0">+F5-G5</f>
        <v>0</v>
      </c>
    </row>
    <row r="6" ht="18" customHeight="1" spans="1:8">
      <c r="A6" s="21" t="s">
        <v>15</v>
      </c>
      <c r="B6" s="15" t="s">
        <v>16</v>
      </c>
      <c r="C6" s="17">
        <v>0</v>
      </c>
      <c r="D6" s="17">
        <v>0</v>
      </c>
      <c r="E6" s="18">
        <f t="shared" ref="E5:E36" si="1">SUM(C6:D6)</f>
        <v>0</v>
      </c>
      <c r="F6" s="17">
        <v>0</v>
      </c>
      <c r="G6" s="17">
        <v>0</v>
      </c>
      <c r="H6" s="17">
        <f t="shared" si="0"/>
        <v>0</v>
      </c>
    </row>
    <row r="7" ht="18" customHeight="1" spans="1:8">
      <c r="A7" s="21" t="s">
        <v>17</v>
      </c>
      <c r="B7" s="15" t="s">
        <v>18</v>
      </c>
      <c r="C7" s="17">
        <v>0</v>
      </c>
      <c r="D7" s="17">
        <v>211327.18</v>
      </c>
      <c r="E7" s="18">
        <f t="shared" si="1"/>
        <v>211327.18</v>
      </c>
      <c r="F7" s="17">
        <v>433227.33</v>
      </c>
      <c r="G7" s="17">
        <v>0</v>
      </c>
      <c r="H7" s="17">
        <f t="shared" si="0"/>
        <v>433227.33</v>
      </c>
    </row>
    <row r="8" ht="18" customHeight="1" spans="1:8">
      <c r="A8" s="21" t="s">
        <v>19</v>
      </c>
      <c r="B8" s="15" t="s">
        <v>20</v>
      </c>
      <c r="C8" s="17">
        <v>0</v>
      </c>
      <c r="D8" s="17">
        <v>0</v>
      </c>
      <c r="E8" s="18">
        <f t="shared" si="1"/>
        <v>0</v>
      </c>
      <c r="F8" s="17">
        <v>0</v>
      </c>
      <c r="G8" s="17">
        <v>0</v>
      </c>
      <c r="H8" s="17">
        <f t="shared" si="0"/>
        <v>0</v>
      </c>
    </row>
    <row r="9" ht="18" customHeight="1" spans="1:8">
      <c r="A9" s="21" t="s">
        <v>21</v>
      </c>
      <c r="B9" s="15" t="s">
        <v>22</v>
      </c>
      <c r="C9" s="17">
        <v>0</v>
      </c>
      <c r="D9" s="17">
        <v>0</v>
      </c>
      <c r="E9" s="18">
        <f t="shared" si="1"/>
        <v>0</v>
      </c>
      <c r="F9" s="17">
        <v>0</v>
      </c>
      <c r="G9" s="17">
        <v>0</v>
      </c>
      <c r="H9" s="17">
        <f t="shared" si="0"/>
        <v>0</v>
      </c>
    </row>
    <row r="10" ht="18" customHeight="1" spans="1:8">
      <c r="A10" s="21" t="s">
        <v>23</v>
      </c>
      <c r="B10" s="15" t="s">
        <v>24</v>
      </c>
      <c r="C10" s="17">
        <v>1239.31</v>
      </c>
      <c r="D10" s="17">
        <v>3653.91</v>
      </c>
      <c r="E10" s="18">
        <f t="shared" si="1"/>
        <v>4893.22</v>
      </c>
      <c r="F10" s="17">
        <v>137596.63</v>
      </c>
      <c r="G10" s="17">
        <v>0</v>
      </c>
      <c r="H10" s="17">
        <f t="shared" si="0"/>
        <v>137596.63</v>
      </c>
    </row>
    <row r="11" ht="18" customHeight="1" spans="1:8">
      <c r="A11" s="21" t="s">
        <v>25</v>
      </c>
      <c r="B11" s="15" t="s">
        <v>26</v>
      </c>
      <c r="C11" s="17">
        <v>0</v>
      </c>
      <c r="D11" s="17">
        <v>0</v>
      </c>
      <c r="E11" s="18">
        <f t="shared" si="1"/>
        <v>0</v>
      </c>
      <c r="F11" s="17">
        <v>0</v>
      </c>
      <c r="G11" s="17">
        <v>0</v>
      </c>
      <c r="H11" s="17">
        <f t="shared" si="0"/>
        <v>0</v>
      </c>
    </row>
    <row r="12" ht="18" customHeight="1" spans="1:8">
      <c r="A12" s="21" t="s">
        <v>27</v>
      </c>
      <c r="B12" s="16" t="s">
        <v>28</v>
      </c>
      <c r="C12" s="17">
        <v>0</v>
      </c>
      <c r="D12" s="17">
        <v>0</v>
      </c>
      <c r="E12" s="18">
        <f t="shared" si="1"/>
        <v>0</v>
      </c>
      <c r="F12" s="17">
        <v>0</v>
      </c>
      <c r="G12" s="17">
        <v>0</v>
      </c>
      <c r="H12" s="17">
        <f t="shared" si="0"/>
        <v>0</v>
      </c>
    </row>
    <row r="13" ht="18" customHeight="1" spans="1:8">
      <c r="A13" s="21" t="s">
        <v>29</v>
      </c>
      <c r="B13" s="16" t="s">
        <v>30</v>
      </c>
      <c r="C13" s="17">
        <v>0</v>
      </c>
      <c r="D13" s="17">
        <v>0</v>
      </c>
      <c r="E13" s="18">
        <f t="shared" si="1"/>
        <v>0</v>
      </c>
      <c r="F13" s="17">
        <v>0</v>
      </c>
      <c r="G13" s="17">
        <v>0</v>
      </c>
      <c r="H13" s="17">
        <f t="shared" si="0"/>
        <v>0</v>
      </c>
    </row>
    <row r="14" ht="18" customHeight="1" spans="1:8">
      <c r="A14" s="21" t="s">
        <v>31</v>
      </c>
      <c r="B14" s="15" t="s">
        <v>32</v>
      </c>
      <c r="C14" s="17">
        <v>0</v>
      </c>
      <c r="D14" s="17">
        <v>0</v>
      </c>
      <c r="E14" s="18">
        <f t="shared" si="1"/>
        <v>0</v>
      </c>
      <c r="F14" s="17">
        <v>0</v>
      </c>
      <c r="G14" s="17">
        <v>0</v>
      </c>
      <c r="H14" s="17">
        <f t="shared" si="0"/>
        <v>0</v>
      </c>
    </row>
    <row r="15" ht="18" customHeight="1" spans="1:8">
      <c r="A15" s="21" t="s">
        <v>33</v>
      </c>
      <c r="B15" s="16" t="s">
        <v>34</v>
      </c>
      <c r="C15" s="17">
        <v>130412.6</v>
      </c>
      <c r="D15" s="17">
        <v>41279.57</v>
      </c>
      <c r="E15" s="18">
        <f t="shared" si="1"/>
        <v>171692.17</v>
      </c>
      <c r="F15" s="17">
        <v>171692.17</v>
      </c>
      <c r="G15" s="17">
        <v>0</v>
      </c>
      <c r="H15" s="17">
        <f t="shared" si="0"/>
        <v>171692.17</v>
      </c>
    </row>
    <row r="16" ht="18" customHeight="1" spans="1:8">
      <c r="A16" s="21" t="s">
        <v>35</v>
      </c>
      <c r="B16" s="16" t="s">
        <v>36</v>
      </c>
      <c r="C16" s="17">
        <v>661375.2</v>
      </c>
      <c r="D16" s="17">
        <v>0</v>
      </c>
      <c r="E16" s="18">
        <f t="shared" si="1"/>
        <v>661375.2</v>
      </c>
      <c r="F16" s="17">
        <v>661375.2</v>
      </c>
      <c r="G16" s="17">
        <v>0</v>
      </c>
      <c r="H16" s="17">
        <f t="shared" si="0"/>
        <v>661375.2</v>
      </c>
    </row>
    <row r="17" ht="18" customHeight="1" spans="1:8">
      <c r="A17" s="21" t="s">
        <v>37</v>
      </c>
      <c r="B17" s="15" t="s">
        <v>38</v>
      </c>
      <c r="C17" s="17">
        <v>1482243.75</v>
      </c>
      <c r="D17" s="17">
        <v>0</v>
      </c>
      <c r="E17" s="18">
        <f t="shared" si="1"/>
        <v>1482243.75</v>
      </c>
      <c r="F17" s="17">
        <v>1482243.75</v>
      </c>
      <c r="G17" s="17">
        <v>0</v>
      </c>
      <c r="H17" s="17">
        <f t="shared" si="0"/>
        <v>1482243.75</v>
      </c>
    </row>
    <row r="18" ht="18" customHeight="1" spans="1:8">
      <c r="A18" s="21" t="s">
        <v>39</v>
      </c>
      <c r="B18" s="15" t="s">
        <v>40</v>
      </c>
      <c r="C18" s="17">
        <v>1891615.12</v>
      </c>
      <c r="D18" s="17">
        <v>0</v>
      </c>
      <c r="E18" s="18">
        <f t="shared" si="1"/>
        <v>1891615.12</v>
      </c>
      <c r="F18" s="17">
        <v>1891615.12</v>
      </c>
      <c r="G18" s="17">
        <v>0</v>
      </c>
      <c r="H18" s="17">
        <f t="shared" si="0"/>
        <v>1891615.12</v>
      </c>
    </row>
    <row r="19" ht="18" customHeight="1" spans="1:8">
      <c r="A19" s="21" t="s">
        <v>41</v>
      </c>
      <c r="B19" s="15" t="s">
        <v>42</v>
      </c>
      <c r="C19" s="17">
        <v>0</v>
      </c>
      <c r="D19" s="17">
        <v>0</v>
      </c>
      <c r="E19" s="18">
        <f t="shared" si="1"/>
        <v>0</v>
      </c>
      <c r="F19" s="17">
        <v>0</v>
      </c>
      <c r="G19" s="17">
        <v>0</v>
      </c>
      <c r="H19" s="17">
        <f t="shared" si="0"/>
        <v>0</v>
      </c>
    </row>
    <row r="20" ht="18" customHeight="1" spans="1:8">
      <c r="A20" s="21" t="s">
        <v>43</v>
      </c>
      <c r="B20" s="15" t="s">
        <v>44</v>
      </c>
      <c r="C20" s="17">
        <v>0</v>
      </c>
      <c r="D20" s="17">
        <v>0</v>
      </c>
      <c r="E20" s="18">
        <f t="shared" si="1"/>
        <v>0</v>
      </c>
      <c r="F20" s="17">
        <v>0</v>
      </c>
      <c r="G20" s="17">
        <v>0</v>
      </c>
      <c r="H20" s="17">
        <f t="shared" si="0"/>
        <v>0</v>
      </c>
    </row>
    <row r="21" ht="18" customHeight="1" spans="1:8">
      <c r="A21" s="21" t="s">
        <v>45</v>
      </c>
      <c r="B21" s="15" t="s">
        <v>46</v>
      </c>
      <c r="C21" s="17">
        <v>212081.83</v>
      </c>
      <c r="D21" s="17">
        <v>0</v>
      </c>
      <c r="E21" s="18">
        <f t="shared" si="1"/>
        <v>212081.83</v>
      </c>
      <c r="F21" s="17">
        <v>212081.83</v>
      </c>
      <c r="G21" s="17">
        <v>0</v>
      </c>
      <c r="H21" s="17">
        <f t="shared" si="0"/>
        <v>212081.83</v>
      </c>
    </row>
    <row r="22" ht="18" customHeight="1" spans="1:8">
      <c r="A22" s="21" t="s">
        <v>47</v>
      </c>
      <c r="B22" s="15" t="s">
        <v>48</v>
      </c>
      <c r="C22" s="17">
        <v>201107.98</v>
      </c>
      <c r="D22" s="17">
        <v>0</v>
      </c>
      <c r="E22" s="18">
        <f t="shared" si="1"/>
        <v>201107.98</v>
      </c>
      <c r="F22" s="17">
        <v>201107.98</v>
      </c>
      <c r="G22" s="17">
        <v>0</v>
      </c>
      <c r="H22" s="17">
        <f t="shared" si="0"/>
        <v>201107.98</v>
      </c>
    </row>
    <row r="23" ht="18" customHeight="1" spans="1:8">
      <c r="A23" s="21" t="s">
        <v>49</v>
      </c>
      <c r="B23" s="16" t="s">
        <v>50</v>
      </c>
      <c r="C23" s="17">
        <v>134752.83</v>
      </c>
      <c r="D23" s="17">
        <v>66066.8</v>
      </c>
      <c r="E23" s="18">
        <f t="shared" si="1"/>
        <v>200819.63</v>
      </c>
      <c r="F23" s="17">
        <v>200819.63</v>
      </c>
      <c r="G23" s="17">
        <v>0</v>
      </c>
      <c r="H23" s="17">
        <f t="shared" si="0"/>
        <v>200819.63</v>
      </c>
    </row>
    <row r="24" ht="18" customHeight="1" spans="1:8">
      <c r="A24" s="21" t="s">
        <v>51</v>
      </c>
      <c r="B24" s="16" t="s">
        <v>52</v>
      </c>
      <c r="C24" s="17">
        <f>817926.85+4956</f>
        <v>822882.85</v>
      </c>
      <c r="D24" s="17">
        <v>0</v>
      </c>
      <c r="E24" s="18">
        <f t="shared" si="1"/>
        <v>822882.85</v>
      </c>
      <c r="F24" s="17">
        <v>817926.85</v>
      </c>
      <c r="G24" s="17">
        <v>0</v>
      </c>
      <c r="H24" s="17">
        <f t="shared" si="0"/>
        <v>817926.85</v>
      </c>
    </row>
    <row r="25" ht="18" customHeight="1" spans="1:8">
      <c r="A25" s="21" t="s">
        <v>53</v>
      </c>
      <c r="B25" s="15" t="s">
        <v>54</v>
      </c>
      <c r="C25" s="17">
        <v>0</v>
      </c>
      <c r="D25" s="17">
        <v>0</v>
      </c>
      <c r="E25" s="18">
        <f t="shared" si="1"/>
        <v>0</v>
      </c>
      <c r="F25" s="17">
        <v>0</v>
      </c>
      <c r="G25" s="17">
        <v>0</v>
      </c>
      <c r="H25" s="17">
        <f t="shared" si="0"/>
        <v>0</v>
      </c>
    </row>
    <row r="26" ht="18" customHeight="1" spans="1:8">
      <c r="A26" s="21" t="s">
        <v>55</v>
      </c>
      <c r="B26" s="15" t="s">
        <v>56</v>
      </c>
      <c r="C26" s="17">
        <v>111638.94</v>
      </c>
      <c r="D26" s="17">
        <v>0</v>
      </c>
      <c r="E26" s="18">
        <f t="shared" si="1"/>
        <v>111638.94</v>
      </c>
      <c r="F26" s="17">
        <v>111638.94</v>
      </c>
      <c r="G26" s="17">
        <v>0</v>
      </c>
      <c r="H26" s="17">
        <f t="shared" si="0"/>
        <v>111638.94</v>
      </c>
    </row>
    <row r="27" ht="18" customHeight="1" spans="1:8">
      <c r="A27" s="21" t="s">
        <v>57</v>
      </c>
      <c r="B27" s="15" t="s">
        <v>58</v>
      </c>
      <c r="C27" s="17">
        <v>149297.62</v>
      </c>
      <c r="D27" s="17">
        <v>0</v>
      </c>
      <c r="E27" s="18">
        <f t="shared" si="1"/>
        <v>149297.62</v>
      </c>
      <c r="F27" s="17">
        <v>149297.62</v>
      </c>
      <c r="G27" s="17">
        <v>0</v>
      </c>
      <c r="H27" s="17">
        <f t="shared" si="0"/>
        <v>149297.62</v>
      </c>
    </row>
    <row r="28" ht="18" customHeight="1" spans="1:8">
      <c r="A28" s="21" t="s">
        <v>59</v>
      </c>
      <c r="B28" s="15" t="s">
        <v>60</v>
      </c>
      <c r="C28" s="17">
        <v>98750</v>
      </c>
      <c r="D28" s="17">
        <v>0</v>
      </c>
      <c r="E28" s="18">
        <f t="shared" si="1"/>
        <v>98750</v>
      </c>
      <c r="F28" s="17">
        <v>98750</v>
      </c>
      <c r="G28" s="17">
        <v>0</v>
      </c>
      <c r="H28" s="17">
        <f t="shared" si="0"/>
        <v>98750</v>
      </c>
    </row>
    <row r="29" ht="18" customHeight="1" spans="1:8">
      <c r="A29" s="21" t="s">
        <v>61</v>
      </c>
      <c r="B29" s="15" t="s">
        <v>62</v>
      </c>
      <c r="C29" s="17">
        <v>0</v>
      </c>
      <c r="D29" s="17">
        <v>0</v>
      </c>
      <c r="E29" s="18">
        <f t="shared" si="1"/>
        <v>0</v>
      </c>
      <c r="F29" s="17">
        <v>0</v>
      </c>
      <c r="G29" s="17">
        <v>0</v>
      </c>
      <c r="H29" s="17">
        <f t="shared" si="0"/>
        <v>0</v>
      </c>
    </row>
    <row r="30" ht="18" customHeight="1" spans="1:8">
      <c r="A30" s="21" t="s">
        <v>63</v>
      </c>
      <c r="B30" s="15" t="s">
        <v>64</v>
      </c>
      <c r="C30" s="17">
        <v>8498.08</v>
      </c>
      <c r="D30" s="17">
        <v>0</v>
      </c>
      <c r="E30" s="18">
        <f t="shared" si="1"/>
        <v>8498.08</v>
      </c>
      <c r="F30" s="17">
        <v>8498.08</v>
      </c>
      <c r="G30" s="17">
        <v>0</v>
      </c>
      <c r="H30" s="17">
        <f t="shared" si="0"/>
        <v>8498.08</v>
      </c>
    </row>
    <row r="31" ht="18" customHeight="1" spans="1:8">
      <c r="A31" s="21" t="s">
        <v>65</v>
      </c>
      <c r="B31" s="15" t="s">
        <v>66</v>
      </c>
      <c r="C31" s="17">
        <v>115940.99</v>
      </c>
      <c r="D31" s="17">
        <v>0</v>
      </c>
      <c r="E31" s="18">
        <f t="shared" si="1"/>
        <v>115940.99</v>
      </c>
      <c r="F31" s="17">
        <v>115940.99</v>
      </c>
      <c r="G31" s="17">
        <v>0</v>
      </c>
      <c r="H31" s="17">
        <f t="shared" si="0"/>
        <v>115940.99</v>
      </c>
    </row>
    <row r="32" ht="18" customHeight="1" spans="1:8">
      <c r="A32" s="21" t="s">
        <v>67</v>
      </c>
      <c r="B32" s="15" t="s">
        <v>68</v>
      </c>
      <c r="C32" s="17">
        <v>0</v>
      </c>
      <c r="D32" s="17">
        <v>0</v>
      </c>
      <c r="E32" s="18">
        <f t="shared" si="1"/>
        <v>0</v>
      </c>
      <c r="F32" s="17">
        <v>0</v>
      </c>
      <c r="G32" s="17">
        <v>0</v>
      </c>
      <c r="H32" s="17">
        <f t="shared" si="0"/>
        <v>0</v>
      </c>
    </row>
    <row r="33" ht="18" customHeight="1" spans="1:8">
      <c r="A33" s="21" t="s">
        <v>69</v>
      </c>
      <c r="B33" s="15" t="s">
        <v>70</v>
      </c>
      <c r="C33" s="17">
        <v>135117.53</v>
      </c>
      <c r="D33" s="17">
        <v>0</v>
      </c>
      <c r="E33" s="18">
        <f t="shared" si="1"/>
        <v>135117.53</v>
      </c>
      <c r="F33" s="17">
        <v>135117.53</v>
      </c>
      <c r="G33" s="17">
        <v>0</v>
      </c>
      <c r="H33" s="17">
        <f t="shared" si="0"/>
        <v>135117.53</v>
      </c>
    </row>
    <row r="34" ht="18" customHeight="1" spans="1:8">
      <c r="A34" s="21" t="s">
        <v>71</v>
      </c>
      <c r="B34" s="15" t="s">
        <v>72</v>
      </c>
      <c r="C34" s="17">
        <v>0</v>
      </c>
      <c r="D34" s="17">
        <v>0</v>
      </c>
      <c r="E34" s="18">
        <f t="shared" si="1"/>
        <v>0</v>
      </c>
      <c r="F34" s="17">
        <v>0</v>
      </c>
      <c r="G34" s="17">
        <v>0</v>
      </c>
      <c r="H34" s="17">
        <f t="shared" si="0"/>
        <v>0</v>
      </c>
    </row>
    <row r="35" ht="18" customHeight="1" spans="1:8">
      <c r="A35" s="21" t="s">
        <v>73</v>
      </c>
      <c r="B35" s="15" t="s">
        <v>74</v>
      </c>
      <c r="C35" s="17">
        <v>383229.96</v>
      </c>
      <c r="D35" s="17">
        <v>0</v>
      </c>
      <c r="E35" s="18">
        <f t="shared" si="1"/>
        <v>383229.96</v>
      </c>
      <c r="F35" s="17">
        <v>383229.96</v>
      </c>
      <c r="G35" s="17">
        <v>0</v>
      </c>
      <c r="H35" s="17">
        <f t="shared" si="0"/>
        <v>383229.96</v>
      </c>
    </row>
    <row r="36" ht="18" customHeight="1" spans="1:8">
      <c r="A36" s="21" t="s">
        <v>75</v>
      </c>
      <c r="B36" s="15" t="s">
        <v>76</v>
      </c>
      <c r="C36" s="17">
        <v>0</v>
      </c>
      <c r="D36" s="17">
        <v>0</v>
      </c>
      <c r="E36" s="18">
        <f t="shared" si="1"/>
        <v>0</v>
      </c>
      <c r="F36" s="17">
        <v>0</v>
      </c>
      <c r="G36" s="17">
        <v>0</v>
      </c>
      <c r="H36" s="17">
        <f t="shared" si="0"/>
        <v>0</v>
      </c>
    </row>
    <row r="37" ht="18" customHeight="1" spans="1:8">
      <c r="A37" s="21" t="s">
        <v>77</v>
      </c>
      <c r="B37" s="15" t="s">
        <v>78</v>
      </c>
      <c r="C37" s="17">
        <v>182182.78</v>
      </c>
      <c r="D37" s="17">
        <v>0</v>
      </c>
      <c r="E37" s="18">
        <f t="shared" ref="E37:E64" si="2">SUM(C37:D37)</f>
        <v>182182.78</v>
      </c>
      <c r="F37" s="17">
        <v>182182.78</v>
      </c>
      <c r="G37" s="17">
        <v>0</v>
      </c>
      <c r="H37" s="17">
        <f t="shared" ref="H37:H64" si="3">+F37-G37</f>
        <v>182182.78</v>
      </c>
    </row>
    <row r="38" ht="18" customHeight="1" spans="1:8">
      <c r="A38" s="21" t="s">
        <v>79</v>
      </c>
      <c r="B38" s="15" t="s">
        <v>80</v>
      </c>
      <c r="C38" s="17">
        <v>149018.39</v>
      </c>
      <c r="D38" s="17">
        <v>0</v>
      </c>
      <c r="E38" s="18">
        <f t="shared" si="2"/>
        <v>149018.39</v>
      </c>
      <c r="F38" s="17">
        <v>149018.39</v>
      </c>
      <c r="G38" s="17">
        <v>0</v>
      </c>
      <c r="H38" s="17">
        <f t="shared" si="3"/>
        <v>149018.39</v>
      </c>
    </row>
    <row r="39" ht="18" customHeight="1" spans="1:8">
      <c r="A39" s="21" t="s">
        <v>81</v>
      </c>
      <c r="B39" s="15" t="s">
        <v>82</v>
      </c>
      <c r="C39" s="17">
        <v>1034178.47</v>
      </c>
      <c r="D39" s="17">
        <v>234835.01</v>
      </c>
      <c r="E39" s="18">
        <f t="shared" si="2"/>
        <v>1269013.48</v>
      </c>
      <c r="F39" s="17">
        <v>1269013.48</v>
      </c>
      <c r="G39" s="17">
        <v>0</v>
      </c>
      <c r="H39" s="17">
        <f t="shared" si="3"/>
        <v>1269013.48</v>
      </c>
    </row>
    <row r="40" ht="18" customHeight="1" spans="1:8">
      <c r="A40" s="21" t="s">
        <v>83</v>
      </c>
      <c r="B40" s="15" t="s">
        <v>84</v>
      </c>
      <c r="C40" s="17">
        <v>0</v>
      </c>
      <c r="D40" s="17">
        <v>0</v>
      </c>
      <c r="E40" s="18">
        <f t="shared" si="2"/>
        <v>0</v>
      </c>
      <c r="F40" s="17">
        <v>0</v>
      </c>
      <c r="G40" s="17">
        <v>0</v>
      </c>
      <c r="H40" s="17">
        <f t="shared" si="3"/>
        <v>0</v>
      </c>
    </row>
    <row r="41" ht="18" customHeight="1" spans="1:8">
      <c r="A41" s="21" t="s">
        <v>85</v>
      </c>
      <c r="B41" s="15" t="s">
        <v>86</v>
      </c>
      <c r="C41" s="17">
        <v>0</v>
      </c>
      <c r="D41" s="17">
        <v>0</v>
      </c>
      <c r="E41" s="18">
        <f t="shared" si="2"/>
        <v>0</v>
      </c>
      <c r="F41" s="17">
        <v>0</v>
      </c>
      <c r="G41" s="17">
        <v>0</v>
      </c>
      <c r="H41" s="17">
        <f t="shared" si="3"/>
        <v>0</v>
      </c>
    </row>
    <row r="42" ht="18" customHeight="1" spans="1:8">
      <c r="A42" s="21" t="s">
        <v>87</v>
      </c>
      <c r="B42" s="15" t="s">
        <v>88</v>
      </c>
      <c r="C42" s="17">
        <v>175053.14</v>
      </c>
      <c r="D42" s="17">
        <v>0</v>
      </c>
      <c r="E42" s="18">
        <f t="shared" si="2"/>
        <v>175053.14</v>
      </c>
      <c r="F42" s="17">
        <v>175053.14</v>
      </c>
      <c r="G42" s="17">
        <v>0</v>
      </c>
      <c r="H42" s="17">
        <f t="shared" si="3"/>
        <v>175053.14</v>
      </c>
    </row>
    <row r="43" ht="18" customHeight="1" spans="1:8">
      <c r="A43" s="21" t="s">
        <v>89</v>
      </c>
      <c r="B43" s="15" t="s">
        <v>90</v>
      </c>
      <c r="C43" s="17">
        <v>-2904.19</v>
      </c>
      <c r="D43" s="17">
        <v>666373.76</v>
      </c>
      <c r="E43" s="18">
        <f t="shared" si="2"/>
        <v>663469.57</v>
      </c>
      <c r="F43" s="17">
        <v>663469.57</v>
      </c>
      <c r="G43" s="17">
        <v>0</v>
      </c>
      <c r="H43" s="17">
        <f t="shared" si="3"/>
        <v>663469.57</v>
      </c>
    </row>
    <row r="44" ht="18" customHeight="1" spans="1:8">
      <c r="A44" s="21" t="s">
        <v>91</v>
      </c>
      <c r="B44" s="15" t="s">
        <v>92</v>
      </c>
      <c r="C44" s="17">
        <v>0</v>
      </c>
      <c r="D44" s="17">
        <v>0</v>
      </c>
      <c r="E44" s="18">
        <f t="shared" si="2"/>
        <v>0</v>
      </c>
      <c r="F44" s="17">
        <v>0</v>
      </c>
      <c r="G44" s="17">
        <v>0</v>
      </c>
      <c r="H44" s="17">
        <f t="shared" si="3"/>
        <v>0</v>
      </c>
    </row>
    <row r="45" ht="18" customHeight="1" spans="1:8">
      <c r="A45" s="21" t="s">
        <v>93</v>
      </c>
      <c r="B45" s="15" t="s">
        <v>94</v>
      </c>
      <c r="C45" s="17">
        <v>-30000</v>
      </c>
      <c r="D45" s="17">
        <v>0</v>
      </c>
      <c r="E45" s="18">
        <f t="shared" si="2"/>
        <v>-30000</v>
      </c>
      <c r="F45" s="17">
        <v>0</v>
      </c>
      <c r="G45" s="17">
        <v>0</v>
      </c>
      <c r="H45" s="17">
        <f t="shared" si="3"/>
        <v>0</v>
      </c>
    </row>
    <row r="46" ht="18" customHeight="1" spans="1:8">
      <c r="A46" s="21" t="s">
        <v>95</v>
      </c>
      <c r="B46" s="16" t="s">
        <v>96</v>
      </c>
      <c r="C46" s="17">
        <v>-15985.8</v>
      </c>
      <c r="D46" s="17">
        <v>227343.64</v>
      </c>
      <c r="E46" s="18">
        <f t="shared" si="2"/>
        <v>211357.84</v>
      </c>
      <c r="F46" s="17">
        <v>228718.84</v>
      </c>
      <c r="G46" s="17">
        <v>0</v>
      </c>
      <c r="H46" s="17">
        <f t="shared" si="3"/>
        <v>228718.84</v>
      </c>
    </row>
    <row r="47" ht="18" customHeight="1" spans="1:8">
      <c r="A47" s="21" t="s">
        <v>97</v>
      </c>
      <c r="B47" s="15" t="s">
        <v>98</v>
      </c>
      <c r="C47" s="17">
        <v>0</v>
      </c>
      <c r="D47" s="17">
        <v>0</v>
      </c>
      <c r="E47" s="18">
        <f t="shared" si="2"/>
        <v>0</v>
      </c>
      <c r="F47" s="17">
        <v>0</v>
      </c>
      <c r="G47" s="17">
        <v>0</v>
      </c>
      <c r="H47" s="17">
        <f t="shared" si="3"/>
        <v>0</v>
      </c>
    </row>
    <row r="48" ht="18" customHeight="1" spans="1:8">
      <c r="A48" s="21" t="s">
        <v>99</v>
      </c>
      <c r="B48" s="15" t="s">
        <v>100</v>
      </c>
      <c r="C48" s="17">
        <v>0</v>
      </c>
      <c r="D48" s="17">
        <v>0</v>
      </c>
      <c r="E48" s="18">
        <f t="shared" si="2"/>
        <v>0</v>
      </c>
      <c r="F48" s="17">
        <v>0</v>
      </c>
      <c r="G48" s="17">
        <v>0</v>
      </c>
      <c r="H48" s="17">
        <f t="shared" si="3"/>
        <v>0</v>
      </c>
    </row>
    <row r="49" ht="18" customHeight="1" spans="1:8">
      <c r="A49" s="21" t="s">
        <v>101</v>
      </c>
      <c r="B49" s="15" t="s">
        <v>102</v>
      </c>
      <c r="C49" s="17">
        <v>-1619.19</v>
      </c>
      <c r="D49" s="17">
        <v>0</v>
      </c>
      <c r="E49" s="18">
        <f t="shared" si="2"/>
        <v>-1619.19</v>
      </c>
      <c r="F49" s="17">
        <v>0</v>
      </c>
      <c r="G49" s="17">
        <v>0</v>
      </c>
      <c r="H49" s="17">
        <f t="shared" si="3"/>
        <v>0</v>
      </c>
    </row>
    <row r="50" ht="18" customHeight="1" spans="1:8">
      <c r="A50" s="21" t="s">
        <v>103</v>
      </c>
      <c r="B50" s="15" t="s">
        <v>104</v>
      </c>
      <c r="C50" s="17">
        <v>0</v>
      </c>
      <c r="D50" s="17">
        <v>0</v>
      </c>
      <c r="E50" s="18">
        <f t="shared" si="2"/>
        <v>0</v>
      </c>
      <c r="F50" s="17">
        <v>0</v>
      </c>
      <c r="G50" s="17">
        <v>0</v>
      </c>
      <c r="H50" s="17">
        <f t="shared" si="3"/>
        <v>0</v>
      </c>
    </row>
    <row r="51" ht="18" customHeight="1" spans="1:8">
      <c r="A51" s="21" t="s">
        <v>105</v>
      </c>
      <c r="B51" s="15" t="s">
        <v>106</v>
      </c>
      <c r="C51" s="17">
        <v>221318.85</v>
      </c>
      <c r="D51" s="17">
        <v>40269.63</v>
      </c>
      <c r="E51" s="18">
        <f t="shared" si="2"/>
        <v>261588.48</v>
      </c>
      <c r="F51" s="17">
        <v>83921.16</v>
      </c>
      <c r="G51" s="17">
        <v>0</v>
      </c>
      <c r="H51" s="17">
        <f t="shared" si="3"/>
        <v>83921.16</v>
      </c>
    </row>
    <row r="52" ht="18" customHeight="1" spans="1:8">
      <c r="A52" s="21" t="s">
        <v>107</v>
      </c>
      <c r="B52" s="16" t="s">
        <v>108</v>
      </c>
      <c r="C52" s="17">
        <v>0</v>
      </c>
      <c r="D52" s="17">
        <v>258442.95</v>
      </c>
      <c r="E52" s="18">
        <f t="shared" si="2"/>
        <v>258442.95</v>
      </c>
      <c r="F52" s="17">
        <v>284273.62</v>
      </c>
      <c r="G52" s="17">
        <v>0</v>
      </c>
      <c r="H52" s="17">
        <f t="shared" si="3"/>
        <v>284273.62</v>
      </c>
    </row>
    <row r="53" ht="18" customHeight="1" spans="1:8">
      <c r="A53" s="21" t="s">
        <v>109</v>
      </c>
      <c r="B53" s="15" t="s">
        <v>110</v>
      </c>
      <c r="C53" s="17">
        <v>0</v>
      </c>
      <c r="D53" s="17">
        <v>0</v>
      </c>
      <c r="E53" s="18">
        <f t="shared" si="2"/>
        <v>0</v>
      </c>
      <c r="F53" s="17">
        <v>0</v>
      </c>
      <c r="G53" s="17">
        <v>0</v>
      </c>
      <c r="H53" s="17">
        <f t="shared" si="3"/>
        <v>0</v>
      </c>
    </row>
    <row r="54" ht="18" customHeight="1" spans="1:8">
      <c r="A54" s="21" t="s">
        <v>111</v>
      </c>
      <c r="B54" s="15" t="s">
        <v>112</v>
      </c>
      <c r="C54" s="17">
        <v>56992.07</v>
      </c>
      <c r="D54" s="17">
        <v>0</v>
      </c>
      <c r="E54" s="18">
        <f t="shared" si="2"/>
        <v>56992.07</v>
      </c>
      <c r="F54" s="17">
        <v>56992.07</v>
      </c>
      <c r="G54" s="17">
        <v>0</v>
      </c>
      <c r="H54" s="17">
        <f t="shared" si="3"/>
        <v>56992.07</v>
      </c>
    </row>
    <row r="55" ht="18" customHeight="1" spans="1:8">
      <c r="A55" s="21" t="s">
        <v>113</v>
      </c>
      <c r="B55" s="15" t="s">
        <v>114</v>
      </c>
      <c r="C55" s="17">
        <v>0</v>
      </c>
      <c r="D55" s="17">
        <v>33492.2</v>
      </c>
      <c r="E55" s="18">
        <f t="shared" si="2"/>
        <v>33492.2</v>
      </c>
      <c r="F55" s="17">
        <v>33492.2</v>
      </c>
      <c r="G55" s="17">
        <v>0</v>
      </c>
      <c r="H55" s="17">
        <f t="shared" si="3"/>
        <v>33492.2</v>
      </c>
    </row>
    <row r="56" ht="18" customHeight="1" spans="1:8">
      <c r="A56" s="21" t="s">
        <v>115</v>
      </c>
      <c r="B56" s="15" t="s">
        <v>116</v>
      </c>
      <c r="C56" s="17">
        <v>113832.51</v>
      </c>
      <c r="D56" s="17">
        <v>8811.6</v>
      </c>
      <c r="E56" s="18">
        <f t="shared" si="2"/>
        <v>122644.11</v>
      </c>
      <c r="F56" s="17">
        <v>122470.31</v>
      </c>
      <c r="G56" s="17">
        <v>0</v>
      </c>
      <c r="H56" s="17">
        <f t="shared" si="3"/>
        <v>122470.31</v>
      </c>
    </row>
    <row r="57" ht="18" customHeight="1" spans="1:8">
      <c r="A57" s="35" t="s">
        <v>117</v>
      </c>
      <c r="B57" s="16" t="s">
        <v>118</v>
      </c>
      <c r="C57" s="17">
        <v>0</v>
      </c>
      <c r="D57" s="17">
        <v>0</v>
      </c>
      <c r="E57" s="18">
        <f t="shared" si="2"/>
        <v>0</v>
      </c>
      <c r="F57" s="17">
        <v>0</v>
      </c>
      <c r="G57" s="17">
        <v>0</v>
      </c>
      <c r="H57" s="17">
        <f t="shared" si="3"/>
        <v>0</v>
      </c>
    </row>
    <row r="58" ht="18" customHeight="1" spans="1:8">
      <c r="A58" s="16" t="s">
        <v>119</v>
      </c>
      <c r="B58" s="16" t="s">
        <v>120</v>
      </c>
      <c r="C58" s="17">
        <v>0</v>
      </c>
      <c r="D58" s="17">
        <v>177321</v>
      </c>
      <c r="E58" s="18">
        <f t="shared" si="2"/>
        <v>177321</v>
      </c>
      <c r="F58" s="17">
        <v>170171.4</v>
      </c>
      <c r="G58" s="17">
        <v>0</v>
      </c>
      <c r="H58" s="17">
        <f t="shared" si="3"/>
        <v>170171.4</v>
      </c>
    </row>
    <row r="59" ht="18" customHeight="1" spans="1:8">
      <c r="A59" s="21" t="s">
        <v>121</v>
      </c>
      <c r="B59" s="15" t="s">
        <v>122</v>
      </c>
      <c r="C59" s="17">
        <v>0</v>
      </c>
      <c r="D59" s="17">
        <v>0</v>
      </c>
      <c r="E59" s="18">
        <f t="shared" si="2"/>
        <v>0</v>
      </c>
      <c r="F59" s="17">
        <v>0</v>
      </c>
      <c r="G59" s="17">
        <v>0</v>
      </c>
      <c r="H59" s="17">
        <f t="shared" si="3"/>
        <v>0</v>
      </c>
    </row>
    <row r="60" ht="18" customHeight="1" spans="1:8">
      <c r="A60" s="21" t="s">
        <v>123</v>
      </c>
      <c r="B60" s="15" t="s">
        <v>124</v>
      </c>
      <c r="C60" s="17">
        <v>0</v>
      </c>
      <c r="D60" s="17">
        <v>0</v>
      </c>
      <c r="E60" s="18">
        <f t="shared" si="2"/>
        <v>0</v>
      </c>
      <c r="F60" s="17">
        <v>0</v>
      </c>
      <c r="G60" s="17">
        <v>0</v>
      </c>
      <c r="H60" s="17">
        <f t="shared" si="3"/>
        <v>0</v>
      </c>
    </row>
    <row r="61" ht="18" customHeight="1" spans="1:8">
      <c r="A61" s="21" t="s">
        <v>125</v>
      </c>
      <c r="B61" s="15" t="s">
        <v>126</v>
      </c>
      <c r="C61" s="17">
        <v>36200.12</v>
      </c>
      <c r="D61" s="17">
        <v>0</v>
      </c>
      <c r="E61" s="18">
        <f t="shared" si="2"/>
        <v>36200.12</v>
      </c>
      <c r="F61" s="17">
        <v>66255.63</v>
      </c>
      <c r="G61" s="17">
        <v>0</v>
      </c>
      <c r="H61" s="17">
        <f t="shared" si="3"/>
        <v>66255.63</v>
      </c>
    </row>
    <row r="62" ht="18" customHeight="1" spans="1:8">
      <c r="A62" s="21" t="s">
        <v>127</v>
      </c>
      <c r="B62" s="15" t="s">
        <v>128</v>
      </c>
      <c r="C62" s="17">
        <v>45261.49</v>
      </c>
      <c r="D62" s="17">
        <v>0</v>
      </c>
      <c r="E62" s="18">
        <f t="shared" si="2"/>
        <v>45261.49</v>
      </c>
      <c r="F62" s="17">
        <v>45261.49</v>
      </c>
      <c r="G62" s="17">
        <v>0</v>
      </c>
      <c r="H62" s="17">
        <f t="shared" si="3"/>
        <v>45261.49</v>
      </c>
    </row>
    <row r="63" ht="18" customHeight="1" spans="1:8">
      <c r="A63" s="24" t="s">
        <v>129</v>
      </c>
      <c r="B63" s="24" t="s">
        <v>130</v>
      </c>
      <c r="C63" s="17">
        <v>568469</v>
      </c>
      <c r="D63" s="17">
        <v>0</v>
      </c>
      <c r="E63" s="18">
        <f t="shared" si="2"/>
        <v>568469</v>
      </c>
      <c r="F63" s="17">
        <v>568469</v>
      </c>
      <c r="G63" s="17"/>
      <c r="H63" s="17">
        <f t="shared" si="3"/>
        <v>568469</v>
      </c>
    </row>
    <row r="64" ht="18" customHeight="1" spans="1:8">
      <c r="A64" s="24" t="s">
        <v>131</v>
      </c>
      <c r="B64" s="24" t="s">
        <v>132</v>
      </c>
      <c r="C64" s="17">
        <v>92052.3</v>
      </c>
      <c r="D64" s="17">
        <v>0</v>
      </c>
      <c r="E64" s="18">
        <f t="shared" si="2"/>
        <v>92052.3</v>
      </c>
      <c r="F64" s="17">
        <v>92052.3</v>
      </c>
      <c r="G64" s="17"/>
      <c r="H64" s="17">
        <f t="shared" si="3"/>
        <v>92052.3</v>
      </c>
    </row>
    <row r="65" ht="18" customHeight="1" spans="1:8">
      <c r="A65" s="21" t="s">
        <v>133</v>
      </c>
      <c r="B65" s="15" t="s">
        <v>134</v>
      </c>
      <c r="C65" s="17">
        <v>0</v>
      </c>
      <c r="D65" s="17">
        <v>0</v>
      </c>
      <c r="E65" s="18">
        <f t="shared" ref="E65:E78" si="4">SUM(C65:D65)</f>
        <v>0</v>
      </c>
      <c r="F65" s="17">
        <v>0</v>
      </c>
      <c r="G65" s="17">
        <v>0</v>
      </c>
      <c r="H65" s="17">
        <f t="shared" ref="H65:H77" si="5">+F65-G65</f>
        <v>0</v>
      </c>
    </row>
    <row r="66" ht="18" customHeight="1" spans="1:8">
      <c r="A66" s="21" t="s">
        <v>135</v>
      </c>
      <c r="B66" s="15" t="s">
        <v>136</v>
      </c>
      <c r="C66" s="17">
        <v>0</v>
      </c>
      <c r="D66" s="17">
        <v>0</v>
      </c>
      <c r="E66" s="18">
        <f t="shared" si="4"/>
        <v>0</v>
      </c>
      <c r="F66" s="17">
        <v>0</v>
      </c>
      <c r="G66" s="17">
        <v>0</v>
      </c>
      <c r="H66" s="17">
        <f t="shared" si="5"/>
        <v>0</v>
      </c>
    </row>
    <row r="67" ht="18" customHeight="1" spans="1:8">
      <c r="A67" s="21" t="s">
        <v>137</v>
      </c>
      <c r="B67" s="15" t="s">
        <v>138</v>
      </c>
      <c r="C67" s="17">
        <v>0</v>
      </c>
      <c r="D67" s="17">
        <v>0</v>
      </c>
      <c r="E67" s="18">
        <f t="shared" si="4"/>
        <v>0</v>
      </c>
      <c r="F67" s="17">
        <v>0</v>
      </c>
      <c r="G67" s="17">
        <v>0</v>
      </c>
      <c r="H67" s="17">
        <f t="shared" si="5"/>
        <v>0</v>
      </c>
    </row>
    <row r="68" ht="18" customHeight="1" spans="1:8">
      <c r="A68" s="21" t="s">
        <v>139</v>
      </c>
      <c r="B68" s="15" t="s">
        <v>140</v>
      </c>
      <c r="C68" s="17">
        <v>0</v>
      </c>
      <c r="D68" s="17">
        <v>0</v>
      </c>
      <c r="E68" s="18">
        <f t="shared" si="4"/>
        <v>0</v>
      </c>
      <c r="F68" s="17">
        <v>0</v>
      </c>
      <c r="G68" s="17">
        <v>0</v>
      </c>
      <c r="H68" s="17">
        <f t="shared" si="5"/>
        <v>0</v>
      </c>
    </row>
    <row r="69" ht="18" customHeight="1" spans="1:8">
      <c r="A69" s="21" t="s">
        <v>141</v>
      </c>
      <c r="B69" s="15" t="s">
        <v>142</v>
      </c>
      <c r="C69" s="17">
        <v>86022</v>
      </c>
      <c r="D69" s="17">
        <v>0</v>
      </c>
      <c r="E69" s="18">
        <f t="shared" si="4"/>
        <v>86022</v>
      </c>
      <c r="F69" s="17">
        <v>86022</v>
      </c>
      <c r="G69" s="17">
        <v>0</v>
      </c>
      <c r="H69" s="17">
        <f t="shared" si="5"/>
        <v>86022</v>
      </c>
    </row>
    <row r="70" ht="18" customHeight="1" spans="1:8">
      <c r="A70" s="21" t="s">
        <v>143</v>
      </c>
      <c r="B70" s="15" t="s">
        <v>144</v>
      </c>
      <c r="C70" s="17">
        <v>0</v>
      </c>
      <c r="D70" s="17">
        <v>0</v>
      </c>
      <c r="E70" s="18">
        <f t="shared" si="4"/>
        <v>0</v>
      </c>
      <c r="F70" s="17">
        <v>0</v>
      </c>
      <c r="G70" s="17">
        <v>0</v>
      </c>
      <c r="H70" s="17">
        <f t="shared" si="5"/>
        <v>0</v>
      </c>
    </row>
    <row r="71" ht="18" customHeight="1" spans="1:8">
      <c r="A71" s="21" t="s">
        <v>145</v>
      </c>
      <c r="B71" s="15" t="s">
        <v>146</v>
      </c>
      <c r="C71" s="17">
        <v>8546.19</v>
      </c>
      <c r="D71" s="17">
        <v>292726.26</v>
      </c>
      <c r="E71" s="18">
        <f t="shared" si="4"/>
        <v>301272.45</v>
      </c>
      <c r="F71" s="17">
        <v>301272.45</v>
      </c>
      <c r="G71" s="17">
        <v>0</v>
      </c>
      <c r="H71" s="17">
        <f t="shared" si="5"/>
        <v>301272.45</v>
      </c>
    </row>
    <row r="72" ht="18" customHeight="1" spans="1:8">
      <c r="A72" s="21" t="s">
        <v>147</v>
      </c>
      <c r="B72" s="15" t="s">
        <v>148</v>
      </c>
      <c r="C72" s="17">
        <v>-13733.95</v>
      </c>
      <c r="D72" s="17">
        <v>25150.7</v>
      </c>
      <c r="E72" s="18">
        <f t="shared" si="4"/>
        <v>11416.75</v>
      </c>
      <c r="F72" s="17">
        <v>98990.47</v>
      </c>
      <c r="G72" s="17">
        <v>0</v>
      </c>
      <c r="H72" s="17">
        <f t="shared" si="5"/>
        <v>98990.47</v>
      </c>
    </row>
    <row r="73" ht="18" customHeight="1" spans="1:8">
      <c r="A73" s="36" t="s">
        <v>149</v>
      </c>
      <c r="B73" s="15" t="s">
        <v>150</v>
      </c>
      <c r="C73" s="17">
        <v>0</v>
      </c>
      <c r="D73" s="17">
        <v>213402.66</v>
      </c>
      <c r="E73" s="18">
        <f t="shared" si="4"/>
        <v>213402.66</v>
      </c>
      <c r="F73" s="17">
        <v>213402.66</v>
      </c>
      <c r="G73" s="17">
        <v>0</v>
      </c>
      <c r="H73" s="17">
        <f t="shared" si="5"/>
        <v>213402.66</v>
      </c>
    </row>
    <row r="74" ht="18" customHeight="1" spans="1:8">
      <c r="A74" s="36" t="s">
        <v>151</v>
      </c>
      <c r="B74" s="15" t="s">
        <v>152</v>
      </c>
      <c r="C74" s="17">
        <v>627027.5</v>
      </c>
      <c r="D74" s="17">
        <v>0</v>
      </c>
      <c r="E74" s="18">
        <f t="shared" si="4"/>
        <v>627027.5</v>
      </c>
      <c r="F74" s="17">
        <v>621582.5</v>
      </c>
      <c r="G74" s="17">
        <v>0</v>
      </c>
      <c r="H74" s="17">
        <f t="shared" si="5"/>
        <v>621582.5</v>
      </c>
    </row>
    <row r="75" ht="18" customHeight="1" spans="1:8">
      <c r="A75" s="21" t="s">
        <v>153</v>
      </c>
      <c r="B75" s="15" t="s">
        <v>154</v>
      </c>
      <c r="C75" s="17">
        <v>25978.42</v>
      </c>
      <c r="D75" s="17">
        <v>191433.34</v>
      </c>
      <c r="E75" s="18">
        <f t="shared" si="4"/>
        <v>217411.76</v>
      </c>
      <c r="F75" s="17">
        <v>217411.76</v>
      </c>
      <c r="G75" s="17">
        <v>0</v>
      </c>
      <c r="H75" s="17">
        <f t="shared" si="5"/>
        <v>217411.76</v>
      </c>
    </row>
    <row r="76" ht="18" customHeight="1" spans="1:8">
      <c r="A76" s="21" t="s">
        <v>155</v>
      </c>
      <c r="B76" s="15" t="s">
        <v>156</v>
      </c>
      <c r="C76" s="17">
        <v>-3747.98</v>
      </c>
      <c r="D76" s="17">
        <v>123230.16</v>
      </c>
      <c r="E76" s="18">
        <f t="shared" si="4"/>
        <v>119482.18</v>
      </c>
      <c r="F76" s="17">
        <v>123253.76</v>
      </c>
      <c r="G76" s="17">
        <v>0</v>
      </c>
      <c r="H76" s="17">
        <f t="shared" si="5"/>
        <v>123253.76</v>
      </c>
    </row>
    <row r="77" spans="1:8">
      <c r="A77" s="21" t="s">
        <v>157</v>
      </c>
      <c r="B77" s="15" t="s">
        <v>158</v>
      </c>
      <c r="C77" s="17">
        <v>0</v>
      </c>
      <c r="D77" s="17">
        <v>0</v>
      </c>
      <c r="E77" s="18">
        <f t="shared" si="4"/>
        <v>0</v>
      </c>
      <c r="F77" s="17">
        <v>0</v>
      </c>
      <c r="G77" s="17">
        <v>0</v>
      </c>
      <c r="H77" s="17">
        <f t="shared" si="5"/>
        <v>0</v>
      </c>
    </row>
    <row r="78" s="32" customFormat="1" ht="24" customHeight="1" spans="1:8">
      <c r="A78" s="37" t="s">
        <v>159</v>
      </c>
      <c r="B78" s="38"/>
      <c r="C78" s="39">
        <f t="shared" ref="C78:H78" si="6">SUM(C4:C77)</f>
        <v>9894326.71</v>
      </c>
      <c r="D78" s="39">
        <f t="shared" si="6"/>
        <v>2815160.37</v>
      </c>
      <c r="E78" s="40">
        <f t="shared" si="6"/>
        <v>12709487.08</v>
      </c>
      <c r="F78" s="39">
        <f t="shared" si="6"/>
        <v>13064910.59</v>
      </c>
      <c r="G78" s="39">
        <f t="shared" si="6"/>
        <v>0</v>
      </c>
      <c r="H78" s="39">
        <f t="shared" si="6"/>
        <v>13064910.59</v>
      </c>
    </row>
  </sheetData>
  <mergeCells count="5">
    <mergeCell ref="A1:H1"/>
    <mergeCell ref="B2:E2"/>
    <mergeCell ref="F2:H2"/>
    <mergeCell ref="A78:B78"/>
    <mergeCell ref="A2:A3"/>
  </mergeCell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78"/>
  <sheetViews>
    <sheetView zoomScaleSheetLayoutView="60" workbookViewId="0">
      <pane ySplit="2" topLeftCell="A62" activePane="bottomLeft" state="frozen"/>
      <selection/>
      <selection pane="bottomLeft" activeCell="F87" sqref="F87"/>
    </sheetView>
  </sheetViews>
  <sheetFormatPr defaultColWidth="13.6666666666667" defaultRowHeight="12.75" outlineLevelCol="7"/>
  <cols>
    <col min="1" max="1" width="12.6666666666667" customWidth="1"/>
    <col min="2" max="2" width="37.3333333333333"/>
    <col min="3" max="4" width="17.4285714285714" customWidth="1"/>
    <col min="5" max="6" width="18.5714285714286" customWidth="1"/>
    <col min="7" max="7" width="14" style="3" customWidth="1"/>
    <col min="8" max="8" width="17.2857142857143" customWidth="1"/>
  </cols>
  <sheetData>
    <row r="1" ht="28.5" customHeight="1" spans="1:8">
      <c r="A1" s="4" t="s">
        <v>160</v>
      </c>
      <c r="B1" s="4"/>
      <c r="C1" s="4"/>
      <c r="D1" s="4"/>
      <c r="E1" s="4"/>
      <c r="F1" s="4"/>
      <c r="G1" s="5"/>
      <c r="H1" s="4"/>
    </row>
    <row r="2" ht="20" customHeight="1" spans="1:8">
      <c r="A2" s="6" t="s">
        <v>1</v>
      </c>
      <c r="B2" s="7" t="s">
        <v>2</v>
      </c>
      <c r="C2" s="7"/>
      <c r="D2" s="7"/>
      <c r="E2" s="7"/>
      <c r="F2" s="6" t="s">
        <v>3</v>
      </c>
      <c r="G2" s="8"/>
      <c r="H2" s="9"/>
    </row>
    <row r="3" s="1" customFormat="1" ht="22.5" spans="1:8">
      <c r="A3" s="10"/>
      <c r="B3" s="11" t="s">
        <v>4</v>
      </c>
      <c r="C3" s="10" t="s">
        <v>5</v>
      </c>
      <c r="D3" s="12" t="s">
        <v>6</v>
      </c>
      <c r="E3" s="11" t="s">
        <v>7</v>
      </c>
      <c r="F3" s="10" t="s">
        <v>8</v>
      </c>
      <c r="G3" s="13" t="s">
        <v>161</v>
      </c>
      <c r="H3" s="14" t="s">
        <v>10</v>
      </c>
    </row>
    <row r="4" ht="18" customHeight="1" spans="1:8">
      <c r="A4" s="15" t="s">
        <v>11</v>
      </c>
      <c r="B4" s="16" t="s">
        <v>12</v>
      </c>
      <c r="C4" s="17">
        <v>0</v>
      </c>
      <c r="D4" s="17">
        <v>0</v>
      </c>
      <c r="E4" s="18">
        <f>D4+C4</f>
        <v>0</v>
      </c>
      <c r="F4" s="17">
        <v>0</v>
      </c>
      <c r="G4" s="19">
        <v>0</v>
      </c>
      <c r="H4" s="20">
        <f>+F4-G4</f>
        <v>0</v>
      </c>
    </row>
    <row r="5" ht="18" customHeight="1" spans="1:8">
      <c r="A5" s="21" t="s">
        <v>13</v>
      </c>
      <c r="B5" s="16" t="s">
        <v>14</v>
      </c>
      <c r="C5" s="17">
        <v>0</v>
      </c>
      <c r="D5" s="17">
        <v>0</v>
      </c>
      <c r="E5" s="18">
        <f t="shared" ref="E5:E36" si="0">D5+C5</f>
        <v>0</v>
      </c>
      <c r="F5" s="17">
        <v>0</v>
      </c>
      <c r="G5" s="19">
        <v>0</v>
      </c>
      <c r="H5" s="20">
        <f t="shared" ref="H5:H36" si="1">+F5-G5</f>
        <v>0</v>
      </c>
    </row>
    <row r="6" ht="18" customHeight="1" spans="1:8">
      <c r="A6" s="16" t="s">
        <v>15</v>
      </c>
      <c r="B6" s="16" t="s">
        <v>16</v>
      </c>
      <c r="C6" s="22">
        <v>0</v>
      </c>
      <c r="D6" s="17">
        <v>0</v>
      </c>
      <c r="E6" s="18">
        <f t="shared" si="0"/>
        <v>0</v>
      </c>
      <c r="F6" s="17">
        <v>0</v>
      </c>
      <c r="G6" s="19">
        <v>0</v>
      </c>
      <c r="H6" s="20">
        <f t="shared" si="1"/>
        <v>0</v>
      </c>
    </row>
    <row r="7" ht="18" customHeight="1" spans="1:8">
      <c r="A7" s="15" t="s">
        <v>17</v>
      </c>
      <c r="B7" s="15" t="s">
        <v>18</v>
      </c>
      <c r="C7" s="17">
        <v>0</v>
      </c>
      <c r="D7" s="17">
        <v>2229927.33</v>
      </c>
      <c r="E7" s="18">
        <f t="shared" si="0"/>
        <v>2229927.33</v>
      </c>
      <c r="F7" s="17">
        <v>4758809.48</v>
      </c>
      <c r="G7" s="19">
        <v>0</v>
      </c>
      <c r="H7" s="20">
        <f t="shared" si="1"/>
        <v>4758809.48</v>
      </c>
    </row>
    <row r="8" ht="18" customHeight="1" spans="1:8">
      <c r="A8" s="15" t="s">
        <v>19</v>
      </c>
      <c r="B8" s="15" t="s">
        <v>20</v>
      </c>
      <c r="C8" s="17">
        <v>544680.14</v>
      </c>
      <c r="D8" s="17">
        <v>1487194.45</v>
      </c>
      <c r="E8" s="18">
        <f t="shared" si="0"/>
        <v>2031874.59</v>
      </c>
      <c r="F8" s="17">
        <v>4430236.17</v>
      </c>
      <c r="G8" s="19">
        <v>0</v>
      </c>
      <c r="H8" s="20">
        <f t="shared" si="1"/>
        <v>4430236.17</v>
      </c>
    </row>
    <row r="9" ht="18" customHeight="1" spans="1:8">
      <c r="A9" s="15" t="s">
        <v>21</v>
      </c>
      <c r="B9" s="15" t="s">
        <v>22</v>
      </c>
      <c r="C9" s="17">
        <v>447882.86</v>
      </c>
      <c r="D9" s="17">
        <v>0</v>
      </c>
      <c r="E9" s="18">
        <f t="shared" si="0"/>
        <v>447882.86</v>
      </c>
      <c r="F9" s="17">
        <v>535706.4</v>
      </c>
      <c r="G9" s="19">
        <v>0</v>
      </c>
      <c r="H9" s="20">
        <f t="shared" si="1"/>
        <v>535706.4</v>
      </c>
    </row>
    <row r="10" ht="18" customHeight="1" spans="1:8">
      <c r="A10" s="15" t="s">
        <v>23</v>
      </c>
      <c r="B10" s="15" t="s">
        <v>24</v>
      </c>
      <c r="C10" s="17">
        <v>31463.32</v>
      </c>
      <c r="D10" s="17">
        <v>1234317.71</v>
      </c>
      <c r="E10" s="18">
        <f t="shared" si="0"/>
        <v>1265781.03</v>
      </c>
      <c r="F10" s="17">
        <v>3320996.44</v>
      </c>
      <c r="G10" s="19">
        <v>0</v>
      </c>
      <c r="H10" s="20">
        <f t="shared" si="1"/>
        <v>3320996.44</v>
      </c>
    </row>
    <row r="11" ht="18" customHeight="1" spans="1:8">
      <c r="A11" s="15" t="s">
        <v>25</v>
      </c>
      <c r="B11" s="15" t="s">
        <v>26</v>
      </c>
      <c r="C11" s="17">
        <v>0</v>
      </c>
      <c r="D11" s="17">
        <v>3056388.83</v>
      </c>
      <c r="E11" s="18">
        <f t="shared" si="0"/>
        <v>3056388.83</v>
      </c>
      <c r="F11" s="17">
        <v>6743262.68</v>
      </c>
      <c r="G11" s="19">
        <v>0</v>
      </c>
      <c r="H11" s="20">
        <f t="shared" si="1"/>
        <v>6743262.68</v>
      </c>
    </row>
    <row r="12" ht="18" customHeight="1" spans="1:8">
      <c r="A12" s="15" t="s">
        <v>27</v>
      </c>
      <c r="B12" s="15" t="s">
        <v>28</v>
      </c>
      <c r="C12" s="17">
        <v>0</v>
      </c>
      <c r="D12" s="17">
        <v>2476121.02</v>
      </c>
      <c r="E12" s="18">
        <f t="shared" si="0"/>
        <v>2476121.02</v>
      </c>
      <c r="F12" s="17">
        <v>5463703.35</v>
      </c>
      <c r="G12" s="19">
        <v>0</v>
      </c>
      <c r="H12" s="20">
        <f t="shared" si="1"/>
        <v>5463703.35</v>
      </c>
    </row>
    <row r="13" ht="18" customHeight="1" spans="1:8">
      <c r="A13" s="15" t="s">
        <v>29</v>
      </c>
      <c r="B13" s="15" t="s">
        <v>30</v>
      </c>
      <c r="C13" s="17">
        <v>0</v>
      </c>
      <c r="D13" s="17">
        <v>2168870.08</v>
      </c>
      <c r="E13" s="18">
        <f t="shared" si="0"/>
        <v>2168870.08</v>
      </c>
      <c r="F13" s="17">
        <v>4353836.1</v>
      </c>
      <c r="G13" s="19">
        <v>590777.1</v>
      </c>
      <c r="H13" s="20">
        <f t="shared" si="1"/>
        <v>3763059</v>
      </c>
    </row>
    <row r="14" ht="18" customHeight="1" spans="1:8">
      <c r="A14" s="15" t="s">
        <v>31</v>
      </c>
      <c r="B14" s="15" t="s">
        <v>32</v>
      </c>
      <c r="C14" s="17">
        <v>1663298.74</v>
      </c>
      <c r="D14" s="17">
        <v>0</v>
      </c>
      <c r="E14" s="18">
        <f t="shared" si="0"/>
        <v>1663298.74</v>
      </c>
      <c r="F14" s="17">
        <v>1663298.74</v>
      </c>
      <c r="G14" s="19">
        <v>0</v>
      </c>
      <c r="H14" s="20">
        <f t="shared" si="1"/>
        <v>1663298.74</v>
      </c>
    </row>
    <row r="15" ht="18" customHeight="1" spans="1:8">
      <c r="A15" s="15" t="s">
        <v>33</v>
      </c>
      <c r="B15" s="15" t="s">
        <v>34</v>
      </c>
      <c r="C15" s="17">
        <v>1193684.24</v>
      </c>
      <c r="D15" s="17">
        <v>2244910.65</v>
      </c>
      <c r="E15" s="18">
        <f t="shared" si="0"/>
        <v>3438594.89</v>
      </c>
      <c r="F15" s="17">
        <v>3438594.89</v>
      </c>
      <c r="G15" s="19">
        <v>0</v>
      </c>
      <c r="H15" s="20">
        <f t="shared" si="1"/>
        <v>3438594.89</v>
      </c>
    </row>
    <row r="16" ht="18" customHeight="1" spans="1:8">
      <c r="A16" s="16" t="s">
        <v>35</v>
      </c>
      <c r="B16" s="16" t="s">
        <v>36</v>
      </c>
      <c r="C16" s="22">
        <v>10471755.2</v>
      </c>
      <c r="D16" s="17">
        <v>0</v>
      </c>
      <c r="E16" s="18">
        <f t="shared" si="0"/>
        <v>10471755.2</v>
      </c>
      <c r="F16" s="17">
        <v>10471755.2</v>
      </c>
      <c r="G16" s="19">
        <v>0</v>
      </c>
      <c r="H16" s="20">
        <f t="shared" si="1"/>
        <v>10471755.2</v>
      </c>
    </row>
    <row r="17" ht="18" customHeight="1" spans="1:8">
      <c r="A17" s="15" t="s">
        <v>37</v>
      </c>
      <c r="B17" s="15" t="s">
        <v>38</v>
      </c>
      <c r="C17" s="17">
        <v>12010886.41</v>
      </c>
      <c r="D17" s="17">
        <v>0</v>
      </c>
      <c r="E17" s="18">
        <f t="shared" si="0"/>
        <v>12010886.41</v>
      </c>
      <c r="F17" s="17">
        <v>12010886.41</v>
      </c>
      <c r="G17" s="19">
        <v>0</v>
      </c>
      <c r="H17" s="20">
        <f t="shared" si="1"/>
        <v>12010886.41</v>
      </c>
    </row>
    <row r="18" ht="18" customHeight="1" spans="1:8">
      <c r="A18" s="15" t="s">
        <v>39</v>
      </c>
      <c r="B18" s="15" t="s">
        <v>40</v>
      </c>
      <c r="C18" s="17">
        <v>14942615.48</v>
      </c>
      <c r="D18" s="17">
        <v>0</v>
      </c>
      <c r="E18" s="18">
        <f t="shared" si="0"/>
        <v>14942615.48</v>
      </c>
      <c r="F18" s="17">
        <v>14942615.48</v>
      </c>
      <c r="G18" s="19">
        <v>0</v>
      </c>
      <c r="H18" s="20">
        <f t="shared" si="1"/>
        <v>14942615.48</v>
      </c>
    </row>
    <row r="19" ht="18" customHeight="1" spans="1:8">
      <c r="A19" s="15" t="s">
        <v>41</v>
      </c>
      <c r="B19" s="15" t="s">
        <v>42</v>
      </c>
      <c r="C19" s="17">
        <v>-124964.52</v>
      </c>
      <c r="D19" s="17">
        <v>1764619.9</v>
      </c>
      <c r="E19" s="18">
        <f t="shared" si="0"/>
        <v>1639655.38</v>
      </c>
      <c r="F19" s="17">
        <v>3613833.63</v>
      </c>
      <c r="G19" s="19">
        <v>0</v>
      </c>
      <c r="H19" s="20">
        <f t="shared" si="1"/>
        <v>3613833.63</v>
      </c>
    </row>
    <row r="20" ht="18" customHeight="1" spans="1:8">
      <c r="A20" s="15" t="s">
        <v>43</v>
      </c>
      <c r="B20" s="15" t="s">
        <v>44</v>
      </c>
      <c r="C20" s="17">
        <v>550910.63</v>
      </c>
      <c r="D20" s="17">
        <v>1637764.47</v>
      </c>
      <c r="E20" s="18">
        <f t="shared" si="0"/>
        <v>2188675.1</v>
      </c>
      <c r="F20" s="17">
        <v>2188675.1</v>
      </c>
      <c r="G20" s="19">
        <v>0</v>
      </c>
      <c r="H20" s="20">
        <f t="shared" si="1"/>
        <v>2188675.1</v>
      </c>
    </row>
    <row r="21" ht="18" customHeight="1" spans="1:8">
      <c r="A21" s="15" t="s">
        <v>45</v>
      </c>
      <c r="B21" s="15" t="s">
        <v>46</v>
      </c>
      <c r="C21" s="17">
        <v>1640819.32</v>
      </c>
      <c r="D21" s="17">
        <v>0</v>
      </c>
      <c r="E21" s="18">
        <f t="shared" si="0"/>
        <v>1640819.32</v>
      </c>
      <c r="F21" s="17">
        <v>1640819.32</v>
      </c>
      <c r="G21" s="19">
        <v>0</v>
      </c>
      <c r="H21" s="20">
        <f t="shared" si="1"/>
        <v>1640819.32</v>
      </c>
    </row>
    <row r="22" ht="18" customHeight="1" spans="1:8">
      <c r="A22" s="15" t="s">
        <v>47</v>
      </c>
      <c r="B22" s="15" t="s">
        <v>48</v>
      </c>
      <c r="C22" s="17">
        <v>1383359.01</v>
      </c>
      <c r="D22" s="17">
        <v>0</v>
      </c>
      <c r="E22" s="18">
        <f t="shared" si="0"/>
        <v>1383359.01</v>
      </c>
      <c r="F22" s="17">
        <v>1383359.01</v>
      </c>
      <c r="G22" s="19">
        <v>0</v>
      </c>
      <c r="H22" s="20">
        <f t="shared" si="1"/>
        <v>1383359.01</v>
      </c>
    </row>
    <row r="23" ht="18" customHeight="1" spans="1:8">
      <c r="A23" s="15" t="s">
        <v>49</v>
      </c>
      <c r="B23" s="15" t="s">
        <v>50</v>
      </c>
      <c r="C23" s="17">
        <v>709732.92</v>
      </c>
      <c r="D23" s="17">
        <v>617652.59</v>
      </c>
      <c r="E23" s="18">
        <f t="shared" si="0"/>
        <v>1327385.51</v>
      </c>
      <c r="F23" s="17">
        <v>1327385.51</v>
      </c>
      <c r="G23" s="19">
        <v>0</v>
      </c>
      <c r="H23" s="20">
        <f t="shared" si="1"/>
        <v>1327385.51</v>
      </c>
    </row>
    <row r="24" ht="18" customHeight="1" spans="1:8">
      <c r="A24" s="16" t="s">
        <v>51</v>
      </c>
      <c r="B24" s="16" t="s">
        <v>52</v>
      </c>
      <c r="C24" s="22">
        <f>(4664784.96-60)+822882.85</f>
        <v>5487607.81</v>
      </c>
      <c r="D24" s="17">
        <v>0</v>
      </c>
      <c r="E24" s="18">
        <f t="shared" si="0"/>
        <v>5487607.81</v>
      </c>
      <c r="F24" s="17">
        <v>5482651.81</v>
      </c>
      <c r="G24" s="19">
        <v>0</v>
      </c>
      <c r="H24" s="20">
        <f t="shared" si="1"/>
        <v>5482651.81</v>
      </c>
    </row>
    <row r="25" ht="18" customHeight="1" spans="1:8">
      <c r="A25" s="15" t="s">
        <v>53</v>
      </c>
      <c r="B25" s="15" t="s">
        <v>54</v>
      </c>
      <c r="C25" s="17">
        <v>2454004.54</v>
      </c>
      <c r="D25" s="17">
        <v>0</v>
      </c>
      <c r="E25" s="18">
        <f t="shared" si="0"/>
        <v>2454004.54</v>
      </c>
      <c r="F25" s="17">
        <v>2454004.54</v>
      </c>
      <c r="G25" s="19">
        <v>0</v>
      </c>
      <c r="H25" s="20">
        <f t="shared" si="1"/>
        <v>2454004.54</v>
      </c>
    </row>
    <row r="26" ht="18" customHeight="1" spans="1:8">
      <c r="A26" s="15" t="s">
        <v>55</v>
      </c>
      <c r="B26" s="15" t="s">
        <v>56</v>
      </c>
      <c r="C26" s="23">
        <v>1394606.8</v>
      </c>
      <c r="D26" s="17">
        <v>0</v>
      </c>
      <c r="E26" s="18">
        <f t="shared" si="0"/>
        <v>1394606.8</v>
      </c>
      <c r="F26" s="17">
        <v>1464645.06</v>
      </c>
      <c r="G26" s="19">
        <v>0</v>
      </c>
      <c r="H26" s="20">
        <f t="shared" si="1"/>
        <v>1464645.06</v>
      </c>
    </row>
    <row r="27" ht="18" customHeight="1" spans="1:8">
      <c r="A27" s="15" t="s">
        <v>57</v>
      </c>
      <c r="B27" s="15" t="s">
        <v>58</v>
      </c>
      <c r="C27" s="17">
        <v>1978642.93</v>
      </c>
      <c r="D27" s="17">
        <v>0</v>
      </c>
      <c r="E27" s="18">
        <f t="shared" si="0"/>
        <v>1978642.93</v>
      </c>
      <c r="F27" s="17">
        <v>1978642.93</v>
      </c>
      <c r="G27" s="19">
        <v>0</v>
      </c>
      <c r="H27" s="20">
        <f t="shared" si="1"/>
        <v>1978642.93</v>
      </c>
    </row>
    <row r="28" ht="18" customHeight="1" spans="1:8">
      <c r="A28" s="15" t="s">
        <v>59</v>
      </c>
      <c r="B28" s="15" t="s">
        <v>60</v>
      </c>
      <c r="C28" s="17">
        <v>989789.45</v>
      </c>
      <c r="D28" s="17">
        <v>0</v>
      </c>
      <c r="E28" s="18">
        <f t="shared" si="0"/>
        <v>989789.45</v>
      </c>
      <c r="F28" s="17">
        <v>989789.45</v>
      </c>
      <c r="G28" s="19">
        <v>0</v>
      </c>
      <c r="H28" s="20">
        <f t="shared" si="1"/>
        <v>989789.45</v>
      </c>
    </row>
    <row r="29" ht="18" customHeight="1" spans="1:8">
      <c r="A29" s="15" t="s">
        <v>61</v>
      </c>
      <c r="B29" s="15" t="s">
        <v>62</v>
      </c>
      <c r="C29" s="17">
        <v>1518218.19</v>
      </c>
      <c r="D29" s="17">
        <v>0</v>
      </c>
      <c r="E29" s="18">
        <f t="shared" si="0"/>
        <v>1518218.19</v>
      </c>
      <c r="F29" s="17">
        <v>1448179.93</v>
      </c>
      <c r="G29" s="19">
        <v>0</v>
      </c>
      <c r="H29" s="20">
        <f t="shared" si="1"/>
        <v>1448179.93</v>
      </c>
    </row>
    <row r="30" ht="18" customHeight="1" spans="1:8">
      <c r="A30" s="15" t="s">
        <v>63</v>
      </c>
      <c r="B30" s="15" t="s">
        <v>64</v>
      </c>
      <c r="C30" s="17">
        <v>732705.87</v>
      </c>
      <c r="D30" s="17">
        <v>0</v>
      </c>
      <c r="E30" s="18">
        <f t="shared" si="0"/>
        <v>732705.87</v>
      </c>
      <c r="F30" s="17">
        <v>732705.87</v>
      </c>
      <c r="G30" s="19">
        <v>0</v>
      </c>
      <c r="H30" s="20">
        <f t="shared" si="1"/>
        <v>732705.87</v>
      </c>
    </row>
    <row r="31" ht="18" customHeight="1" spans="1:8">
      <c r="A31" s="15" t="s">
        <v>65</v>
      </c>
      <c r="B31" s="15" t="s">
        <v>66</v>
      </c>
      <c r="C31" s="17">
        <v>1641217.74</v>
      </c>
      <c r="D31" s="17">
        <v>0</v>
      </c>
      <c r="E31" s="18">
        <f t="shared" si="0"/>
        <v>1641217.74</v>
      </c>
      <c r="F31" s="17">
        <v>1641217.74</v>
      </c>
      <c r="G31" s="19">
        <v>0</v>
      </c>
      <c r="H31" s="20">
        <f t="shared" si="1"/>
        <v>1641217.74</v>
      </c>
    </row>
    <row r="32" ht="18" customHeight="1" spans="1:8">
      <c r="A32" s="15" t="s">
        <v>67</v>
      </c>
      <c r="B32" s="15" t="s">
        <v>68</v>
      </c>
      <c r="C32" s="17">
        <v>570786.27</v>
      </c>
      <c r="D32" s="17">
        <v>0</v>
      </c>
      <c r="E32" s="18">
        <f t="shared" si="0"/>
        <v>570786.27</v>
      </c>
      <c r="F32" s="17">
        <v>570786.27</v>
      </c>
      <c r="G32" s="19">
        <v>0</v>
      </c>
      <c r="H32" s="20">
        <f t="shared" si="1"/>
        <v>570786.27</v>
      </c>
    </row>
    <row r="33" ht="18" customHeight="1" spans="1:8">
      <c r="A33" s="15" t="s">
        <v>69</v>
      </c>
      <c r="B33" s="15" t="s">
        <v>70</v>
      </c>
      <c r="C33" s="17">
        <v>1179670.8</v>
      </c>
      <c r="D33" s="17">
        <v>0</v>
      </c>
      <c r="E33" s="18">
        <f t="shared" si="0"/>
        <v>1179670.8</v>
      </c>
      <c r="F33" s="17">
        <v>1179670.8</v>
      </c>
      <c r="G33" s="19">
        <v>0</v>
      </c>
      <c r="H33" s="20">
        <f t="shared" si="1"/>
        <v>1179670.8</v>
      </c>
    </row>
    <row r="34" ht="18" customHeight="1" spans="1:8">
      <c r="A34" s="15" t="s">
        <v>71</v>
      </c>
      <c r="B34" s="15" t="s">
        <v>72</v>
      </c>
      <c r="C34" s="17">
        <v>0</v>
      </c>
      <c r="D34" s="17">
        <v>1533731.12</v>
      </c>
      <c r="E34" s="18">
        <f t="shared" si="0"/>
        <v>1533731.12</v>
      </c>
      <c r="F34" s="17">
        <v>2472636.55</v>
      </c>
      <c r="G34" s="19">
        <v>0</v>
      </c>
      <c r="H34" s="20">
        <f t="shared" si="1"/>
        <v>2472636.55</v>
      </c>
    </row>
    <row r="35" ht="18" customHeight="1" spans="1:8">
      <c r="A35" s="15" t="s">
        <v>73</v>
      </c>
      <c r="B35" s="15" t="s">
        <v>74</v>
      </c>
      <c r="C35" s="17">
        <v>1995197.36</v>
      </c>
      <c r="D35" s="17">
        <v>0</v>
      </c>
      <c r="E35" s="18">
        <f t="shared" si="0"/>
        <v>1995197.36</v>
      </c>
      <c r="F35" s="17">
        <v>1995197.36</v>
      </c>
      <c r="G35" s="19">
        <v>0</v>
      </c>
      <c r="H35" s="20">
        <f t="shared" si="1"/>
        <v>1995197.36</v>
      </c>
    </row>
    <row r="36" ht="18" customHeight="1" spans="1:8">
      <c r="A36" s="15" t="s">
        <v>75</v>
      </c>
      <c r="B36" s="15" t="s">
        <v>76</v>
      </c>
      <c r="C36" s="17">
        <v>697703.08</v>
      </c>
      <c r="D36" s="17">
        <v>277044.91</v>
      </c>
      <c r="E36" s="18">
        <f t="shared" si="0"/>
        <v>974747.99</v>
      </c>
      <c r="F36" s="17">
        <v>974747.99</v>
      </c>
      <c r="G36" s="19">
        <v>0</v>
      </c>
      <c r="H36" s="20">
        <f t="shared" si="1"/>
        <v>974747.99</v>
      </c>
    </row>
    <row r="37" ht="18" customHeight="1" spans="1:8">
      <c r="A37" s="15" t="s">
        <v>77</v>
      </c>
      <c r="B37" s="15" t="s">
        <v>78</v>
      </c>
      <c r="C37" s="17">
        <v>1445400.42</v>
      </c>
      <c r="D37" s="17">
        <v>0</v>
      </c>
      <c r="E37" s="18">
        <f t="shared" ref="E37:E75" si="2">D37+C37</f>
        <v>1445400.42</v>
      </c>
      <c r="F37" s="17">
        <v>1445400.42</v>
      </c>
      <c r="G37" s="19">
        <v>0</v>
      </c>
      <c r="H37" s="20">
        <f t="shared" ref="H37:H75" si="3">+F37-G37</f>
        <v>1445400.42</v>
      </c>
    </row>
    <row r="38" ht="18" customHeight="1" spans="1:8">
      <c r="A38" s="15" t="s">
        <v>79</v>
      </c>
      <c r="B38" s="15" t="s">
        <v>80</v>
      </c>
      <c r="C38" s="17">
        <v>1565367.81</v>
      </c>
      <c r="D38" s="17">
        <v>0</v>
      </c>
      <c r="E38" s="18">
        <f t="shared" si="2"/>
        <v>1565367.81</v>
      </c>
      <c r="F38" s="17">
        <v>1565367.81</v>
      </c>
      <c r="G38" s="19">
        <v>0</v>
      </c>
      <c r="H38" s="20">
        <f t="shared" si="3"/>
        <v>1565367.81</v>
      </c>
    </row>
    <row r="39" ht="18" customHeight="1" spans="1:8">
      <c r="A39" s="15" t="s">
        <v>81</v>
      </c>
      <c r="B39" s="15" t="s">
        <v>82</v>
      </c>
      <c r="C39" s="17">
        <v>3603087.62</v>
      </c>
      <c r="D39" s="17">
        <v>1107575.03</v>
      </c>
      <c r="E39" s="18">
        <f t="shared" si="2"/>
        <v>4710662.65</v>
      </c>
      <c r="F39" s="17">
        <v>4710662.65</v>
      </c>
      <c r="G39" s="19">
        <v>0</v>
      </c>
      <c r="H39" s="20">
        <f t="shared" si="3"/>
        <v>4710662.65</v>
      </c>
    </row>
    <row r="40" ht="18" customHeight="1" spans="1:8">
      <c r="A40" s="15" t="s">
        <v>83</v>
      </c>
      <c r="B40" s="15" t="s">
        <v>84</v>
      </c>
      <c r="C40" s="17">
        <v>-66230.24</v>
      </c>
      <c r="D40" s="17">
        <v>3779435.6</v>
      </c>
      <c r="E40" s="18">
        <f t="shared" si="2"/>
        <v>3713205.36</v>
      </c>
      <c r="F40" s="17">
        <v>3947386.09</v>
      </c>
      <c r="G40" s="19">
        <v>0</v>
      </c>
      <c r="H40" s="20">
        <f t="shared" si="3"/>
        <v>3947386.09</v>
      </c>
    </row>
    <row r="41" ht="18" customHeight="1" spans="1:8">
      <c r="A41" s="15" t="s">
        <v>85</v>
      </c>
      <c r="B41" s="15" t="s">
        <v>86</v>
      </c>
      <c r="C41" s="17">
        <v>0</v>
      </c>
      <c r="D41" s="17">
        <v>4294834.34</v>
      </c>
      <c r="E41" s="18">
        <f t="shared" si="2"/>
        <v>4294834.34</v>
      </c>
      <c r="F41" s="17">
        <v>4564740.07</v>
      </c>
      <c r="G41" s="19">
        <v>0</v>
      </c>
      <c r="H41" s="20">
        <f t="shared" si="3"/>
        <v>4564740.07</v>
      </c>
    </row>
    <row r="42" ht="18" customHeight="1" spans="1:8">
      <c r="A42" s="15" t="s">
        <v>87</v>
      </c>
      <c r="B42" s="15" t="s">
        <v>88</v>
      </c>
      <c r="C42" s="17">
        <v>1723914.96</v>
      </c>
      <c r="D42" s="17">
        <v>0</v>
      </c>
      <c r="E42" s="18">
        <f t="shared" si="2"/>
        <v>1723914.96</v>
      </c>
      <c r="F42" s="17">
        <v>1723914.96</v>
      </c>
      <c r="G42" s="19">
        <v>0</v>
      </c>
      <c r="H42" s="20">
        <f t="shared" si="3"/>
        <v>1723914.96</v>
      </c>
    </row>
    <row r="43" ht="18" customHeight="1" spans="1:8">
      <c r="A43" s="15" t="s">
        <v>89</v>
      </c>
      <c r="B43" s="15" t="s">
        <v>90</v>
      </c>
      <c r="C43" s="17">
        <v>-33840.23</v>
      </c>
      <c r="D43" s="17">
        <v>4985652.56</v>
      </c>
      <c r="E43" s="18">
        <f t="shared" si="2"/>
        <v>4951812.33</v>
      </c>
      <c r="F43" s="17">
        <v>4951812.33</v>
      </c>
      <c r="G43" s="19">
        <v>0</v>
      </c>
      <c r="H43" s="20">
        <f t="shared" si="3"/>
        <v>4951812.33</v>
      </c>
    </row>
    <row r="44" ht="18" customHeight="1" spans="1:8">
      <c r="A44" s="15" t="s">
        <v>91</v>
      </c>
      <c r="B44" s="15" t="s">
        <v>92</v>
      </c>
      <c r="C44" s="17">
        <v>407991.43</v>
      </c>
      <c r="D44" s="17">
        <v>2131636.72</v>
      </c>
      <c r="E44" s="18">
        <f t="shared" si="2"/>
        <v>2539628.15</v>
      </c>
      <c r="F44" s="17">
        <v>2688739.44</v>
      </c>
      <c r="G44" s="19">
        <v>0</v>
      </c>
      <c r="H44" s="20">
        <f t="shared" si="3"/>
        <v>2688739.44</v>
      </c>
    </row>
    <row r="45" ht="18" customHeight="1" spans="1:8">
      <c r="A45" s="15" t="s">
        <v>93</v>
      </c>
      <c r="B45" s="15" t="s">
        <v>94</v>
      </c>
      <c r="C45" s="17">
        <v>1170032.61</v>
      </c>
      <c r="D45" s="17">
        <v>1431432.58</v>
      </c>
      <c r="E45" s="18">
        <f t="shared" si="2"/>
        <v>2601465.19</v>
      </c>
      <c r="F45" s="17">
        <v>3762781.96</v>
      </c>
      <c r="G45" s="19">
        <v>0</v>
      </c>
      <c r="H45" s="20">
        <f t="shared" si="3"/>
        <v>3762781.96</v>
      </c>
    </row>
    <row r="46" ht="18" customHeight="1" spans="1:8">
      <c r="A46" s="15" t="s">
        <v>95</v>
      </c>
      <c r="B46" s="15" t="s">
        <v>96</v>
      </c>
      <c r="C46" s="17">
        <v>-7437.85</v>
      </c>
      <c r="D46" s="17">
        <v>4040361.97</v>
      </c>
      <c r="E46" s="18">
        <f t="shared" si="2"/>
        <v>4032924.12</v>
      </c>
      <c r="F46" s="17">
        <v>4117501.24</v>
      </c>
      <c r="G46" s="19">
        <v>0</v>
      </c>
      <c r="H46" s="20">
        <f t="shared" si="3"/>
        <v>4117501.24</v>
      </c>
    </row>
    <row r="47" ht="18" customHeight="1" spans="1:8">
      <c r="A47" s="15" t="s">
        <v>97</v>
      </c>
      <c r="B47" s="15" t="s">
        <v>98</v>
      </c>
      <c r="C47" s="17">
        <v>35481.5</v>
      </c>
      <c r="D47" s="17">
        <v>162884.4</v>
      </c>
      <c r="E47" s="18">
        <f t="shared" si="2"/>
        <v>198365.9</v>
      </c>
      <c r="F47" s="17">
        <v>198365.9</v>
      </c>
      <c r="G47" s="19">
        <v>0</v>
      </c>
      <c r="H47" s="20">
        <f t="shared" si="3"/>
        <v>198365.9</v>
      </c>
    </row>
    <row r="48" ht="18" customHeight="1" spans="1:8">
      <c r="A48" s="15" t="s">
        <v>99</v>
      </c>
      <c r="B48" s="15" t="s">
        <v>100</v>
      </c>
      <c r="C48" s="17">
        <v>285106.52</v>
      </c>
      <c r="D48" s="17">
        <v>926841.59</v>
      </c>
      <c r="E48" s="18">
        <f t="shared" si="2"/>
        <v>1211948.11</v>
      </c>
      <c r="F48" s="17">
        <v>1219548.11</v>
      </c>
      <c r="G48" s="19">
        <v>0</v>
      </c>
      <c r="H48" s="20">
        <f t="shared" si="3"/>
        <v>1219548.11</v>
      </c>
    </row>
    <row r="49" ht="18" customHeight="1" spans="1:8">
      <c r="A49" s="15" t="s">
        <v>101</v>
      </c>
      <c r="B49" s="15" t="s">
        <v>102</v>
      </c>
      <c r="C49" s="17">
        <v>1019709.4</v>
      </c>
      <c r="D49" s="17">
        <v>2354242.88</v>
      </c>
      <c r="E49" s="18">
        <f t="shared" si="2"/>
        <v>3373952.28</v>
      </c>
      <c r="F49" s="17">
        <v>3941514.18</v>
      </c>
      <c r="G49" s="19">
        <v>0</v>
      </c>
      <c r="H49" s="20">
        <f t="shared" si="3"/>
        <v>3941514.18</v>
      </c>
    </row>
    <row r="50" ht="18" customHeight="1" spans="1:8">
      <c r="A50" s="15" t="s">
        <v>103</v>
      </c>
      <c r="B50" s="15" t="s">
        <v>104</v>
      </c>
      <c r="C50" s="17">
        <v>-23637.68</v>
      </c>
      <c r="D50" s="17">
        <v>2890187.01</v>
      </c>
      <c r="E50" s="18">
        <f t="shared" si="2"/>
        <v>2866549.33</v>
      </c>
      <c r="F50" s="17">
        <v>5064077.9</v>
      </c>
      <c r="G50" s="19">
        <v>0</v>
      </c>
      <c r="H50" s="20">
        <f t="shared" si="3"/>
        <v>5064077.9</v>
      </c>
    </row>
    <row r="51" ht="18" customHeight="1" spans="1:8">
      <c r="A51" s="15" t="s">
        <v>105</v>
      </c>
      <c r="B51" s="15" t="s">
        <v>106</v>
      </c>
      <c r="C51" s="17">
        <v>708523.79</v>
      </c>
      <c r="D51" s="17">
        <v>1513501.08</v>
      </c>
      <c r="E51" s="18">
        <f t="shared" si="2"/>
        <v>2222024.87</v>
      </c>
      <c r="F51" s="17">
        <v>2211675.32</v>
      </c>
      <c r="G51" s="19">
        <v>0</v>
      </c>
      <c r="H51" s="20">
        <f t="shared" si="3"/>
        <v>2211675.32</v>
      </c>
    </row>
    <row r="52" ht="18" customHeight="1" spans="1:8">
      <c r="A52" s="15" t="s">
        <v>107</v>
      </c>
      <c r="B52" s="15" t="s">
        <v>108</v>
      </c>
      <c r="C52" s="17">
        <v>0</v>
      </c>
      <c r="D52" s="17">
        <v>6520925.64</v>
      </c>
      <c r="E52" s="18">
        <f t="shared" si="2"/>
        <v>6520925.64</v>
      </c>
      <c r="F52" s="17">
        <v>6675608.01</v>
      </c>
      <c r="G52" s="19">
        <v>0</v>
      </c>
      <c r="H52" s="20">
        <f t="shared" si="3"/>
        <v>6675608.01</v>
      </c>
    </row>
    <row r="53" ht="18" customHeight="1" spans="1:8">
      <c r="A53" s="15" t="s">
        <v>109</v>
      </c>
      <c r="B53" s="15" t="s">
        <v>110</v>
      </c>
      <c r="C53" s="17">
        <v>-43299.19</v>
      </c>
      <c r="D53" s="17">
        <v>276256.1</v>
      </c>
      <c r="E53" s="18">
        <f t="shared" si="2"/>
        <v>232956.91</v>
      </c>
      <c r="F53" s="17">
        <v>232956.91</v>
      </c>
      <c r="G53" s="19">
        <v>0</v>
      </c>
      <c r="H53" s="20">
        <f t="shared" si="3"/>
        <v>232956.91</v>
      </c>
    </row>
    <row r="54" ht="18" customHeight="1" spans="1:8">
      <c r="A54" s="15" t="s">
        <v>111</v>
      </c>
      <c r="B54" s="15" t="s">
        <v>112</v>
      </c>
      <c r="C54" s="17">
        <v>489744.92</v>
      </c>
      <c r="D54" s="17">
        <v>0</v>
      </c>
      <c r="E54" s="18">
        <f t="shared" si="2"/>
        <v>489744.92</v>
      </c>
      <c r="F54" s="17">
        <v>489744.92</v>
      </c>
      <c r="G54" s="19">
        <v>0</v>
      </c>
      <c r="H54" s="20">
        <f t="shared" si="3"/>
        <v>489744.92</v>
      </c>
    </row>
    <row r="55" ht="18" customHeight="1" spans="1:8">
      <c r="A55" s="15" t="s">
        <v>113</v>
      </c>
      <c r="B55" s="15" t="s">
        <v>114</v>
      </c>
      <c r="C55" s="17">
        <v>0</v>
      </c>
      <c r="D55" s="17">
        <v>3851883.52</v>
      </c>
      <c r="E55" s="18">
        <f t="shared" si="2"/>
        <v>3851883.52</v>
      </c>
      <c r="F55" s="17">
        <v>3914060.27</v>
      </c>
      <c r="G55" s="19">
        <v>0</v>
      </c>
      <c r="H55" s="20">
        <f t="shared" si="3"/>
        <v>3914060.27</v>
      </c>
    </row>
    <row r="56" ht="18" customHeight="1" spans="1:8">
      <c r="A56" s="15" t="s">
        <v>115</v>
      </c>
      <c r="B56" s="15" t="s">
        <v>116</v>
      </c>
      <c r="C56" s="17">
        <v>1792751.63</v>
      </c>
      <c r="D56" s="17">
        <v>746819.55</v>
      </c>
      <c r="E56" s="18">
        <f t="shared" si="2"/>
        <v>2539571.18</v>
      </c>
      <c r="F56" s="17">
        <v>2541337.38</v>
      </c>
      <c r="G56" s="19">
        <v>0</v>
      </c>
      <c r="H56" s="20">
        <f t="shared" si="3"/>
        <v>2541337.38</v>
      </c>
    </row>
    <row r="57" ht="18" customHeight="1" spans="1:8">
      <c r="A57" s="15" t="s">
        <v>117</v>
      </c>
      <c r="B57" s="15" t="s">
        <v>118</v>
      </c>
      <c r="C57" s="17">
        <v>1349720.27</v>
      </c>
      <c r="D57" s="17">
        <v>2092705.23</v>
      </c>
      <c r="E57" s="18">
        <f t="shared" si="2"/>
        <v>3442425.5</v>
      </c>
      <c r="F57" s="17">
        <v>3442425.5</v>
      </c>
      <c r="G57" s="19">
        <v>0</v>
      </c>
      <c r="H57" s="20">
        <f t="shared" si="3"/>
        <v>3442425.5</v>
      </c>
    </row>
    <row r="58" ht="18" customHeight="1" spans="1:8">
      <c r="A58" s="16" t="s">
        <v>119</v>
      </c>
      <c r="B58" s="16" t="s">
        <v>120</v>
      </c>
      <c r="C58" s="17">
        <v>0</v>
      </c>
      <c r="D58" s="17">
        <f>177321+1909540.52</f>
        <v>2086861.52</v>
      </c>
      <c r="E58" s="18">
        <f t="shared" si="2"/>
        <v>2086861.52</v>
      </c>
      <c r="F58" s="17">
        <v>2086861.52</v>
      </c>
      <c r="G58" s="19">
        <v>0</v>
      </c>
      <c r="H58" s="20">
        <f t="shared" si="3"/>
        <v>2086861.52</v>
      </c>
    </row>
    <row r="59" ht="18" customHeight="1" spans="1:8">
      <c r="A59" s="15" t="s">
        <v>121</v>
      </c>
      <c r="B59" s="15" t="s">
        <v>122</v>
      </c>
      <c r="C59" s="17">
        <v>-27283.87</v>
      </c>
      <c r="D59" s="17">
        <v>2061544.63</v>
      </c>
      <c r="E59" s="18">
        <f t="shared" si="2"/>
        <v>2034260.76</v>
      </c>
      <c r="F59" s="17">
        <v>2225017.76</v>
      </c>
      <c r="G59" s="19">
        <v>0</v>
      </c>
      <c r="H59" s="20">
        <f t="shared" si="3"/>
        <v>2225017.76</v>
      </c>
    </row>
    <row r="60" ht="18" customHeight="1" spans="1:8">
      <c r="A60" s="15" t="s">
        <v>123</v>
      </c>
      <c r="B60" s="15" t="s">
        <v>124</v>
      </c>
      <c r="C60" s="17">
        <f>(500+-253324.8)+0</f>
        <v>-252824.8</v>
      </c>
      <c r="D60" s="17">
        <f>(-500+1536383.89)+0</f>
        <v>1535883.89</v>
      </c>
      <c r="E60" s="18">
        <f t="shared" si="2"/>
        <v>1283059.09</v>
      </c>
      <c r="F60" s="17">
        <v>2993353.54</v>
      </c>
      <c r="G60" s="19">
        <v>0</v>
      </c>
      <c r="H60" s="20">
        <f t="shared" si="3"/>
        <v>2993353.54</v>
      </c>
    </row>
    <row r="61" ht="18" customHeight="1" spans="1:8">
      <c r="A61" s="15" t="s">
        <v>125</v>
      </c>
      <c r="B61" s="15" t="s">
        <v>126</v>
      </c>
      <c r="C61" s="17">
        <v>1167749.23</v>
      </c>
      <c r="D61" s="17">
        <v>0</v>
      </c>
      <c r="E61" s="18">
        <f t="shared" si="2"/>
        <v>1167749.23</v>
      </c>
      <c r="F61" s="17">
        <v>1533772.89</v>
      </c>
      <c r="G61" s="19">
        <v>0</v>
      </c>
      <c r="H61" s="20">
        <f t="shared" si="3"/>
        <v>1533772.89</v>
      </c>
    </row>
    <row r="62" ht="18" customHeight="1" spans="1:8">
      <c r="A62" s="15" t="s">
        <v>127</v>
      </c>
      <c r="B62" s="15" t="s">
        <v>128</v>
      </c>
      <c r="C62" s="17">
        <v>450591.17</v>
      </c>
      <c r="D62" s="17">
        <v>0</v>
      </c>
      <c r="E62" s="18">
        <f t="shared" si="2"/>
        <v>450591.17</v>
      </c>
      <c r="F62" s="17">
        <v>450591.17</v>
      </c>
      <c r="G62" s="19">
        <v>0</v>
      </c>
      <c r="H62" s="20">
        <f t="shared" si="3"/>
        <v>450591.17</v>
      </c>
    </row>
    <row r="63" ht="18" customHeight="1" spans="1:8">
      <c r="A63" s="15" t="s">
        <v>129</v>
      </c>
      <c r="B63" s="24" t="s">
        <v>130</v>
      </c>
      <c r="C63" s="17">
        <v>568469</v>
      </c>
      <c r="D63" s="17">
        <v>0</v>
      </c>
      <c r="E63" s="18">
        <f t="shared" si="2"/>
        <v>568469</v>
      </c>
      <c r="F63" s="17">
        <v>568469</v>
      </c>
      <c r="G63" s="19"/>
      <c r="H63" s="20">
        <f t="shared" si="3"/>
        <v>568469</v>
      </c>
    </row>
    <row r="64" ht="18" customHeight="1" spans="1:8">
      <c r="A64" s="15" t="s">
        <v>131</v>
      </c>
      <c r="B64" s="24" t="s">
        <v>132</v>
      </c>
      <c r="C64" s="17">
        <v>92052.3</v>
      </c>
      <c r="D64" s="17">
        <v>0</v>
      </c>
      <c r="E64" s="18">
        <f t="shared" si="2"/>
        <v>92052.3</v>
      </c>
      <c r="F64" s="17">
        <v>92052.3</v>
      </c>
      <c r="G64" s="19"/>
      <c r="H64" s="20">
        <f t="shared" si="3"/>
        <v>92052.3</v>
      </c>
    </row>
    <row r="65" ht="18" customHeight="1" spans="1:8">
      <c r="A65" s="15" t="s">
        <v>133</v>
      </c>
      <c r="B65" s="15" t="s">
        <v>134</v>
      </c>
      <c r="C65" s="17">
        <v>0</v>
      </c>
      <c r="D65" s="17">
        <v>1319760.81</v>
      </c>
      <c r="E65" s="18">
        <f t="shared" ref="E65:E77" si="4">D65+C65</f>
        <v>1319760.81</v>
      </c>
      <c r="F65" s="17">
        <v>1891785.44</v>
      </c>
      <c r="G65" s="19">
        <v>0</v>
      </c>
      <c r="H65" s="20">
        <f t="shared" ref="H65:H77" si="5">+F65-G65</f>
        <v>1891785.44</v>
      </c>
    </row>
    <row r="66" ht="18" customHeight="1" spans="1:8">
      <c r="A66" s="15" t="s">
        <v>135</v>
      </c>
      <c r="B66" s="15" t="s">
        <v>136</v>
      </c>
      <c r="C66" s="17">
        <v>-355402.94</v>
      </c>
      <c r="D66" s="17">
        <v>584541.78</v>
      </c>
      <c r="E66" s="18">
        <f t="shared" si="4"/>
        <v>229138.84</v>
      </c>
      <c r="F66" s="17">
        <v>652634.06</v>
      </c>
      <c r="G66" s="19">
        <v>0</v>
      </c>
      <c r="H66" s="20">
        <f t="shared" si="5"/>
        <v>652634.06</v>
      </c>
    </row>
    <row r="67" ht="18" customHeight="1" spans="1:8">
      <c r="A67" s="15" t="s">
        <v>137</v>
      </c>
      <c r="B67" s="15" t="s">
        <v>138</v>
      </c>
      <c r="C67" s="17">
        <v>-627340.98</v>
      </c>
      <c r="D67" s="17">
        <v>3087125.5</v>
      </c>
      <c r="E67" s="18">
        <f t="shared" si="4"/>
        <v>2459784.52</v>
      </c>
      <c r="F67" s="17">
        <v>3201216.39</v>
      </c>
      <c r="G67" s="19">
        <v>0</v>
      </c>
      <c r="H67" s="20">
        <f t="shared" si="5"/>
        <v>3201216.39</v>
      </c>
    </row>
    <row r="68" ht="18" customHeight="1" spans="1:8">
      <c r="A68" s="15" t="s">
        <v>139</v>
      </c>
      <c r="B68" s="15" t="s">
        <v>140</v>
      </c>
      <c r="C68" s="17">
        <v>497364.94</v>
      </c>
      <c r="D68" s="17">
        <v>3265917.12</v>
      </c>
      <c r="E68" s="18">
        <f t="shared" si="4"/>
        <v>3763282.06</v>
      </c>
      <c r="F68" s="17">
        <v>3763282.06</v>
      </c>
      <c r="G68" s="19">
        <v>0</v>
      </c>
      <c r="H68" s="20">
        <f t="shared" si="5"/>
        <v>3763282.06</v>
      </c>
    </row>
    <row r="69" ht="18" customHeight="1" spans="1:8">
      <c r="A69" s="15" t="s">
        <v>141</v>
      </c>
      <c r="B69" s="15" t="s">
        <v>142</v>
      </c>
      <c r="C69" s="17">
        <v>618392</v>
      </c>
      <c r="D69" s="17">
        <v>0</v>
      </c>
      <c r="E69" s="18">
        <f t="shared" si="4"/>
        <v>618392</v>
      </c>
      <c r="F69" s="17">
        <v>618392</v>
      </c>
      <c r="G69" s="19">
        <v>0</v>
      </c>
      <c r="H69" s="20">
        <f t="shared" si="5"/>
        <v>618392</v>
      </c>
    </row>
    <row r="70" ht="18" customHeight="1" spans="1:8">
      <c r="A70" s="15" t="s">
        <v>143</v>
      </c>
      <c r="B70" s="15" t="s">
        <v>144</v>
      </c>
      <c r="C70" s="17">
        <v>463882.61</v>
      </c>
      <c r="D70" s="17">
        <v>6481545.63</v>
      </c>
      <c r="E70" s="18">
        <f t="shared" si="4"/>
        <v>6945428.24</v>
      </c>
      <c r="F70" s="17">
        <v>6945428.24</v>
      </c>
      <c r="G70" s="19">
        <v>0</v>
      </c>
      <c r="H70" s="20">
        <f t="shared" si="5"/>
        <v>6945428.24</v>
      </c>
    </row>
    <row r="71" ht="18" customHeight="1" spans="1:8">
      <c r="A71" s="15" t="s">
        <v>145</v>
      </c>
      <c r="B71" s="15" t="s">
        <v>146</v>
      </c>
      <c r="C71" s="17">
        <v>762586.55</v>
      </c>
      <c r="D71" s="17">
        <v>4946941.77</v>
      </c>
      <c r="E71" s="18">
        <f t="shared" si="4"/>
        <v>5709528.32</v>
      </c>
      <c r="F71" s="17">
        <v>5709528.32</v>
      </c>
      <c r="G71" s="19">
        <v>0</v>
      </c>
      <c r="H71" s="20">
        <f t="shared" si="5"/>
        <v>5709528.32</v>
      </c>
    </row>
    <row r="72" ht="18" customHeight="1" spans="1:8">
      <c r="A72" s="15" t="s">
        <v>147</v>
      </c>
      <c r="B72" s="15" t="s">
        <v>148</v>
      </c>
      <c r="C72" s="17">
        <v>-65440.07</v>
      </c>
      <c r="D72" s="17">
        <v>4766605.29</v>
      </c>
      <c r="E72" s="18">
        <f t="shared" si="4"/>
        <v>4701165.22</v>
      </c>
      <c r="F72" s="17">
        <v>7971133.06</v>
      </c>
      <c r="G72" s="19">
        <v>0</v>
      </c>
      <c r="H72" s="20">
        <f t="shared" si="5"/>
        <v>7971133.06</v>
      </c>
    </row>
    <row r="73" s="2" customFormat="1" ht="18" customHeight="1" spans="1:8">
      <c r="A73" s="25" t="s">
        <v>149</v>
      </c>
      <c r="B73" s="16" t="s">
        <v>150</v>
      </c>
      <c r="C73" s="22">
        <v>0</v>
      </c>
      <c r="D73" s="22">
        <f>584460.03+154.76</f>
        <v>584614.79</v>
      </c>
      <c r="E73" s="26">
        <f t="shared" si="4"/>
        <v>584614.79</v>
      </c>
      <c r="F73" s="22">
        <f>584460.03+154.76</f>
        <v>584614.79</v>
      </c>
      <c r="G73" s="27">
        <v>0</v>
      </c>
      <c r="H73" s="28">
        <f t="shared" si="5"/>
        <v>584614.79</v>
      </c>
    </row>
    <row r="74" ht="18" customHeight="1" spans="1:8">
      <c r="A74" s="15" t="s">
        <v>151</v>
      </c>
      <c r="B74" s="15" t="s">
        <v>152</v>
      </c>
      <c r="C74" s="17">
        <v>6426031.92</v>
      </c>
      <c r="D74" s="17">
        <v>0</v>
      </c>
      <c r="E74" s="18">
        <f t="shared" si="4"/>
        <v>6426031.92</v>
      </c>
      <c r="F74" s="17">
        <v>6420586.92</v>
      </c>
      <c r="G74" s="19">
        <v>0</v>
      </c>
      <c r="H74" s="20">
        <f t="shared" si="5"/>
        <v>6420586.92</v>
      </c>
    </row>
    <row r="75" ht="18" customHeight="1" spans="1:8">
      <c r="A75" s="15" t="s">
        <v>153</v>
      </c>
      <c r="B75" s="15" t="s">
        <v>154</v>
      </c>
      <c r="C75" s="17">
        <v>1188519.37</v>
      </c>
      <c r="D75" s="17">
        <v>14158780.59</v>
      </c>
      <c r="E75" s="18">
        <f t="shared" si="4"/>
        <v>15347299.96</v>
      </c>
      <c r="F75" s="17">
        <v>15347299.96</v>
      </c>
      <c r="G75" s="19">
        <v>0</v>
      </c>
      <c r="H75" s="20">
        <f t="shared" si="5"/>
        <v>15347299.96</v>
      </c>
    </row>
    <row r="76" ht="18" customHeight="1" spans="1:8">
      <c r="A76" s="15" t="s">
        <v>155</v>
      </c>
      <c r="B76" s="15" t="s">
        <v>156</v>
      </c>
      <c r="C76" s="17">
        <v>-7858.9</v>
      </c>
      <c r="D76" s="17">
        <v>2514456.96</v>
      </c>
      <c r="E76" s="18">
        <f t="shared" si="4"/>
        <v>2506598.06</v>
      </c>
      <c r="F76" s="17">
        <v>2512641.71392</v>
      </c>
      <c r="G76" s="19">
        <v>0</v>
      </c>
      <c r="H76" s="20">
        <f t="shared" si="5"/>
        <v>2512641.71392</v>
      </c>
    </row>
    <row r="77" ht="18" customHeight="1" spans="1:8">
      <c r="A77" s="15" t="s">
        <v>157</v>
      </c>
      <c r="B77" s="15" t="s">
        <v>158</v>
      </c>
      <c r="C77" s="17">
        <v>358400</v>
      </c>
      <c r="D77" s="17">
        <v>0</v>
      </c>
      <c r="E77" s="18">
        <f t="shared" si="4"/>
        <v>358400</v>
      </c>
      <c r="F77" s="17">
        <v>358400</v>
      </c>
      <c r="G77" s="19">
        <v>0</v>
      </c>
      <c r="H77" s="20">
        <f t="shared" si="5"/>
        <v>358400</v>
      </c>
    </row>
    <row r="78" ht="17" customHeight="1" spans="1:8">
      <c r="A78" s="29" t="s">
        <v>162</v>
      </c>
      <c r="B78" s="30"/>
      <c r="C78" s="31">
        <f t="shared" ref="C78:H78" si="6">SUM(C4:C77)</f>
        <v>92786549.81</v>
      </c>
      <c r="D78" s="31">
        <f t="shared" si="6"/>
        <v>111230299.14</v>
      </c>
      <c r="E78" s="31">
        <f t="shared" si="6"/>
        <v>204016848.95</v>
      </c>
      <c r="F78" s="31">
        <f t="shared" si="6"/>
        <v>235009332.71392</v>
      </c>
      <c r="G78" s="31">
        <f t="shared" si="6"/>
        <v>590777.1</v>
      </c>
      <c r="H78" s="31">
        <f t="shared" si="6"/>
        <v>234418555.61392</v>
      </c>
    </row>
  </sheetData>
  <autoFilter xmlns:etc="http://www.wps.cn/officeDocument/2017/etCustomData" ref="A3:H78" etc:filterBottomFollowUsedRange="0">
    <extLst/>
  </autoFilter>
  <mergeCells count="5">
    <mergeCell ref="A1:H1"/>
    <mergeCell ref="B2:E2"/>
    <mergeCell ref="F2:H2"/>
    <mergeCell ref="A78:B78"/>
    <mergeCell ref="A2:A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科桥餐饮项目营业额统计分析表当月数</vt:lpstr>
      <vt:lpstr>科桥餐饮项目营业额统计分析表累计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24027</dc:creator>
  <cp:lastModifiedBy>云端的故事</cp:lastModifiedBy>
  <dcterms:created xsi:type="dcterms:W3CDTF">2024-07-02T08:22:00Z</dcterms:created>
  <dcterms:modified xsi:type="dcterms:W3CDTF">2026-09-04T01:40:50Z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4DB229C1604543D48D55465E9996A85F_13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