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360MoveData\Users\云淡\Desktop\终稿\8月\8月\"/>
    </mc:Choice>
  </mc:AlternateContent>
  <bookViews>
    <workbookView windowWidth="28800" windowHeight="12255" firstSheet="2" activeTab="4"/>
  </bookViews>
  <sheets>
    <sheet name="汇总表" sheetId="1" r:id="rId1"/>
    <sheet name="2023年度" sheetId="2" r:id="rId2"/>
    <sheet name="2024年度" sheetId="3" r:id="rId3"/>
    <sheet name="2025年度" sheetId="4" r:id="rId4"/>
    <sheet name="2026年8月科桥餐饮公司应收账款统计表" sheetId="5" r:id="rId5"/>
    <sheet name="Sheet1" sheetId="7" state="hidden" r:id="rId6"/>
    <sheet name="Sheet2" sheetId="8" state="hidden" r:id="rId7"/>
    <sheet name="Sheet3" sheetId="9" state="hidden" r:id="rId8"/>
  </sheets>
  <definedNames>
    <definedName name="_xlnm._FilterDatabase" localSheetId="4" hidden="1">'2026年8月科桥餐饮公司应收账款统计表'!$A$1:$T$74</definedName>
    <definedName name="_xlnm._FilterDatabase" localSheetId="3" hidden="1">'2025年度'!$A$1:$T$28</definedName>
    <definedName name="_xlnm.Print_Titles" localSheetId="3">'2025年度'!$1:$3</definedName>
    <definedName name="_xlnm.Print_Titles" localSheetId="4">'2026年8月科桥餐饮公司应收账款统计表'!$1:$3</definedName>
    <definedName name="_xlnm._FilterDatabase" localSheetId="5" hidden="1">Sheet1!$A$1:$L$186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云淡</author>
  </authors>
  <commentList>
    <comment ref="G2" authorId="0">
      <text>
        <r>
          <rPr>
            <b/>
            <sz val="9"/>
            <rFont val="宋体"/>
            <charset val="134"/>
          </rPr>
          <t>云淡:</t>
        </r>
        <r>
          <rPr>
            <sz val="9"/>
            <rFont val="宋体"/>
            <charset val="134"/>
          </rPr>
          <t xml:space="preserve">
公式验证是否相等；包含台账数据</t>
        </r>
      </text>
    </comment>
  </commentList>
</comments>
</file>

<file path=xl/sharedStrings.xml><?xml version="1.0" encoding="utf-8"?>
<sst xmlns="http://schemas.openxmlformats.org/spreadsheetml/2006/main" count="1950" uniqueCount="401">
  <si>
    <r>
      <rPr>
        <b/>
        <sz val="18"/>
        <rFont val="宋体"/>
        <charset val="134"/>
      </rPr>
      <t xml:space="preserve">科桥餐饮公司应收账款统计表                  </t>
    </r>
    <r>
      <rPr>
        <b/>
        <sz val="14"/>
        <rFont val="宋体"/>
        <charset val="134"/>
      </rPr>
      <t>金额：元</t>
    </r>
  </si>
  <si>
    <t>序号</t>
  </si>
  <si>
    <t>应收账款年度</t>
  </si>
  <si>
    <t>总金额
（截止至2026.5.31）</t>
  </si>
  <si>
    <t>（1）正常应收帐款</t>
  </si>
  <si>
    <t>（2）逾期应收帐款</t>
  </si>
  <si>
    <t>备注</t>
  </si>
  <si>
    <t>逾期1个月</t>
  </si>
  <si>
    <t>逾期2-3个月</t>
  </si>
  <si>
    <t>逾期3个月以上-6个月以内（含6个月）</t>
  </si>
  <si>
    <t>逾期6个月以上-12个月以内（含12个月）</t>
  </si>
  <si>
    <t>逾期12个月以上</t>
  </si>
  <si>
    <t>小计</t>
  </si>
  <si>
    <t>2023年度</t>
  </si>
  <si>
    <t>（1）正常金额：指1个月以内
（2）异常金额：见附表</t>
  </si>
  <si>
    <t>2024年度</t>
  </si>
  <si>
    <t>2025年度</t>
  </si>
  <si>
    <t>2026年1-8月</t>
  </si>
  <si>
    <t>总计</t>
  </si>
  <si>
    <t>填报：财务部（收入核算科）</t>
  </si>
  <si>
    <t>复核：谢苗苗</t>
  </si>
  <si>
    <t>日期：2026/9/4</t>
  </si>
  <si>
    <t>2023年度科桥餐饮公司应收账款统计表   （时间：截至2026.8.31）             金额：元</t>
  </si>
  <si>
    <t>餐饮公司应收账款统计表</t>
  </si>
  <si>
    <t>分部经理</t>
  </si>
  <si>
    <t>分部</t>
  </si>
  <si>
    <t>会计责任人</t>
  </si>
  <si>
    <t>项目编码</t>
  </si>
  <si>
    <t>项目名称</t>
  </si>
  <si>
    <t>合同结算周期（月付、双月付或季付、半年付、年付、一次性等）（考核金合同结束一次性结算、考核金次月结算等）</t>
  </si>
  <si>
    <t>应收金额 合计（1）+（2）</t>
  </si>
  <si>
    <t>（1）正常应收账款</t>
  </si>
  <si>
    <t>（2）逾期应收账款</t>
  </si>
  <si>
    <t xml:space="preserve">（2）逾期应收账款 
</t>
  </si>
  <si>
    <t>A.逾期1个月</t>
  </si>
  <si>
    <t>服务费所属期</t>
  </si>
  <si>
    <t>B.逾期2-3个月</t>
  </si>
  <si>
    <t>C.逾期3个月以上-6个月以内（含6个月）</t>
  </si>
  <si>
    <t>D.逾期6个月以上-12个月以内（含12个月）</t>
  </si>
  <si>
    <t>E.逾期12个月以上</t>
  </si>
  <si>
    <t>备注（撤场、合同未签订等）</t>
  </si>
  <si>
    <t>丁吟春</t>
  </si>
  <si>
    <t>餐饮二分部</t>
  </si>
  <si>
    <t>位军浩</t>
  </si>
  <si>
    <t>CF173</t>
  </si>
  <si>
    <t>高新区一中食堂（汾湖路校区）</t>
  </si>
  <si>
    <t>月结、学期</t>
  </si>
  <si>
    <t>2023-08,2023-09,2023-10,2023-11,2023-12</t>
  </si>
  <si>
    <t>CF179</t>
  </si>
  <si>
    <t>高新区一中食堂（科技城校区）</t>
  </si>
  <si>
    <t>CF180</t>
  </si>
  <si>
    <t>高新区一初中食堂（珠江路校区）</t>
  </si>
  <si>
    <t>2023-11</t>
  </si>
  <si>
    <t>部门小计</t>
  </si>
  <si>
    <t>2023年餐饮总、分、子公司等合计</t>
  </si>
  <si>
    <t>2024年度科桥餐饮公司应收账款统计表   （时间：截至2026.8.31）             金额：元</t>
  </si>
  <si>
    <t>陈昌静</t>
  </si>
  <si>
    <t>沪宁区域</t>
  </si>
  <si>
    <t>CF270</t>
  </si>
  <si>
    <t>东大沙塘园食堂</t>
  </si>
  <si>
    <t>月结</t>
  </si>
  <si>
    <t>2024-12</t>
  </si>
  <si>
    <t>2025年6月撤场</t>
  </si>
  <si>
    <t>曹伟</t>
  </si>
  <si>
    <t>餐饮五分部</t>
  </si>
  <si>
    <t>CF693</t>
  </si>
  <si>
    <t>甘肃政法大学学生食堂</t>
  </si>
  <si>
    <t>2024-10</t>
  </si>
  <si>
    <t>卜峰</t>
  </si>
  <si>
    <t>兰州区域</t>
  </si>
  <si>
    <t>2024-06,2024-10,2024-11,2024-12</t>
  </si>
  <si>
    <t>高新区中学区域</t>
  </si>
  <si>
    <t>2024-07</t>
  </si>
  <si>
    <t>餐饮总、分、子公司等合计</t>
  </si>
  <si>
    <t>2025年度科桥餐饮公司应收账款统计表   （时间：截至2026.8.31）             金额：元</t>
  </si>
  <si>
    <t>应收金额 
合计（1）+（2）</t>
  </si>
  <si>
    <t>2025-02,2025-03,2025-04,2025-05,2025-06</t>
  </si>
  <si>
    <t>CF474</t>
  </si>
  <si>
    <t>安工大七食堂</t>
  </si>
  <si>
    <t>2025-09,2025-10</t>
  </si>
  <si>
    <t>2025-11,2025-12</t>
  </si>
  <si>
    <t>谢苗苗</t>
  </si>
  <si>
    <t>CF140</t>
  </si>
  <si>
    <t>西浦大学太仓校区食堂</t>
  </si>
  <si>
    <t>2025-11</t>
  </si>
  <si>
    <t>CF160</t>
  </si>
  <si>
    <t>高新区实验高中食堂（金山路校区）</t>
  </si>
  <si>
    <t>2025-06,2025-07,2025-08,2025-09,2025-10</t>
  </si>
  <si>
    <t>CF174</t>
  </si>
  <si>
    <t>高新区实验高中食堂（科技城校区）</t>
  </si>
  <si>
    <t>2025-10</t>
  </si>
  <si>
    <t>餐饮三分部</t>
  </si>
  <si>
    <t>CF190</t>
  </si>
  <si>
    <t>苏旅财食堂</t>
  </si>
  <si>
    <t>CF120</t>
  </si>
  <si>
    <t>苏大独墅湖一食堂</t>
  </si>
  <si>
    <t>2025-07</t>
  </si>
  <si>
    <t>CF102</t>
  </si>
  <si>
    <t>苏大东区四食堂</t>
  </si>
  <si>
    <t>2025-12</t>
  </si>
  <si>
    <t>CF134</t>
  </si>
  <si>
    <t>苏大独墅湖五食堂</t>
  </si>
  <si>
    <t>2025-06</t>
  </si>
  <si>
    <t>CF108</t>
  </si>
  <si>
    <t>苏大北区六食堂</t>
  </si>
  <si>
    <t>CF107</t>
  </si>
  <si>
    <t>苏大东区教工食堂</t>
  </si>
  <si>
    <t>CF122</t>
  </si>
  <si>
    <t>苏大独墅湖六食堂</t>
  </si>
  <si>
    <t>吕磊</t>
  </si>
  <si>
    <t>餐饮六分部</t>
  </si>
  <si>
    <t>CF479</t>
  </si>
  <si>
    <t>江苏交通第一学生食堂</t>
  </si>
  <si>
    <t>CF475</t>
  </si>
  <si>
    <t>国科大南京学院食堂</t>
  </si>
  <si>
    <t>月结（考核按年度结算）</t>
  </si>
  <si>
    <t>CF191</t>
  </si>
  <si>
    <t>苏州旭辉彩园餐厅</t>
  </si>
  <si>
    <t>2025-06,2025-07,2025-09,2025-10</t>
  </si>
  <si>
    <t>CF275</t>
  </si>
  <si>
    <t>南大苏州校区西区二食堂</t>
  </si>
  <si>
    <t>2026年8月科桥餐饮公司应收账款统计表   （时间：截至2026.8.31）             金额：元</t>
  </si>
  <si>
    <t>餐饮一分部</t>
  </si>
  <si>
    <t>CF142</t>
  </si>
  <si>
    <t>卡特彼勒（吴江）餐厅</t>
  </si>
  <si>
    <t>2026-04</t>
  </si>
  <si>
    <t>CF141</t>
  </si>
  <si>
    <t>泰科阳澄湖工厂</t>
  </si>
  <si>
    <t>2026-05</t>
  </si>
  <si>
    <t>CF139</t>
  </si>
  <si>
    <t>苏州中科新药篮餐厅</t>
  </si>
  <si>
    <t>2026-06</t>
  </si>
  <si>
    <t>2026-04,2026-05</t>
  </si>
  <si>
    <t>CF138</t>
  </si>
  <si>
    <t>苏州生物产业园三期餐厅</t>
  </si>
  <si>
    <t>撤场项目</t>
  </si>
  <si>
    <t>CF272</t>
  </si>
  <si>
    <t>苏州工学院南一食堂</t>
  </si>
  <si>
    <t>CF127-1</t>
  </si>
  <si>
    <t>泰科老厂餐厅</t>
  </si>
  <si>
    <t>2026-03</t>
  </si>
  <si>
    <t>CF751</t>
  </si>
  <si>
    <t>国防科大（长沙）食堂</t>
  </si>
  <si>
    <t>CF514</t>
  </si>
  <si>
    <t>昆山康桥培英高级中学食堂</t>
  </si>
  <si>
    <t>CF481</t>
  </si>
  <si>
    <t>常熟世华高级中学食堂</t>
  </si>
  <si>
    <t>CF478</t>
  </si>
  <si>
    <t>苏州华扬电子餐厅</t>
  </si>
  <si>
    <t>CF477</t>
  </si>
  <si>
    <t>上海民航第一食堂</t>
  </si>
  <si>
    <t>CF127-3</t>
  </si>
  <si>
    <t>泰科新厂餐厅</t>
  </si>
  <si>
    <t>CF453</t>
  </si>
  <si>
    <t>天津大学学四食堂</t>
  </si>
  <si>
    <t>CF183</t>
  </si>
  <si>
    <t>中医科苏州新校区食堂</t>
  </si>
  <si>
    <t>CF700</t>
  </si>
  <si>
    <t>北理工长三角研究院(嘉兴)食堂</t>
  </si>
  <si>
    <t>2026-08</t>
  </si>
  <si>
    <t>CF125</t>
  </si>
  <si>
    <t>西浦大学宏愿南食堂</t>
  </si>
  <si>
    <t>CF513</t>
  </si>
  <si>
    <t>天津大学学三食堂</t>
  </si>
  <si>
    <t>CF137</t>
  </si>
  <si>
    <t>西浦大学宏愿北食堂</t>
  </si>
  <si>
    <t>CF516</t>
  </si>
  <si>
    <t>苏州北美高中食堂</t>
  </si>
  <si>
    <t>2026-01,2026-02,2026-03</t>
  </si>
  <si>
    <t>CF177</t>
  </si>
  <si>
    <t>高新区实验初中食堂（锦峰路校区）</t>
  </si>
  <si>
    <t>2026-02,2026-03</t>
  </si>
  <si>
    <t>CF175</t>
  </si>
  <si>
    <t>高新区实验初中食堂（金山路校区）</t>
  </si>
  <si>
    <t>2026-02</t>
  </si>
  <si>
    <t>CF450</t>
  </si>
  <si>
    <t>天津大学学二食堂</t>
  </si>
  <si>
    <t>CF364</t>
  </si>
  <si>
    <t>江苏航运思本轩二楼食堂</t>
  </si>
  <si>
    <t>CF363</t>
  </si>
  <si>
    <t>南通大学启东一期食堂一楼</t>
  </si>
  <si>
    <t>CF360</t>
  </si>
  <si>
    <t>南通师专新校区食堂</t>
  </si>
  <si>
    <t>CF181</t>
  </si>
  <si>
    <t>中科大苏州研究院食堂</t>
  </si>
  <si>
    <t>CF182</t>
  </si>
  <si>
    <t>无锡工艺第二食堂</t>
  </si>
  <si>
    <t>CF126</t>
  </si>
  <si>
    <t>西浦附校食堂</t>
  </si>
  <si>
    <t>CF641</t>
  </si>
  <si>
    <t>中山大学北学二食堂</t>
  </si>
  <si>
    <t>CF780</t>
  </si>
  <si>
    <t>吉建大二食堂</t>
  </si>
  <si>
    <t>CF320</t>
  </si>
  <si>
    <t>江苏财经梅园食堂</t>
  </si>
  <si>
    <t>CF781</t>
  </si>
  <si>
    <t>苏食院第一学生食堂</t>
  </si>
  <si>
    <t>CF276</t>
  </si>
  <si>
    <t>苏州经贸第二食堂</t>
  </si>
  <si>
    <t>CF251</t>
  </si>
  <si>
    <t>苏州职大第二学生食堂</t>
  </si>
  <si>
    <t>CF699</t>
  </si>
  <si>
    <t>徐医大第一食堂</t>
  </si>
  <si>
    <t>CF694</t>
  </si>
  <si>
    <t>兰理工彭家坪北村食堂</t>
  </si>
  <si>
    <t>苏州大学区域</t>
  </si>
  <si>
    <t>CF620</t>
  </si>
  <si>
    <t>山西大学B6食堂三层</t>
  </si>
  <si>
    <t>CF696</t>
  </si>
  <si>
    <t>甘肃省气象局餐厅</t>
  </si>
  <si>
    <t>CF697</t>
  </si>
  <si>
    <t>兰交大百苑二楼食堂</t>
  </si>
  <si>
    <t>CF698</t>
  </si>
  <si>
    <t>兰理工兰工坪校区第一食堂</t>
  </si>
  <si>
    <t>2026-01,2026-03</t>
  </si>
  <si>
    <t>吴中吴江区域</t>
  </si>
  <si>
    <t>2026-01</t>
  </si>
  <si>
    <t>CF121</t>
  </si>
  <si>
    <t>苏大独墅湖二食堂</t>
  </si>
  <si>
    <t>CF101</t>
  </si>
  <si>
    <t>苏大本部方塔食堂</t>
  </si>
  <si>
    <t>CF212</t>
  </si>
  <si>
    <t>苏中附校苏州湾食堂</t>
  </si>
  <si>
    <t>CF213</t>
  </si>
  <si>
    <t>苏州大脑营行餐厅</t>
  </si>
  <si>
    <t>CF273</t>
  </si>
  <si>
    <t>南大苏州校区科创大厦食堂</t>
  </si>
  <si>
    <t>CF293</t>
  </si>
  <si>
    <t>江苏二师石湫校区食堂</t>
  </si>
  <si>
    <t>CF341</t>
  </si>
  <si>
    <t>扬大荷花池校区二楼食堂</t>
  </si>
  <si>
    <t>摘要</t>
  </si>
  <si>
    <r>
      <t>项目编码</t>
    </r>
    <r>
      <rPr>
        <sz val="10"/>
        <rFont val="Arial"/>
        <charset val="134"/>
      </rPr>
      <t>1</t>
    </r>
  </si>
  <si>
    <t>方向</t>
  </si>
  <si>
    <t>期初余额</t>
  </si>
  <si>
    <t>本期借方</t>
  </si>
  <si>
    <t>本期贷方</t>
  </si>
  <si>
    <t>借方累计</t>
  </si>
  <si>
    <t>贷方累计</t>
  </si>
  <si>
    <t>期末余额</t>
  </si>
  <si>
    <t>0300</t>
  </si>
  <si>
    <t>【项目：科桥餐饮公司】</t>
  </si>
  <si>
    <t>贷</t>
  </si>
  <si>
    <t>项目编码1</t>
  </si>
  <si>
    <t>求和项:期末余额</t>
  </si>
  <si>
    <t>0300-1</t>
  </si>
  <si>
    <t>【项目：科桥餐饮公司（内部交易）】</t>
  </si>
  <si>
    <t>借</t>
  </si>
  <si>
    <t>C001</t>
  </si>
  <si>
    <t>【项目：餐饮综合部】</t>
  </si>
  <si>
    <t>平</t>
  </si>
  <si>
    <t>0300-</t>
  </si>
  <si>
    <t>【项目：苏大本部方塔食堂】</t>
  </si>
  <si>
    <t>【项目：苏大东区四食堂】</t>
  </si>
  <si>
    <t>CF102-1</t>
  </si>
  <si>
    <t>【项目：苏大东区四食堂（快餐）】</t>
  </si>
  <si>
    <t>【项目：苏大东区教工食堂】</t>
  </si>
  <si>
    <t>【项目：苏大北区六食堂】</t>
  </si>
  <si>
    <t>【项目：苏大独墅湖一食堂】</t>
  </si>
  <si>
    <t>CF120-1</t>
  </si>
  <si>
    <t>【项目：苏大独墅湖一食堂（快餐）】</t>
  </si>
  <si>
    <t>【项目：苏大独墅湖二食堂】</t>
  </si>
  <si>
    <t>【项目：苏大独墅湖六食堂】</t>
  </si>
  <si>
    <t>CF124</t>
  </si>
  <si>
    <t>CF122-1</t>
  </si>
  <si>
    <t>【项目：苏大独墅湖六食堂（快餐）】</t>
  </si>
  <si>
    <t>CF122-3</t>
  </si>
  <si>
    <t>【项目：苏大独墅湖六食堂（强责）】</t>
  </si>
  <si>
    <t>【项目：苏州评弹学院食堂】</t>
  </si>
  <si>
    <t>CF127</t>
  </si>
  <si>
    <t>【项目：西浦大学宏愿南食堂】</t>
  </si>
  <si>
    <t>CF125-2</t>
  </si>
  <si>
    <t>【项目：西浦大学宏愿南食堂（分组作业）】</t>
  </si>
  <si>
    <t>【项目：西浦附校食堂】</t>
  </si>
  <si>
    <t>【项目：泰科老厂餐厅】</t>
  </si>
  <si>
    <t>【项目：泰科新厂餐厅】</t>
  </si>
  <si>
    <t>【项目：苏大独墅湖五食堂】</t>
  </si>
  <si>
    <t>CF134-1</t>
  </si>
  <si>
    <t>【项目：苏大独墅湖五食堂（快餐）】</t>
  </si>
  <si>
    <t>【项目：西浦大学宏愿北食堂】</t>
  </si>
  <si>
    <t>CF137-1</t>
  </si>
  <si>
    <t>【项目：西浦大学宏愿北食堂（快餐）】</t>
  </si>
  <si>
    <t>【项目：苏州生物产业园三期餐厅】</t>
  </si>
  <si>
    <t>【项目：苏州中科新药篮餐厅】</t>
  </si>
  <si>
    <t>【项目：西浦大学太仓校区食堂】</t>
  </si>
  <si>
    <t>CF140-1</t>
  </si>
  <si>
    <t>【项目：西浦大学太仓校区食堂（快餐）】</t>
  </si>
  <si>
    <t>【项目：泰科阳澄湖工厂】</t>
  </si>
  <si>
    <t>【项目：卡特彼勒（吴江）餐厅】</t>
  </si>
  <si>
    <t>【项目：高新区实验高中食堂（金山路校区）】</t>
  </si>
  <si>
    <t>【项目：高新区一中食堂（汾湖路校区）】</t>
  </si>
  <si>
    <t>【项目：高新区实验高中食堂（科技城校区）】</t>
  </si>
  <si>
    <t>【项目：高新区实验初中食堂（金山路校区）】</t>
  </si>
  <si>
    <t>【项目：高新区实验初中食堂（锦峰路校区）】</t>
  </si>
  <si>
    <t>【项目：高新区一中食堂（科技城校区）】</t>
  </si>
  <si>
    <t>【项目：高新区一初中食堂（珠江路校区）】</t>
  </si>
  <si>
    <t>【项目：中科大苏州研究院食堂】</t>
  </si>
  <si>
    <t>【项目：无锡工艺第二食堂】</t>
  </si>
  <si>
    <t>【项目：中医科苏州新校区食堂】</t>
  </si>
  <si>
    <t>【项目：苏旅财食堂】</t>
  </si>
  <si>
    <t>CF190-1</t>
  </si>
  <si>
    <t>【项目：苏旅财食堂（快餐）】</t>
  </si>
  <si>
    <t>【项目：苏州旭辉彩园餐厅】</t>
  </si>
  <si>
    <t>【项目：苏中附校苏州湾食堂】</t>
  </si>
  <si>
    <t>CF310</t>
  </si>
  <si>
    <t>【项目：苏州大脑营行餐厅】</t>
  </si>
  <si>
    <t>【项目：苏州职大第二学生食堂】</t>
  </si>
  <si>
    <t>CF270-3</t>
  </si>
  <si>
    <t>【项目：东大沙塘园食堂（强责）】</t>
  </si>
  <si>
    <t>【项目：苏州工学院南一食堂】</t>
  </si>
  <si>
    <t>CF272-3</t>
  </si>
  <si>
    <t>【项目：苏州工学院南一食堂（强责）】</t>
  </si>
  <si>
    <t>【项目：南大苏州校区科创大厦食堂】</t>
  </si>
  <si>
    <t>【项目：南大苏州校区西区二食堂】</t>
  </si>
  <si>
    <t>CF452</t>
  </si>
  <si>
    <t>CF275-1</t>
  </si>
  <si>
    <t>【项目：南大苏州校区西区二食堂（快餐）】</t>
  </si>
  <si>
    <t>CF275-2</t>
  </si>
  <si>
    <t>【项目：南大苏州校区西区二食堂（分组作业）】</t>
  </si>
  <si>
    <t>【项目：苏州经贸第二食堂】</t>
  </si>
  <si>
    <t>【项目：江苏二师石湫校区食堂】</t>
  </si>
  <si>
    <t>CF293-1</t>
  </si>
  <si>
    <t>【项目：江苏二师石湫校区食堂（快餐）】</t>
  </si>
  <si>
    <t>CF310-2</t>
  </si>
  <si>
    <t>【项目：常工院食堂（分组作业）】</t>
  </si>
  <si>
    <t>【项目：江苏财经梅园食堂】</t>
  </si>
  <si>
    <t>CF480</t>
  </si>
  <si>
    <t>【项目：扬大荷花池校区二楼食堂】</t>
  </si>
  <si>
    <t>【项目：南通师专新校区食堂】</t>
  </si>
  <si>
    <t>【项目：南通大学启东一期食堂一楼】</t>
  </si>
  <si>
    <t>【项目：江苏航运思本轩二楼食堂】</t>
  </si>
  <si>
    <t>【项目：天津大学学二食堂】</t>
  </si>
  <si>
    <t>【项目：兰州大学丹桂苑三楼食堂】</t>
  </si>
  <si>
    <t>CF640</t>
  </si>
  <si>
    <t>【项目：天津大学学四食堂】</t>
  </si>
  <si>
    <t>【项目：安工大七食堂】</t>
  </si>
  <si>
    <t>CF474-3</t>
  </si>
  <si>
    <t>【项目：安工大七食堂（强责）】</t>
  </si>
  <si>
    <t>【项目：国科大南京学院食堂】</t>
  </si>
  <si>
    <t>CF695</t>
  </si>
  <si>
    <t>CF475-1</t>
  </si>
  <si>
    <t>【项目：国科大南京学院食堂（快餐）】</t>
  </si>
  <si>
    <t>【项目：上海民航第一食堂】</t>
  </si>
  <si>
    <t>CF477-1</t>
  </si>
  <si>
    <t>【项目：上海民航第一食堂（快餐）】</t>
  </si>
  <si>
    <t>【项目：苏州华扬电子餐厅】</t>
  </si>
  <si>
    <t>【项目：江苏交通第一学生食堂】</t>
  </si>
  <si>
    <t>【项目：江苏旅游学生食堂二楼】</t>
  </si>
  <si>
    <t>【项目：常熟世华高级中学食堂】</t>
  </si>
  <si>
    <t>【项目：天津大学学三食堂】</t>
  </si>
  <si>
    <t>【项目：山西大学B6食堂三层】</t>
  </si>
  <si>
    <t>CF782</t>
  </si>
  <si>
    <t>【项目：广东财大雅食园食堂】</t>
  </si>
  <si>
    <t>(空白)</t>
  </si>
  <si>
    <t>【项目：中山大学北学二食堂】</t>
  </si>
  <si>
    <t>【项目：甘肃政法大学学生食堂】</t>
  </si>
  <si>
    <t>CF693-1</t>
  </si>
  <si>
    <t>【项目：甘肃政法大学学生食堂（快餐）】</t>
  </si>
  <si>
    <t>【项目：兰理工彭家坪北村食堂】</t>
  </si>
  <si>
    <t>CF694-1</t>
  </si>
  <si>
    <t>【项目：兰理工彭家坪北村食堂（快餐）】</t>
  </si>
  <si>
    <t>【项目：兰州办公室】</t>
  </si>
  <si>
    <t>【项目：甘肃省气象局餐厅】</t>
  </si>
  <si>
    <t>【项目：兰交大百苑二楼食堂】</t>
  </si>
  <si>
    <t>【项目：兰理工兰工坪校区第一食堂】</t>
  </si>
  <si>
    <t>【项目：徐医大第一食堂】</t>
  </si>
  <si>
    <t>【项目：北理工长三角研究院(嘉兴)食堂】</t>
  </si>
  <si>
    <t>【项目：国防科大（长沙）食堂】</t>
  </si>
  <si>
    <t>【项目：吉建大二食堂】</t>
  </si>
  <si>
    <t>【项目：苏食院第一学生食堂】</t>
  </si>
  <si>
    <t>【项目：宿迁安园中央厨房】</t>
  </si>
  <si>
    <t>CF101-1</t>
  </si>
  <si>
    <t>【项目：苏大本部方塔食堂（快餐）】</t>
  </si>
  <si>
    <t>CF108-1</t>
  </si>
  <si>
    <t>【项目：苏大北区六食堂（快餐）】</t>
  </si>
  <si>
    <t>CF108-3</t>
  </si>
  <si>
    <t>【项目：苏大北区六食堂（新疆餐厅）】</t>
  </si>
  <si>
    <t>CF182-1</t>
  </si>
  <si>
    <t>【项目：无锡工艺第二食堂（快餐）】</t>
  </si>
  <si>
    <t>CF251-1</t>
  </si>
  <si>
    <t>【项目：苏州职大第二学生食堂（快餐）】</t>
  </si>
  <si>
    <t>CF276-1</t>
  </si>
  <si>
    <t>【项目：苏州经贸第二食堂（快餐）】</t>
  </si>
  <si>
    <t>CF341-1</t>
  </si>
  <si>
    <t>【项目：扬大荷花池校区二楼食堂（快餐）】</t>
  </si>
  <si>
    <t>CF364-1</t>
  </si>
  <si>
    <t>【项目：江苏航运思本轩二楼食堂（快餐）】</t>
  </si>
  <si>
    <t>CF452-1</t>
  </si>
  <si>
    <t>【项目：兰州大学丹桂苑三楼食堂（快餐）】</t>
  </si>
  <si>
    <t>【项目：昆山康桥培英高级中学食堂】</t>
  </si>
  <si>
    <t>【项目：苏州北美高中食堂】</t>
  </si>
  <si>
    <t>分管领导</t>
  </si>
  <si>
    <t>区域</t>
  </si>
  <si>
    <t>项目经理</t>
  </si>
  <si>
    <t>王丽晓</t>
  </si>
  <si>
    <t>苏州工业园区莘源生鲜农产品配送服务有限公司</t>
  </si>
  <si>
    <t>张寅</t>
  </si>
  <si>
    <t xml:space="preserve">谢苗苗                                                                                                                                                                                                  </t>
  </si>
  <si>
    <t>Q021</t>
  </si>
  <si>
    <t>苏州星塘医院餐厅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</si>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</sst>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3" formatCode="_ * #,##0.00_ ;_ * \-#,##0.00_ ;_ * &quot;-&quot;??_ ;_ @_ "/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  <numFmt numFmtId="180" formatCode="0.00_ "/>
    <numFmt numFmtId="181" formatCode="yyyy&quot;年&quot;m&quot;月&quot;d&quot;日&quot;;@"/>
  </numFmts>
  <fonts count="47">
    <font>
      <sz val="10"/>
      <name val="Arial"/>
      <charset val="134"/>
    </font>
    <font>
      <sz val="10"/>
      <name val="宋体"/>
      <charset val="134"/>
    </font>
    <font>
      <sz val="16"/>
      <name val="Arial"/>
      <charset val="0"/>
    </font>
    <font>
      <sz val="10"/>
      <name val="Arial"/>
      <charset val="0"/>
    </font>
    <font>
      <b/>
      <sz val="10"/>
      <name val="Arial"/>
      <charset val="0"/>
    </font>
    <font>
      <b/>
      <sz val="16"/>
      <name val="宋体"/>
      <charset val="134"/>
    </font>
    <font>
      <sz val="16"/>
      <name val="宋体"/>
      <charset val="134"/>
    </font>
    <font>
      <b/>
      <sz val="10"/>
      <name val="宋体"/>
      <charset val="134"/>
    </font>
    <font>
      <b/>
      <sz val="10"/>
      <color theme="1"/>
      <name val="宋体"/>
      <charset val="134"/>
    </font>
    <font>
      <b/>
      <sz val="10"/>
      <color indexed="8"/>
      <name val="宋体"/>
      <charset val="134"/>
    </font>
    <font>
      <sz val="10"/>
      <color rgb="FF000000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0"/>
    </font>
    <font>
      <sz val="10"/>
      <color rgb="FFFF0000"/>
      <name val="宋体"/>
      <charset val="134"/>
    </font>
    <font>
      <sz val="9"/>
      <color indexed="8"/>
      <name val="宋体"/>
      <charset val="134"/>
    </font>
    <font>
      <b/>
      <sz val="11"/>
      <name val="宋体"/>
      <charset val="134"/>
    </font>
    <font>
      <sz val="11"/>
      <name val="等线"/>
      <charset val="134"/>
    </font>
    <font>
      <sz val="10"/>
      <name val="宋体"/>
      <charset val="0"/>
    </font>
    <font>
      <sz val="16"/>
      <name val="Arial"/>
      <charset val="134"/>
    </font>
    <font>
      <b/>
      <sz val="10"/>
      <name val="Arial"/>
      <charset val="134"/>
    </font>
    <font>
      <b/>
      <sz val="10"/>
      <color rgb="FF000000"/>
      <name val="宋体"/>
      <charset val="134"/>
    </font>
    <font>
      <sz val="9"/>
      <name val="宋体"/>
      <charset val="134"/>
    </font>
    <font>
      <b/>
      <sz val="18"/>
      <name val="宋体"/>
      <charset val="134"/>
    </font>
    <font>
      <sz val="14"/>
      <name val="等线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0" tint="-0.34995574816126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5"/>
        <bgColor indexed="64"/>
      </patternFill>
    </fill>
    <fill>
      <patternFill patternType="solid">
        <fgColor theme="0" tint="-0.3499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"/>
        <bgColor indexed="64"/>
      </patternFill>
    </fill>
    <fill>
      <patternFill patternType="solid">
        <fgColor theme="0" tint="-0.24997"/>
        <bgColor indexed="64"/>
      </patternFill>
    </fill>
    <fill>
      <patternFill patternType="solid">
        <fgColor theme="0" tint="-0.24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4" fillId="14" borderId="23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24" applyNumberFormat="0" applyFill="0" applyAlignment="0" applyProtection="0"/>
    <xf numFmtId="0" fontId="31" fillId="0" borderId="24" applyNumberFormat="0" applyFill="0" applyAlignment="0" applyProtection="0"/>
    <xf numFmtId="0" fontId="32" fillId="0" borderId="25" applyNumberFormat="0" applyFill="0" applyAlignment="0" applyProtection="0"/>
    <xf numFmtId="0" fontId="32" fillId="0" borderId="0" applyNumberFormat="0" applyFill="0" applyBorder="0" applyAlignment="0" applyProtection="0"/>
    <xf numFmtId="0" fontId="33" fillId="15" borderId="26" applyNumberFormat="0" applyAlignment="0" applyProtection="0"/>
    <xf numFmtId="0" fontId="34" fillId="16" borderId="27" applyNumberFormat="0" applyAlignment="0" applyProtection="0"/>
    <xf numFmtId="0" fontId="35" fillId="16" borderId="26" applyNumberFormat="0" applyAlignment="0" applyProtection="0"/>
    <xf numFmtId="0" fontId="36" fillId="17" borderId="28" applyNumberFormat="0" applyAlignment="0" applyProtection="0"/>
    <xf numFmtId="0" fontId="37" fillId="0" borderId="29" applyNumberFormat="0" applyFill="0" applyAlignment="0" applyProtection="0"/>
    <xf numFmtId="0" fontId="38" fillId="0" borderId="30" applyNumberFormat="0" applyFill="0" applyAlignment="0" applyProtection="0"/>
    <xf numFmtId="0" fontId="39" fillId="18" borderId="0" applyNumberFormat="0" applyBorder="0" applyAlignment="0" applyProtection="0"/>
    <xf numFmtId="0" fontId="40" fillId="19" borderId="0" applyNumberFormat="0" applyBorder="0" applyAlignment="0" applyProtection="0"/>
    <xf numFmtId="0" fontId="41" fillId="20" borderId="0" applyNumberFormat="0" applyBorder="0" applyAlignment="0" applyProtection="0"/>
    <xf numFmtId="0" fontId="42" fillId="21" borderId="0" applyNumberFormat="0" applyBorder="0" applyAlignment="0" applyProtection="0"/>
    <xf numFmtId="0" fontId="43" fillId="22" borderId="0" applyNumberFormat="0" applyBorder="0" applyAlignment="0" applyProtection="0"/>
    <xf numFmtId="0" fontId="43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43" fillId="26" borderId="0" applyNumberFormat="0" applyBorder="0" applyAlignment="0" applyProtection="0"/>
    <xf numFmtId="0" fontId="43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43" fillId="30" borderId="0" applyNumberFormat="0" applyBorder="0" applyAlignment="0" applyProtection="0"/>
    <xf numFmtId="0" fontId="43" fillId="31" borderId="0" applyNumberFormat="0" applyBorder="0" applyAlignment="0" applyProtection="0"/>
    <xf numFmtId="0" fontId="42" fillId="32" borderId="0" applyNumberFormat="0" applyBorder="0" applyAlignment="0" applyProtection="0"/>
    <xf numFmtId="0" fontId="42" fillId="33" borderId="0" applyNumberFormat="0" applyBorder="0" applyAlignment="0" applyProtection="0"/>
    <xf numFmtId="0" fontId="43" fillId="34" borderId="0" applyNumberFormat="0" applyBorder="0" applyAlignment="0" applyProtection="0"/>
    <xf numFmtId="0" fontId="43" fillId="35" borderId="0" applyNumberFormat="0" applyBorder="0" applyAlignment="0" applyProtection="0"/>
    <xf numFmtId="0" fontId="42" fillId="36" borderId="0" applyNumberFormat="0" applyBorder="0" applyAlignment="0" applyProtection="0"/>
    <xf numFmtId="0" fontId="42" fillId="37" borderId="0" applyNumberFormat="0" applyBorder="0" applyAlignment="0" applyProtection="0"/>
    <xf numFmtId="0" fontId="43" fillId="38" borderId="0" applyNumberFormat="0" applyBorder="0" applyAlignment="0" applyProtection="0"/>
    <xf numFmtId="0" fontId="43" fillId="39" borderId="0" applyNumberFormat="0" applyBorder="0" applyAlignment="0" applyProtection="0"/>
    <xf numFmtId="0" fontId="42" fillId="40" borderId="0" applyNumberFormat="0" applyBorder="0" applyAlignment="0" applyProtection="0"/>
    <xf numFmtId="0" fontId="42" fillId="41" borderId="0" applyNumberFormat="0" applyBorder="0" applyAlignment="0" applyProtection="0"/>
    <xf numFmtId="0" fontId="43" fillId="42" borderId="0" applyNumberFormat="0" applyBorder="0" applyAlignment="0" applyProtection="0"/>
    <xf numFmtId="0" fontId="43" fillId="43" borderId="0" applyNumberFormat="0" applyBorder="0" applyAlignment="0" applyProtection="0"/>
    <xf numFmtId="0" fontId="42" fillId="44" borderId="0" applyNumberFormat="0" applyBorder="0" applyAlignment="0" applyProtection="0"/>
  </cellStyleXfs>
  <cellXfs count="20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4" fontId="0" fillId="0" borderId="0" xfId="0" applyNumberFormat="1" applyAlignment="1">
      <alignment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wrapText="1"/>
    </xf>
    <xf numFmtId="49" fontId="3" fillId="0" borderId="0" xfId="0" applyNumberFormat="1" applyFont="1" applyFill="1" applyBorder="1" applyAlignment="1">
      <alignment horizontal="center"/>
    </xf>
    <xf numFmtId="176" fontId="3" fillId="0" borderId="0" xfId="0" applyNumberFormat="1" applyFont="1" applyFill="1" applyBorder="1" applyAlignment="1">
      <alignment horizont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textRotation="255" wrapText="1"/>
    </xf>
    <xf numFmtId="49" fontId="8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1" fillId="0" borderId="5" xfId="0" applyNumberFormat="1" applyFont="1" applyFill="1" applyBorder="1" applyAlignment="1">
      <alignment horizontal="left" vertical="center"/>
    </xf>
    <xf numFmtId="2" fontId="11" fillId="0" borderId="5" xfId="0" applyNumberFormat="1" applyFont="1" applyFill="1" applyBorder="1" applyAlignment="1">
      <alignment horizontal="center" vertical="center"/>
    </xf>
    <xf numFmtId="43" fontId="1" fillId="0" borderId="2" xfId="0" applyNumberFormat="1" applyFont="1" applyFill="1" applyBorder="1" applyAlignment="1">
      <alignment horizontal="center" vertical="center"/>
    </xf>
    <xf numFmtId="43" fontId="10" fillId="0" borderId="2" xfId="0" applyNumberFormat="1" applyFont="1" applyFill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left" vertical="center"/>
    </xf>
    <xf numFmtId="49" fontId="9" fillId="0" borderId="6" xfId="0" applyNumberFormat="1" applyFont="1" applyFill="1" applyBorder="1" applyAlignment="1">
      <alignment horizontal="center" vertical="center"/>
    </xf>
    <xf numFmtId="49" fontId="12" fillId="4" borderId="5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49" fontId="11" fillId="0" borderId="5" xfId="0" applyNumberFormat="1" applyFont="1" applyFill="1" applyBorder="1" applyAlignment="1">
      <alignment horizontal="center" vertical="center"/>
    </xf>
    <xf numFmtId="49" fontId="9" fillId="0" borderId="6" xfId="0" applyNumberFormat="1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 wrapText="1"/>
    </xf>
    <xf numFmtId="43" fontId="1" fillId="0" borderId="2" xfId="0" applyNumberFormat="1" applyFont="1" applyFill="1" applyBorder="1" applyAlignment="1">
      <alignment horizontal="center" vertical="center"/>
    </xf>
    <xf numFmtId="43" fontId="10" fillId="0" borderId="2" xfId="0" applyNumberFormat="1" applyFont="1" applyFill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center" vertical="center" wrapText="1"/>
    </xf>
    <xf numFmtId="49" fontId="10" fillId="0" borderId="2" xfId="0" applyNumberFormat="1" applyFont="1" applyFill="1" applyBorder="1" applyAlignment="1">
      <alignment horizontal="center" vertical="center"/>
    </xf>
    <xf numFmtId="49" fontId="9" fillId="4" borderId="7" xfId="0" applyNumberFormat="1" applyFont="1" applyFill="1" applyBorder="1" applyAlignment="1">
      <alignment horizontal="center" vertical="center"/>
    </xf>
    <xf numFmtId="49" fontId="11" fillId="5" borderId="5" xfId="0" applyNumberFormat="1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2" fontId="7" fillId="5" borderId="5" xfId="0" applyNumberFormat="1" applyFont="1" applyFill="1" applyBorder="1" applyAlignment="1">
      <alignment horizontal="center" vertical="center"/>
    </xf>
    <xf numFmtId="41" fontId="7" fillId="5" borderId="5" xfId="0" applyNumberFormat="1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left" vertical="center"/>
    </xf>
    <xf numFmtId="43" fontId="7" fillId="6" borderId="5" xfId="0" applyNumberFormat="1" applyFont="1" applyFill="1" applyBorder="1" applyAlignment="1">
      <alignment horizontal="center" vertical="center"/>
    </xf>
    <xf numFmtId="180" fontId="10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left" vertical="center"/>
    </xf>
    <xf numFmtId="43" fontId="7" fillId="5" borderId="5" xfId="0" applyNumberFormat="1" applyFont="1" applyFill="1" applyBorder="1" applyAlignment="1">
      <alignment horizontal="left" vertical="center"/>
    </xf>
    <xf numFmtId="49" fontId="9" fillId="0" borderId="5" xfId="0" applyNumberFormat="1" applyFont="1" applyFill="1" applyBorder="1" applyAlignment="1">
      <alignment horizontal="left" vertical="center"/>
    </xf>
    <xf numFmtId="49" fontId="14" fillId="4" borderId="5" xfId="0" applyNumberFormat="1" applyFont="1" applyFill="1" applyBorder="1" applyAlignment="1">
      <alignment horizontal="left" vertical="center"/>
    </xf>
    <xf numFmtId="0" fontId="11" fillId="0" borderId="5" xfId="0" applyFont="1" applyFill="1" applyBorder="1" applyAlignment="1">
      <alignment horizontal="left" vertical="center"/>
    </xf>
    <xf numFmtId="49" fontId="9" fillId="4" borderId="5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2" fontId="7" fillId="5" borderId="5" xfId="0" applyNumberFormat="1" applyFont="1" applyFill="1" applyBorder="1" applyAlignment="1">
      <alignment horizontal="left" vertical="center"/>
    </xf>
    <xf numFmtId="49" fontId="9" fillId="7" borderId="8" xfId="0" applyNumberFormat="1" applyFont="1" applyFill="1" applyBorder="1" applyAlignment="1">
      <alignment horizontal="center" vertical="center"/>
    </xf>
    <xf numFmtId="49" fontId="9" fillId="7" borderId="9" xfId="0" applyNumberFormat="1" applyFont="1" applyFill="1" applyBorder="1" applyAlignment="1">
      <alignment horizontal="center" vertical="center"/>
    </xf>
    <xf numFmtId="49" fontId="9" fillId="7" borderId="10" xfId="0" applyNumberFormat="1" applyFont="1" applyFill="1" applyBorder="1" applyAlignment="1">
      <alignment horizontal="center" vertical="center"/>
    </xf>
    <xf numFmtId="43" fontId="9" fillId="7" borderId="5" xfId="0" applyNumberFormat="1" applyFont="1" applyFill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center" vertical="center"/>
    </xf>
    <xf numFmtId="41" fontId="9" fillId="7" borderId="5" xfId="0" applyNumberFormat="1" applyFont="1" applyFill="1" applyBorder="1" applyAlignment="1">
      <alignment horizontal="center" vertical="center"/>
    </xf>
    <xf numFmtId="176" fontId="9" fillId="7" borderId="5" xfId="0" applyNumberFormat="1" applyFont="1" applyFill="1" applyBorder="1" applyAlignment="1">
      <alignment horizontal="center" vertical="center"/>
    </xf>
    <xf numFmtId="49" fontId="9" fillId="7" borderId="5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76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176" fontId="15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/>
    <xf numFmtId="0" fontId="18" fillId="0" borderId="0" xfId="0" applyNumberFormat="1" applyFont="1" applyFill="1" applyBorder="1" applyAlignment="1"/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 wrapText="1"/>
    </xf>
    <xf numFmtId="0" fontId="0" fillId="0" borderId="0" xfId="0" applyNumberFormat="1" applyFill="1" applyBorder="1" applyAlignment="1"/>
    <xf numFmtId="0" fontId="19" fillId="0" borderId="0" xfId="0" applyNumberFormat="1" applyFont="1" applyFill="1" applyBorder="1" applyAlignment="1"/>
    <xf numFmtId="0" fontId="0" fillId="0" borderId="0" xfId="0" applyAlignment="1">
      <alignment vertical="center" wrapText="1"/>
    </xf>
    <xf numFmtId="0" fontId="0" fillId="0" borderId="0" xfId="0" applyNumberFormat="1" applyFill="1" applyBorder="1" applyAlignment="1">
      <alignment horizontal="left" wrapText="1"/>
    </xf>
    <xf numFmtId="49" fontId="0" fillId="0" borderId="0" xfId="0" applyNumberFormat="1" applyFill="1" applyBorder="1" applyAlignment="1">
      <alignment horizontal="left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8" borderId="2" xfId="0" applyFont="1" applyFill="1" applyBorder="1" applyAlignment="1">
      <alignment horizontal="center" vertical="center" textRotation="255" wrapText="1"/>
    </xf>
    <xf numFmtId="49" fontId="8" fillId="9" borderId="2" xfId="0" applyNumberFormat="1" applyFont="1" applyFill="1" applyBorder="1" applyAlignment="1">
      <alignment horizontal="center" vertical="center" wrapText="1"/>
    </xf>
    <xf numFmtId="49" fontId="7" fillId="9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textRotation="255"/>
    </xf>
    <xf numFmtId="49" fontId="20" fillId="0" borderId="2" xfId="0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49" fontId="10" fillId="0" borderId="2" xfId="0" applyNumberFormat="1" applyFont="1" applyFill="1" applyBorder="1" applyAlignment="1">
      <alignment horizontal="left" vertical="center"/>
    </xf>
    <xf numFmtId="49" fontId="10" fillId="0" borderId="2" xfId="0" applyNumberFormat="1" applyFont="1" applyFill="1" applyBorder="1" applyAlignment="1">
      <alignment horizontal="left" vertical="center" wrapText="1"/>
    </xf>
    <xf numFmtId="2" fontId="10" fillId="0" borderId="2" xfId="0" applyNumberFormat="1" applyFont="1" applyFill="1" applyBorder="1" applyAlignment="1">
      <alignment horizontal="center" vertical="center"/>
    </xf>
    <xf numFmtId="43" fontId="10" fillId="0" borderId="2" xfId="0" applyNumberFormat="1" applyFont="1" applyFill="1" applyBorder="1" applyAlignment="1">
      <alignment horizontal="left" vertical="center"/>
    </xf>
    <xf numFmtId="43" fontId="10" fillId="0" borderId="2" xfId="0" applyNumberFormat="1" applyFont="1" applyFill="1" applyBorder="1" applyAlignment="1">
      <alignment horizontal="right" vertical="center"/>
    </xf>
    <xf numFmtId="43" fontId="10" fillId="0" borderId="2" xfId="0" applyNumberFormat="1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7" fillId="0" borderId="2" xfId="0" applyFont="1" applyFill="1" applyBorder="1" applyAlignment="1">
      <alignment horizontal="center" vertical="center" wrapText="1"/>
    </xf>
    <xf numFmtId="2" fontId="7" fillId="0" borderId="2" xfId="0" applyNumberFormat="1" applyFont="1" applyFill="1" applyBorder="1" applyAlignment="1">
      <alignment horizontal="center" vertical="center"/>
    </xf>
    <xf numFmtId="43" fontId="7" fillId="0" borderId="2" xfId="0" applyNumberFormat="1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center" wrapText="1"/>
    </xf>
    <xf numFmtId="43" fontId="7" fillId="0" borderId="2" xfId="0" applyNumberFormat="1" applyFont="1" applyFill="1" applyBorder="1" applyAlignment="1">
      <alignment horizontal="left" vertical="center" wrapText="1"/>
    </xf>
    <xf numFmtId="49" fontId="7" fillId="0" borderId="2" xfId="0" applyNumberFormat="1" applyFont="1" applyFill="1" applyBorder="1" applyAlignment="1">
      <alignment horizontal="left" vertical="center"/>
    </xf>
    <xf numFmtId="43" fontId="13" fillId="0" borderId="2" xfId="0" applyNumberFormat="1" applyFont="1" applyFill="1" applyBorder="1" applyAlignment="1">
      <alignment horizontal="left" vertical="center"/>
    </xf>
    <xf numFmtId="49" fontId="20" fillId="10" borderId="2" xfId="0" applyNumberFormat="1" applyFont="1" applyFill="1" applyBorder="1" applyAlignment="1">
      <alignment horizontal="center" vertical="center" textRotation="255"/>
    </xf>
    <xf numFmtId="49" fontId="20" fillId="10" borderId="2" xfId="0" applyNumberFormat="1" applyFont="1" applyFill="1" applyBorder="1" applyAlignment="1">
      <alignment horizontal="center" vertical="center"/>
    </xf>
    <xf numFmtId="49" fontId="10" fillId="11" borderId="2" xfId="0" applyNumberFormat="1" applyFont="1" applyFill="1" applyBorder="1" applyAlignment="1">
      <alignment horizontal="left" vertical="center"/>
    </xf>
    <xf numFmtId="2" fontId="7" fillId="11" borderId="2" xfId="0" applyNumberFormat="1" applyFont="1" applyFill="1" applyBorder="1" applyAlignment="1">
      <alignment horizontal="center" vertical="center"/>
    </xf>
    <xf numFmtId="43" fontId="7" fillId="11" borderId="2" xfId="0" applyNumberFormat="1" applyFont="1" applyFill="1" applyBorder="1" applyAlignment="1">
      <alignment horizontal="left" vertical="center"/>
    </xf>
    <xf numFmtId="49" fontId="7" fillId="11" borderId="2" xfId="0" applyNumberFormat="1" applyFont="1" applyFill="1" applyBorder="1" applyAlignment="1">
      <alignment horizontal="left" vertical="center" wrapText="1"/>
    </xf>
    <xf numFmtId="43" fontId="7" fillId="11" borderId="2" xfId="0" applyNumberFormat="1" applyFont="1" applyFill="1" applyBorder="1" applyAlignment="1">
      <alignment horizontal="left" vertical="center" wrapText="1"/>
    </xf>
    <xf numFmtId="43" fontId="7" fillId="11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0" fillId="0" borderId="11" xfId="0" applyNumberFormat="1" applyFont="1" applyFill="1" applyBorder="1" applyAlignment="1">
      <alignment horizontal="center" vertical="center" textRotation="255"/>
    </xf>
    <xf numFmtId="49" fontId="20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left" vertical="center"/>
    </xf>
    <xf numFmtId="49" fontId="20" fillId="0" borderId="13" xfId="0" applyNumberFormat="1" applyFont="1" applyFill="1" applyBorder="1" applyAlignment="1">
      <alignment horizontal="center" vertical="center" textRotation="255"/>
    </xf>
    <xf numFmtId="49" fontId="20" fillId="0" borderId="13" xfId="0" applyNumberFormat="1" applyFont="1" applyFill="1" applyBorder="1" applyAlignment="1">
      <alignment horizontal="center" vertical="center"/>
    </xf>
    <xf numFmtId="49" fontId="20" fillId="10" borderId="14" xfId="0" applyNumberFormat="1" applyFont="1" applyFill="1" applyBorder="1" applyAlignment="1">
      <alignment horizontal="center" vertical="center" textRotation="255"/>
    </xf>
    <xf numFmtId="49" fontId="20" fillId="10" borderId="14" xfId="0" applyNumberFormat="1" applyFont="1" applyFill="1" applyBorder="1" applyAlignment="1">
      <alignment horizontal="center" vertical="center"/>
    </xf>
    <xf numFmtId="49" fontId="7" fillId="11" borderId="12" xfId="0" applyNumberFormat="1" applyFont="1" applyFill="1" applyBorder="1" applyAlignment="1">
      <alignment horizontal="left" vertical="center"/>
    </xf>
    <xf numFmtId="2" fontId="7" fillId="11" borderId="2" xfId="0" applyNumberFormat="1" applyFont="1" applyFill="1" applyBorder="1" applyAlignment="1">
      <alignment horizontal="left" vertical="center"/>
    </xf>
    <xf numFmtId="49" fontId="13" fillId="0" borderId="2" xfId="0" applyNumberFormat="1" applyFont="1" applyFill="1" applyBorder="1" applyAlignment="1">
      <alignment horizontal="left" vertical="center" wrapText="1"/>
    </xf>
    <xf numFmtId="0" fontId="10" fillId="0" borderId="2" xfId="0" applyNumberFormat="1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 wrapText="1"/>
    </xf>
    <xf numFmtId="49" fontId="20" fillId="12" borderId="15" xfId="0" applyNumberFormat="1" applyFont="1" applyFill="1" applyBorder="1" applyAlignment="1">
      <alignment horizontal="center" vertical="center"/>
    </xf>
    <xf numFmtId="49" fontId="20" fillId="12" borderId="15" xfId="0" applyNumberFormat="1" applyFont="1" applyFill="1" applyBorder="1" applyAlignment="1">
      <alignment horizontal="center" vertical="center" wrapText="1"/>
    </xf>
    <xf numFmtId="43" fontId="20" fillId="12" borderId="15" xfId="0" applyNumberFormat="1" applyFont="1" applyFill="1" applyBorder="1" applyAlignment="1">
      <alignment horizontal="left" vertical="center"/>
    </xf>
    <xf numFmtId="49" fontId="20" fillId="12" borderId="15" xfId="0" applyNumberFormat="1" applyFont="1" applyFill="1" applyBorder="1" applyAlignment="1">
      <alignment horizontal="left" vertical="center" wrapText="1"/>
    </xf>
    <xf numFmtId="43" fontId="20" fillId="12" borderId="15" xfId="0" applyNumberFormat="1" applyFont="1" applyFill="1" applyBorder="1" applyAlignment="1">
      <alignment horizontal="left" vertical="center" wrapText="1"/>
    </xf>
    <xf numFmtId="43" fontId="20" fillId="12" borderId="15" xfId="0" applyNumberFormat="1" applyFont="1" applyFill="1" applyBorder="1" applyAlignment="1">
      <alignment horizontal="center" vertical="center"/>
    </xf>
    <xf numFmtId="49" fontId="20" fillId="12" borderId="16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180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 wrapText="1"/>
    </xf>
    <xf numFmtId="0" fontId="0" fillId="0" borderId="0" xfId="0" applyNumberFormat="1" applyFill="1" applyBorder="1" applyAlignment="1">
      <alignment wrapText="1"/>
    </xf>
    <xf numFmtId="0" fontId="21" fillId="0" borderId="0" xfId="0" applyFont="1" applyAlignment="1">
      <alignment horizontal="left" vertical="center"/>
    </xf>
    <xf numFmtId="49" fontId="20" fillId="10" borderId="2" xfId="0" applyNumberFormat="1" applyFont="1" applyFill="1" applyBorder="1" applyAlignment="1">
      <alignment horizontal="left" vertical="center"/>
    </xf>
    <xf numFmtId="49" fontId="10" fillId="10" borderId="2" xfId="0" applyNumberFormat="1" applyFont="1" applyFill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43" fontId="10" fillId="10" borderId="2" xfId="0" applyNumberFormat="1" applyFont="1" applyFill="1" applyBorder="1" applyAlignment="1">
      <alignment horizontal="left" vertical="center"/>
    </xf>
    <xf numFmtId="43" fontId="10" fillId="10" borderId="2" xfId="0" applyNumberFormat="1" applyFont="1" applyFill="1" applyBorder="1" applyAlignment="1">
      <alignment horizontal="right" vertical="center"/>
    </xf>
    <xf numFmtId="43" fontId="10" fillId="10" borderId="2" xfId="3" applyNumberFormat="1" applyFont="1" applyFill="1" applyBorder="1" applyAlignment="1">
      <alignment horizontal="right" vertical="center"/>
    </xf>
    <xf numFmtId="49" fontId="20" fillId="11" borderId="2" xfId="0" applyNumberFormat="1" applyFont="1" applyFill="1" applyBorder="1" applyAlignment="1">
      <alignment vertical="center"/>
    </xf>
    <xf numFmtId="49" fontId="20" fillId="11" borderId="2" xfId="0" applyNumberFormat="1" applyFont="1" applyFill="1" applyBorder="1" applyAlignment="1">
      <alignment horizontal="center" vertical="center"/>
    </xf>
    <xf numFmtId="43" fontId="20" fillId="11" borderId="2" xfId="0" applyNumberFormat="1" applyFont="1" applyFill="1" applyBorder="1" applyAlignment="1">
      <alignment horizontal="left" vertical="center"/>
    </xf>
    <xf numFmtId="43" fontId="20" fillId="11" borderId="2" xfId="0" applyNumberFormat="1" applyFont="1" applyFill="1" applyBorder="1" applyAlignment="1">
      <alignment horizontal="right" vertical="center"/>
    </xf>
    <xf numFmtId="43" fontId="20" fillId="11" borderId="2" xfId="0" applyNumberFormat="1" applyFont="1" applyFill="1" applyBorder="1" applyAlignment="1">
      <alignment horizontal="left" vertical="center" wrapText="1"/>
    </xf>
    <xf numFmtId="43" fontId="20" fillId="11" borderId="2" xfId="3" applyNumberFormat="1" applyFont="1" applyFill="1" applyBorder="1" applyAlignment="1">
      <alignment horizontal="right" vertical="center"/>
    </xf>
    <xf numFmtId="43" fontId="10" fillId="10" borderId="2" xfId="0" applyNumberFormat="1" applyFont="1" applyFill="1" applyBorder="1" applyAlignment="1">
      <alignment horizontal="left" vertical="center" wrapText="1"/>
    </xf>
    <xf numFmtId="43" fontId="20" fillId="11" borderId="2" xfId="0" applyNumberFormat="1" applyFont="1" applyFill="1" applyBorder="1" applyAlignment="1">
      <alignment horizontal="center" vertical="center"/>
    </xf>
    <xf numFmtId="49" fontId="20" fillId="10" borderId="2" xfId="0" applyNumberFormat="1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3" fontId="10" fillId="10" borderId="12" xfId="0" applyNumberFormat="1" applyFont="1" applyFill="1" applyBorder="1" applyAlignment="1">
      <alignment horizontal="left" vertical="center"/>
    </xf>
    <xf numFmtId="49" fontId="10" fillId="10" borderId="2" xfId="0" applyNumberFormat="1" applyFont="1" applyFill="1" applyBorder="1" applyAlignment="1">
      <alignment horizontal="left" vertical="center" wrapText="1"/>
    </xf>
    <xf numFmtId="43" fontId="20" fillId="11" borderId="12" xfId="0" applyNumberFormat="1" applyFont="1" applyFill="1" applyBorder="1" applyAlignment="1">
      <alignment horizontal="left" vertical="center"/>
    </xf>
    <xf numFmtId="43" fontId="7" fillId="13" borderId="15" xfId="0" applyNumberFormat="1" applyFont="1" applyFill="1" applyBorder="1" applyAlignment="1">
      <alignment horizontal="center" vertical="center"/>
    </xf>
    <xf numFmtId="43" fontId="20" fillId="12" borderId="16" xfId="0" applyNumberFormat="1" applyFont="1" applyFill="1" applyBorder="1" applyAlignment="1">
      <alignment horizontal="left" vertical="center"/>
    </xf>
    <xf numFmtId="180" fontId="15" fillId="0" borderId="0" xfId="0" applyNumberFormat="1" applyFont="1" applyAlignment="1">
      <alignment horizontal="left" vertical="center"/>
    </xf>
    <xf numFmtId="181" fontId="15" fillId="0" borderId="0" xfId="0" applyNumberFormat="1" applyFont="1" applyAlignment="1">
      <alignment horizontal="left" vertical="center" wrapText="1"/>
    </xf>
    <xf numFmtId="49" fontId="5" fillId="0" borderId="17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center" vertical="center"/>
    </xf>
    <xf numFmtId="49" fontId="5" fillId="0" borderId="19" xfId="0" applyNumberFormat="1" applyFont="1" applyBorder="1" applyAlignment="1">
      <alignment horizontal="center" vertical="center"/>
    </xf>
    <xf numFmtId="49" fontId="20" fillId="10" borderId="11" xfId="0" applyNumberFormat="1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left" vertical="center"/>
    </xf>
    <xf numFmtId="49" fontId="20" fillId="10" borderId="13" xfId="0" applyNumberFormat="1" applyFont="1" applyFill="1" applyBorder="1" applyAlignment="1">
      <alignment horizontal="center" vertical="center"/>
    </xf>
    <xf numFmtId="49" fontId="20" fillId="11" borderId="2" xfId="0" applyNumberFormat="1" applyFont="1" applyFill="1" applyBorder="1" applyAlignment="1">
      <alignment horizontal="left" vertical="center"/>
    </xf>
    <xf numFmtId="49" fontId="20" fillId="12" borderId="2" xfId="0" applyNumberFormat="1" applyFont="1" applyFill="1" applyBorder="1" applyAlignment="1">
      <alignment horizontal="center" vertical="center"/>
    </xf>
    <xf numFmtId="43" fontId="20" fillId="12" borderId="2" xfId="0" applyNumberFormat="1" applyFont="1" applyFill="1" applyBorder="1" applyAlignment="1">
      <alignment horizontal="right" vertical="center"/>
    </xf>
    <xf numFmtId="49" fontId="20" fillId="12" borderId="2" xfId="0" applyNumberFormat="1" applyFont="1" applyFill="1" applyBorder="1" applyAlignment="1">
      <alignment horizontal="left" vertical="center"/>
    </xf>
    <xf numFmtId="43" fontId="20" fillId="12" borderId="2" xfId="0" applyNumberFormat="1" applyFont="1" applyFill="1" applyBorder="1" applyAlignment="1">
      <alignment horizontal="left" vertical="center"/>
    </xf>
    <xf numFmtId="0" fontId="0" fillId="0" borderId="0" xfId="0" applyNumberFormat="1" applyFill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6" fillId="0" borderId="0" xfId="0" applyFont="1"/>
    <xf numFmtId="0" fontId="7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180" fontId="7" fillId="8" borderId="2" xfId="0" applyNumberFormat="1" applyFont="1" applyFill="1" applyBorder="1" applyAlignment="1">
      <alignment horizontal="center" vertical="center"/>
    </xf>
    <xf numFmtId="180" fontId="7" fillId="8" borderId="20" xfId="0" applyNumberFormat="1" applyFont="1" applyFill="1" applyBorder="1" applyAlignment="1">
      <alignment horizontal="center" vertical="center"/>
    </xf>
    <xf numFmtId="180" fontId="7" fillId="8" borderId="21" xfId="0" applyNumberFormat="1" applyFont="1" applyFill="1" applyBorder="1" applyAlignment="1">
      <alignment horizontal="center" vertical="center"/>
    </xf>
    <xf numFmtId="180" fontId="7" fillId="8" borderId="22" xfId="0" applyNumberFormat="1" applyFont="1" applyFill="1" applyBorder="1" applyAlignment="1">
      <alignment horizontal="center" vertical="center"/>
    </xf>
    <xf numFmtId="0" fontId="23" fillId="0" borderId="0" xfId="0" applyFont="1"/>
    <xf numFmtId="0" fontId="1" fillId="8" borderId="2" xfId="0" applyFont="1" applyFill="1" applyBorder="1"/>
    <xf numFmtId="180" fontId="7" fillId="8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43" fontId="7" fillId="0" borderId="2" xfId="0" applyNumberFormat="1" applyFont="1" applyBorder="1" applyAlignment="1">
      <alignment vertical="center"/>
    </xf>
    <xf numFmtId="43" fontId="7" fillId="0" borderId="2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57" fontId="7" fillId="0" borderId="2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 wrapText="1"/>
    </xf>
    <xf numFmtId="43" fontId="7" fillId="8" borderId="2" xfId="0" applyNumberFormat="1" applyFont="1" applyFill="1" applyBorder="1" applyAlignment="1">
      <alignment horizontal="center" vertical="center"/>
    </xf>
    <xf numFmtId="180" fontId="15" fillId="0" borderId="0" xfId="0" applyNumberFormat="1" applyFont="1"/>
    <xf numFmtId="0" fontId="15" fillId="0" borderId="0" xfId="0" applyFont="1" applyAlignment="1">
      <alignment vertical="center" wrapText="1"/>
    </xf>
    <xf numFmtId="181" fontId="15" fillId="0" borderId="0" xfId="0" applyNumberFormat="1" applyFont="1" applyAlignment="1">
      <alignment vertical="center" wrapText="1"/>
    </xf>
    <xf numFmtId="0" fontId="24" fillId="0" borderId="0" xfId="0" applyFont="1"/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9.719849537" refreshedBy="云淡" recordCount="186">
  <cacheSource type="worksheet">
    <worksheetSource ref="C1:L1048576" sheet="Sheet1"/>
  </cacheSource>
  <cacheFields count="10">
    <cacheField name="项目编码1" numFmtId="0">
      <sharedItems containsBlank="1" count="77">
        <s v="0300"/>
        <s v="0300-"/>
        <s v="C001"/>
        <s v="CF101"/>
        <s v="CF102"/>
        <s v="CF107"/>
        <s v="CF108"/>
        <s v="CF120"/>
        <s v="CF121"/>
        <s v="CF122"/>
        <s v="CF124"/>
        <s v="CF125"/>
        <s v="CF126"/>
        <s v="CF127"/>
        <s v="CF134"/>
        <s v="CF137"/>
        <s v="CF138"/>
        <s v="CF139"/>
        <s v="CF140"/>
        <s v="CF141"/>
        <s v="CF142"/>
        <s v="CF160"/>
        <s v="CF173"/>
        <s v="CF174"/>
        <s v="CF175"/>
        <s v="CF177"/>
        <s v="CF179"/>
        <s v="CF180"/>
        <s v="CF181"/>
        <s v="CF182"/>
        <s v="CF183"/>
        <s v="CF190"/>
        <s v="CF191"/>
        <s v="CF212"/>
        <s v="CF213"/>
        <s v="CF251"/>
        <s v="CF270"/>
        <s v="CF272"/>
        <s v="CF273"/>
        <s v="CF275"/>
        <s v="CF276"/>
        <s v="CF293"/>
        <s v="CF310"/>
        <s v="CF320"/>
        <s v="CF341"/>
        <s v="CF360"/>
        <s v="CF363"/>
        <s v="CF364"/>
        <s v="CF450"/>
        <s v="CF452"/>
        <s v="CF453"/>
        <s v="CF474"/>
        <s v="CF475"/>
        <s v="CF477"/>
        <s v="CF478"/>
        <s v="CF479"/>
        <s v="CF480"/>
        <s v="CF481"/>
        <s v="CF513"/>
        <s v="CF620"/>
        <s v="CF640"/>
        <s v="CF641"/>
        <s v="CF693"/>
        <s v="CF694"/>
        <s v="CF695"/>
        <s v="CF696"/>
        <s v="CF697"/>
        <s v="CF698"/>
        <s v="CF699"/>
        <s v="CF700"/>
        <s v="CF751"/>
        <s v="CF780"/>
        <s v="CF781"/>
        <s v="CF782"/>
        <s v="CF514"/>
        <s v="CF516"/>
        <m/>
      </sharedItems>
    </cacheField>
    <cacheField name="项目名称" numFmtId="0">
      <sharedItems containsBlank="1" count="105">
        <s v="【项目：科桥餐饮公司】"/>
        <s v="【项目：科桥餐饮公司（内部交易）】"/>
        <s v="【项目：餐饮综合部】"/>
        <s v="【项目：苏大本部方塔食堂】"/>
        <s v="【项目：苏大东区四食堂】"/>
        <s v="【项目：苏大东区四食堂（快餐）】"/>
        <s v="【项目：苏大东区教工食堂】"/>
        <s v="【项目：苏大北区六食堂】"/>
        <s v="【项目：苏大独墅湖一食堂】"/>
        <s v="【项目：苏大独墅湖一食堂（快餐）】"/>
        <s v="【项目：苏大独墅湖二食堂】"/>
        <s v="【项目：苏大独墅湖六食堂】"/>
        <s v="【项目：苏大独墅湖六食堂（快餐）】"/>
        <s v="【项目：苏大独墅湖六食堂（强责）】"/>
        <s v="【项目：苏州评弹学院食堂】"/>
        <s v="【项目：西浦大学宏愿南食堂】"/>
        <s v="【项目：西浦大学宏愿南食堂（分组作业）】"/>
        <s v="【项目：西浦附校食堂】"/>
        <s v="【项目：泰科老厂餐厅】"/>
        <s v="【项目：泰科新厂餐厅】"/>
        <s v="【项目：苏大独墅湖五食堂】"/>
        <s v="【项目：苏大独墅湖五食堂（快餐）】"/>
        <s v="【项目：西浦大学宏愿北食堂】"/>
        <s v="【项目：西浦大学宏愿北食堂（快餐）】"/>
        <s v="【项目：苏州生物产业园三期餐厅】"/>
        <s v="【项目：苏州中科新药篮餐厅】"/>
        <s v="【项目：西浦大学太仓校区食堂】"/>
        <s v="【项目：西浦大学太仓校区食堂（快餐）】"/>
        <s v="【项目：泰科阳澄湖工厂】"/>
        <s v="【项目：卡特彼勒（吴江）餐厅】"/>
        <s v="【项目：高新区实验高中食堂（金山路校区）】"/>
        <s v="【项目：高新区一中食堂（汾湖路校区）】"/>
        <s v="【项目：高新区实验高中食堂（科技城校区）】"/>
        <s v="【项目：高新区实验初中食堂（金山路校区）】"/>
        <s v="【项目：高新区实验初中食堂（锦峰路校区）】"/>
        <s v="【项目：高新区一中食堂（科技城校区）】"/>
        <s v="【项目：高新区一初中食堂（珠江路校区）】"/>
        <s v="【项目：中科大苏州研究院食堂】"/>
        <s v="【项目：无锡工艺第二食堂】"/>
        <s v="【项目：中医科苏州新校区食堂】"/>
        <s v="【项目：苏旅财食堂】"/>
        <s v="【项目：苏旅财食堂（快餐）】"/>
        <s v="【项目：苏州旭辉彩园餐厅】"/>
        <s v="【项目：苏中附校苏州湾食堂】"/>
        <s v="【项目：苏州大脑营行餐厅】"/>
        <s v="【项目：苏州职大第二学生食堂】"/>
        <s v="【项目：东大沙塘园食堂（强责）】"/>
        <s v="【项目：苏州工学院南一食堂】"/>
        <s v="【项目：苏州工学院南一食堂（强责）】"/>
        <s v="【项目：南大苏州校区科创大厦食堂】"/>
        <s v="【项目：南大苏州校区西区二食堂】"/>
        <s v="【项目：南大苏州校区西区二食堂（快餐）】"/>
        <s v="【项目：南大苏州校区西区二食堂（分组作业）】"/>
        <s v="【项目：苏州经贸第二食堂】"/>
        <s v="【项目：江苏二师石湫校区食堂】"/>
        <s v="【项目：江苏二师石湫校区食堂（快餐）】"/>
        <s v="【项目：常工院食堂（分组作业）】"/>
        <s v="【项目：江苏财经梅园食堂】"/>
        <s v="【项目：扬大荷花池校区二楼食堂】"/>
        <s v="【项目：南通师专新校区食堂】"/>
        <s v="【项目：南通大学启东一期食堂一楼】"/>
        <s v="【项目：江苏航运思本轩二楼食堂】"/>
        <s v="【项目：天津大学学二食堂】"/>
        <s v="【项目：兰州大学丹桂苑三楼食堂】"/>
        <s v="【项目：天津大学学四食堂】"/>
        <s v="【项目：安工大七食堂】"/>
        <s v="【项目：安工大七食堂（强责）】"/>
        <s v="【项目：国科大南京学院食堂】"/>
        <s v="【项目：国科大南京学院食堂（快餐）】"/>
        <s v="【项目：上海民航第一食堂】"/>
        <s v="【项目：上海民航第一食堂（快餐）】"/>
        <s v="【项目：苏州华扬电子餐厅】"/>
        <s v="【项目：江苏交通第一学生食堂】"/>
        <s v="【项目：江苏旅游学生食堂二楼】"/>
        <s v="【项目：常熟世华高级中学食堂】"/>
        <s v="【项目：天津大学学三食堂】"/>
        <s v="【项目：山西大学B6食堂三层】"/>
        <s v="【项目：广东财大雅食园食堂】"/>
        <s v="【项目：中山大学北学二食堂】"/>
        <s v="【项目：甘肃政法大学学生食堂】"/>
        <s v="【项目：甘肃政法大学学生食堂（快餐）】"/>
        <s v="【项目：兰理工彭家坪北村食堂】"/>
        <s v="【项目：兰理工彭家坪北村食堂（快餐）】"/>
        <s v="【项目：兰州办公室】"/>
        <s v="【项目：甘肃省气象局餐厅】"/>
        <s v="【项目：兰交大百苑二楼食堂】"/>
        <s v="【项目：兰理工兰工坪校区第一食堂】"/>
        <s v="【项目：徐医大第一食堂】"/>
        <s v="【项目：北理工长三角研究院(嘉兴)食堂】"/>
        <s v="【项目：国防科大（长沙）食堂】"/>
        <s v="【项目：吉建大二食堂】"/>
        <s v="【项目：苏食院第一学生食堂】"/>
        <s v="【项目：宿迁安园中央厨房】"/>
        <s v="【项目：苏大本部方塔食堂（快餐）】"/>
        <s v="【项目：苏大北区六食堂（快餐）】"/>
        <s v="【项目：苏大北区六食堂（新疆餐厅）】"/>
        <s v="【项目：无锡工艺第二食堂（快餐）】"/>
        <s v="【项目：苏州职大第二学生食堂（快餐）】"/>
        <s v="【项目：苏州经贸第二食堂（快餐）】"/>
        <s v="【项目：扬大荷花池校区二楼食堂（快餐）】"/>
        <s v="【项目：江苏航运思本轩二楼食堂（快餐）】"/>
        <s v="【项目：兰州大学丹桂苑三楼食堂（快餐）】"/>
        <s v="【项目：昆山康桥培英高级中学食堂】"/>
        <s v="【项目：苏州北美高中食堂】"/>
        <m/>
      </sharedItems>
    </cacheField>
    <cacheField name="方向" numFmtId="0">
      <sharedItems containsBlank="1" count="4">
        <s v="贷"/>
        <s v="借"/>
        <s v="平"/>
        <m/>
      </sharedItems>
    </cacheField>
    <cacheField name="期初余额" numFmtId="0">
      <sharedItems containsString="0" containsBlank="1" containsNumber="1" minValue="150" maxValue="5562171.67" count="119">
        <n v="1299729.78"/>
        <n v="1017963.91"/>
        <m/>
        <n v="200"/>
        <n v="4647"/>
        <n v="150"/>
        <n v="2160"/>
        <n v="60950"/>
        <n v="1622030.1"/>
        <n v="2903243"/>
        <n v="5562171.67"/>
        <n v="8329"/>
        <n v="2250"/>
        <n v="27509.51"/>
        <n v="57827.8"/>
        <n v="232885"/>
        <n v="1708329.02"/>
        <n v="1150008.79"/>
        <n v="1720058.45"/>
        <n v="755109.32"/>
        <n v="663072.08"/>
        <n v="770840.33"/>
        <n v="641321.74"/>
        <n v="626132.1"/>
        <n v="1120"/>
        <n v="10270"/>
        <n v="78484.24"/>
        <n v="1401919.26"/>
        <n v="221934.65"/>
        <n v="1202037"/>
        <n v="900"/>
        <n v="3039439.35"/>
        <n v="85744.4"/>
        <n v="87900"/>
        <n v="7930"/>
        <n v="250"/>
        <n v="42484.28"/>
        <n v="692453.4"/>
        <n v="23880"/>
        <n v="160124.28"/>
        <n v="3189.04"/>
        <n v="5073"/>
        <n v="617753.27"/>
        <n v="345127.78"/>
        <n v="5690"/>
        <n v="680"/>
        <n v="2548.25"/>
        <n v="94490"/>
        <n v="13200"/>
        <n v="1451543.14"/>
        <n v="308971.32"/>
        <n v="267261.63"/>
        <n v="2400"/>
        <n v="332864.2"/>
        <n v="14725"/>
        <n v="150336.07"/>
        <n v="2390"/>
        <n v="369100.8"/>
        <n v="215251.95"/>
        <n v="13565"/>
        <n v="366274.05"/>
        <n v="1080"/>
        <n v="272619.13"/>
        <n v="428645.95"/>
        <n v="60224.1"/>
        <n v="1624802.31"/>
        <n v="1999573.34"/>
        <n v="114243.9"/>
        <n v="300"/>
        <n v="231257.3"/>
        <n v="215160.73"/>
        <n v="725553.61"/>
        <n v="1283271.24"/>
        <n v="2219706.32"/>
        <n v="1217685.54"/>
        <n v="207907.15"/>
        <n v="629145.62"/>
        <n v="2236211.57"/>
        <n v="240031.95"/>
        <n v="154587.69"/>
        <n v="2355"/>
        <n v="784257.37"/>
        <n v="186997.54"/>
        <n v="185247.66"/>
        <n v="102684.65"/>
        <n v="41559.65"/>
        <n v="74511.48"/>
        <n v="2910503.25"/>
        <n v="175277.73"/>
        <n v="297283.95"/>
        <n v="469746.71"/>
        <n v="185037.96"/>
        <n v="577129.66"/>
        <n v="203524.95"/>
        <n v="45619.85"/>
        <n v="32077.5"/>
        <n v="662832.36"/>
        <n v="180516.21"/>
        <n v="3930.25"/>
        <n v="566785.31"/>
        <n v="55472.47"/>
        <n v="116852.03"/>
        <n v="949743.12"/>
        <n v="319312.61"/>
        <n v="244000"/>
        <n v="5710"/>
        <n v="134433.57"/>
        <n v="45516.47"/>
        <n v="87133.66"/>
        <n v="79017.47"/>
        <n v="371222.95"/>
        <n v="72900"/>
        <n v="1865339.35"/>
        <n v="512278.19"/>
        <n v="239246.3"/>
        <n v="371212.13"/>
        <n v="793875"/>
        <n v="958667.83"/>
        <n v="529041.1"/>
      </sharedItems>
    </cacheField>
    <cacheField name="本期借方" numFmtId="0">
      <sharedItems containsString="0" containsBlank="1" containsNumber="1" minValue="-661734.36" maxValue="2024661.85" count="70">
        <m/>
        <n v="391930.65"/>
        <n v="900"/>
        <n v="171692.17"/>
        <n v="204529.1"/>
        <n v="1631816.01"/>
        <n v="2024661.85"/>
        <n v="17426.01"/>
        <n v="211008.13"/>
        <n v="200819.63"/>
        <n v="729012.44"/>
        <n v="154787.69"/>
        <n v="93525.67"/>
        <n v="185507.16"/>
        <n v="102684.65"/>
        <n v="1139440.51"/>
        <n v="283635.41"/>
        <n v="87019.61"/>
        <n v="660115.17"/>
        <n v="185717.32"/>
        <n v="55472.47"/>
        <n v="146935.42"/>
        <n v="251149.6"/>
        <n v="138087.57"/>
        <n v="45516.47"/>
        <n v="366582.95"/>
        <n v="96121.68"/>
        <n v="84762.34"/>
        <n v="740520"/>
        <n v="381047.4"/>
        <n v="211327.18"/>
        <n v="4893.22"/>
        <n v="456846.1"/>
        <n v="-149572.26"/>
        <n v="-133046.73"/>
        <n v="194655.82"/>
        <n v="7988.75"/>
        <n v="84446.41"/>
        <n v="111638.94"/>
        <n v="149297.62"/>
        <n v="98750"/>
        <n v="8498.08"/>
        <n v="115940.99"/>
        <n v="-19670.16"/>
        <n v="289704.29"/>
        <n v="-3324.38"/>
        <n v="46333.74"/>
        <n v="129572.97"/>
        <n v="-108582.27"/>
        <n v="576449.96"/>
        <n v="211357.84"/>
        <n v="-661734.36"/>
        <n v="75871.16"/>
        <n v="258442.95"/>
        <n v="1519.6"/>
        <n v="33492.2"/>
        <n v="-24291.31"/>
        <n v="-73828.6"/>
        <n v="-101887.45"/>
        <n v="-254.98"/>
        <n v="568469"/>
        <n v="92052.3"/>
        <n v="-366582.95"/>
        <n v="86022"/>
        <n v="205150.77"/>
        <n v="11416.75"/>
        <n v="128640.32"/>
        <n v="-113492.5"/>
        <n v="217411.76"/>
        <n v="-261565.26"/>
      </sharedItems>
    </cacheField>
    <cacheField name="本期贷方" numFmtId="0">
      <sharedItems containsString="0" containsBlank="1" containsNumber="1" minValue="1500" maxValue="1335539.2" count="33">
        <m/>
        <n v="112507.42"/>
        <n v="2782"/>
        <n v="176832.17"/>
        <n v="1335539.2"/>
        <n v="29149.31"/>
        <n v="56979.2"/>
        <n v="14948.2"/>
        <n v="182854.99"/>
        <n v="293724.63"/>
        <n v="85245.73"/>
        <n v="454091.34"/>
        <n v="266033.24"/>
        <n v="154677.69"/>
        <n v="177575.02"/>
        <n v="1244835.51"/>
        <n v="95885.41"/>
        <n v="54768.61"/>
        <n v="661880.17"/>
        <n v="1500"/>
        <n v="185717.32"/>
        <n v="55472.47"/>
        <n v="34305"/>
        <n v="251149.6"/>
        <n v="5040"/>
        <n v="3960"/>
        <n v="45516.47"/>
        <n v="310465.25"/>
        <n v="96121.68"/>
        <n v="37580.66"/>
        <n v="180233.27"/>
        <n v="381047.4"/>
        <n v="32077.5"/>
      </sharedItems>
    </cacheField>
    <cacheField name="借方累计" numFmtId="0">
      <sharedItems containsString="0" containsBlank="1" containsNumber="1" minValue="-2928505.27" maxValue="17278606.65" count="158">
        <m/>
        <n v="2336262.69"/>
        <n v="1199.4"/>
        <n v="2065637.18"/>
        <n v="2385938.71"/>
        <n v="529905.26"/>
        <n v="1481247.31"/>
        <n v="3350251.78"/>
        <n v="2740413.91"/>
        <n v="2164861.51"/>
        <n v="-660"/>
        <n v="300"/>
        <n v="1830619.5"/>
        <n v="3492840.89"/>
        <n v="-2475"/>
        <n v="11918149.07"/>
        <n v="12117081"/>
        <n v="14984874.27"/>
        <n v="1967704.87"/>
        <n v="-60"/>
        <n v="2149525.1"/>
        <n v="1404764.82"/>
        <n v="1512518.68"/>
        <n v="1322100.51"/>
        <n v="5734117.44"/>
        <n v="2934195.19"/>
        <n v="1320058.45"/>
        <n v="3569933.8"/>
        <n v="2270847.91"/>
        <n v="1877311.04"/>
        <n v="448248.16"/>
        <n v="2953440.51"/>
        <n v="746635.48"/>
        <n v="1224233.19"/>
        <n v="1928343.39"/>
        <n v="1742294.32"/>
        <n v="1024936.16"/>
        <n v="1441081.02"/>
        <n v="1667698.37"/>
        <n v="4666741.06"/>
        <n v="4644900"/>
        <n v="5033546.61"/>
        <n v="1692637.38"/>
        <n v="4703075.23"/>
        <n v="2897138.6"/>
        <n v="589874.71"/>
        <n v="2299348.2"/>
        <n v="4503340.43"/>
        <n v="1462314.3"/>
        <n v="4474120.75"/>
        <n v="2866549.33"/>
        <n v="2428335.38"/>
        <n v="6951566.15"/>
        <n v="2472137.2"/>
        <n v="542787.86"/>
        <n v="4486848.4"/>
        <n v="2307442.73"/>
        <n v="420489.03"/>
        <n v="5339000.87"/>
        <n v="2186690.12"/>
        <n v="2780261.17"/>
        <n v="1540103.91"/>
        <n v="1310277.9"/>
        <n v="456380.92"/>
        <n v="1696671.25"/>
        <n v="418281.92"/>
        <n v="2754973.96"/>
        <n v="3709847.99"/>
        <n v="875317.04"/>
        <n v="459470"/>
        <n v="6237950.34"/>
        <n v="6155790.56"/>
        <n v="5447984.94"/>
        <n v="84762.34"/>
        <n v="6866214.07"/>
        <n v="17278606.65"/>
        <n v="2965461.87"/>
        <n v="358400"/>
        <n v="-1308040"/>
        <n v="268976.65"/>
        <n v="-104686.5"/>
        <n v="-332301.12"/>
        <n v="-21763"/>
        <n v="-82022.4"/>
        <n v="-79681.78"/>
        <n v="-48784.5"/>
        <n v="-87000"/>
        <n v="-244737.95"/>
        <n v="-49125"/>
        <n v="-264292.89"/>
        <n v="11348.57"/>
        <n v="-6980"/>
        <n v="-3616"/>
        <n v="-822275.87"/>
        <n v="-106194.59"/>
        <n v="-42258.79"/>
        <n v="-314967.49"/>
        <n v="-13022"/>
        <n v="236054.5"/>
        <n v="14234.56"/>
        <n v="-255933.63"/>
        <n v="-472650.65"/>
        <n v="74548.35"/>
        <n v="-1591290.87"/>
        <n v="-1281058.46"/>
        <n v="-359092.85"/>
        <n v="284457.71"/>
        <n v="-1312222.77"/>
        <n v="-175849.21"/>
        <n v="-44562.39"/>
        <n v="-399831.27"/>
        <n v="326258.87"/>
        <n v="-50188.17"/>
        <n v="4319.4"/>
        <n v="-102330.56"/>
        <n v="43921.59"/>
        <n v="-814319.29"/>
        <n v="-165560.34"/>
        <n v="-738889.81"/>
        <n v="31277.58"/>
        <n v="248737.1"/>
        <n v="-276911.94"/>
        <n v="-74128.18"/>
        <n v="-22062.05"/>
        <n v="-242513.64"/>
        <n v="-480529.59"/>
        <n v="-250366.19"/>
        <n v="162195.5"/>
        <n v="-1096040.63"/>
        <n v="-218746.64"/>
        <n v="-430640.51"/>
        <n v="704216.43"/>
        <n v="-2928505.27"/>
        <n v="-53042.94"/>
        <n v="-622557.35"/>
        <n v="436196.05"/>
        <n v="-622556.63"/>
        <n v="-510699.53"/>
        <n v="-1385875.84"/>
        <n v="-99828.6"/>
        <n v="-744388.57"/>
        <n v="-259258.95"/>
        <n v="-84199.07"/>
        <n v="-5789.75"/>
        <n v="568469"/>
        <n v="92052.3"/>
        <n v="-226985.85"/>
        <n v="-128302.78"/>
        <n v="-263216.12"/>
        <n v="-821882.97"/>
        <n v="158922"/>
        <n v="707477.9"/>
        <n v="-446262.24"/>
        <n v="-682151.96"/>
        <n v="499852.45"/>
        <n v="-336343.54"/>
        <n v="-1931306.69"/>
        <n v="-457117.45"/>
      </sharedItems>
    </cacheField>
    <cacheField name="贷方累计" numFmtId="0">
      <sharedItems containsString="0" containsBlank="1" containsNumber="1" minValue="-97526" maxValue="17011345.02" count="99">
        <n v="212000"/>
        <n v="7263858.83"/>
        <n v="299.4"/>
        <n v="2065637.18"/>
        <n v="2385738.71"/>
        <n v="800"/>
        <n v="529905.26"/>
        <n v="1489267.31"/>
        <n v="3350101.78"/>
        <n v="640794.14"/>
        <n v="2740413.91"/>
        <n v="2164861.51"/>
        <m/>
        <n v="300"/>
        <n v="1830619.5"/>
        <n v="3471460.89"/>
        <n v="71712"/>
        <n v="12922395.07"/>
        <n v="10605020.49"/>
        <n v="11156364.71"/>
        <n v="1967704.87"/>
        <n v="918"/>
        <n v="2147275.1"/>
        <n v="1385856.36"/>
        <n v="1551102.14"/>
        <n v="1219104.51"/>
        <n v="5450681.7"/>
        <n v="3647106.24"/>
        <n v="994349.12"/>
        <n v="3080857.72"/>
        <n v="1807775.83"/>
        <n v="1106470.71"/>
        <n v="456268.16"/>
        <n v="2312118.77"/>
        <n v="410885.14"/>
        <n v="1223888.19"/>
        <n v="1930923.39"/>
        <n v="1638498.65"/>
        <n v="1024936.16"/>
        <n v="1228130.32"/>
        <n v="1343079.07"/>
        <n v="3633493.82"/>
        <n v="4644000"/>
        <n v="5033546.61"/>
        <n v="1883473.68"/>
        <n v="4606904.23"/>
        <n v="161410"/>
        <n v="2919082.6"/>
        <n v="589874.71"/>
        <n v="2264353.92"/>
        <n v="3810887.03"/>
        <n v="1462314.3"/>
        <n v="4486445.75"/>
        <n v="2707925.05"/>
        <n v="2425146.34"/>
        <n v="6951566.15"/>
        <n v="2472137.2"/>
        <n v="542787.86"/>
        <n v="4481775.4"/>
        <n v="1575"/>
        <n v="1577059.04"/>
        <n v="451595.13"/>
        <n v="4993873.09"/>
        <n v="7830"/>
        <n v="2186690.12"/>
        <n v="2779611.17"/>
        <n v="1544003.91"/>
        <n v="1399817.05"/>
        <n v="456380.92"/>
        <n v="1696671.25"/>
        <n v="418281.92"/>
        <n v="2756475.71"/>
        <n v="44360"/>
        <n v="3653730.29"/>
        <n v="896797.04"/>
        <n v="500"/>
        <n v="459470"/>
        <n v="7689493.48"/>
        <n v="6155790.56"/>
        <n v="5447984.94"/>
        <n v="37580.66"/>
        <n v="5996956.02"/>
        <n v="17011345.02"/>
        <n v="2963061.87"/>
        <n v="477600"/>
        <n v="312059"/>
        <n v="161956.32"/>
        <n v="-97526"/>
        <n v="-55951.17"/>
        <n v="166290.5"/>
        <n v="1127.84"/>
        <n v="-3225.6"/>
        <n v="80097.26"/>
        <n v="5592.17"/>
        <n v="21858"/>
        <n v="11999.96"/>
        <n v="-2214.13"/>
        <n v="-2359.7"/>
        <n v="2146.83"/>
      </sharedItems>
    </cacheField>
    <cacheField name="方向2" numFmtId="0">
      <sharedItems containsBlank="1" count="4">
        <s v="贷"/>
        <s v="借"/>
        <s v="平"/>
        <m/>
      </sharedItems>
    </cacheField>
    <cacheField name="期末余额" numFmtId="0">
      <sharedItems containsString="0" containsBlank="1" containsNumber="1" minValue="-1451543.14" maxValue="7529854.32" count="120">
        <m/>
        <n v="200"/>
        <n v="1865"/>
        <n v="150"/>
        <n v="2160"/>
        <n v="55810"/>
        <n v="491020"/>
        <n v="4505909.7"/>
        <n v="7529854.32"/>
        <n v="8329"/>
        <n v="2250"/>
        <n v="29987.32"/>
        <n v="85980.94"/>
        <n v="139980"/>
        <n v="2352095.73"/>
        <n v="695917.45"/>
        <n v="1720058.45"/>
        <n v="489076.08"/>
        <n v="663072.08"/>
        <n v="770840.33"/>
        <n v="641321.74"/>
        <n v="626132.1"/>
        <n v="1230"/>
        <n v="103795.67"/>
        <n v="78484.24"/>
        <n v="1409851.4"/>
        <n v="324619.3"/>
        <n v="1096642"/>
        <n v="900"/>
        <n v="3039439.35"/>
        <n v="273494.4"/>
        <n v="120151"/>
        <n v="7930"/>
        <n v="250"/>
        <n v="42484.28"/>
        <n v="692453.4"/>
        <n v="22115"/>
        <n v="158624.28"/>
        <n v="3189.04"/>
        <n v="5073"/>
        <n v="730383.69"/>
        <n v="345127.78"/>
        <n v="650"/>
        <n v="134807.57"/>
        <n v="2548.25"/>
        <n v="94490"/>
        <n v="13200"/>
        <n v="56117.7"/>
        <n v="-1451543.14"/>
        <n v="47181.68"/>
        <n v="869258.05"/>
        <n v="267261.63"/>
        <n v="2400"/>
        <n v="544191.38"/>
        <n v="14725"/>
        <n v="150336.07"/>
        <n v="2390"/>
        <n v="369100.8"/>
        <n v="220145.17"/>
        <n v="13565"/>
        <n v="366274.05"/>
        <n v="1080"/>
        <n v="272619.13"/>
        <n v="428645.95"/>
        <n v="517070.2"/>
        <n v="1475230.05"/>
        <n v="1866526.61"/>
        <n v="114243.9"/>
        <n v="300"/>
        <n v="425913.12"/>
        <n v="223149.48"/>
        <n v="810000.02"/>
        <n v="1394910.18"/>
        <n v="2369003.94"/>
        <n v="1316435.54"/>
        <n v="207907.15"/>
        <n v="637643.7"/>
        <n v="2352152.56"/>
        <n v="240031.95"/>
        <n v="134917.53"/>
        <n v="2355"/>
        <n v="1073961.66"/>
        <n v="186997.54"/>
        <n v="181923.28"/>
        <n v="149018.39"/>
        <n v="171132.62"/>
        <n v="74511.48"/>
        <n v="2910503.25"/>
        <n v="175277.73"/>
        <n v="188701.68"/>
        <n v="1046196.67"/>
        <n v="185037.96"/>
        <n v="577129.66"/>
        <n v="414882.79"/>
        <n v="45619.85"/>
        <n v="1098"/>
        <n v="256387.37"/>
        <n v="3930.25"/>
        <n v="825228.26"/>
        <n v="56992.07"/>
        <n v="150344.23"/>
        <n v="925451.81"/>
        <n v="319312.61"/>
        <n v="170171.4"/>
        <n v="5710"/>
        <n v="32546.12"/>
        <n v="45261.49"/>
        <n v="568469"/>
        <n v="92052.3"/>
        <n v="87133.66"/>
        <n v="79017.47"/>
        <n v="4640"/>
        <n v="158922"/>
        <n v="1865339.35"/>
        <n v="717428.96"/>
        <n v="250663.05"/>
        <n v="499852.45"/>
        <n v="680382.5"/>
        <n v="1176079.59"/>
        <n v="267475.8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6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</r>
  <r>
    <x v="2"/>
    <x v="2"/>
    <x v="2"/>
    <x v="2"/>
    <x v="2"/>
    <x v="0"/>
    <x v="2"/>
    <x v="2"/>
    <x v="1"/>
    <x v="0"/>
  </r>
  <r>
    <x v="3"/>
    <x v="3"/>
    <x v="2"/>
    <x v="2"/>
    <x v="0"/>
    <x v="0"/>
    <x v="3"/>
    <x v="3"/>
    <x v="2"/>
    <x v="0"/>
  </r>
  <r>
    <x v="4"/>
    <x v="4"/>
    <x v="1"/>
    <x v="3"/>
    <x v="0"/>
    <x v="0"/>
    <x v="4"/>
    <x v="4"/>
    <x v="1"/>
    <x v="1"/>
  </r>
  <r>
    <x v="4"/>
    <x v="5"/>
    <x v="2"/>
    <x v="2"/>
    <x v="0"/>
    <x v="0"/>
    <x v="0"/>
    <x v="5"/>
    <x v="2"/>
    <x v="0"/>
  </r>
  <r>
    <x v="5"/>
    <x v="6"/>
    <x v="2"/>
    <x v="2"/>
    <x v="0"/>
    <x v="0"/>
    <x v="5"/>
    <x v="6"/>
    <x v="2"/>
    <x v="0"/>
  </r>
  <r>
    <x v="6"/>
    <x v="7"/>
    <x v="1"/>
    <x v="4"/>
    <x v="0"/>
    <x v="2"/>
    <x v="6"/>
    <x v="7"/>
    <x v="1"/>
    <x v="2"/>
  </r>
  <r>
    <x v="7"/>
    <x v="8"/>
    <x v="1"/>
    <x v="5"/>
    <x v="0"/>
    <x v="0"/>
    <x v="7"/>
    <x v="8"/>
    <x v="1"/>
    <x v="3"/>
  </r>
  <r>
    <x v="7"/>
    <x v="9"/>
    <x v="1"/>
    <x v="6"/>
    <x v="0"/>
    <x v="0"/>
    <x v="0"/>
    <x v="9"/>
    <x v="1"/>
    <x v="4"/>
  </r>
  <r>
    <x v="8"/>
    <x v="10"/>
    <x v="2"/>
    <x v="2"/>
    <x v="0"/>
    <x v="0"/>
    <x v="8"/>
    <x v="10"/>
    <x v="2"/>
    <x v="0"/>
  </r>
  <r>
    <x v="9"/>
    <x v="11"/>
    <x v="2"/>
    <x v="2"/>
    <x v="0"/>
    <x v="0"/>
    <x v="9"/>
    <x v="11"/>
    <x v="2"/>
    <x v="0"/>
  </r>
  <r>
    <x v="9"/>
    <x v="12"/>
    <x v="2"/>
    <x v="2"/>
    <x v="0"/>
    <x v="0"/>
    <x v="10"/>
    <x v="12"/>
    <x v="2"/>
    <x v="0"/>
  </r>
  <r>
    <x v="9"/>
    <x v="13"/>
    <x v="2"/>
    <x v="2"/>
    <x v="0"/>
    <x v="0"/>
    <x v="11"/>
    <x v="13"/>
    <x v="2"/>
    <x v="0"/>
  </r>
  <r>
    <x v="10"/>
    <x v="14"/>
    <x v="2"/>
    <x v="2"/>
    <x v="0"/>
    <x v="0"/>
    <x v="12"/>
    <x v="14"/>
    <x v="2"/>
    <x v="0"/>
  </r>
  <r>
    <x v="11"/>
    <x v="15"/>
    <x v="1"/>
    <x v="7"/>
    <x v="3"/>
    <x v="3"/>
    <x v="13"/>
    <x v="15"/>
    <x v="1"/>
    <x v="5"/>
  </r>
  <r>
    <x v="11"/>
    <x v="16"/>
    <x v="2"/>
    <x v="2"/>
    <x v="0"/>
    <x v="0"/>
    <x v="14"/>
    <x v="16"/>
    <x v="2"/>
    <x v="0"/>
  </r>
  <r>
    <x v="12"/>
    <x v="17"/>
    <x v="1"/>
    <x v="8"/>
    <x v="4"/>
    <x v="4"/>
    <x v="15"/>
    <x v="17"/>
    <x v="1"/>
    <x v="6"/>
  </r>
  <r>
    <x v="13"/>
    <x v="18"/>
    <x v="1"/>
    <x v="9"/>
    <x v="5"/>
    <x v="5"/>
    <x v="16"/>
    <x v="18"/>
    <x v="1"/>
    <x v="7"/>
  </r>
  <r>
    <x v="13"/>
    <x v="19"/>
    <x v="1"/>
    <x v="10"/>
    <x v="6"/>
    <x v="6"/>
    <x v="17"/>
    <x v="19"/>
    <x v="1"/>
    <x v="8"/>
  </r>
  <r>
    <x v="14"/>
    <x v="20"/>
    <x v="2"/>
    <x v="2"/>
    <x v="0"/>
    <x v="0"/>
    <x v="18"/>
    <x v="20"/>
    <x v="2"/>
    <x v="0"/>
  </r>
  <r>
    <x v="14"/>
    <x v="21"/>
    <x v="1"/>
    <x v="11"/>
    <x v="0"/>
    <x v="0"/>
    <x v="19"/>
    <x v="21"/>
    <x v="1"/>
    <x v="9"/>
  </r>
  <r>
    <x v="15"/>
    <x v="22"/>
    <x v="1"/>
    <x v="12"/>
    <x v="0"/>
    <x v="0"/>
    <x v="20"/>
    <x v="22"/>
    <x v="1"/>
    <x v="10"/>
  </r>
  <r>
    <x v="15"/>
    <x v="23"/>
    <x v="2"/>
    <x v="2"/>
    <x v="0"/>
    <x v="0"/>
    <x v="0"/>
    <x v="12"/>
    <x v="2"/>
    <x v="0"/>
  </r>
  <r>
    <x v="16"/>
    <x v="24"/>
    <x v="1"/>
    <x v="13"/>
    <x v="7"/>
    <x v="7"/>
    <x v="21"/>
    <x v="23"/>
    <x v="1"/>
    <x v="11"/>
  </r>
  <r>
    <x v="17"/>
    <x v="25"/>
    <x v="1"/>
    <x v="14"/>
    <x v="8"/>
    <x v="8"/>
    <x v="22"/>
    <x v="24"/>
    <x v="1"/>
    <x v="12"/>
  </r>
  <r>
    <x v="18"/>
    <x v="26"/>
    <x v="1"/>
    <x v="15"/>
    <x v="9"/>
    <x v="9"/>
    <x v="23"/>
    <x v="25"/>
    <x v="1"/>
    <x v="13"/>
  </r>
  <r>
    <x v="18"/>
    <x v="27"/>
    <x v="2"/>
    <x v="2"/>
    <x v="0"/>
    <x v="0"/>
    <x v="0"/>
    <x v="12"/>
    <x v="2"/>
    <x v="0"/>
  </r>
  <r>
    <x v="19"/>
    <x v="28"/>
    <x v="1"/>
    <x v="16"/>
    <x v="10"/>
    <x v="10"/>
    <x v="24"/>
    <x v="26"/>
    <x v="1"/>
    <x v="14"/>
  </r>
  <r>
    <x v="20"/>
    <x v="29"/>
    <x v="1"/>
    <x v="17"/>
    <x v="0"/>
    <x v="11"/>
    <x v="25"/>
    <x v="27"/>
    <x v="1"/>
    <x v="15"/>
  </r>
  <r>
    <x v="21"/>
    <x v="30"/>
    <x v="1"/>
    <x v="18"/>
    <x v="0"/>
    <x v="0"/>
    <x v="26"/>
    <x v="28"/>
    <x v="1"/>
    <x v="16"/>
  </r>
  <r>
    <x v="22"/>
    <x v="31"/>
    <x v="1"/>
    <x v="19"/>
    <x v="0"/>
    <x v="12"/>
    <x v="27"/>
    <x v="29"/>
    <x v="1"/>
    <x v="17"/>
  </r>
  <r>
    <x v="23"/>
    <x v="32"/>
    <x v="1"/>
    <x v="20"/>
    <x v="0"/>
    <x v="0"/>
    <x v="28"/>
    <x v="30"/>
    <x v="1"/>
    <x v="18"/>
  </r>
  <r>
    <x v="24"/>
    <x v="33"/>
    <x v="1"/>
    <x v="21"/>
    <x v="0"/>
    <x v="0"/>
    <x v="29"/>
    <x v="31"/>
    <x v="1"/>
    <x v="19"/>
  </r>
  <r>
    <x v="25"/>
    <x v="34"/>
    <x v="2"/>
    <x v="2"/>
    <x v="0"/>
    <x v="0"/>
    <x v="30"/>
    <x v="32"/>
    <x v="2"/>
    <x v="0"/>
  </r>
  <r>
    <x v="26"/>
    <x v="35"/>
    <x v="1"/>
    <x v="22"/>
    <x v="0"/>
    <x v="0"/>
    <x v="31"/>
    <x v="33"/>
    <x v="1"/>
    <x v="20"/>
  </r>
  <r>
    <x v="27"/>
    <x v="36"/>
    <x v="1"/>
    <x v="23"/>
    <x v="0"/>
    <x v="0"/>
    <x v="32"/>
    <x v="34"/>
    <x v="1"/>
    <x v="21"/>
  </r>
  <r>
    <x v="28"/>
    <x v="37"/>
    <x v="1"/>
    <x v="24"/>
    <x v="11"/>
    <x v="13"/>
    <x v="33"/>
    <x v="35"/>
    <x v="1"/>
    <x v="22"/>
  </r>
  <r>
    <x v="29"/>
    <x v="38"/>
    <x v="2"/>
    <x v="2"/>
    <x v="0"/>
    <x v="0"/>
    <x v="34"/>
    <x v="36"/>
    <x v="2"/>
    <x v="0"/>
  </r>
  <r>
    <x v="30"/>
    <x v="39"/>
    <x v="1"/>
    <x v="25"/>
    <x v="12"/>
    <x v="0"/>
    <x v="35"/>
    <x v="37"/>
    <x v="1"/>
    <x v="23"/>
  </r>
  <r>
    <x v="31"/>
    <x v="40"/>
    <x v="2"/>
    <x v="2"/>
    <x v="0"/>
    <x v="0"/>
    <x v="36"/>
    <x v="38"/>
    <x v="2"/>
    <x v="0"/>
  </r>
  <r>
    <x v="31"/>
    <x v="41"/>
    <x v="1"/>
    <x v="26"/>
    <x v="0"/>
    <x v="0"/>
    <x v="0"/>
    <x v="12"/>
    <x v="1"/>
    <x v="24"/>
  </r>
  <r>
    <x v="32"/>
    <x v="42"/>
    <x v="1"/>
    <x v="27"/>
    <x v="13"/>
    <x v="14"/>
    <x v="37"/>
    <x v="39"/>
    <x v="1"/>
    <x v="25"/>
  </r>
  <r>
    <x v="33"/>
    <x v="43"/>
    <x v="1"/>
    <x v="28"/>
    <x v="14"/>
    <x v="0"/>
    <x v="38"/>
    <x v="40"/>
    <x v="1"/>
    <x v="26"/>
  </r>
  <r>
    <x v="34"/>
    <x v="44"/>
    <x v="1"/>
    <x v="29"/>
    <x v="15"/>
    <x v="15"/>
    <x v="39"/>
    <x v="41"/>
    <x v="1"/>
    <x v="27"/>
  </r>
  <r>
    <x v="35"/>
    <x v="45"/>
    <x v="1"/>
    <x v="30"/>
    <x v="0"/>
    <x v="0"/>
    <x v="40"/>
    <x v="42"/>
    <x v="1"/>
    <x v="28"/>
  </r>
  <r>
    <x v="36"/>
    <x v="46"/>
    <x v="1"/>
    <x v="31"/>
    <x v="0"/>
    <x v="0"/>
    <x v="0"/>
    <x v="12"/>
    <x v="1"/>
    <x v="29"/>
  </r>
  <r>
    <x v="37"/>
    <x v="47"/>
    <x v="2"/>
    <x v="2"/>
    <x v="0"/>
    <x v="0"/>
    <x v="41"/>
    <x v="43"/>
    <x v="2"/>
    <x v="0"/>
  </r>
  <r>
    <x v="37"/>
    <x v="48"/>
    <x v="2"/>
    <x v="2"/>
    <x v="0"/>
    <x v="0"/>
    <x v="0"/>
    <x v="12"/>
    <x v="2"/>
    <x v="0"/>
  </r>
  <r>
    <x v="38"/>
    <x v="49"/>
    <x v="1"/>
    <x v="32"/>
    <x v="16"/>
    <x v="16"/>
    <x v="42"/>
    <x v="44"/>
    <x v="1"/>
    <x v="30"/>
  </r>
  <r>
    <x v="39"/>
    <x v="50"/>
    <x v="1"/>
    <x v="33"/>
    <x v="17"/>
    <x v="17"/>
    <x v="43"/>
    <x v="45"/>
    <x v="1"/>
    <x v="31"/>
  </r>
  <r>
    <x v="39"/>
    <x v="51"/>
    <x v="1"/>
    <x v="34"/>
    <x v="0"/>
    <x v="0"/>
    <x v="0"/>
    <x v="46"/>
    <x v="1"/>
    <x v="32"/>
  </r>
  <r>
    <x v="39"/>
    <x v="52"/>
    <x v="2"/>
    <x v="2"/>
    <x v="0"/>
    <x v="0"/>
    <x v="0"/>
    <x v="12"/>
    <x v="2"/>
    <x v="0"/>
  </r>
  <r>
    <x v="40"/>
    <x v="53"/>
    <x v="1"/>
    <x v="35"/>
    <x v="0"/>
    <x v="0"/>
    <x v="44"/>
    <x v="47"/>
    <x v="1"/>
    <x v="33"/>
  </r>
  <r>
    <x v="41"/>
    <x v="54"/>
    <x v="2"/>
    <x v="2"/>
    <x v="0"/>
    <x v="0"/>
    <x v="45"/>
    <x v="48"/>
    <x v="2"/>
    <x v="0"/>
  </r>
  <r>
    <x v="41"/>
    <x v="55"/>
    <x v="1"/>
    <x v="36"/>
    <x v="0"/>
    <x v="0"/>
    <x v="46"/>
    <x v="49"/>
    <x v="1"/>
    <x v="34"/>
  </r>
  <r>
    <x v="42"/>
    <x v="56"/>
    <x v="2"/>
    <x v="2"/>
    <x v="0"/>
    <x v="0"/>
    <x v="0"/>
    <x v="12"/>
    <x v="2"/>
    <x v="0"/>
  </r>
  <r>
    <x v="43"/>
    <x v="57"/>
    <x v="1"/>
    <x v="37"/>
    <x v="0"/>
    <x v="0"/>
    <x v="47"/>
    <x v="50"/>
    <x v="1"/>
    <x v="35"/>
  </r>
  <r>
    <x v="44"/>
    <x v="58"/>
    <x v="2"/>
    <x v="2"/>
    <x v="0"/>
    <x v="0"/>
    <x v="48"/>
    <x v="51"/>
    <x v="2"/>
    <x v="0"/>
  </r>
  <r>
    <x v="45"/>
    <x v="59"/>
    <x v="1"/>
    <x v="38"/>
    <x v="18"/>
    <x v="18"/>
    <x v="49"/>
    <x v="52"/>
    <x v="1"/>
    <x v="36"/>
  </r>
  <r>
    <x v="46"/>
    <x v="60"/>
    <x v="1"/>
    <x v="39"/>
    <x v="0"/>
    <x v="19"/>
    <x v="50"/>
    <x v="53"/>
    <x v="1"/>
    <x v="37"/>
  </r>
  <r>
    <x v="47"/>
    <x v="61"/>
    <x v="1"/>
    <x v="40"/>
    <x v="19"/>
    <x v="20"/>
    <x v="51"/>
    <x v="54"/>
    <x v="1"/>
    <x v="38"/>
  </r>
  <r>
    <x v="48"/>
    <x v="62"/>
    <x v="2"/>
    <x v="2"/>
    <x v="0"/>
    <x v="0"/>
    <x v="52"/>
    <x v="55"/>
    <x v="2"/>
    <x v="0"/>
  </r>
  <r>
    <x v="49"/>
    <x v="63"/>
    <x v="2"/>
    <x v="2"/>
    <x v="0"/>
    <x v="0"/>
    <x v="53"/>
    <x v="56"/>
    <x v="2"/>
    <x v="0"/>
  </r>
  <r>
    <x v="50"/>
    <x v="64"/>
    <x v="2"/>
    <x v="2"/>
    <x v="20"/>
    <x v="21"/>
    <x v="54"/>
    <x v="57"/>
    <x v="2"/>
    <x v="0"/>
  </r>
  <r>
    <x v="51"/>
    <x v="65"/>
    <x v="1"/>
    <x v="41"/>
    <x v="0"/>
    <x v="0"/>
    <x v="55"/>
    <x v="58"/>
    <x v="1"/>
    <x v="39"/>
  </r>
  <r>
    <x v="51"/>
    <x v="66"/>
    <x v="2"/>
    <x v="2"/>
    <x v="0"/>
    <x v="0"/>
    <x v="0"/>
    <x v="59"/>
    <x v="2"/>
    <x v="0"/>
  </r>
  <r>
    <x v="52"/>
    <x v="67"/>
    <x v="1"/>
    <x v="42"/>
    <x v="21"/>
    <x v="22"/>
    <x v="56"/>
    <x v="60"/>
    <x v="1"/>
    <x v="40"/>
  </r>
  <r>
    <x v="52"/>
    <x v="68"/>
    <x v="2"/>
    <x v="2"/>
    <x v="0"/>
    <x v="0"/>
    <x v="57"/>
    <x v="61"/>
    <x v="2"/>
    <x v="0"/>
  </r>
  <r>
    <x v="53"/>
    <x v="69"/>
    <x v="1"/>
    <x v="43"/>
    <x v="0"/>
    <x v="0"/>
    <x v="58"/>
    <x v="62"/>
    <x v="1"/>
    <x v="41"/>
  </r>
  <r>
    <x v="53"/>
    <x v="70"/>
    <x v="2"/>
    <x v="2"/>
    <x v="0"/>
    <x v="0"/>
    <x v="0"/>
    <x v="63"/>
    <x v="2"/>
    <x v="0"/>
  </r>
  <r>
    <x v="54"/>
    <x v="71"/>
    <x v="2"/>
    <x v="2"/>
    <x v="22"/>
    <x v="23"/>
    <x v="59"/>
    <x v="64"/>
    <x v="2"/>
    <x v="0"/>
  </r>
  <r>
    <x v="55"/>
    <x v="72"/>
    <x v="1"/>
    <x v="44"/>
    <x v="0"/>
    <x v="24"/>
    <x v="60"/>
    <x v="65"/>
    <x v="1"/>
    <x v="42"/>
  </r>
  <r>
    <x v="56"/>
    <x v="73"/>
    <x v="2"/>
    <x v="2"/>
    <x v="0"/>
    <x v="0"/>
    <x v="61"/>
    <x v="66"/>
    <x v="2"/>
    <x v="0"/>
  </r>
  <r>
    <x v="57"/>
    <x v="74"/>
    <x v="1"/>
    <x v="45"/>
    <x v="23"/>
    <x v="25"/>
    <x v="62"/>
    <x v="67"/>
    <x v="1"/>
    <x v="43"/>
  </r>
  <r>
    <x v="58"/>
    <x v="75"/>
    <x v="2"/>
    <x v="2"/>
    <x v="24"/>
    <x v="26"/>
    <x v="63"/>
    <x v="68"/>
    <x v="2"/>
    <x v="0"/>
  </r>
  <r>
    <x v="59"/>
    <x v="76"/>
    <x v="2"/>
    <x v="2"/>
    <x v="0"/>
    <x v="0"/>
    <x v="64"/>
    <x v="69"/>
    <x v="2"/>
    <x v="0"/>
  </r>
  <r>
    <x v="60"/>
    <x v="77"/>
    <x v="2"/>
    <x v="2"/>
    <x v="0"/>
    <x v="0"/>
    <x v="65"/>
    <x v="70"/>
    <x v="2"/>
    <x v="0"/>
  </r>
  <r>
    <x v="61"/>
    <x v="78"/>
    <x v="1"/>
    <x v="46"/>
    <x v="0"/>
    <x v="0"/>
    <x v="66"/>
    <x v="71"/>
    <x v="1"/>
    <x v="44"/>
  </r>
  <r>
    <x v="62"/>
    <x v="79"/>
    <x v="1"/>
    <x v="47"/>
    <x v="0"/>
    <x v="0"/>
    <x v="0"/>
    <x v="12"/>
    <x v="1"/>
    <x v="45"/>
  </r>
  <r>
    <x v="62"/>
    <x v="80"/>
    <x v="1"/>
    <x v="48"/>
    <x v="0"/>
    <x v="0"/>
    <x v="0"/>
    <x v="72"/>
    <x v="1"/>
    <x v="46"/>
  </r>
  <r>
    <x v="63"/>
    <x v="81"/>
    <x v="2"/>
    <x v="2"/>
    <x v="25"/>
    <x v="27"/>
    <x v="67"/>
    <x v="73"/>
    <x v="1"/>
    <x v="47"/>
  </r>
  <r>
    <x v="63"/>
    <x v="82"/>
    <x v="2"/>
    <x v="2"/>
    <x v="0"/>
    <x v="0"/>
    <x v="68"/>
    <x v="74"/>
    <x v="2"/>
    <x v="0"/>
  </r>
  <r>
    <x v="64"/>
    <x v="83"/>
    <x v="2"/>
    <x v="2"/>
    <x v="0"/>
    <x v="0"/>
    <x v="0"/>
    <x v="75"/>
    <x v="2"/>
    <x v="0"/>
  </r>
  <r>
    <x v="65"/>
    <x v="84"/>
    <x v="2"/>
    <x v="2"/>
    <x v="0"/>
    <x v="0"/>
    <x v="69"/>
    <x v="76"/>
    <x v="2"/>
    <x v="0"/>
  </r>
  <r>
    <x v="66"/>
    <x v="85"/>
    <x v="0"/>
    <x v="49"/>
    <x v="0"/>
    <x v="0"/>
    <x v="70"/>
    <x v="77"/>
    <x v="0"/>
    <x v="48"/>
  </r>
  <r>
    <x v="67"/>
    <x v="86"/>
    <x v="2"/>
    <x v="2"/>
    <x v="26"/>
    <x v="28"/>
    <x v="71"/>
    <x v="78"/>
    <x v="2"/>
    <x v="0"/>
  </r>
  <r>
    <x v="68"/>
    <x v="87"/>
    <x v="2"/>
    <x v="2"/>
    <x v="0"/>
    <x v="0"/>
    <x v="72"/>
    <x v="79"/>
    <x v="2"/>
    <x v="0"/>
  </r>
  <r>
    <x v="69"/>
    <x v="88"/>
    <x v="2"/>
    <x v="2"/>
    <x v="27"/>
    <x v="29"/>
    <x v="73"/>
    <x v="80"/>
    <x v="1"/>
    <x v="49"/>
  </r>
  <r>
    <x v="70"/>
    <x v="89"/>
    <x v="1"/>
    <x v="50"/>
    <x v="28"/>
    <x v="30"/>
    <x v="74"/>
    <x v="81"/>
    <x v="1"/>
    <x v="50"/>
  </r>
  <r>
    <x v="71"/>
    <x v="90"/>
    <x v="1"/>
    <x v="51"/>
    <x v="0"/>
    <x v="0"/>
    <x v="75"/>
    <x v="82"/>
    <x v="1"/>
    <x v="51"/>
  </r>
  <r>
    <x v="72"/>
    <x v="91"/>
    <x v="1"/>
    <x v="52"/>
    <x v="29"/>
    <x v="31"/>
    <x v="76"/>
    <x v="83"/>
    <x v="1"/>
    <x v="52"/>
  </r>
  <r>
    <x v="73"/>
    <x v="92"/>
    <x v="2"/>
    <x v="2"/>
    <x v="0"/>
    <x v="0"/>
    <x v="77"/>
    <x v="84"/>
    <x v="2"/>
    <x v="0"/>
  </r>
  <r>
    <x v="0"/>
    <x v="0"/>
    <x v="2"/>
    <x v="2"/>
    <x v="0"/>
    <x v="0"/>
    <x v="78"/>
    <x v="12"/>
    <x v="2"/>
    <x v="0"/>
  </r>
  <r>
    <x v="2"/>
    <x v="2"/>
    <x v="2"/>
    <x v="2"/>
    <x v="0"/>
    <x v="0"/>
    <x v="0"/>
    <x v="12"/>
    <x v="2"/>
    <x v="0"/>
  </r>
  <r>
    <x v="3"/>
    <x v="3"/>
    <x v="1"/>
    <x v="53"/>
    <x v="30"/>
    <x v="0"/>
    <x v="79"/>
    <x v="12"/>
    <x v="1"/>
    <x v="53"/>
  </r>
  <r>
    <x v="3"/>
    <x v="93"/>
    <x v="1"/>
    <x v="54"/>
    <x v="0"/>
    <x v="0"/>
    <x v="80"/>
    <x v="12"/>
    <x v="1"/>
    <x v="54"/>
  </r>
  <r>
    <x v="4"/>
    <x v="4"/>
    <x v="1"/>
    <x v="55"/>
    <x v="0"/>
    <x v="0"/>
    <x v="81"/>
    <x v="12"/>
    <x v="1"/>
    <x v="55"/>
  </r>
  <r>
    <x v="4"/>
    <x v="5"/>
    <x v="1"/>
    <x v="56"/>
    <x v="0"/>
    <x v="0"/>
    <x v="82"/>
    <x v="12"/>
    <x v="1"/>
    <x v="56"/>
  </r>
  <r>
    <x v="5"/>
    <x v="6"/>
    <x v="1"/>
    <x v="57"/>
    <x v="0"/>
    <x v="0"/>
    <x v="83"/>
    <x v="12"/>
    <x v="1"/>
    <x v="57"/>
  </r>
  <r>
    <x v="6"/>
    <x v="7"/>
    <x v="1"/>
    <x v="58"/>
    <x v="31"/>
    <x v="0"/>
    <x v="84"/>
    <x v="12"/>
    <x v="1"/>
    <x v="58"/>
  </r>
  <r>
    <x v="6"/>
    <x v="94"/>
    <x v="1"/>
    <x v="59"/>
    <x v="0"/>
    <x v="0"/>
    <x v="85"/>
    <x v="12"/>
    <x v="1"/>
    <x v="59"/>
  </r>
  <r>
    <x v="6"/>
    <x v="95"/>
    <x v="2"/>
    <x v="2"/>
    <x v="0"/>
    <x v="0"/>
    <x v="86"/>
    <x v="12"/>
    <x v="2"/>
    <x v="0"/>
  </r>
  <r>
    <x v="7"/>
    <x v="8"/>
    <x v="1"/>
    <x v="60"/>
    <x v="0"/>
    <x v="0"/>
    <x v="87"/>
    <x v="12"/>
    <x v="1"/>
    <x v="60"/>
  </r>
  <r>
    <x v="7"/>
    <x v="9"/>
    <x v="1"/>
    <x v="61"/>
    <x v="0"/>
    <x v="0"/>
    <x v="88"/>
    <x v="12"/>
    <x v="1"/>
    <x v="61"/>
  </r>
  <r>
    <x v="8"/>
    <x v="10"/>
    <x v="1"/>
    <x v="62"/>
    <x v="0"/>
    <x v="0"/>
    <x v="89"/>
    <x v="12"/>
    <x v="1"/>
    <x v="62"/>
  </r>
  <r>
    <x v="9"/>
    <x v="11"/>
    <x v="1"/>
    <x v="63"/>
    <x v="0"/>
    <x v="0"/>
    <x v="90"/>
    <x v="12"/>
    <x v="1"/>
    <x v="63"/>
  </r>
  <r>
    <x v="9"/>
    <x v="12"/>
    <x v="2"/>
    <x v="2"/>
    <x v="0"/>
    <x v="0"/>
    <x v="91"/>
    <x v="12"/>
    <x v="2"/>
    <x v="0"/>
  </r>
  <r>
    <x v="10"/>
    <x v="14"/>
    <x v="2"/>
    <x v="2"/>
    <x v="0"/>
    <x v="0"/>
    <x v="0"/>
    <x v="12"/>
    <x v="2"/>
    <x v="0"/>
  </r>
  <r>
    <x v="11"/>
    <x v="15"/>
    <x v="2"/>
    <x v="2"/>
    <x v="0"/>
    <x v="0"/>
    <x v="0"/>
    <x v="12"/>
    <x v="2"/>
    <x v="0"/>
  </r>
  <r>
    <x v="11"/>
    <x v="16"/>
    <x v="2"/>
    <x v="2"/>
    <x v="0"/>
    <x v="0"/>
    <x v="92"/>
    <x v="12"/>
    <x v="2"/>
    <x v="0"/>
  </r>
  <r>
    <x v="12"/>
    <x v="17"/>
    <x v="1"/>
    <x v="64"/>
    <x v="32"/>
    <x v="0"/>
    <x v="93"/>
    <x v="85"/>
    <x v="1"/>
    <x v="64"/>
  </r>
  <r>
    <x v="13"/>
    <x v="18"/>
    <x v="1"/>
    <x v="65"/>
    <x v="33"/>
    <x v="0"/>
    <x v="94"/>
    <x v="12"/>
    <x v="1"/>
    <x v="65"/>
  </r>
  <r>
    <x v="13"/>
    <x v="19"/>
    <x v="1"/>
    <x v="66"/>
    <x v="34"/>
    <x v="0"/>
    <x v="95"/>
    <x v="12"/>
    <x v="1"/>
    <x v="66"/>
  </r>
  <r>
    <x v="14"/>
    <x v="20"/>
    <x v="1"/>
    <x v="67"/>
    <x v="0"/>
    <x v="0"/>
    <x v="96"/>
    <x v="12"/>
    <x v="1"/>
    <x v="67"/>
  </r>
  <r>
    <x v="14"/>
    <x v="21"/>
    <x v="1"/>
    <x v="68"/>
    <x v="0"/>
    <x v="0"/>
    <x v="97"/>
    <x v="12"/>
    <x v="1"/>
    <x v="68"/>
  </r>
  <r>
    <x v="15"/>
    <x v="22"/>
    <x v="2"/>
    <x v="2"/>
    <x v="0"/>
    <x v="0"/>
    <x v="0"/>
    <x v="12"/>
    <x v="2"/>
    <x v="0"/>
  </r>
  <r>
    <x v="15"/>
    <x v="23"/>
    <x v="2"/>
    <x v="2"/>
    <x v="0"/>
    <x v="0"/>
    <x v="0"/>
    <x v="12"/>
    <x v="2"/>
    <x v="0"/>
  </r>
  <r>
    <x v="16"/>
    <x v="24"/>
    <x v="1"/>
    <x v="69"/>
    <x v="35"/>
    <x v="0"/>
    <x v="98"/>
    <x v="12"/>
    <x v="1"/>
    <x v="69"/>
  </r>
  <r>
    <x v="17"/>
    <x v="25"/>
    <x v="1"/>
    <x v="70"/>
    <x v="36"/>
    <x v="0"/>
    <x v="99"/>
    <x v="12"/>
    <x v="1"/>
    <x v="70"/>
  </r>
  <r>
    <x v="18"/>
    <x v="26"/>
    <x v="2"/>
    <x v="2"/>
    <x v="0"/>
    <x v="0"/>
    <x v="0"/>
    <x v="12"/>
    <x v="2"/>
    <x v="0"/>
  </r>
  <r>
    <x v="19"/>
    <x v="28"/>
    <x v="1"/>
    <x v="71"/>
    <x v="37"/>
    <x v="0"/>
    <x v="100"/>
    <x v="12"/>
    <x v="1"/>
    <x v="71"/>
  </r>
  <r>
    <x v="20"/>
    <x v="29"/>
    <x v="2"/>
    <x v="2"/>
    <x v="0"/>
    <x v="0"/>
    <x v="101"/>
    <x v="12"/>
    <x v="2"/>
    <x v="0"/>
  </r>
  <r>
    <x v="21"/>
    <x v="30"/>
    <x v="1"/>
    <x v="72"/>
    <x v="38"/>
    <x v="0"/>
    <x v="102"/>
    <x v="12"/>
    <x v="1"/>
    <x v="72"/>
  </r>
  <r>
    <x v="22"/>
    <x v="31"/>
    <x v="1"/>
    <x v="73"/>
    <x v="39"/>
    <x v="0"/>
    <x v="103"/>
    <x v="12"/>
    <x v="1"/>
    <x v="73"/>
  </r>
  <r>
    <x v="23"/>
    <x v="32"/>
    <x v="1"/>
    <x v="74"/>
    <x v="40"/>
    <x v="0"/>
    <x v="104"/>
    <x v="12"/>
    <x v="1"/>
    <x v="74"/>
  </r>
  <r>
    <x v="24"/>
    <x v="33"/>
    <x v="1"/>
    <x v="75"/>
    <x v="0"/>
    <x v="0"/>
    <x v="105"/>
    <x v="12"/>
    <x v="1"/>
    <x v="75"/>
  </r>
  <r>
    <x v="25"/>
    <x v="34"/>
    <x v="1"/>
    <x v="76"/>
    <x v="41"/>
    <x v="0"/>
    <x v="106"/>
    <x v="12"/>
    <x v="1"/>
    <x v="76"/>
  </r>
  <r>
    <x v="26"/>
    <x v="35"/>
    <x v="1"/>
    <x v="77"/>
    <x v="42"/>
    <x v="0"/>
    <x v="107"/>
    <x v="12"/>
    <x v="1"/>
    <x v="77"/>
  </r>
  <r>
    <x v="27"/>
    <x v="36"/>
    <x v="1"/>
    <x v="78"/>
    <x v="0"/>
    <x v="0"/>
    <x v="108"/>
    <x v="12"/>
    <x v="1"/>
    <x v="78"/>
  </r>
  <r>
    <x v="28"/>
    <x v="37"/>
    <x v="1"/>
    <x v="79"/>
    <x v="43"/>
    <x v="0"/>
    <x v="109"/>
    <x v="12"/>
    <x v="1"/>
    <x v="79"/>
  </r>
  <r>
    <x v="29"/>
    <x v="38"/>
    <x v="1"/>
    <x v="80"/>
    <x v="0"/>
    <x v="0"/>
    <x v="110"/>
    <x v="12"/>
    <x v="1"/>
    <x v="80"/>
  </r>
  <r>
    <x v="29"/>
    <x v="96"/>
    <x v="2"/>
    <x v="2"/>
    <x v="0"/>
    <x v="0"/>
    <x v="0"/>
    <x v="12"/>
    <x v="2"/>
    <x v="0"/>
  </r>
  <r>
    <x v="30"/>
    <x v="39"/>
    <x v="1"/>
    <x v="81"/>
    <x v="44"/>
    <x v="0"/>
    <x v="111"/>
    <x v="12"/>
    <x v="1"/>
    <x v="81"/>
  </r>
  <r>
    <x v="31"/>
    <x v="40"/>
    <x v="1"/>
    <x v="82"/>
    <x v="0"/>
    <x v="0"/>
    <x v="112"/>
    <x v="12"/>
    <x v="1"/>
    <x v="82"/>
  </r>
  <r>
    <x v="32"/>
    <x v="42"/>
    <x v="1"/>
    <x v="83"/>
    <x v="45"/>
    <x v="0"/>
    <x v="113"/>
    <x v="12"/>
    <x v="1"/>
    <x v="83"/>
  </r>
  <r>
    <x v="33"/>
    <x v="43"/>
    <x v="1"/>
    <x v="84"/>
    <x v="46"/>
    <x v="0"/>
    <x v="114"/>
    <x v="12"/>
    <x v="1"/>
    <x v="84"/>
  </r>
  <r>
    <x v="34"/>
    <x v="44"/>
    <x v="1"/>
    <x v="85"/>
    <x v="47"/>
    <x v="0"/>
    <x v="115"/>
    <x v="12"/>
    <x v="1"/>
    <x v="85"/>
  </r>
  <r>
    <x v="35"/>
    <x v="45"/>
    <x v="1"/>
    <x v="86"/>
    <x v="0"/>
    <x v="0"/>
    <x v="116"/>
    <x v="12"/>
    <x v="1"/>
    <x v="86"/>
  </r>
  <r>
    <x v="35"/>
    <x v="97"/>
    <x v="2"/>
    <x v="2"/>
    <x v="0"/>
    <x v="0"/>
    <x v="117"/>
    <x v="12"/>
    <x v="2"/>
    <x v="0"/>
  </r>
  <r>
    <x v="36"/>
    <x v="46"/>
    <x v="1"/>
    <x v="87"/>
    <x v="0"/>
    <x v="0"/>
    <x v="0"/>
    <x v="12"/>
    <x v="1"/>
    <x v="87"/>
  </r>
  <r>
    <x v="37"/>
    <x v="47"/>
    <x v="1"/>
    <x v="88"/>
    <x v="0"/>
    <x v="0"/>
    <x v="118"/>
    <x v="86"/>
    <x v="1"/>
    <x v="88"/>
  </r>
  <r>
    <x v="38"/>
    <x v="49"/>
    <x v="1"/>
    <x v="89"/>
    <x v="48"/>
    <x v="0"/>
    <x v="119"/>
    <x v="12"/>
    <x v="1"/>
    <x v="89"/>
  </r>
  <r>
    <x v="39"/>
    <x v="50"/>
    <x v="1"/>
    <x v="90"/>
    <x v="49"/>
    <x v="0"/>
    <x v="120"/>
    <x v="12"/>
    <x v="1"/>
    <x v="90"/>
  </r>
  <r>
    <x v="40"/>
    <x v="53"/>
    <x v="1"/>
    <x v="91"/>
    <x v="0"/>
    <x v="0"/>
    <x v="121"/>
    <x v="12"/>
    <x v="1"/>
    <x v="91"/>
  </r>
  <r>
    <x v="40"/>
    <x v="98"/>
    <x v="2"/>
    <x v="2"/>
    <x v="0"/>
    <x v="0"/>
    <x v="122"/>
    <x v="12"/>
    <x v="2"/>
    <x v="0"/>
  </r>
  <r>
    <x v="41"/>
    <x v="54"/>
    <x v="1"/>
    <x v="92"/>
    <x v="0"/>
    <x v="0"/>
    <x v="123"/>
    <x v="12"/>
    <x v="1"/>
    <x v="92"/>
  </r>
  <r>
    <x v="41"/>
    <x v="55"/>
    <x v="2"/>
    <x v="2"/>
    <x v="0"/>
    <x v="0"/>
    <x v="124"/>
    <x v="87"/>
    <x v="2"/>
    <x v="0"/>
  </r>
  <r>
    <x v="43"/>
    <x v="57"/>
    <x v="1"/>
    <x v="93"/>
    <x v="50"/>
    <x v="0"/>
    <x v="125"/>
    <x v="88"/>
    <x v="1"/>
    <x v="93"/>
  </r>
  <r>
    <x v="44"/>
    <x v="58"/>
    <x v="1"/>
    <x v="94"/>
    <x v="0"/>
    <x v="0"/>
    <x v="126"/>
    <x v="12"/>
    <x v="1"/>
    <x v="94"/>
  </r>
  <r>
    <x v="44"/>
    <x v="99"/>
    <x v="1"/>
    <x v="95"/>
    <x v="0"/>
    <x v="32"/>
    <x v="127"/>
    <x v="89"/>
    <x v="2"/>
    <x v="0"/>
  </r>
  <r>
    <x v="45"/>
    <x v="59"/>
    <x v="1"/>
    <x v="96"/>
    <x v="51"/>
    <x v="0"/>
    <x v="128"/>
    <x v="90"/>
    <x v="1"/>
    <x v="95"/>
  </r>
  <r>
    <x v="46"/>
    <x v="60"/>
    <x v="2"/>
    <x v="2"/>
    <x v="0"/>
    <x v="0"/>
    <x v="0"/>
    <x v="12"/>
    <x v="2"/>
    <x v="0"/>
  </r>
  <r>
    <x v="47"/>
    <x v="61"/>
    <x v="1"/>
    <x v="97"/>
    <x v="52"/>
    <x v="0"/>
    <x v="129"/>
    <x v="91"/>
    <x v="1"/>
    <x v="96"/>
  </r>
  <r>
    <x v="47"/>
    <x v="100"/>
    <x v="1"/>
    <x v="98"/>
    <x v="0"/>
    <x v="0"/>
    <x v="0"/>
    <x v="12"/>
    <x v="1"/>
    <x v="97"/>
  </r>
  <r>
    <x v="48"/>
    <x v="62"/>
    <x v="1"/>
    <x v="99"/>
    <x v="53"/>
    <x v="0"/>
    <x v="130"/>
    <x v="12"/>
    <x v="1"/>
    <x v="98"/>
  </r>
  <r>
    <x v="49"/>
    <x v="63"/>
    <x v="2"/>
    <x v="2"/>
    <x v="0"/>
    <x v="0"/>
    <x v="131"/>
    <x v="92"/>
    <x v="2"/>
    <x v="0"/>
  </r>
  <r>
    <x v="49"/>
    <x v="101"/>
    <x v="2"/>
    <x v="2"/>
    <x v="0"/>
    <x v="0"/>
    <x v="132"/>
    <x v="12"/>
    <x v="2"/>
    <x v="0"/>
  </r>
  <r>
    <x v="50"/>
    <x v="64"/>
    <x v="1"/>
    <x v="100"/>
    <x v="54"/>
    <x v="0"/>
    <x v="133"/>
    <x v="12"/>
    <x v="1"/>
    <x v="99"/>
  </r>
  <r>
    <x v="51"/>
    <x v="65"/>
    <x v="1"/>
    <x v="101"/>
    <x v="55"/>
    <x v="0"/>
    <x v="134"/>
    <x v="93"/>
    <x v="1"/>
    <x v="100"/>
  </r>
  <r>
    <x v="51"/>
    <x v="66"/>
    <x v="2"/>
    <x v="2"/>
    <x v="0"/>
    <x v="0"/>
    <x v="0"/>
    <x v="94"/>
    <x v="2"/>
    <x v="0"/>
  </r>
  <r>
    <x v="52"/>
    <x v="67"/>
    <x v="1"/>
    <x v="102"/>
    <x v="56"/>
    <x v="0"/>
    <x v="135"/>
    <x v="12"/>
    <x v="1"/>
    <x v="101"/>
  </r>
  <r>
    <x v="52"/>
    <x v="68"/>
    <x v="2"/>
    <x v="2"/>
    <x v="0"/>
    <x v="0"/>
    <x v="136"/>
    <x v="12"/>
    <x v="2"/>
    <x v="0"/>
  </r>
  <r>
    <x v="53"/>
    <x v="69"/>
    <x v="1"/>
    <x v="103"/>
    <x v="0"/>
    <x v="0"/>
    <x v="137"/>
    <x v="12"/>
    <x v="1"/>
    <x v="102"/>
  </r>
  <r>
    <x v="53"/>
    <x v="70"/>
    <x v="2"/>
    <x v="2"/>
    <x v="0"/>
    <x v="0"/>
    <x v="138"/>
    <x v="12"/>
    <x v="2"/>
    <x v="0"/>
  </r>
  <r>
    <x v="54"/>
    <x v="71"/>
    <x v="1"/>
    <x v="104"/>
    <x v="57"/>
    <x v="0"/>
    <x v="139"/>
    <x v="12"/>
    <x v="1"/>
    <x v="103"/>
  </r>
  <r>
    <x v="55"/>
    <x v="72"/>
    <x v="1"/>
    <x v="105"/>
    <x v="0"/>
    <x v="0"/>
    <x v="140"/>
    <x v="95"/>
    <x v="1"/>
    <x v="104"/>
  </r>
  <r>
    <x v="56"/>
    <x v="73"/>
    <x v="2"/>
    <x v="2"/>
    <x v="0"/>
    <x v="0"/>
    <x v="141"/>
    <x v="96"/>
    <x v="2"/>
    <x v="0"/>
  </r>
  <r>
    <x v="57"/>
    <x v="74"/>
    <x v="1"/>
    <x v="106"/>
    <x v="58"/>
    <x v="0"/>
    <x v="142"/>
    <x v="12"/>
    <x v="1"/>
    <x v="105"/>
  </r>
  <r>
    <x v="58"/>
    <x v="75"/>
    <x v="1"/>
    <x v="107"/>
    <x v="59"/>
    <x v="0"/>
    <x v="143"/>
    <x v="12"/>
    <x v="1"/>
    <x v="106"/>
  </r>
  <r>
    <x v="74"/>
    <x v="102"/>
    <x v="2"/>
    <x v="2"/>
    <x v="60"/>
    <x v="0"/>
    <x v="144"/>
    <x v="12"/>
    <x v="1"/>
    <x v="107"/>
  </r>
  <r>
    <x v="75"/>
    <x v="103"/>
    <x v="2"/>
    <x v="2"/>
    <x v="61"/>
    <x v="0"/>
    <x v="145"/>
    <x v="12"/>
    <x v="1"/>
    <x v="108"/>
  </r>
  <r>
    <x v="59"/>
    <x v="76"/>
    <x v="1"/>
    <x v="108"/>
    <x v="0"/>
    <x v="0"/>
    <x v="146"/>
    <x v="12"/>
    <x v="1"/>
    <x v="109"/>
  </r>
  <r>
    <x v="60"/>
    <x v="77"/>
    <x v="2"/>
    <x v="2"/>
    <x v="0"/>
    <x v="0"/>
    <x v="147"/>
    <x v="97"/>
    <x v="2"/>
    <x v="0"/>
  </r>
  <r>
    <x v="61"/>
    <x v="78"/>
    <x v="1"/>
    <x v="109"/>
    <x v="0"/>
    <x v="0"/>
    <x v="148"/>
    <x v="98"/>
    <x v="1"/>
    <x v="110"/>
  </r>
  <r>
    <x v="63"/>
    <x v="81"/>
    <x v="1"/>
    <x v="110"/>
    <x v="62"/>
    <x v="0"/>
    <x v="149"/>
    <x v="12"/>
    <x v="1"/>
    <x v="111"/>
  </r>
  <r>
    <x v="65"/>
    <x v="84"/>
    <x v="1"/>
    <x v="111"/>
    <x v="63"/>
    <x v="0"/>
    <x v="150"/>
    <x v="12"/>
    <x v="1"/>
    <x v="112"/>
  </r>
  <r>
    <x v="66"/>
    <x v="85"/>
    <x v="1"/>
    <x v="112"/>
    <x v="0"/>
    <x v="0"/>
    <x v="151"/>
    <x v="12"/>
    <x v="1"/>
    <x v="113"/>
  </r>
  <r>
    <x v="67"/>
    <x v="86"/>
    <x v="1"/>
    <x v="113"/>
    <x v="64"/>
    <x v="0"/>
    <x v="152"/>
    <x v="12"/>
    <x v="1"/>
    <x v="114"/>
  </r>
  <r>
    <x v="68"/>
    <x v="87"/>
    <x v="1"/>
    <x v="114"/>
    <x v="65"/>
    <x v="0"/>
    <x v="153"/>
    <x v="12"/>
    <x v="1"/>
    <x v="115"/>
  </r>
  <r>
    <x v="69"/>
    <x v="88"/>
    <x v="1"/>
    <x v="115"/>
    <x v="66"/>
    <x v="0"/>
    <x v="154"/>
    <x v="12"/>
    <x v="1"/>
    <x v="116"/>
  </r>
  <r>
    <x v="70"/>
    <x v="89"/>
    <x v="1"/>
    <x v="116"/>
    <x v="67"/>
    <x v="0"/>
    <x v="155"/>
    <x v="12"/>
    <x v="1"/>
    <x v="117"/>
  </r>
  <r>
    <x v="71"/>
    <x v="90"/>
    <x v="1"/>
    <x v="117"/>
    <x v="68"/>
    <x v="0"/>
    <x v="156"/>
    <x v="12"/>
    <x v="1"/>
    <x v="118"/>
  </r>
  <r>
    <x v="72"/>
    <x v="91"/>
    <x v="1"/>
    <x v="118"/>
    <x v="69"/>
    <x v="0"/>
    <x v="157"/>
    <x v="12"/>
    <x v="1"/>
    <x v="119"/>
  </r>
  <r>
    <x v="73"/>
    <x v="92"/>
    <x v="2"/>
    <x v="2"/>
    <x v="0"/>
    <x v="0"/>
    <x v="0"/>
    <x v="12"/>
    <x v="2"/>
    <x v="0"/>
  </r>
  <r>
    <x v="76"/>
    <x v="104"/>
    <x v="3"/>
    <x v="2"/>
    <x v="0"/>
    <x v="0"/>
    <x v="0"/>
    <x v="12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R2:S80" firstHeaderRow="1" firstDataRow="1" firstDataCol="1"/>
  <pivotFields count="10">
    <pivotField axis="axisRow" compact="0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74"/>
        <item x="75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dataFields count="1">
    <dataField name="求和项:期末余额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Z195"/>
  <sheetViews>
    <sheetView workbookViewId="0">
      <selection activeCell="D4" sqref="D4"/>
    </sheetView>
  </sheetViews>
  <sheetFormatPr defaultColWidth="10.2857142857143" defaultRowHeight="12.75"/>
  <cols>
    <col min="1" max="1" width="10.2857142857143" style="185"/>
    <col min="2" max="2" width="19.4285714285714" style="185"/>
    <col min="3" max="3" width="25.1428571428571" style="185"/>
    <col min="4" max="4" width="19.8571428571429" style="185"/>
    <col min="5" max="9" width="18.5714285714286" style="185"/>
    <col min="10" max="10" width="20" style="185"/>
    <col min="11" max="11" width="21.2857142857143" style="185"/>
    <col min="12" max="15" width="14.8571428571429" style="185"/>
    <col min="16" max="26" width="10.2857142857143" style="185"/>
  </cols>
  <sheetData>
    <row r="1" s="80" customFormat="1" ht="47.25" customHeight="1" spans="1:26">
      <c r="A1" s="147"/>
      <c r="B1" s="186" t="s">
        <v>0</v>
      </c>
      <c r="C1" s="186"/>
      <c r="D1" s="186"/>
      <c r="E1" s="186"/>
      <c r="F1" s="186"/>
      <c r="G1" s="186"/>
      <c r="H1" s="186"/>
      <c r="I1" s="186"/>
      <c r="J1" s="186"/>
      <c r="K1" s="186"/>
      <c r="L1" s="187"/>
      <c r="M1" s="187"/>
      <c r="N1" s="187"/>
      <c r="O1" s="187"/>
      <c r="P1"/>
      <c r="Q1"/>
      <c r="R1"/>
      <c r="S1"/>
      <c r="T1"/>
      <c r="U1"/>
      <c r="V1"/>
      <c r="W1"/>
      <c r="X1"/>
      <c r="Y1"/>
      <c r="Z1"/>
    </row>
    <row r="2" s="80" customFormat="1" ht="43.5" customHeight="1" spans="1:26">
      <c r="A2" s="188" t="s">
        <v>1</v>
      </c>
      <c r="B2" s="188" t="s">
        <v>2</v>
      </c>
      <c r="C2" s="189" t="s">
        <v>3</v>
      </c>
      <c r="D2" s="190" t="s">
        <v>4</v>
      </c>
      <c r="E2" s="191" t="s">
        <v>5</v>
      </c>
      <c r="F2" s="192"/>
      <c r="G2" s="192"/>
      <c r="H2" s="192"/>
      <c r="I2" s="192"/>
      <c r="J2" s="193"/>
      <c r="K2" s="188" t="s">
        <v>6</v>
      </c>
      <c r="L2" s="194"/>
      <c r="M2" s="194"/>
      <c r="N2" s="194"/>
      <c r="O2" s="194"/>
      <c r="P2"/>
      <c r="Q2"/>
      <c r="R2"/>
      <c r="S2"/>
      <c r="T2"/>
      <c r="U2"/>
      <c r="V2"/>
      <c r="W2"/>
      <c r="X2"/>
      <c r="Y2"/>
      <c r="Z2"/>
    </row>
    <row r="3" s="80" customFormat="1" ht="43.5" customHeight="1" spans="1:26">
      <c r="A3" s="188"/>
      <c r="B3" s="195"/>
      <c r="C3" s="195"/>
      <c r="D3" s="190"/>
      <c r="E3" s="190" t="s">
        <v>7</v>
      </c>
      <c r="F3" s="196" t="s">
        <v>8</v>
      </c>
      <c r="G3" s="196" t="s">
        <v>9</v>
      </c>
      <c r="H3" s="196" t="s">
        <v>10</v>
      </c>
      <c r="I3" s="196" t="s">
        <v>11</v>
      </c>
      <c r="J3" s="196" t="s">
        <v>12</v>
      </c>
      <c r="K3" s="188"/>
      <c r="L3" s="194"/>
      <c r="M3" s="194"/>
      <c r="N3" s="194"/>
      <c r="O3" s="194"/>
      <c r="P3"/>
      <c r="Q3"/>
      <c r="R3"/>
      <c r="S3"/>
      <c r="T3"/>
      <c r="U3"/>
      <c r="V3"/>
      <c r="W3"/>
      <c r="X3"/>
      <c r="Y3"/>
      <c r="Z3"/>
    </row>
    <row r="4" s="80" customFormat="1" ht="60" customHeight="1" spans="1:26">
      <c r="A4" s="197">
        <v>1</v>
      </c>
      <c r="B4" s="198" t="s">
        <v>13</v>
      </c>
      <c r="C4" s="199">
        <f>'2023年度'!G7</f>
        <v>2484095.95</v>
      </c>
      <c r="D4" s="200">
        <f>'2023年度'!H7</f>
        <v>0</v>
      </c>
      <c r="E4" s="200">
        <f>'2023年度'!I7</f>
        <v>0</v>
      </c>
      <c r="F4" s="200">
        <f>'2023年度'!K7</f>
        <v>0</v>
      </c>
      <c r="G4" s="200">
        <f>'2023年度'!M7</f>
        <v>0</v>
      </c>
      <c r="H4" s="200">
        <f>'2023年度'!O7</f>
        <v>0</v>
      </c>
      <c r="I4" s="200">
        <f>'2023年度'!Q7</f>
        <v>2484095.95</v>
      </c>
      <c r="J4" s="200">
        <f>SUM(E4:I4)</f>
        <v>2484095.95</v>
      </c>
      <c r="K4" s="201" t="s">
        <v>14</v>
      </c>
      <c r="L4" s="194"/>
      <c r="M4" s="194"/>
      <c r="N4" s="194"/>
      <c r="O4" s="194"/>
      <c r="P4"/>
      <c r="Q4"/>
      <c r="R4"/>
      <c r="S4"/>
      <c r="T4"/>
      <c r="U4"/>
      <c r="V4"/>
      <c r="W4"/>
      <c r="X4"/>
      <c r="Y4"/>
      <c r="Z4"/>
    </row>
    <row r="5" s="80" customFormat="1" ht="60" customHeight="1" spans="1:26">
      <c r="A5" s="197">
        <v>2</v>
      </c>
      <c r="B5" s="202" t="s">
        <v>15</v>
      </c>
      <c r="C5" s="199">
        <f>'2024年度'!G11</f>
        <v>1012801.16</v>
      </c>
      <c r="D5" s="200">
        <f>'2024年度'!H11</f>
        <v>0</v>
      </c>
      <c r="E5" s="200">
        <f>'2024年度'!I11</f>
        <v>0</v>
      </c>
      <c r="F5" s="200">
        <f>'2024年度'!K11</f>
        <v>0</v>
      </c>
      <c r="G5" s="200">
        <f>'2024年度'!M11</f>
        <v>0</v>
      </c>
      <c r="H5" s="200">
        <f>'2024年度'!O11</f>
        <v>0</v>
      </c>
      <c r="I5" s="200">
        <f>'2024年度'!Q11</f>
        <v>1012801.16</v>
      </c>
      <c r="J5" s="200">
        <f>SUM(E5:I5)</f>
        <v>1012801.16</v>
      </c>
      <c r="K5" s="201"/>
      <c r="L5" s="194"/>
      <c r="M5" s="194"/>
      <c r="N5" s="194"/>
      <c r="O5" s="194"/>
      <c r="P5"/>
      <c r="Q5"/>
      <c r="R5"/>
      <c r="S5"/>
      <c r="T5"/>
      <c r="U5"/>
      <c r="V5"/>
      <c r="W5"/>
      <c r="X5"/>
      <c r="Y5"/>
      <c r="Z5"/>
    </row>
    <row r="6" s="80" customFormat="1" ht="60" customHeight="1" spans="1:26">
      <c r="A6" s="197">
        <v>3</v>
      </c>
      <c r="B6" s="202" t="s">
        <v>16</v>
      </c>
      <c r="C6" s="199">
        <f>'2025年度'!G28</f>
        <v>9250485.97</v>
      </c>
      <c r="D6" s="199">
        <f>'2025年度'!H28</f>
        <v>0</v>
      </c>
      <c r="E6" s="199">
        <f>'2025年度'!I28</f>
        <v>0</v>
      </c>
      <c r="F6" s="199">
        <f>'2025年度'!K28</f>
        <v>0</v>
      </c>
      <c r="G6" s="199">
        <f>'2025年度'!M28</f>
        <v>1857936.79</v>
      </c>
      <c r="H6" s="199">
        <f>'2025年度'!O28</f>
        <v>7391549.18</v>
      </c>
      <c r="I6" s="199">
        <f>'2025年度'!Q28</f>
        <v>1000</v>
      </c>
      <c r="J6" s="200">
        <f>SUM(E6:I6)</f>
        <v>9250485.97</v>
      </c>
      <c r="K6" s="201"/>
      <c r="L6" s="194"/>
      <c r="M6" s="194"/>
      <c r="N6" s="194"/>
      <c r="O6" s="194"/>
      <c r="P6"/>
      <c r="Q6"/>
      <c r="R6"/>
      <c r="S6"/>
      <c r="T6"/>
      <c r="U6"/>
      <c r="V6"/>
      <c r="W6"/>
      <c r="X6"/>
      <c r="Y6"/>
      <c r="Z6"/>
    </row>
    <row r="7" s="80" customFormat="1" ht="60" customHeight="1" spans="1:26">
      <c r="A7" s="197">
        <v>4</v>
      </c>
      <c r="B7" s="202" t="s">
        <v>17</v>
      </c>
      <c r="C7" s="199">
        <f>'2026年8月科桥餐饮公司应收账款统计表'!G74</f>
        <v>49648334.05</v>
      </c>
      <c r="D7" s="199">
        <f>'2026年8月科桥餐饮公司应收账款统计表'!H74</f>
        <v>30353932.4</v>
      </c>
      <c r="E7" s="199">
        <f>'2026年8月科桥餐饮公司应收账款统计表'!I74</f>
        <v>9024760.98</v>
      </c>
      <c r="F7" s="199">
        <f>'2026年8月科桥餐饮公司应收账款统计表'!K74</f>
        <v>6997639.69</v>
      </c>
      <c r="G7" s="199">
        <f>'2026年8月科桥餐饮公司应收账款统计表'!M74</f>
        <v>3272000.98</v>
      </c>
      <c r="H7" s="199">
        <f>'2026年8月科桥餐饮公司应收账款统计表'!O74</f>
        <v>0</v>
      </c>
      <c r="I7" s="199">
        <f>'2026年8月科桥餐饮公司应收账款统计表'!Q74</f>
        <v>0</v>
      </c>
      <c r="J7" s="200">
        <f>SUM(E7:I7)</f>
        <v>19294401.65</v>
      </c>
      <c r="K7" s="203"/>
      <c r="L7" s="194"/>
      <c r="M7" s="194"/>
      <c r="N7" s="194"/>
      <c r="O7" s="194"/>
      <c r="P7"/>
      <c r="Q7"/>
      <c r="R7"/>
      <c r="S7"/>
      <c r="T7"/>
      <c r="U7"/>
      <c r="V7"/>
      <c r="W7"/>
      <c r="X7"/>
      <c r="Y7"/>
      <c r="Z7"/>
    </row>
    <row r="8" s="80" customFormat="1" ht="60" customHeight="1" spans="1:26">
      <c r="A8" s="188" t="s">
        <v>18</v>
      </c>
      <c r="B8" s="188"/>
      <c r="C8" s="204">
        <f t="shared" ref="C8:J8" si="0">SUM(C4:C7)</f>
        <v>62395717.13</v>
      </c>
      <c r="D8" s="204">
        <f t="shared" si="0"/>
        <v>30353932.4</v>
      </c>
      <c r="E8" s="204">
        <f t="shared" si="0"/>
        <v>9024760.98</v>
      </c>
      <c r="F8" s="204">
        <f t="shared" si="0"/>
        <v>6997639.69</v>
      </c>
      <c r="G8" s="204">
        <f t="shared" si="0"/>
        <v>5129937.77</v>
      </c>
      <c r="H8" s="204">
        <f t="shared" si="0"/>
        <v>7391549.18</v>
      </c>
      <c r="I8" s="204">
        <f t="shared" si="0"/>
        <v>3497897.11</v>
      </c>
      <c r="J8" s="204">
        <f t="shared" si="0"/>
        <v>32041784.73</v>
      </c>
      <c r="K8" s="195"/>
      <c r="L8" s="194"/>
      <c r="M8" s="194"/>
      <c r="N8" s="194"/>
      <c r="O8" s="194"/>
      <c r="P8"/>
      <c r="Q8"/>
      <c r="R8"/>
      <c r="S8"/>
      <c r="T8"/>
      <c r="U8"/>
      <c r="V8"/>
      <c r="W8"/>
      <c r="X8"/>
      <c r="Y8"/>
      <c r="Z8"/>
    </row>
    <row r="9" s="80" customFormat="1" ht="14.25" spans="1:26">
      <c r="A9" s="147"/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/>
      <c r="Q9"/>
      <c r="R9"/>
      <c r="S9"/>
      <c r="T9"/>
      <c r="U9"/>
      <c r="V9"/>
      <c r="W9"/>
      <c r="X9"/>
      <c r="Y9"/>
      <c r="Z9"/>
    </row>
    <row r="10" s="80" customFormat="1" ht="14.25" spans="1:26">
      <c r="A10" s="147"/>
      <c r="B10" s="187"/>
      <c r="C10" s="187"/>
      <c r="D10" s="187"/>
      <c r="E10" s="187"/>
      <c r="F10" s="187"/>
      <c r="G10" s="187"/>
      <c r="H10" s="187"/>
      <c r="I10" s="187"/>
      <c r="J10" s="145" t="s">
        <v>19</v>
      </c>
      <c r="K10" s="145"/>
      <c r="L10" s="187"/>
      <c r="M10" s="187"/>
      <c r="N10" s="187"/>
      <c r="O10" s="187"/>
      <c r="P10"/>
      <c r="Q10"/>
      <c r="R10"/>
      <c r="S10"/>
      <c r="T10"/>
      <c r="U10"/>
      <c r="V10"/>
      <c r="W10"/>
      <c r="X10"/>
      <c r="Y10"/>
      <c r="Z10"/>
    </row>
    <row r="11" s="80" customFormat="1" ht="14.25" spans="1:26">
      <c r="A11" s="147"/>
      <c r="B11" s="187"/>
      <c r="C11" s="187"/>
      <c r="D11"/>
      <c r="E11" s="205"/>
      <c r="F11"/>
      <c r="G11" s="206"/>
      <c r="H11"/>
      <c r="I11" s="207"/>
      <c r="J11" s="205" t="s">
        <v>20</v>
      </c>
      <c r="K11" s="187"/>
      <c r="L11" s="187"/>
      <c r="M11" s="187"/>
      <c r="N11" s="187"/>
      <c r="O11" s="187"/>
      <c r="P11"/>
      <c r="Q11"/>
      <c r="R11"/>
      <c r="S11"/>
      <c r="T11"/>
      <c r="U11"/>
      <c r="V11"/>
      <c r="W11"/>
      <c r="X11"/>
      <c r="Y11"/>
      <c r="Z11"/>
    </row>
    <row r="12" s="80" customFormat="1" ht="14.25" spans="1:26">
      <c r="A12" s="147"/>
      <c r="B12" s="187"/>
      <c r="C12" s="187"/>
      <c r="D12" s="187"/>
      <c r="E12" s="187"/>
      <c r="F12" s="187"/>
      <c r="G12" s="187"/>
      <c r="H12" s="187"/>
      <c r="I12" s="187"/>
      <c r="J12" s="207" t="s">
        <v>21</v>
      </c>
      <c r="K12" s="187"/>
      <c r="L12" s="187"/>
      <c r="M12" s="187"/>
      <c r="N12" s="187"/>
      <c r="O12" s="187"/>
      <c r="P12"/>
      <c r="Q12"/>
      <c r="R12"/>
      <c r="S12"/>
      <c r="T12"/>
      <c r="U12"/>
      <c r="V12"/>
      <c r="W12"/>
      <c r="X12"/>
      <c r="Y12"/>
      <c r="Z12"/>
    </row>
    <row r="13" s="80" customFormat="1" ht="14.25" spans="1:26">
      <c r="A13" s="147"/>
      <c r="B13" s="187"/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/>
      <c r="Q13"/>
      <c r="R13"/>
      <c r="S13"/>
      <c r="T13"/>
      <c r="U13"/>
      <c r="V13"/>
      <c r="W13"/>
      <c r="X13"/>
      <c r="Y13"/>
      <c r="Z13"/>
    </row>
    <row r="14" s="80" customFormat="1" ht="14.25" spans="1:26">
      <c r="A14" s="147"/>
      <c r="B14" s="187"/>
      <c r="C14" s="187"/>
      <c r="D14" s="187"/>
      <c r="E14" s="187"/>
      <c r="F14" s="187"/>
      <c r="G14" s="187"/>
      <c r="H14" s="187"/>
      <c r="I14" s="187"/>
      <c r="J14" s="187"/>
      <c r="K14" s="187"/>
      <c r="L14" s="187"/>
      <c r="M14" s="187"/>
      <c r="N14" s="187"/>
      <c r="O14" s="187"/>
      <c r="P14"/>
      <c r="Q14"/>
      <c r="R14"/>
      <c r="S14"/>
      <c r="T14"/>
      <c r="U14"/>
      <c r="V14"/>
      <c r="W14"/>
      <c r="X14"/>
      <c r="Y14"/>
      <c r="Z14"/>
    </row>
    <row r="15" s="80" customFormat="1" ht="14.25" spans="1:26">
      <c r="A15" s="147"/>
      <c r="B15" s="187"/>
      <c r="C15" s="187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/>
      <c r="Q15"/>
      <c r="R15"/>
      <c r="S15"/>
      <c r="T15"/>
      <c r="U15"/>
      <c r="V15"/>
      <c r="W15"/>
      <c r="X15"/>
      <c r="Y15"/>
      <c r="Z15"/>
    </row>
    <row r="16" s="80" customFormat="1" ht="14.25" spans="1:26">
      <c r="A16" s="147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87"/>
      <c r="M16" s="187"/>
      <c r="N16" s="187"/>
      <c r="O16" s="187"/>
      <c r="P16"/>
      <c r="Q16"/>
      <c r="R16"/>
      <c r="S16"/>
      <c r="T16"/>
      <c r="U16"/>
      <c r="V16"/>
      <c r="W16"/>
      <c r="X16"/>
      <c r="Y16"/>
      <c r="Z16"/>
    </row>
    <row r="17" s="80" customFormat="1" ht="14.25" spans="1:26">
      <c r="A17" s="147"/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187"/>
      <c r="P17"/>
      <c r="Q17"/>
      <c r="R17"/>
      <c r="S17"/>
      <c r="T17"/>
      <c r="U17"/>
      <c r="V17"/>
      <c r="W17"/>
      <c r="X17"/>
      <c r="Y17"/>
      <c r="Z17"/>
    </row>
    <row r="18" s="80" customFormat="1" ht="14.25" spans="1:26">
      <c r="A18" s="147"/>
      <c r="B18" s="187"/>
      <c r="C18" s="187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/>
      <c r="Q18"/>
      <c r="R18"/>
      <c r="S18"/>
      <c r="T18"/>
      <c r="U18"/>
      <c r="V18"/>
      <c r="W18"/>
      <c r="X18"/>
      <c r="Y18"/>
      <c r="Z18"/>
    </row>
    <row r="19" s="80" customFormat="1" ht="14.25" spans="1:26">
      <c r="A19" s="147"/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/>
      <c r="Q19"/>
      <c r="R19"/>
      <c r="S19"/>
      <c r="T19"/>
      <c r="U19"/>
      <c r="V19"/>
      <c r="W19"/>
      <c r="X19"/>
      <c r="Y19"/>
      <c r="Z19"/>
    </row>
    <row r="20" s="80" customFormat="1" ht="14.25" spans="1:26">
      <c r="A20" s="147"/>
      <c r="B20" s="187"/>
      <c r="C20" s="187"/>
      <c r="D20" s="187"/>
      <c r="E20" s="187"/>
      <c r="F20" s="187"/>
      <c r="G20" s="187"/>
      <c r="H20" s="187"/>
      <c r="I20" s="187"/>
      <c r="J20" s="187"/>
      <c r="K20" s="187"/>
      <c r="L20" s="187"/>
      <c r="M20" s="187"/>
      <c r="N20" s="187"/>
      <c r="O20" s="187"/>
      <c r="P20"/>
      <c r="Q20"/>
      <c r="R20"/>
      <c r="S20"/>
      <c r="T20"/>
      <c r="U20"/>
      <c r="V20"/>
      <c r="W20"/>
      <c r="X20"/>
      <c r="Y20"/>
      <c r="Z20"/>
    </row>
    <row r="21" s="80" customFormat="1" ht="14.25" spans="1:26">
      <c r="A21" s="147"/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/>
      <c r="Q21"/>
      <c r="R21"/>
      <c r="S21"/>
      <c r="T21"/>
      <c r="U21"/>
      <c r="V21"/>
      <c r="W21"/>
      <c r="X21"/>
      <c r="Y21"/>
      <c r="Z21"/>
    </row>
    <row r="22" s="80" customFormat="1" ht="14.25" spans="1:26">
      <c r="A22" s="147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87"/>
      <c r="M22" s="187"/>
      <c r="N22" s="187"/>
      <c r="O22" s="187"/>
      <c r="P22"/>
      <c r="Q22"/>
      <c r="R22"/>
      <c r="S22"/>
      <c r="T22"/>
      <c r="U22"/>
      <c r="V22"/>
      <c r="W22"/>
      <c r="X22"/>
      <c r="Y22"/>
      <c r="Z22"/>
    </row>
    <row r="23" s="80" customFormat="1" ht="14.25" spans="1:26">
      <c r="A23" s="147"/>
      <c r="B23" s="187"/>
      <c r="C23" s="187"/>
      <c r="D23" s="187"/>
      <c r="E23" s="187"/>
      <c r="F23" s="187"/>
      <c r="G23" s="187"/>
      <c r="H23" s="187"/>
      <c r="I23" s="187"/>
      <c r="J23" s="187"/>
      <c r="K23" s="187"/>
      <c r="L23" s="187"/>
      <c r="M23" s="187"/>
      <c r="N23" s="187"/>
      <c r="O23" s="187"/>
      <c r="P23"/>
      <c r="Q23"/>
      <c r="R23"/>
      <c r="S23"/>
      <c r="T23"/>
      <c r="U23"/>
      <c r="V23"/>
      <c r="W23"/>
      <c r="X23"/>
      <c r="Y23"/>
      <c r="Z23"/>
    </row>
    <row r="24" s="80" customFormat="1" ht="14.25" spans="1:26">
      <c r="A24" s="147"/>
      <c r="B24" s="187"/>
      <c r="C24" s="187"/>
      <c r="D24" s="187"/>
      <c r="E24" s="187"/>
      <c r="F24" s="187"/>
      <c r="G24" s="187"/>
      <c r="H24" s="187"/>
      <c r="I24" s="187"/>
      <c r="J24" s="187"/>
      <c r="K24" s="187"/>
      <c r="L24" s="187"/>
      <c r="M24" s="187"/>
      <c r="N24" s="187"/>
      <c r="O24" s="187"/>
      <c r="P24"/>
      <c r="Q24"/>
      <c r="R24"/>
      <c r="S24"/>
      <c r="T24"/>
      <c r="U24"/>
      <c r="V24"/>
      <c r="W24"/>
      <c r="X24"/>
      <c r="Y24"/>
      <c r="Z24"/>
    </row>
    <row r="25" s="80" customFormat="1" ht="14.25" spans="1:26">
      <c r="A25" s="147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/>
      <c r="Q25"/>
      <c r="R25"/>
      <c r="S25"/>
      <c r="T25"/>
      <c r="U25"/>
      <c r="V25"/>
      <c r="W25"/>
      <c r="X25"/>
      <c r="Y25"/>
      <c r="Z25"/>
    </row>
    <row r="26" s="80" customFormat="1" ht="14.25" spans="1:26">
      <c r="A26" s="147"/>
      <c r="B26" s="187"/>
      <c r="C26" s="187"/>
      <c r="D26" s="187"/>
      <c r="E26" s="187"/>
      <c r="F26" s="187"/>
      <c r="G26" s="187"/>
      <c r="H26" s="187"/>
      <c r="I26" s="187"/>
      <c r="J26" s="187"/>
      <c r="K26" s="187"/>
      <c r="L26" s="187"/>
      <c r="M26" s="187"/>
      <c r="N26" s="187"/>
      <c r="O26" s="187"/>
      <c r="P26"/>
      <c r="Q26"/>
      <c r="R26"/>
      <c r="S26"/>
      <c r="T26"/>
      <c r="U26"/>
      <c r="V26"/>
      <c r="W26"/>
      <c r="X26"/>
      <c r="Y26"/>
      <c r="Z26"/>
    </row>
    <row r="27" s="80" customFormat="1" ht="14.25" spans="1:26">
      <c r="A27" s="147"/>
      <c r="B27" s="187"/>
      <c r="C27" s="187"/>
      <c r="D27" s="187"/>
      <c r="E27" s="187"/>
      <c r="F27" s="187"/>
      <c r="G27" s="187"/>
      <c r="H27" s="187"/>
      <c r="I27" s="187"/>
      <c r="J27" s="187"/>
      <c r="K27" s="187"/>
      <c r="L27" s="187"/>
      <c r="M27" s="187"/>
      <c r="N27" s="187"/>
      <c r="O27" s="187"/>
      <c r="P27"/>
      <c r="Q27"/>
      <c r="R27"/>
      <c r="S27"/>
      <c r="T27"/>
      <c r="U27"/>
      <c r="V27"/>
      <c r="W27"/>
      <c r="X27"/>
      <c r="Y27"/>
      <c r="Z27"/>
    </row>
    <row r="28" s="80" customFormat="1" ht="14.25" spans="1:26">
      <c r="A28" s="147"/>
      <c r="B28" s="187"/>
      <c r="C28" s="187"/>
      <c r="D28" s="187"/>
      <c r="E28" s="187"/>
      <c r="F28" s="187"/>
      <c r="G28" s="187"/>
      <c r="H28" s="187"/>
      <c r="I28" s="187"/>
      <c r="J28" s="187"/>
      <c r="K28" s="187"/>
      <c r="L28" s="187"/>
      <c r="M28" s="187"/>
      <c r="N28" s="187"/>
      <c r="O28" s="187"/>
      <c r="P28"/>
      <c r="Q28"/>
      <c r="R28"/>
      <c r="S28"/>
      <c r="T28"/>
      <c r="U28"/>
      <c r="V28"/>
      <c r="W28"/>
      <c r="X28"/>
      <c r="Y28"/>
      <c r="Z28"/>
    </row>
    <row r="29" s="80" customFormat="1" ht="14.25" spans="1:26">
      <c r="A29" s="147"/>
      <c r="B29" s="187"/>
      <c r="C29" s="187"/>
      <c r="D29" s="187"/>
      <c r="E29" s="187"/>
      <c r="F29" s="187"/>
      <c r="G29" s="187"/>
      <c r="H29" s="187"/>
      <c r="I29" s="187"/>
      <c r="J29" s="187"/>
      <c r="K29" s="187"/>
      <c r="L29" s="187"/>
      <c r="M29" s="187"/>
      <c r="N29" s="187"/>
      <c r="O29" s="187"/>
      <c r="P29"/>
      <c r="Q29"/>
      <c r="R29"/>
      <c r="S29"/>
      <c r="T29"/>
      <c r="U29"/>
      <c r="V29"/>
      <c r="W29"/>
      <c r="X29"/>
      <c r="Y29"/>
      <c r="Z29"/>
    </row>
    <row r="30" s="80" customFormat="1" ht="14.25" spans="1:26">
      <c r="A30" s="147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/>
      <c r="Q30"/>
      <c r="R30"/>
      <c r="S30"/>
      <c r="T30"/>
      <c r="U30"/>
      <c r="V30"/>
      <c r="W30"/>
      <c r="X30"/>
      <c r="Y30"/>
      <c r="Z30"/>
    </row>
    <row r="31" s="80" customFormat="1" ht="14.25" spans="1:26">
      <c r="A31" s="147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/>
      <c r="Q31"/>
      <c r="R31"/>
      <c r="S31"/>
      <c r="T31"/>
      <c r="U31"/>
      <c r="V31"/>
      <c r="W31"/>
      <c r="X31"/>
      <c r="Y31"/>
      <c r="Z31"/>
    </row>
    <row r="32" s="80" customFormat="1" ht="14.25" spans="1:26">
      <c r="A32" s="147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/>
      <c r="Q32"/>
      <c r="R32"/>
      <c r="S32"/>
      <c r="T32"/>
      <c r="U32"/>
      <c r="V32"/>
      <c r="W32"/>
      <c r="X32"/>
      <c r="Y32"/>
      <c r="Z32"/>
    </row>
    <row r="33" s="80" customFormat="1" ht="14.25" spans="1:26">
      <c r="A33" s="147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/>
      <c r="Q33"/>
      <c r="R33"/>
      <c r="S33"/>
      <c r="T33"/>
      <c r="U33"/>
      <c r="V33"/>
      <c r="W33"/>
      <c r="X33"/>
      <c r="Y33"/>
      <c r="Z33"/>
    </row>
    <row r="34" s="80" customFormat="1" ht="14.25" spans="1:26">
      <c r="A34" s="147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/>
      <c r="Q34"/>
      <c r="R34"/>
      <c r="S34"/>
      <c r="T34"/>
      <c r="U34"/>
      <c r="V34"/>
      <c r="W34"/>
      <c r="X34"/>
      <c r="Y34"/>
      <c r="Z34"/>
    </row>
    <row r="35" s="80" customFormat="1" ht="14.25" spans="1:26">
      <c r="A35" s="147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/>
      <c r="Q35"/>
      <c r="R35"/>
      <c r="S35"/>
      <c r="T35"/>
      <c r="U35"/>
      <c r="V35"/>
      <c r="W35"/>
      <c r="X35"/>
      <c r="Y35"/>
      <c r="Z35"/>
    </row>
    <row r="36" s="80" customFormat="1" ht="14.25" spans="1:26">
      <c r="A36" s="147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/>
      <c r="Q36"/>
      <c r="R36"/>
      <c r="S36"/>
      <c r="T36"/>
      <c r="U36"/>
      <c r="V36"/>
      <c r="W36"/>
      <c r="X36"/>
      <c r="Y36"/>
      <c r="Z36"/>
    </row>
    <row r="37" s="80" customFormat="1" ht="14.25" spans="1:26">
      <c r="A37" s="147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/>
      <c r="Q37"/>
      <c r="R37"/>
      <c r="S37"/>
      <c r="T37"/>
      <c r="U37"/>
      <c r="V37"/>
      <c r="W37"/>
      <c r="X37"/>
      <c r="Y37"/>
      <c r="Z37"/>
    </row>
    <row r="38" s="80" customFormat="1" ht="14.25" spans="1:26">
      <c r="A38" s="147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/>
      <c r="Q38"/>
      <c r="R38"/>
      <c r="S38"/>
      <c r="T38"/>
      <c r="U38"/>
      <c r="V38"/>
      <c r="W38"/>
      <c r="X38"/>
      <c r="Y38"/>
      <c r="Z38"/>
    </row>
    <row r="39" s="80" customFormat="1" ht="14.25" spans="1:26">
      <c r="A39" s="147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/>
      <c r="Q39"/>
      <c r="R39"/>
      <c r="S39"/>
      <c r="T39"/>
      <c r="U39"/>
      <c r="V39"/>
      <c r="W39"/>
      <c r="X39"/>
      <c r="Y39"/>
      <c r="Z39"/>
    </row>
    <row r="40" s="80" customFormat="1" ht="14.25" spans="1:26">
      <c r="A40" s="147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/>
      <c r="Q40"/>
      <c r="R40"/>
      <c r="S40"/>
      <c r="T40"/>
      <c r="U40"/>
      <c r="V40"/>
      <c r="W40"/>
      <c r="X40"/>
      <c r="Y40"/>
      <c r="Z40"/>
    </row>
    <row r="41" s="80" customFormat="1" ht="14.25" spans="1:26">
      <c r="A41" s="147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/>
      <c r="Q41"/>
      <c r="R41"/>
      <c r="S41"/>
      <c r="T41"/>
      <c r="U41"/>
      <c r="V41"/>
      <c r="W41"/>
      <c r="X41"/>
      <c r="Y41"/>
      <c r="Z41"/>
    </row>
    <row r="42" s="80" customFormat="1" ht="14.25" spans="1:26">
      <c r="A42" s="147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/>
      <c r="Q42"/>
      <c r="R42"/>
      <c r="S42"/>
      <c r="T42"/>
      <c r="U42"/>
      <c r="V42"/>
      <c r="W42"/>
      <c r="X42"/>
      <c r="Y42"/>
      <c r="Z42"/>
    </row>
    <row r="43" s="80" customFormat="1" ht="14.25" spans="1:26">
      <c r="A43" s="147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/>
      <c r="Q43"/>
      <c r="R43"/>
      <c r="S43"/>
      <c r="T43"/>
      <c r="U43"/>
      <c r="V43"/>
      <c r="W43"/>
      <c r="X43"/>
      <c r="Y43"/>
      <c r="Z43"/>
    </row>
    <row r="44" s="80" customFormat="1" ht="14.25" spans="1:26">
      <c r="A44" s="147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/>
      <c r="Q44"/>
      <c r="R44"/>
      <c r="S44"/>
      <c r="T44"/>
      <c r="U44"/>
      <c r="V44"/>
      <c r="W44"/>
      <c r="X44"/>
      <c r="Y44"/>
      <c r="Z44"/>
    </row>
    <row r="45" s="80" customFormat="1" ht="14.25" spans="1:26">
      <c r="A45" s="147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/>
      <c r="Q45"/>
      <c r="R45"/>
      <c r="S45"/>
      <c r="T45"/>
      <c r="U45"/>
      <c r="V45"/>
      <c r="W45"/>
      <c r="X45"/>
      <c r="Y45"/>
      <c r="Z45"/>
    </row>
    <row r="46" s="80" customFormat="1" ht="14.25" spans="1:26">
      <c r="A46" s="147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/>
      <c r="Q46"/>
      <c r="R46"/>
      <c r="S46"/>
      <c r="T46"/>
      <c r="U46"/>
      <c r="V46"/>
      <c r="W46"/>
      <c r="X46"/>
      <c r="Y46"/>
      <c r="Z46"/>
    </row>
    <row r="47" s="80" customFormat="1" ht="14.25" spans="1:26">
      <c r="A47" s="147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/>
      <c r="Q47"/>
      <c r="R47"/>
      <c r="S47"/>
      <c r="T47"/>
      <c r="U47"/>
      <c r="V47"/>
      <c r="W47"/>
      <c r="X47"/>
      <c r="Y47"/>
      <c r="Z47"/>
    </row>
    <row r="48" s="80" customFormat="1" ht="14.25" spans="1:26">
      <c r="A48" s="147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/>
      <c r="Q48"/>
      <c r="R48"/>
      <c r="S48"/>
      <c r="T48"/>
      <c r="U48"/>
      <c r="V48"/>
      <c r="W48"/>
      <c r="X48"/>
      <c r="Y48"/>
      <c r="Z48"/>
    </row>
    <row r="49" s="80" customFormat="1" ht="14.25" spans="1:26">
      <c r="A49" s="147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/>
      <c r="Q49"/>
      <c r="R49"/>
      <c r="S49"/>
      <c r="T49"/>
      <c r="U49"/>
      <c r="V49"/>
      <c r="W49"/>
      <c r="X49"/>
      <c r="Y49"/>
      <c r="Z49"/>
    </row>
    <row r="50" s="80" customFormat="1" ht="14.25" spans="1:26">
      <c r="A50" s="147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/>
      <c r="Q50"/>
      <c r="R50"/>
      <c r="S50"/>
      <c r="T50"/>
      <c r="U50"/>
      <c r="V50"/>
      <c r="W50"/>
      <c r="X50"/>
      <c r="Y50"/>
      <c r="Z50"/>
    </row>
    <row r="51" s="80" customFormat="1" ht="14.25" spans="1:26">
      <c r="A51" s="147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/>
      <c r="Q51"/>
      <c r="R51"/>
      <c r="S51"/>
      <c r="T51"/>
      <c r="U51"/>
      <c r="V51"/>
      <c r="W51"/>
      <c r="X51"/>
      <c r="Y51"/>
      <c r="Z51"/>
    </row>
    <row r="52" s="80" customFormat="1" ht="14.25" spans="1:26">
      <c r="A52" s="147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/>
      <c r="Q52"/>
      <c r="R52"/>
      <c r="S52"/>
      <c r="T52"/>
      <c r="U52"/>
      <c r="V52"/>
      <c r="W52"/>
      <c r="X52"/>
      <c r="Y52"/>
      <c r="Z52"/>
    </row>
    <row r="53" s="80" customFormat="1" ht="14.25" spans="1:26">
      <c r="A53" s="14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/>
      <c r="Q53"/>
      <c r="R53"/>
      <c r="S53"/>
      <c r="T53"/>
      <c r="U53"/>
      <c r="V53"/>
      <c r="W53"/>
      <c r="X53"/>
      <c r="Y53"/>
      <c r="Z53"/>
    </row>
    <row r="54" s="80" customFormat="1" ht="14.25" spans="1:26">
      <c r="A54" s="14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/>
      <c r="Q54"/>
      <c r="R54"/>
      <c r="S54"/>
      <c r="T54"/>
      <c r="U54"/>
      <c r="V54"/>
      <c r="W54"/>
      <c r="X54"/>
      <c r="Y54"/>
      <c r="Z54"/>
    </row>
    <row r="55" s="80" customFormat="1" ht="14.25" spans="1:26">
      <c r="A55" s="14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/>
      <c r="Q55"/>
      <c r="R55"/>
      <c r="S55"/>
      <c r="T55"/>
      <c r="U55"/>
      <c r="V55"/>
      <c r="W55"/>
      <c r="X55"/>
      <c r="Y55"/>
      <c r="Z55"/>
    </row>
    <row r="56" s="80" customFormat="1" ht="14.25" spans="1:26">
      <c r="A56" s="14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/>
      <c r="Q56"/>
      <c r="R56"/>
      <c r="S56"/>
      <c r="T56"/>
      <c r="U56"/>
      <c r="V56"/>
      <c r="W56"/>
      <c r="X56"/>
      <c r="Y56"/>
      <c r="Z56"/>
    </row>
    <row r="57" s="80" customFormat="1" ht="14.25" spans="1:26">
      <c r="A57" s="14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/>
      <c r="Q57"/>
      <c r="R57"/>
      <c r="S57"/>
      <c r="T57"/>
      <c r="U57"/>
      <c r="V57"/>
      <c r="W57"/>
      <c r="X57"/>
      <c r="Y57"/>
      <c r="Z57"/>
    </row>
    <row r="58" s="80" customFormat="1" ht="14.25" spans="1:26">
      <c r="A58" s="14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/>
      <c r="Q58"/>
      <c r="R58"/>
      <c r="S58"/>
      <c r="T58"/>
      <c r="U58"/>
      <c r="V58"/>
      <c r="W58"/>
      <c r="X58"/>
      <c r="Y58"/>
      <c r="Z58"/>
    </row>
    <row r="59" s="80" customFormat="1" ht="14.25" spans="1:26">
      <c r="A59" s="14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/>
      <c r="Q59"/>
      <c r="R59"/>
      <c r="S59"/>
      <c r="T59"/>
      <c r="U59"/>
      <c r="V59"/>
      <c r="W59"/>
      <c r="X59"/>
      <c r="Y59"/>
      <c r="Z59"/>
    </row>
    <row r="60" s="80" customFormat="1" ht="14.25" spans="1:26">
      <c r="A60" s="14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/>
      <c r="Q60"/>
      <c r="R60"/>
      <c r="S60"/>
      <c r="T60"/>
      <c r="U60"/>
      <c r="V60"/>
      <c r="W60"/>
      <c r="X60"/>
      <c r="Y60"/>
      <c r="Z60"/>
    </row>
    <row r="61" s="80" customFormat="1" ht="14.25" spans="1:26">
      <c r="A61" s="14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/>
      <c r="Q61"/>
      <c r="R61"/>
      <c r="S61"/>
      <c r="T61"/>
      <c r="U61"/>
      <c r="V61"/>
      <c r="W61"/>
      <c r="X61"/>
      <c r="Y61"/>
      <c r="Z61"/>
    </row>
    <row r="62" s="80" customFormat="1" ht="14.25" spans="1:26">
      <c r="A62" s="14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/>
      <c r="Q62"/>
      <c r="R62"/>
      <c r="S62"/>
      <c r="T62"/>
      <c r="U62"/>
      <c r="V62"/>
      <c r="W62"/>
      <c r="X62"/>
      <c r="Y62"/>
      <c r="Z62"/>
    </row>
    <row r="63" s="80" customFormat="1" ht="14.25" spans="1:26">
      <c r="A63" s="14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/>
      <c r="Q63"/>
      <c r="R63"/>
      <c r="S63"/>
      <c r="T63"/>
      <c r="U63"/>
      <c r="V63"/>
      <c r="W63"/>
      <c r="X63"/>
      <c r="Y63"/>
      <c r="Z63"/>
    </row>
    <row r="64" s="80" customFormat="1" ht="14.25" spans="1:26">
      <c r="A64" s="14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/>
      <c r="Q64"/>
      <c r="R64"/>
      <c r="S64"/>
      <c r="T64"/>
      <c r="U64"/>
      <c r="V64"/>
      <c r="W64"/>
      <c r="X64"/>
      <c r="Y64"/>
      <c r="Z64"/>
    </row>
    <row r="65" s="80" customFormat="1" ht="14.25" spans="1:26">
      <c r="A65" s="14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/>
      <c r="Q65"/>
      <c r="R65"/>
      <c r="S65"/>
      <c r="T65"/>
      <c r="U65"/>
      <c r="V65"/>
      <c r="W65"/>
      <c r="X65"/>
      <c r="Y65"/>
      <c r="Z65"/>
    </row>
    <row r="66" s="80" customFormat="1" ht="14.25" spans="1:26">
      <c r="A66" s="14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/>
      <c r="Q66"/>
      <c r="R66"/>
      <c r="S66"/>
      <c r="T66"/>
      <c r="U66"/>
      <c r="V66"/>
      <c r="W66"/>
      <c r="X66"/>
      <c r="Y66"/>
      <c r="Z66"/>
    </row>
    <row r="67" s="80" customFormat="1" ht="14.25" spans="1:26">
      <c r="A67" s="14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/>
      <c r="Q67"/>
      <c r="R67"/>
      <c r="S67"/>
      <c r="T67"/>
      <c r="U67"/>
      <c r="V67"/>
      <c r="W67"/>
      <c r="X67"/>
      <c r="Y67"/>
      <c r="Z67"/>
    </row>
    <row r="68" s="80" customFormat="1" ht="14.25" spans="1:26">
      <c r="A68" s="14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/>
      <c r="Q68"/>
      <c r="R68"/>
      <c r="S68"/>
      <c r="T68"/>
      <c r="U68"/>
      <c r="V68"/>
      <c r="W68"/>
      <c r="X68"/>
      <c r="Y68"/>
      <c r="Z68"/>
    </row>
    <row r="69" s="80" customFormat="1" ht="14.25" spans="1:26">
      <c r="A69" s="14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/>
      <c r="Q69"/>
      <c r="R69"/>
      <c r="S69"/>
      <c r="T69"/>
      <c r="U69"/>
      <c r="V69"/>
      <c r="W69"/>
      <c r="X69"/>
      <c r="Y69"/>
      <c r="Z69"/>
    </row>
    <row r="70" s="80" customFormat="1" ht="14.25" spans="1:26">
      <c r="A70" s="14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/>
      <c r="Q70"/>
      <c r="R70"/>
      <c r="S70"/>
      <c r="T70"/>
      <c r="U70"/>
      <c r="V70"/>
      <c r="W70"/>
      <c r="X70"/>
      <c r="Y70"/>
      <c r="Z70"/>
    </row>
    <row r="71" s="80" customFormat="1" ht="14.25" spans="1:26">
      <c r="A71" s="14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/>
      <c r="Q71"/>
      <c r="R71"/>
      <c r="S71"/>
      <c r="T71"/>
      <c r="U71"/>
      <c r="V71"/>
      <c r="W71"/>
      <c r="X71"/>
      <c r="Y71"/>
      <c r="Z71"/>
    </row>
    <row r="72" s="80" customFormat="1" ht="14.25" spans="1:26">
      <c r="A72" s="14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/>
      <c r="Q72"/>
      <c r="R72"/>
      <c r="S72"/>
      <c r="T72"/>
      <c r="U72"/>
      <c r="V72"/>
      <c r="W72"/>
      <c r="X72"/>
      <c r="Y72"/>
      <c r="Z72"/>
    </row>
    <row r="73" s="80" customFormat="1" ht="14.25" spans="1:26">
      <c r="A73" s="14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/>
      <c r="Q73"/>
      <c r="R73"/>
      <c r="S73"/>
      <c r="T73"/>
      <c r="U73"/>
      <c r="V73"/>
      <c r="W73"/>
      <c r="X73"/>
      <c r="Y73"/>
      <c r="Z73"/>
    </row>
    <row r="74" s="80" customFormat="1" ht="14.25" spans="1:26">
      <c r="A74" s="14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/>
      <c r="Q74"/>
      <c r="R74"/>
      <c r="S74"/>
      <c r="T74"/>
      <c r="U74"/>
      <c r="V74"/>
      <c r="W74"/>
      <c r="X74"/>
      <c r="Y74"/>
      <c r="Z74"/>
    </row>
    <row r="75" s="80" customFormat="1" ht="14.25" spans="1:26">
      <c r="A75" s="14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/>
      <c r="Q75"/>
      <c r="R75"/>
      <c r="S75"/>
      <c r="T75"/>
      <c r="U75"/>
      <c r="V75"/>
      <c r="W75"/>
      <c r="X75"/>
      <c r="Y75"/>
      <c r="Z75"/>
    </row>
    <row r="76" s="80" customFormat="1" ht="14.25" spans="1:26">
      <c r="A76" s="14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/>
      <c r="Q76"/>
      <c r="R76"/>
      <c r="S76"/>
      <c r="T76"/>
      <c r="U76"/>
      <c r="V76"/>
      <c r="W76"/>
      <c r="X76"/>
      <c r="Y76"/>
      <c r="Z76"/>
    </row>
    <row r="77" s="80" customFormat="1" ht="14.25" spans="1:26">
      <c r="A77" s="147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/>
      <c r="Q77"/>
      <c r="R77"/>
      <c r="S77"/>
      <c r="T77"/>
      <c r="U77"/>
      <c r="V77"/>
      <c r="W77"/>
      <c r="X77"/>
      <c r="Y77"/>
      <c r="Z77"/>
    </row>
    <row r="78" s="80" customFormat="1" ht="14.25" spans="1:26">
      <c r="A78" s="147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/>
      <c r="Q78"/>
      <c r="R78"/>
      <c r="S78"/>
      <c r="T78"/>
      <c r="U78"/>
      <c r="V78"/>
      <c r="W78"/>
      <c r="X78"/>
      <c r="Y78"/>
      <c r="Z78"/>
    </row>
    <row r="79" s="80" customFormat="1" ht="14.25" spans="1:26">
      <c r="A79" s="147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/>
      <c r="Q79"/>
      <c r="R79"/>
      <c r="S79"/>
      <c r="T79"/>
      <c r="U79"/>
      <c r="V79"/>
      <c r="W79"/>
      <c r="X79"/>
      <c r="Y79"/>
      <c r="Z79"/>
    </row>
    <row r="80" s="80" customFormat="1" ht="14.25" spans="1:26">
      <c r="A80" s="147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/>
      <c r="Q80"/>
      <c r="R80"/>
      <c r="S80"/>
      <c r="T80"/>
      <c r="U80"/>
      <c r="V80"/>
      <c r="W80"/>
      <c r="X80"/>
      <c r="Y80"/>
      <c r="Z80"/>
    </row>
    <row r="81" s="80" customFormat="1" ht="14.25" spans="1:26">
      <c r="A81" s="147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/>
      <c r="Q81"/>
      <c r="R81"/>
      <c r="S81"/>
      <c r="T81"/>
      <c r="U81"/>
      <c r="V81"/>
      <c r="W81"/>
      <c r="X81"/>
      <c r="Y81"/>
      <c r="Z81"/>
    </row>
    <row r="82" s="80" customFormat="1" ht="14.25" spans="1:26">
      <c r="A82" s="147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/>
      <c r="Q82"/>
      <c r="R82"/>
      <c r="S82"/>
      <c r="T82"/>
      <c r="U82"/>
      <c r="V82"/>
      <c r="W82"/>
      <c r="X82"/>
      <c r="Y82"/>
      <c r="Z82"/>
    </row>
    <row r="83" s="80" customFormat="1" ht="14.25" spans="1:26">
      <c r="A83" s="147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/>
      <c r="Q83"/>
      <c r="R83"/>
      <c r="S83"/>
      <c r="T83"/>
      <c r="U83"/>
      <c r="V83"/>
      <c r="W83"/>
      <c r="X83"/>
      <c r="Y83"/>
      <c r="Z83"/>
    </row>
    <row r="84" s="80" customFormat="1" ht="14.25" spans="1:26">
      <c r="A84" s="147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/>
      <c r="Q84"/>
      <c r="R84"/>
      <c r="S84"/>
      <c r="T84"/>
      <c r="U84"/>
      <c r="V84"/>
      <c r="W84"/>
      <c r="X84"/>
      <c r="Y84"/>
      <c r="Z84"/>
    </row>
    <row r="85" s="80" customFormat="1" ht="14.25" spans="1:26">
      <c r="A85" s="147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/>
      <c r="Q85"/>
      <c r="R85"/>
      <c r="S85"/>
      <c r="T85"/>
      <c r="U85"/>
      <c r="V85"/>
      <c r="W85"/>
      <c r="X85"/>
      <c r="Y85"/>
      <c r="Z85"/>
    </row>
    <row r="86" s="80" customFormat="1" ht="14.25" spans="1:26">
      <c r="A86" s="147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/>
      <c r="Q86"/>
      <c r="R86"/>
      <c r="S86"/>
      <c r="T86"/>
      <c r="U86"/>
      <c r="V86"/>
      <c r="W86"/>
      <c r="X86"/>
      <c r="Y86"/>
      <c r="Z86"/>
    </row>
    <row r="87" s="80" customFormat="1" ht="14.25" spans="1:26">
      <c r="A87" s="147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/>
      <c r="Q87"/>
      <c r="R87"/>
      <c r="S87"/>
      <c r="T87"/>
      <c r="U87"/>
      <c r="V87"/>
      <c r="W87"/>
      <c r="X87"/>
      <c r="Y87"/>
      <c r="Z87"/>
    </row>
    <row r="88" s="80" customFormat="1" ht="14.25" spans="1:26">
      <c r="A88" s="147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/>
      <c r="Q88"/>
      <c r="R88"/>
      <c r="S88"/>
      <c r="T88"/>
      <c r="U88"/>
      <c r="V88"/>
      <c r="W88"/>
      <c r="X88"/>
      <c r="Y88"/>
      <c r="Z88"/>
    </row>
    <row r="89" s="80" customFormat="1" ht="14.25" spans="1:26">
      <c r="A89" s="147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/>
      <c r="Q89"/>
      <c r="R89"/>
      <c r="S89"/>
      <c r="T89"/>
      <c r="U89"/>
      <c r="V89"/>
      <c r="W89"/>
      <c r="X89"/>
      <c r="Y89"/>
      <c r="Z89"/>
    </row>
    <row r="90" s="80" customFormat="1" ht="14.25" spans="1:26">
      <c r="A90" s="147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/>
      <c r="Q90"/>
      <c r="R90"/>
      <c r="S90"/>
      <c r="T90"/>
      <c r="U90"/>
      <c r="V90"/>
      <c r="W90"/>
      <c r="X90"/>
      <c r="Y90"/>
      <c r="Z90"/>
    </row>
    <row r="91" s="80" customFormat="1" ht="14.25" spans="1:26">
      <c r="A91" s="147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/>
      <c r="Q91"/>
      <c r="R91"/>
      <c r="S91"/>
      <c r="T91"/>
      <c r="U91"/>
      <c r="V91"/>
      <c r="W91"/>
      <c r="X91"/>
      <c r="Y91"/>
      <c r="Z91"/>
    </row>
    <row r="92" s="80" customFormat="1" ht="14.25" spans="1:26">
      <c r="A92" s="147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/>
      <c r="Q92"/>
      <c r="R92"/>
      <c r="S92"/>
      <c r="T92"/>
      <c r="U92"/>
      <c r="V92"/>
      <c r="W92"/>
      <c r="X92"/>
      <c r="Y92"/>
      <c r="Z92"/>
    </row>
    <row r="93" s="80" customFormat="1" ht="14.25" spans="1:26">
      <c r="A93" s="147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/>
      <c r="Q93"/>
      <c r="R93"/>
      <c r="S93"/>
      <c r="T93"/>
      <c r="U93"/>
      <c r="V93"/>
      <c r="W93"/>
      <c r="X93"/>
      <c r="Y93"/>
      <c r="Z93"/>
    </row>
    <row r="94" s="80" customFormat="1" ht="14.25" spans="1:26">
      <c r="A94" s="147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/>
      <c r="Q94"/>
      <c r="R94"/>
      <c r="S94"/>
      <c r="T94"/>
      <c r="U94"/>
      <c r="V94"/>
      <c r="W94"/>
      <c r="X94"/>
      <c r="Y94"/>
      <c r="Z94"/>
    </row>
    <row r="95" s="80" customFormat="1" ht="14.25" spans="1:26">
      <c r="A95" s="147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/>
      <c r="Q95"/>
      <c r="R95"/>
      <c r="S95"/>
      <c r="T95"/>
      <c r="U95"/>
      <c r="V95"/>
      <c r="W95"/>
      <c r="X95"/>
      <c r="Y95"/>
      <c r="Z95"/>
    </row>
    <row r="96" s="80" customFormat="1" ht="14.25" spans="1:26">
      <c r="A96" s="147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/>
      <c r="Q96"/>
      <c r="R96"/>
      <c r="S96"/>
      <c r="T96"/>
      <c r="U96"/>
      <c r="V96"/>
      <c r="W96"/>
      <c r="X96"/>
      <c r="Y96"/>
      <c r="Z96"/>
    </row>
    <row r="97" s="80" customFormat="1" ht="14.25" spans="1:26">
      <c r="A97" s="147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/>
      <c r="Q97"/>
      <c r="R97"/>
      <c r="S97"/>
      <c r="T97"/>
      <c r="U97"/>
      <c r="V97"/>
      <c r="W97"/>
      <c r="X97"/>
      <c r="Y97"/>
      <c r="Z97"/>
    </row>
    <row r="98" s="80" customFormat="1" ht="14.25" spans="1:26">
      <c r="A98" s="147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/>
      <c r="Q98"/>
      <c r="R98"/>
      <c r="S98"/>
      <c r="T98"/>
      <c r="U98"/>
      <c r="V98"/>
      <c r="W98"/>
      <c r="X98"/>
      <c r="Y98"/>
      <c r="Z98"/>
    </row>
    <row r="99" s="80" customFormat="1" ht="14.25" spans="1:26">
      <c r="A99" s="147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/>
      <c r="Q99"/>
      <c r="R99"/>
      <c r="S99"/>
      <c r="T99"/>
      <c r="U99"/>
      <c r="V99"/>
      <c r="W99"/>
      <c r="X99"/>
      <c r="Y99"/>
      <c r="Z99"/>
    </row>
    <row r="100" s="80" customFormat="1" ht="14.25" spans="1:26">
      <c r="A100" s="147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/>
      <c r="Q100"/>
      <c r="R100"/>
      <c r="S100"/>
      <c r="T100"/>
      <c r="U100"/>
      <c r="V100"/>
      <c r="W100"/>
      <c r="X100"/>
      <c r="Y100"/>
      <c r="Z100"/>
    </row>
    <row r="101" s="80" customFormat="1" ht="14.25" spans="1:26">
      <c r="A101" s="147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/>
      <c r="Q101"/>
      <c r="R101"/>
      <c r="S101"/>
      <c r="T101"/>
      <c r="U101"/>
      <c r="V101"/>
      <c r="W101"/>
      <c r="X101"/>
      <c r="Y101"/>
      <c r="Z101"/>
    </row>
    <row r="102" s="80" customFormat="1" ht="14.25" spans="1:26">
      <c r="A102" s="147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/>
      <c r="Q102"/>
      <c r="R102"/>
      <c r="S102"/>
      <c r="T102"/>
      <c r="U102"/>
      <c r="V102"/>
      <c r="W102"/>
      <c r="X102"/>
      <c r="Y102"/>
      <c r="Z102"/>
    </row>
    <row r="103" s="80" customFormat="1" ht="14.25" spans="1:26">
      <c r="A103" s="147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/>
      <c r="Q103"/>
      <c r="R103"/>
      <c r="S103"/>
      <c r="T103"/>
      <c r="U103"/>
      <c r="V103"/>
      <c r="W103"/>
      <c r="X103"/>
      <c r="Y103"/>
      <c r="Z103"/>
    </row>
    <row r="104" s="80" customFormat="1" ht="14.25" spans="1:26">
      <c r="A104" s="147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/>
      <c r="Q104"/>
      <c r="R104"/>
      <c r="S104"/>
      <c r="T104"/>
      <c r="U104"/>
      <c r="V104"/>
      <c r="W104"/>
      <c r="X104"/>
      <c r="Y104"/>
      <c r="Z104"/>
    </row>
    <row r="105" s="80" customFormat="1" ht="14.25" spans="1:26">
      <c r="A105" s="147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/>
      <c r="Q105"/>
      <c r="R105"/>
      <c r="S105"/>
      <c r="T105"/>
      <c r="U105"/>
      <c r="V105"/>
      <c r="W105"/>
      <c r="X105"/>
      <c r="Y105"/>
      <c r="Z105"/>
    </row>
    <row r="106" s="80" customFormat="1" ht="14.25" spans="1:26">
      <c r="A106" s="147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/>
      <c r="Q106"/>
      <c r="R106"/>
      <c r="S106"/>
      <c r="T106"/>
      <c r="U106"/>
      <c r="V106"/>
      <c r="W106"/>
      <c r="X106"/>
      <c r="Y106"/>
      <c r="Z106"/>
    </row>
    <row r="107" s="80" customFormat="1" ht="14.25" spans="1:26">
      <c r="A107" s="147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/>
      <c r="Q107"/>
      <c r="R107"/>
      <c r="S107"/>
      <c r="T107"/>
      <c r="U107"/>
      <c r="V107"/>
      <c r="W107"/>
      <c r="X107"/>
      <c r="Y107"/>
      <c r="Z107"/>
    </row>
    <row r="108" s="80" customFormat="1" ht="14.25" spans="1:26">
      <c r="A108" s="147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/>
      <c r="Q108"/>
      <c r="R108"/>
      <c r="S108"/>
      <c r="T108"/>
      <c r="U108"/>
      <c r="V108"/>
      <c r="W108"/>
      <c r="X108"/>
      <c r="Y108"/>
      <c r="Z108"/>
    </row>
    <row r="109" s="80" customFormat="1" ht="14.25" spans="1:26">
      <c r="A109" s="147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/>
      <c r="Q109"/>
      <c r="R109"/>
      <c r="S109"/>
      <c r="T109"/>
      <c r="U109"/>
      <c r="V109"/>
      <c r="W109"/>
      <c r="X109"/>
      <c r="Y109"/>
      <c r="Z109"/>
    </row>
    <row r="110" s="80" customFormat="1" ht="14.25" spans="1:26">
      <c r="A110" s="147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/>
      <c r="Q110"/>
      <c r="R110"/>
      <c r="S110"/>
      <c r="T110"/>
      <c r="U110"/>
      <c r="V110"/>
      <c r="W110"/>
      <c r="X110"/>
      <c r="Y110"/>
      <c r="Z110"/>
    </row>
    <row r="111" s="80" customFormat="1" ht="14.25" spans="1:26">
      <c r="A111" s="147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/>
      <c r="Q111"/>
      <c r="R111"/>
      <c r="S111"/>
      <c r="T111"/>
      <c r="U111"/>
      <c r="V111"/>
      <c r="W111"/>
      <c r="X111"/>
      <c r="Y111"/>
      <c r="Z111"/>
    </row>
    <row r="112" s="80" customFormat="1" ht="14.25" spans="1:26">
      <c r="A112" s="147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/>
      <c r="Q112"/>
      <c r="R112"/>
      <c r="S112"/>
      <c r="T112"/>
      <c r="U112"/>
      <c r="V112"/>
      <c r="W112"/>
      <c r="X112"/>
      <c r="Y112"/>
      <c r="Z112"/>
    </row>
    <row r="113" s="80" customFormat="1" ht="14.25" spans="1:26">
      <c r="A113" s="147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/>
      <c r="Q113"/>
      <c r="R113"/>
      <c r="S113"/>
      <c r="T113"/>
      <c r="U113"/>
      <c r="V113"/>
      <c r="W113"/>
      <c r="X113"/>
      <c r="Y113"/>
      <c r="Z113"/>
    </row>
    <row r="114" s="80" customFormat="1" ht="14.25" spans="1:26">
      <c r="A114" s="147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/>
      <c r="Q114"/>
      <c r="R114"/>
      <c r="S114"/>
      <c r="T114"/>
      <c r="U114"/>
      <c r="V114"/>
      <c r="W114"/>
      <c r="X114"/>
      <c r="Y114"/>
      <c r="Z114"/>
    </row>
    <row r="115" s="80" customFormat="1" ht="14.25" spans="1:26">
      <c r="A115" s="147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/>
      <c r="Q115"/>
      <c r="R115"/>
      <c r="S115"/>
      <c r="T115"/>
      <c r="U115"/>
      <c r="V115"/>
      <c r="W115"/>
      <c r="X115"/>
      <c r="Y115"/>
      <c r="Z115"/>
    </row>
    <row r="116" s="80" customFormat="1" ht="14.25" spans="1:26">
      <c r="A116" s="147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/>
      <c r="Q116"/>
      <c r="R116"/>
      <c r="S116"/>
      <c r="T116"/>
      <c r="U116"/>
      <c r="V116"/>
      <c r="W116"/>
      <c r="X116"/>
      <c r="Y116"/>
      <c r="Z116"/>
    </row>
    <row r="117" s="80" customFormat="1" ht="14.25" spans="1:26">
      <c r="A117" s="147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/>
      <c r="Q117"/>
      <c r="R117"/>
      <c r="S117"/>
      <c r="T117"/>
      <c r="U117"/>
      <c r="V117"/>
      <c r="W117"/>
      <c r="X117"/>
      <c r="Y117"/>
      <c r="Z117"/>
    </row>
    <row r="118" s="80" customFormat="1" ht="14.25" spans="1:26">
      <c r="A118" s="147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/>
      <c r="Q118"/>
      <c r="R118"/>
      <c r="S118"/>
      <c r="T118"/>
      <c r="U118"/>
      <c r="V118"/>
      <c r="W118"/>
      <c r="X118"/>
      <c r="Y118"/>
      <c r="Z118"/>
    </row>
    <row r="119" s="80" customFormat="1" ht="14.25" spans="1:26">
      <c r="A119" s="147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/>
      <c r="Q119"/>
      <c r="R119"/>
      <c r="S119"/>
      <c r="T119"/>
      <c r="U119"/>
      <c r="V119"/>
      <c r="W119"/>
      <c r="X119"/>
      <c r="Y119"/>
      <c r="Z119"/>
    </row>
    <row r="120" s="80" customFormat="1" ht="14.25" spans="1:26">
      <c r="A120" s="147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/>
      <c r="Q120"/>
      <c r="R120"/>
      <c r="S120"/>
      <c r="T120"/>
      <c r="U120"/>
      <c r="V120"/>
      <c r="W120"/>
      <c r="X120"/>
      <c r="Y120"/>
      <c r="Z120"/>
    </row>
    <row r="121" s="80" customFormat="1" ht="14.25" spans="1:26">
      <c r="A121" s="147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/>
      <c r="Q121"/>
      <c r="R121"/>
      <c r="S121"/>
      <c r="T121"/>
      <c r="U121"/>
      <c r="V121"/>
      <c r="W121"/>
      <c r="X121"/>
      <c r="Y121"/>
      <c r="Z121"/>
    </row>
    <row r="122" s="80" customFormat="1" ht="14.25" spans="1:26">
      <c r="A122" s="147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/>
      <c r="Q122"/>
      <c r="R122"/>
      <c r="S122"/>
      <c r="T122"/>
      <c r="U122"/>
      <c r="V122"/>
      <c r="W122"/>
      <c r="X122"/>
      <c r="Y122"/>
      <c r="Z122"/>
    </row>
    <row r="123" s="80" customFormat="1" ht="14.25" spans="1:26">
      <c r="A123" s="147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/>
      <c r="Q123"/>
      <c r="R123"/>
      <c r="S123"/>
      <c r="T123"/>
      <c r="U123"/>
      <c r="V123"/>
      <c r="W123"/>
      <c r="X123"/>
      <c r="Y123"/>
      <c r="Z123"/>
    </row>
    <row r="124" s="80" customFormat="1" ht="14.25" spans="1:26">
      <c r="A124" s="147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/>
      <c r="Q124"/>
      <c r="R124"/>
      <c r="S124"/>
      <c r="T124"/>
      <c r="U124"/>
      <c r="V124"/>
      <c r="W124"/>
      <c r="X124"/>
      <c r="Y124"/>
      <c r="Z124"/>
    </row>
    <row r="125" s="80" customFormat="1" ht="14.25" spans="1:26">
      <c r="A125" s="147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/>
      <c r="Q125"/>
      <c r="R125"/>
      <c r="S125"/>
      <c r="T125"/>
      <c r="U125"/>
      <c r="V125"/>
      <c r="W125"/>
      <c r="X125"/>
      <c r="Y125"/>
      <c r="Z125"/>
    </row>
    <row r="126" s="80" customFormat="1" ht="14.25" spans="1:26">
      <c r="A126" s="147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/>
      <c r="Q126"/>
      <c r="R126"/>
      <c r="S126"/>
      <c r="T126"/>
      <c r="U126"/>
      <c r="V126"/>
      <c r="W126"/>
      <c r="X126"/>
      <c r="Y126"/>
      <c r="Z126"/>
    </row>
    <row r="127" s="80" customFormat="1" ht="14.25" spans="1:26">
      <c r="A127" s="147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/>
      <c r="Q127"/>
      <c r="R127"/>
      <c r="S127"/>
      <c r="T127"/>
      <c r="U127"/>
      <c r="V127"/>
      <c r="W127"/>
      <c r="X127"/>
      <c r="Y127"/>
      <c r="Z127"/>
    </row>
    <row r="128" s="80" customFormat="1" ht="14.25" spans="1:26">
      <c r="A128" s="147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/>
      <c r="Q128"/>
      <c r="R128"/>
      <c r="S128"/>
      <c r="T128"/>
      <c r="U128"/>
      <c r="V128"/>
      <c r="W128"/>
      <c r="X128"/>
      <c r="Y128"/>
      <c r="Z128"/>
    </row>
    <row r="129" s="80" customFormat="1" ht="14.25" spans="1:26">
      <c r="A129" s="147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/>
      <c r="Q129"/>
      <c r="R129"/>
      <c r="S129"/>
      <c r="T129"/>
      <c r="U129"/>
      <c r="V129"/>
      <c r="W129"/>
      <c r="X129"/>
      <c r="Y129"/>
      <c r="Z129"/>
    </row>
    <row r="130" s="80" customFormat="1" ht="14.25" spans="1:26">
      <c r="A130" s="147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/>
      <c r="Q130"/>
      <c r="R130"/>
      <c r="S130"/>
      <c r="T130"/>
      <c r="U130"/>
      <c r="V130"/>
      <c r="W130"/>
      <c r="X130"/>
      <c r="Y130"/>
      <c r="Z130"/>
    </row>
    <row r="131" s="80" customFormat="1" ht="14.25" spans="1:26">
      <c r="A131" s="147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/>
      <c r="Q131"/>
      <c r="R131"/>
      <c r="S131"/>
      <c r="T131"/>
      <c r="U131"/>
      <c r="V131"/>
      <c r="W131"/>
      <c r="X131"/>
      <c r="Y131"/>
      <c r="Z131"/>
    </row>
    <row r="132" s="80" customFormat="1" ht="14.25" spans="1:26">
      <c r="A132" s="147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/>
      <c r="Q132"/>
      <c r="R132"/>
      <c r="S132"/>
      <c r="T132"/>
      <c r="U132"/>
      <c r="V132"/>
      <c r="W132"/>
      <c r="X132"/>
      <c r="Y132"/>
      <c r="Z132"/>
    </row>
    <row r="133" s="80" customFormat="1" ht="14.25" spans="1:26">
      <c r="A133" s="147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/>
      <c r="Q133"/>
      <c r="R133"/>
      <c r="S133"/>
      <c r="T133"/>
      <c r="U133"/>
      <c r="V133"/>
      <c r="W133"/>
      <c r="X133"/>
      <c r="Y133"/>
      <c r="Z133"/>
    </row>
    <row r="134" s="80" customFormat="1" ht="14.25" spans="1:26">
      <c r="A134" s="147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/>
      <c r="Q134"/>
      <c r="R134"/>
      <c r="S134"/>
      <c r="T134"/>
      <c r="U134"/>
      <c r="V134"/>
      <c r="W134"/>
      <c r="X134"/>
      <c r="Y134"/>
      <c r="Z134"/>
    </row>
    <row r="135" s="80" customFormat="1" ht="14.25" spans="1:26">
      <c r="A135" s="147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/>
      <c r="Q135"/>
      <c r="R135"/>
      <c r="S135"/>
      <c r="T135"/>
      <c r="U135"/>
      <c r="V135"/>
      <c r="W135"/>
      <c r="X135"/>
      <c r="Y135"/>
      <c r="Z135"/>
    </row>
    <row r="136" s="80" customFormat="1" ht="14.25" spans="1:26">
      <c r="A136" s="147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/>
      <c r="Q136"/>
      <c r="R136"/>
      <c r="S136"/>
      <c r="T136"/>
      <c r="U136"/>
      <c r="V136"/>
      <c r="W136"/>
      <c r="X136"/>
      <c r="Y136"/>
      <c r="Z136"/>
    </row>
    <row r="137" s="80" customFormat="1" ht="14.25" spans="1:26">
      <c r="A137" s="147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/>
      <c r="Q137"/>
      <c r="R137"/>
      <c r="S137"/>
      <c r="T137"/>
      <c r="U137"/>
      <c r="V137"/>
      <c r="W137"/>
      <c r="X137"/>
      <c r="Y137"/>
      <c r="Z137"/>
    </row>
    <row r="138" s="80" customFormat="1" ht="14.25" spans="1:26">
      <c r="A138" s="147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/>
      <c r="Q138"/>
      <c r="R138"/>
      <c r="S138"/>
      <c r="T138"/>
      <c r="U138"/>
      <c r="V138"/>
      <c r="W138"/>
      <c r="X138"/>
      <c r="Y138"/>
      <c r="Z138"/>
    </row>
    <row r="139" s="80" customFormat="1" ht="14.25" spans="1:26">
      <c r="A139" s="147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/>
      <c r="Q139"/>
      <c r="R139"/>
      <c r="S139"/>
      <c r="T139"/>
      <c r="U139"/>
      <c r="V139"/>
      <c r="W139"/>
      <c r="X139"/>
      <c r="Y139"/>
      <c r="Z139"/>
    </row>
    <row r="140" s="80" customFormat="1" ht="14.25" spans="1:26">
      <c r="A140" s="147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/>
      <c r="Q140"/>
      <c r="R140"/>
      <c r="S140"/>
      <c r="T140"/>
      <c r="U140"/>
      <c r="V140"/>
      <c r="W140"/>
      <c r="X140"/>
      <c r="Y140"/>
      <c r="Z140"/>
    </row>
    <row r="141" s="80" customFormat="1" ht="14.25" spans="1:26">
      <c r="A141" s="147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/>
      <c r="Q141"/>
      <c r="R141"/>
      <c r="S141"/>
      <c r="T141"/>
      <c r="U141"/>
      <c r="V141"/>
      <c r="W141"/>
      <c r="X141"/>
      <c r="Y141"/>
      <c r="Z141"/>
    </row>
    <row r="142" s="80" customFormat="1" ht="14.25" spans="1:26">
      <c r="A142" s="147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/>
      <c r="Q142"/>
      <c r="R142"/>
      <c r="S142"/>
      <c r="T142"/>
      <c r="U142"/>
      <c r="V142"/>
      <c r="W142"/>
      <c r="X142"/>
      <c r="Y142"/>
      <c r="Z142"/>
    </row>
    <row r="143" s="80" customFormat="1" ht="14.25" spans="1:26">
      <c r="A143" s="147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/>
      <c r="Q143"/>
      <c r="R143"/>
      <c r="S143"/>
      <c r="T143"/>
      <c r="U143"/>
      <c r="V143"/>
      <c r="W143"/>
      <c r="X143"/>
      <c r="Y143"/>
      <c r="Z143"/>
    </row>
    <row r="144" s="80" customFormat="1" ht="14.25" spans="1:26">
      <c r="A144" s="147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/>
      <c r="Q144"/>
      <c r="R144"/>
      <c r="S144"/>
      <c r="T144"/>
      <c r="U144"/>
      <c r="V144"/>
      <c r="W144"/>
      <c r="X144"/>
      <c r="Y144"/>
      <c r="Z144"/>
    </row>
    <row r="145" s="80" customFormat="1" ht="14.25" spans="1:26">
      <c r="A145" s="147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/>
      <c r="Q145"/>
      <c r="R145"/>
      <c r="S145"/>
      <c r="T145"/>
      <c r="U145"/>
      <c r="V145"/>
      <c r="W145"/>
      <c r="X145"/>
      <c r="Y145"/>
      <c r="Z145"/>
    </row>
    <row r="146" s="80" customFormat="1" ht="14.25" spans="1:26">
      <c r="A146" s="147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/>
      <c r="Q146"/>
      <c r="R146"/>
      <c r="S146"/>
      <c r="T146"/>
      <c r="U146"/>
      <c r="V146"/>
      <c r="W146"/>
      <c r="X146"/>
      <c r="Y146"/>
      <c r="Z146"/>
    </row>
    <row r="147" s="80" customFormat="1" ht="14.25" spans="1:26">
      <c r="A147" s="147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/>
      <c r="Q147"/>
      <c r="R147"/>
      <c r="S147"/>
      <c r="T147"/>
      <c r="U147"/>
      <c r="V147"/>
      <c r="W147"/>
      <c r="X147"/>
      <c r="Y147"/>
      <c r="Z147"/>
    </row>
    <row r="148" s="80" customFormat="1" ht="14.25" spans="1:26">
      <c r="A148" s="147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/>
      <c r="Q148"/>
      <c r="R148"/>
      <c r="S148"/>
      <c r="T148"/>
      <c r="U148"/>
      <c r="V148"/>
      <c r="W148"/>
      <c r="X148"/>
      <c r="Y148"/>
      <c r="Z148"/>
    </row>
    <row r="149" s="80" customFormat="1" ht="14.25" spans="1:26">
      <c r="A149" s="147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/>
      <c r="Q149"/>
      <c r="R149"/>
      <c r="S149"/>
      <c r="T149"/>
      <c r="U149"/>
      <c r="V149"/>
      <c r="W149"/>
      <c r="X149"/>
      <c r="Y149"/>
      <c r="Z149"/>
    </row>
    <row r="150" s="80" customFormat="1" ht="14.25" spans="1:26">
      <c r="A150" s="147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/>
      <c r="Q150"/>
      <c r="R150"/>
      <c r="S150"/>
      <c r="T150"/>
      <c r="U150"/>
      <c r="V150"/>
      <c r="W150"/>
      <c r="X150"/>
      <c r="Y150"/>
      <c r="Z150"/>
    </row>
    <row r="151" s="80" customFormat="1" ht="14.25" spans="1:26">
      <c r="A151" s="147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/>
      <c r="Q151"/>
      <c r="R151"/>
      <c r="S151"/>
      <c r="T151"/>
      <c r="U151"/>
      <c r="V151"/>
      <c r="W151"/>
      <c r="X151"/>
      <c r="Y151"/>
      <c r="Z151"/>
    </row>
    <row r="152" s="80" customFormat="1" ht="14.25" spans="1:26">
      <c r="A152" s="147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/>
      <c r="Q152"/>
      <c r="R152"/>
      <c r="S152"/>
      <c r="T152"/>
      <c r="U152"/>
      <c r="V152"/>
      <c r="W152"/>
      <c r="X152"/>
      <c r="Y152"/>
      <c r="Z152"/>
    </row>
    <row r="153" s="80" customFormat="1" ht="14.25" spans="1:26">
      <c r="A153" s="147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/>
      <c r="Q153"/>
      <c r="R153"/>
      <c r="S153"/>
      <c r="T153"/>
      <c r="U153"/>
      <c r="V153"/>
      <c r="W153"/>
      <c r="X153"/>
      <c r="Y153"/>
      <c r="Z153"/>
    </row>
    <row r="154" s="80" customFormat="1" ht="14.25" spans="1:26">
      <c r="A154" s="147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/>
      <c r="Q154"/>
      <c r="R154"/>
      <c r="S154"/>
      <c r="T154"/>
      <c r="U154"/>
      <c r="V154"/>
      <c r="W154"/>
      <c r="X154"/>
      <c r="Y154"/>
      <c r="Z154"/>
    </row>
    <row r="155" s="80" customFormat="1" ht="14.25" spans="1:26">
      <c r="A155" s="147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/>
      <c r="Q155"/>
      <c r="R155"/>
      <c r="S155"/>
      <c r="T155"/>
      <c r="U155"/>
      <c r="V155"/>
      <c r="W155"/>
      <c r="X155"/>
      <c r="Y155"/>
      <c r="Z155"/>
    </row>
    <row r="156" s="80" customFormat="1" ht="14.25" spans="1:26">
      <c r="A156" s="147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/>
      <c r="Q156"/>
      <c r="R156"/>
      <c r="S156"/>
      <c r="T156"/>
      <c r="U156"/>
      <c r="V156"/>
      <c r="W156"/>
      <c r="X156"/>
      <c r="Y156"/>
      <c r="Z156"/>
    </row>
    <row r="157" s="80" customFormat="1" ht="14.25" spans="1:26">
      <c r="A157" s="147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/>
      <c r="Q157"/>
      <c r="R157"/>
      <c r="S157"/>
      <c r="T157"/>
      <c r="U157"/>
      <c r="V157"/>
      <c r="W157"/>
      <c r="X157"/>
      <c r="Y157"/>
      <c r="Z157"/>
    </row>
    <row r="158" s="80" customFormat="1" ht="14.25" spans="1:26">
      <c r="A158" s="147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/>
      <c r="Q158"/>
      <c r="R158"/>
      <c r="S158"/>
      <c r="T158"/>
      <c r="U158"/>
      <c r="V158"/>
      <c r="W158"/>
      <c r="X158"/>
      <c r="Y158"/>
      <c r="Z158"/>
    </row>
    <row r="159" s="80" customFormat="1" ht="14.25" spans="1:26">
      <c r="A159" s="147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/>
      <c r="Q159"/>
      <c r="R159"/>
      <c r="S159"/>
      <c r="T159"/>
      <c r="U159"/>
      <c r="V159"/>
      <c r="W159"/>
      <c r="X159"/>
      <c r="Y159"/>
      <c r="Z159"/>
    </row>
    <row r="160" s="80" customFormat="1" ht="14.25" spans="1:26">
      <c r="A160" s="147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/>
      <c r="Q160"/>
      <c r="R160"/>
      <c r="S160"/>
      <c r="T160"/>
      <c r="U160"/>
      <c r="V160"/>
      <c r="W160"/>
      <c r="X160"/>
      <c r="Y160"/>
      <c r="Z160"/>
    </row>
    <row r="161" s="80" customFormat="1" ht="14.25" spans="1:26">
      <c r="A161" s="147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/>
      <c r="Q161"/>
      <c r="R161"/>
      <c r="S161"/>
      <c r="T161"/>
      <c r="U161"/>
      <c r="V161"/>
      <c r="W161"/>
      <c r="X161"/>
      <c r="Y161"/>
      <c r="Z161"/>
    </row>
    <row r="162" s="80" customFormat="1" ht="14.25" spans="1:26">
      <c r="A162" s="147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/>
      <c r="Q162"/>
      <c r="R162"/>
      <c r="S162"/>
      <c r="T162"/>
      <c r="U162"/>
      <c r="V162"/>
      <c r="W162"/>
      <c r="X162"/>
      <c r="Y162"/>
      <c r="Z162"/>
    </row>
    <row r="163" s="80" customFormat="1" ht="14.25" spans="1:26">
      <c r="A163" s="147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/>
      <c r="Q163"/>
      <c r="R163"/>
      <c r="S163"/>
      <c r="T163"/>
      <c r="U163"/>
      <c r="V163"/>
      <c r="W163"/>
      <c r="X163"/>
      <c r="Y163"/>
      <c r="Z163"/>
    </row>
    <row r="164" s="80" customFormat="1" ht="14.25" spans="1:26">
      <c r="A164" s="147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/>
      <c r="Q164"/>
      <c r="R164"/>
      <c r="S164"/>
      <c r="T164"/>
      <c r="U164"/>
      <c r="V164"/>
      <c r="W164"/>
      <c r="X164"/>
      <c r="Y164"/>
      <c r="Z164"/>
    </row>
    <row r="165" s="80" customFormat="1" ht="14.25" spans="1:26">
      <c r="A165" s="147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/>
      <c r="Q165"/>
      <c r="R165"/>
      <c r="S165"/>
      <c r="T165"/>
      <c r="U165"/>
      <c r="V165"/>
      <c r="W165"/>
      <c r="X165"/>
      <c r="Y165"/>
      <c r="Z165"/>
    </row>
    <row r="166" s="80" customFormat="1" ht="14.25" spans="1:26">
      <c r="A166" s="147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/>
      <c r="Q166"/>
      <c r="R166"/>
      <c r="S166"/>
      <c r="T166"/>
      <c r="U166"/>
      <c r="V166"/>
      <c r="W166"/>
      <c r="X166"/>
      <c r="Y166"/>
      <c r="Z166"/>
    </row>
    <row r="167" s="80" customFormat="1" ht="14.25" spans="1:26">
      <c r="A167" s="147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/>
      <c r="Q167"/>
      <c r="R167"/>
      <c r="S167"/>
      <c r="T167"/>
      <c r="U167"/>
      <c r="V167"/>
      <c r="W167"/>
      <c r="X167"/>
      <c r="Y167"/>
      <c r="Z167"/>
    </row>
    <row r="168" s="80" customFormat="1" ht="14.25" spans="1:26">
      <c r="A168" s="147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/>
      <c r="Q168"/>
      <c r="R168"/>
      <c r="S168"/>
      <c r="T168"/>
      <c r="U168"/>
      <c r="V168"/>
      <c r="W168"/>
      <c r="X168"/>
      <c r="Y168"/>
      <c r="Z168"/>
    </row>
    <row r="169" s="80" customFormat="1" ht="14.25" spans="1:26">
      <c r="A169" s="147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/>
      <c r="Q169"/>
      <c r="R169"/>
      <c r="S169"/>
      <c r="T169"/>
      <c r="U169"/>
      <c r="V169"/>
      <c r="W169"/>
      <c r="X169"/>
      <c r="Y169"/>
      <c r="Z169"/>
    </row>
    <row r="170" s="80" customFormat="1" ht="14.25" spans="1:26">
      <c r="A170" s="147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/>
      <c r="Q170"/>
      <c r="R170"/>
      <c r="S170"/>
      <c r="T170"/>
      <c r="U170"/>
      <c r="V170"/>
      <c r="W170"/>
      <c r="X170"/>
      <c r="Y170"/>
      <c r="Z170"/>
    </row>
    <row r="171" s="80" customFormat="1" ht="14.25" spans="1:26">
      <c r="A171" s="147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/>
      <c r="Q171"/>
      <c r="R171"/>
      <c r="S171"/>
      <c r="T171"/>
      <c r="U171"/>
      <c r="V171"/>
      <c r="W171"/>
      <c r="X171"/>
      <c r="Y171"/>
      <c r="Z171"/>
    </row>
    <row r="172" s="80" customFormat="1" ht="14.25" spans="1:26">
      <c r="A172" s="147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/>
      <c r="Q172"/>
      <c r="R172"/>
      <c r="S172"/>
      <c r="T172"/>
      <c r="U172"/>
      <c r="V172"/>
      <c r="W172"/>
      <c r="X172"/>
      <c r="Y172"/>
      <c r="Z172"/>
    </row>
    <row r="173" s="80" customFormat="1" ht="14.25" spans="1:26">
      <c r="A173" s="147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/>
      <c r="Q173"/>
      <c r="R173"/>
      <c r="S173"/>
      <c r="T173"/>
      <c r="U173"/>
      <c r="V173"/>
      <c r="W173"/>
      <c r="X173"/>
      <c r="Y173"/>
      <c r="Z173"/>
    </row>
    <row r="174" s="80" customFormat="1" ht="14.25" spans="1:26">
      <c r="A174" s="147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/>
      <c r="Q174"/>
      <c r="R174"/>
      <c r="S174"/>
      <c r="T174"/>
      <c r="U174"/>
      <c r="V174"/>
      <c r="W174"/>
      <c r="X174"/>
      <c r="Y174"/>
      <c r="Z174"/>
    </row>
    <row r="175" s="80" customFormat="1" ht="14.25" spans="1:26">
      <c r="A175" s="147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/>
      <c r="Q175"/>
      <c r="R175"/>
      <c r="S175"/>
      <c r="T175"/>
      <c r="U175"/>
      <c r="V175"/>
      <c r="W175"/>
      <c r="X175"/>
      <c r="Y175"/>
      <c r="Z175"/>
    </row>
    <row r="176" s="80" customFormat="1" ht="14.25" spans="1:26">
      <c r="A176" s="147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/>
      <c r="Q176"/>
      <c r="R176"/>
      <c r="S176"/>
      <c r="T176"/>
      <c r="U176"/>
      <c r="V176"/>
      <c r="W176"/>
      <c r="X176"/>
      <c r="Y176"/>
      <c r="Z176"/>
    </row>
    <row r="177" s="80" customFormat="1" ht="14.25" spans="1:26">
      <c r="A177" s="147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/>
      <c r="Q177"/>
      <c r="R177"/>
      <c r="S177"/>
      <c r="T177"/>
      <c r="U177"/>
      <c r="V177"/>
      <c r="W177"/>
      <c r="X177"/>
      <c r="Y177"/>
      <c r="Z177"/>
    </row>
    <row r="178" s="80" customFormat="1" ht="14.25" spans="1:26">
      <c r="A178" s="147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/>
      <c r="Q178"/>
      <c r="R178"/>
      <c r="S178"/>
      <c r="T178"/>
      <c r="U178"/>
      <c r="V178"/>
      <c r="W178"/>
      <c r="X178"/>
      <c r="Y178"/>
      <c r="Z178"/>
    </row>
    <row r="179" s="80" customFormat="1" ht="14.25" spans="1:26">
      <c r="A179" s="147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/>
      <c r="Q179"/>
      <c r="R179"/>
      <c r="S179"/>
      <c r="T179"/>
      <c r="U179"/>
      <c r="V179"/>
      <c r="W179"/>
      <c r="X179"/>
      <c r="Y179"/>
      <c r="Z179"/>
    </row>
    <row r="180" s="80" customFormat="1" ht="14.25" spans="1:26">
      <c r="A180" s="147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/>
      <c r="Q180"/>
      <c r="R180"/>
      <c r="S180"/>
      <c r="T180"/>
      <c r="U180"/>
      <c r="V180"/>
      <c r="W180"/>
      <c r="X180"/>
      <c r="Y180"/>
      <c r="Z180"/>
    </row>
    <row r="181" s="80" customFormat="1" ht="14.25" spans="1:26">
      <c r="A181" s="147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/>
      <c r="Q181"/>
      <c r="R181"/>
      <c r="S181"/>
      <c r="T181"/>
      <c r="U181"/>
      <c r="V181"/>
      <c r="W181"/>
      <c r="X181"/>
      <c r="Y181"/>
      <c r="Z181"/>
    </row>
    <row r="182" s="80" customFormat="1" ht="14.25" spans="1:26">
      <c r="A182" s="147"/>
      <c r="B182" s="208"/>
      <c r="C182" s="208"/>
      <c r="D182" s="208"/>
      <c r="E182" s="208"/>
      <c r="F182" s="208"/>
      <c r="G182" s="208"/>
      <c r="H182" s="208"/>
      <c r="I182" s="208"/>
      <c r="J182" s="208"/>
      <c r="K182" s="208"/>
      <c r="L182" s="208"/>
      <c r="M182" s="208"/>
      <c r="N182" s="208"/>
      <c r="O182" s="208"/>
      <c r="P182"/>
      <c r="Q182"/>
      <c r="R182"/>
      <c r="S182"/>
      <c r="T182"/>
      <c r="U182"/>
      <c r="V182"/>
      <c r="W182"/>
      <c r="X182"/>
      <c r="Y182"/>
      <c r="Z182"/>
    </row>
    <row r="183" s="80" customFormat="1" ht="14.25" spans="1:26">
      <c r="A183" s="147"/>
      <c r="B183" s="208"/>
      <c r="C183" s="208"/>
      <c r="D183" s="208"/>
      <c r="E183" s="208"/>
      <c r="F183" s="208"/>
      <c r="G183" s="208"/>
      <c r="H183" s="208"/>
      <c r="I183" s="208"/>
      <c r="J183" s="208"/>
      <c r="K183" s="208"/>
      <c r="L183" s="208"/>
      <c r="M183" s="208"/>
      <c r="N183" s="208"/>
      <c r="O183" s="208"/>
      <c r="P183"/>
      <c r="Q183"/>
      <c r="R183"/>
      <c r="S183"/>
      <c r="T183"/>
      <c r="U183"/>
      <c r="V183"/>
      <c r="W183"/>
      <c r="X183"/>
      <c r="Y183"/>
      <c r="Z183"/>
    </row>
    <row r="184" s="80" customFormat="1" ht="14.25" spans="1:26">
      <c r="A184" s="147"/>
      <c r="B184" s="208"/>
      <c r="C184" s="208"/>
      <c r="D184" s="208"/>
      <c r="E184" s="208"/>
      <c r="F184" s="208"/>
      <c r="G184" s="208"/>
      <c r="H184" s="208"/>
      <c r="I184" s="208"/>
      <c r="J184" s="208"/>
      <c r="K184" s="208"/>
      <c r="L184" s="208"/>
      <c r="M184" s="208"/>
      <c r="N184" s="208"/>
      <c r="O184" s="208"/>
      <c r="P184"/>
      <c r="Q184"/>
      <c r="R184"/>
      <c r="S184"/>
      <c r="T184"/>
      <c r="U184"/>
      <c r="V184"/>
      <c r="W184"/>
      <c r="X184"/>
      <c r="Y184"/>
      <c r="Z184"/>
    </row>
    <row r="185" s="80" customFormat="1" ht="14.25" spans="1:26">
      <c r="A185" s="147"/>
      <c r="B185" s="208"/>
      <c r="C185" s="208"/>
      <c r="D185" s="208"/>
      <c r="E185" s="208"/>
      <c r="F185" s="208"/>
      <c r="G185" s="208"/>
      <c r="H185" s="208"/>
      <c r="I185" s="208"/>
      <c r="J185" s="208"/>
      <c r="K185" s="208"/>
      <c r="L185" s="208"/>
      <c r="M185" s="208"/>
      <c r="N185" s="208"/>
      <c r="O185" s="208"/>
      <c r="P185"/>
      <c r="Q185"/>
      <c r="R185"/>
      <c r="S185"/>
      <c r="T185"/>
      <c r="U185"/>
      <c r="V185"/>
      <c r="W185"/>
      <c r="X185"/>
      <c r="Y185"/>
      <c r="Z185"/>
    </row>
    <row r="186" s="80" customFormat="1" ht="14.25" spans="1:26">
      <c r="A186" s="147"/>
      <c r="B186" s="208"/>
      <c r="C186" s="208"/>
      <c r="D186" s="208"/>
      <c r="E186" s="208"/>
      <c r="F186" s="208"/>
      <c r="G186" s="208"/>
      <c r="H186" s="208"/>
      <c r="I186" s="208"/>
      <c r="J186" s="208"/>
      <c r="K186" s="208"/>
      <c r="L186" s="208"/>
      <c r="M186" s="208"/>
      <c r="N186" s="208"/>
      <c r="O186" s="208"/>
      <c r="P186"/>
      <c r="Q186"/>
      <c r="R186"/>
      <c r="S186"/>
      <c r="T186"/>
      <c r="U186"/>
      <c r="V186"/>
      <c r="W186"/>
      <c r="X186"/>
      <c r="Y186"/>
      <c r="Z186"/>
    </row>
    <row r="187" s="80" customFormat="1" ht="14.25" spans="1:26">
      <c r="A187" s="147"/>
      <c r="B187" s="208"/>
      <c r="C187" s="208"/>
      <c r="D187" s="208"/>
      <c r="E187" s="208"/>
      <c r="F187" s="208"/>
      <c r="G187" s="208"/>
      <c r="H187" s="208"/>
      <c r="I187" s="208"/>
      <c r="J187" s="208"/>
      <c r="K187" s="208"/>
      <c r="L187" s="208"/>
      <c r="M187" s="208"/>
      <c r="N187" s="208"/>
      <c r="O187" s="208"/>
      <c r="P187"/>
      <c r="Q187"/>
      <c r="R187"/>
      <c r="S187"/>
      <c r="T187"/>
      <c r="U187"/>
      <c r="V187"/>
      <c r="W187"/>
      <c r="X187"/>
      <c r="Y187"/>
      <c r="Z187"/>
    </row>
    <row r="188" s="80" customFormat="1" ht="14.25" spans="1:26">
      <c r="A188" s="147"/>
      <c r="B188" s="208"/>
      <c r="C188" s="208"/>
      <c r="D188" s="208"/>
      <c r="E188" s="208"/>
      <c r="F188" s="208"/>
      <c r="G188" s="208"/>
      <c r="H188" s="208"/>
      <c r="I188" s="208"/>
      <c r="J188" s="208"/>
      <c r="K188" s="208"/>
      <c r="L188" s="208"/>
      <c r="M188" s="208"/>
      <c r="N188" s="208"/>
      <c r="O188" s="208"/>
      <c r="P188"/>
      <c r="Q188"/>
      <c r="R188"/>
      <c r="S188"/>
      <c r="T188"/>
      <c r="U188"/>
      <c r="V188"/>
      <c r="W188"/>
      <c r="X188"/>
      <c r="Y188"/>
      <c r="Z188"/>
    </row>
    <row r="189" s="80" customFormat="1" ht="14.25" spans="1:26">
      <c r="A189" s="147"/>
      <c r="B189" s="208"/>
      <c r="C189" s="208"/>
      <c r="D189" s="208"/>
      <c r="E189" s="208"/>
      <c r="F189" s="208"/>
      <c r="G189" s="208"/>
      <c r="H189" s="208"/>
      <c r="I189" s="208"/>
      <c r="J189" s="208"/>
      <c r="K189" s="208"/>
      <c r="L189" s="208"/>
      <c r="M189" s="208"/>
      <c r="N189" s="208"/>
      <c r="O189" s="208"/>
      <c r="P189"/>
      <c r="Q189"/>
      <c r="R189"/>
      <c r="S189"/>
      <c r="T189"/>
      <c r="U189"/>
      <c r="V189"/>
      <c r="W189"/>
      <c r="X189"/>
      <c r="Y189"/>
      <c r="Z189"/>
    </row>
    <row r="190" s="80" customFormat="1" ht="14.25" spans="1:26">
      <c r="A190" s="147"/>
      <c r="B190" s="208"/>
      <c r="C190" s="208"/>
      <c r="D190" s="208"/>
      <c r="E190" s="208"/>
      <c r="F190" s="208"/>
      <c r="G190" s="208"/>
      <c r="H190" s="208"/>
      <c r="I190" s="208"/>
      <c r="J190" s="208"/>
      <c r="K190" s="208"/>
      <c r="L190" s="208"/>
      <c r="M190" s="208"/>
      <c r="N190" s="208"/>
      <c r="O190" s="208"/>
      <c r="P190"/>
      <c r="Q190"/>
      <c r="R190"/>
      <c r="S190"/>
      <c r="T190"/>
      <c r="U190"/>
      <c r="V190"/>
      <c r="W190"/>
      <c r="X190"/>
      <c r="Y190"/>
      <c r="Z190"/>
    </row>
    <row r="191" s="80" customFormat="1" ht="14.25" spans="1:26">
      <c r="A191" s="147"/>
      <c r="B191" s="208"/>
      <c r="C191" s="208"/>
      <c r="D191" s="208"/>
      <c r="E191" s="208"/>
      <c r="F191" s="208"/>
      <c r="G191" s="208"/>
      <c r="H191" s="208"/>
      <c r="I191" s="208"/>
      <c r="J191" s="208"/>
      <c r="K191" s="208"/>
      <c r="L191" s="208"/>
      <c r="M191" s="208"/>
      <c r="N191" s="208"/>
      <c r="O191" s="208"/>
      <c r="P191"/>
      <c r="Q191"/>
      <c r="R191"/>
      <c r="S191"/>
      <c r="T191"/>
      <c r="U191"/>
      <c r="V191"/>
      <c r="W191"/>
      <c r="X191"/>
      <c r="Y191"/>
      <c r="Z191"/>
    </row>
    <row r="192" s="80" customFormat="1" ht="14.25" spans="1:26">
      <c r="A192" s="147"/>
      <c r="B192" s="208"/>
      <c r="C192" s="208"/>
      <c r="D192" s="208"/>
      <c r="E192" s="208"/>
      <c r="F192" s="208"/>
      <c r="G192" s="208"/>
      <c r="H192" s="208"/>
      <c r="I192" s="208"/>
      <c r="J192" s="208"/>
      <c r="K192" s="208"/>
      <c r="L192" s="208"/>
      <c r="M192" s="208"/>
      <c r="N192" s="208"/>
      <c r="O192" s="208"/>
      <c r="P192"/>
      <c r="Q192"/>
      <c r="R192"/>
      <c r="S192"/>
      <c r="T192"/>
      <c r="U192"/>
      <c r="V192"/>
      <c r="W192"/>
      <c r="X192"/>
      <c r="Y192"/>
      <c r="Z192"/>
    </row>
    <row r="193" s="80" customFormat="1" ht="14.25" spans="1:26">
      <c r="A193" s="147"/>
      <c r="B193" s="208"/>
      <c r="C193" s="208"/>
      <c r="D193" s="208"/>
      <c r="E193" s="208"/>
      <c r="F193" s="208"/>
      <c r="G193" s="208"/>
      <c r="H193" s="208"/>
      <c r="I193" s="208"/>
      <c r="J193" s="208"/>
      <c r="K193" s="208"/>
      <c r="L193" s="208"/>
      <c r="M193" s="208"/>
      <c r="N193" s="208"/>
      <c r="O193" s="208"/>
      <c r="P193"/>
      <c r="Q193"/>
      <c r="R193"/>
      <c r="S193"/>
      <c r="T193"/>
      <c r="U193"/>
      <c r="V193"/>
      <c r="W193"/>
      <c r="X193"/>
      <c r="Y193"/>
      <c r="Z193"/>
    </row>
    <row r="194" s="80" customFormat="1" ht="14.25" spans="1:26">
      <c r="A194" s="147"/>
      <c r="B194" s="208"/>
      <c r="C194" s="208"/>
      <c r="D194" s="208"/>
      <c r="E194" s="208"/>
      <c r="F194" s="208"/>
      <c r="G194" s="208"/>
      <c r="H194" s="208"/>
      <c r="I194" s="208"/>
      <c r="J194" s="208"/>
      <c r="K194" s="208"/>
      <c r="L194" s="208"/>
      <c r="M194" s="208"/>
      <c r="N194" s="208"/>
      <c r="O194" s="208"/>
      <c r="P194"/>
      <c r="Q194"/>
      <c r="R194"/>
      <c r="S194"/>
      <c r="T194"/>
      <c r="U194"/>
      <c r="V194"/>
      <c r="W194"/>
      <c r="X194"/>
      <c r="Y194"/>
      <c r="Z194"/>
    </row>
    <row r="195" s="80" customFormat="1" ht="14.25" spans="1:26">
      <c r="A195" s="147"/>
      <c r="B195" s="208"/>
      <c r="C195" s="208"/>
      <c r="D195" s="208"/>
      <c r="E195" s="208"/>
      <c r="F195" s="208"/>
      <c r="G195" s="208"/>
      <c r="H195" s="208"/>
      <c r="I195" s="208"/>
      <c r="J195" s="208"/>
      <c r="K195" s="208"/>
      <c r="L195" s="208"/>
      <c r="M195" s="208"/>
      <c r="N195" s="208"/>
      <c r="O195" s="208"/>
      <c r="P195"/>
      <c r="Q195"/>
      <c r="R195"/>
      <c r="S195"/>
      <c r="T195"/>
      <c r="U195"/>
      <c r="V195"/>
      <c r="W195"/>
      <c r="X195"/>
      <c r="Y195"/>
      <c r="Z195"/>
    </row>
  </sheetData>
  <mergeCells count="10">
    <mergeCell ref="B1:K1"/>
    <mergeCell ref="E2:J2"/>
    <mergeCell ref="A8:B8"/>
    <mergeCell ref="J10:K10"/>
    <mergeCell ref="A2:A3"/>
    <mergeCell ref="B2:B3"/>
    <mergeCell ref="C2:C3"/>
    <mergeCell ref="D2:D3"/>
    <mergeCell ref="K2:K3"/>
    <mergeCell ref="K4:K7"/>
  </mergeCells>
  <printOptions horizontalCentered="1"/>
  <pageMargins left="0.751389" right="0.751389" top="1" bottom="1" header="0.5" footer="0.5"/>
  <pageSetup paperSize="8" scale="93" orientation="landscape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Y13"/>
  <sheetViews>
    <sheetView workbookViewId="0">
      <selection activeCell="G20" sqref="G20"/>
    </sheetView>
  </sheetViews>
  <sheetFormatPr defaultColWidth="14.8571428571429" defaultRowHeight="12.75"/>
  <cols>
    <col min="1" max="1" width="6.71428571428571"/>
    <col min="2" max="2" width="13.1428571428571" customWidth="1"/>
    <col min="3" max="3" width="6.42857142857143"/>
    <col min="4" max="4" width="13.5714285714286" customWidth="1"/>
    <col min="5" max="5" width="29.4285714285714"/>
    <col min="6" max="6" width="18.4285714285714"/>
    <col min="7" max="7" width="18.5714285714286"/>
    <col min="8" max="8" width="9.71428571428571"/>
    <col min="9" max="9" width="13.4285714285714" hidden="1" customWidth="1"/>
    <col min="10" max="10" width="21.2857142857143" hidden="1" customWidth="1"/>
    <col min="11" max="13" width="12.7142857142857" hidden="1" customWidth="1"/>
    <col min="14" max="14" width="14" hidden="1" customWidth="1"/>
    <col min="15" max="15" width="18.5714285714286"/>
    <col min="16" max="16" width="12.7142857142857"/>
    <col min="17" max="17" width="19.1428571428571"/>
    <col min="18" max="18" width="24.4285714285714"/>
    <col min="19" max="19" width="18.5714285714286"/>
    <col min="20" max="20" width="15.2857142857143"/>
    <col min="21" max="21" width="18.4285714285714"/>
    <col min="22" max="22" width="12.7142857142857"/>
    <col min="23" max="23" width="18.4285714285714"/>
    <col min="24" max="24" width="12.7142857142857"/>
    <col min="25" max="25" width="18.4285714285714"/>
  </cols>
  <sheetData>
    <row r="1" s="80" customFormat="1" ht="55.25" customHeight="1" spans="1:25">
      <c r="A1" s="174" t="s">
        <v>22</v>
      </c>
      <c r="B1" s="175" t="s">
        <v>23</v>
      </c>
      <c r="C1" s="175" t="s">
        <v>23</v>
      </c>
      <c r="D1" s="175" t="s">
        <v>23</v>
      </c>
      <c r="E1" s="175" t="s">
        <v>23</v>
      </c>
      <c r="F1" s="175" t="s">
        <v>23</v>
      </c>
      <c r="G1" s="175" t="s">
        <v>23</v>
      </c>
      <c r="H1" s="175" t="s">
        <v>23</v>
      </c>
      <c r="I1" s="175" t="s">
        <v>23</v>
      </c>
      <c r="J1" s="175" t="s">
        <v>23</v>
      </c>
      <c r="K1" s="175" t="s">
        <v>23</v>
      </c>
      <c r="L1" s="175" t="s">
        <v>23</v>
      </c>
      <c r="M1" s="175" t="s">
        <v>23</v>
      </c>
      <c r="N1" s="175" t="s">
        <v>23</v>
      </c>
      <c r="O1" s="175" t="s">
        <v>23</v>
      </c>
      <c r="P1" s="175" t="s">
        <v>23</v>
      </c>
      <c r="Q1" s="175" t="s">
        <v>23</v>
      </c>
      <c r="R1" s="175" t="s">
        <v>23</v>
      </c>
      <c r="S1" s="175" t="s">
        <v>23</v>
      </c>
      <c r="T1" s="176" t="s">
        <v>23</v>
      </c>
      <c r="U1" s="150"/>
      <c r="V1" s="150"/>
      <c r="W1" s="150"/>
      <c r="X1" s="150"/>
      <c r="Y1" s="150"/>
    </row>
    <row r="2" s="80" customFormat="1" ht="25.5" customHeight="1" spans="1:25">
      <c r="A2" s="91" t="s">
        <v>24</v>
      </c>
      <c r="B2" s="91" t="s">
        <v>25</v>
      </c>
      <c r="C2" s="91" t="s">
        <v>26</v>
      </c>
      <c r="D2" s="92" t="s">
        <v>27</v>
      </c>
      <c r="E2" s="92" t="s">
        <v>28</v>
      </c>
      <c r="F2" s="92" t="s">
        <v>29</v>
      </c>
      <c r="G2" s="92" t="s">
        <v>30</v>
      </c>
      <c r="H2" s="92" t="s">
        <v>31</v>
      </c>
      <c r="I2" s="93" t="s">
        <v>32</v>
      </c>
      <c r="J2" s="93" t="s">
        <v>33</v>
      </c>
      <c r="K2" s="93" t="s">
        <v>33</v>
      </c>
      <c r="L2" s="93" t="s">
        <v>33</v>
      </c>
      <c r="M2" s="93" t="s">
        <v>33</v>
      </c>
      <c r="N2" s="93" t="s">
        <v>33</v>
      </c>
      <c r="O2" s="93" t="s">
        <v>33</v>
      </c>
      <c r="P2" s="93" t="s">
        <v>33</v>
      </c>
      <c r="Q2" s="93" t="s">
        <v>33</v>
      </c>
      <c r="R2" s="93" t="s">
        <v>33</v>
      </c>
      <c r="S2" s="93" t="s">
        <v>33</v>
      </c>
      <c r="T2" s="93" t="s">
        <v>33</v>
      </c>
      <c r="U2" s="123"/>
      <c r="V2" s="123"/>
      <c r="W2" s="123"/>
      <c r="X2" s="123"/>
      <c r="Y2" s="123"/>
    </row>
    <row r="3" s="80" customFormat="1" ht="69" customHeight="1" spans="1:25">
      <c r="A3" s="91"/>
      <c r="B3" s="91"/>
      <c r="C3" s="91"/>
      <c r="D3" s="92"/>
      <c r="E3" s="92"/>
      <c r="F3" s="92"/>
      <c r="G3" s="92"/>
      <c r="H3" s="92"/>
      <c r="I3" s="93" t="s">
        <v>34</v>
      </c>
      <c r="J3" s="93" t="s">
        <v>35</v>
      </c>
      <c r="K3" s="93" t="s">
        <v>36</v>
      </c>
      <c r="L3" s="93" t="s">
        <v>35</v>
      </c>
      <c r="M3" s="93" t="s">
        <v>37</v>
      </c>
      <c r="N3" s="93" t="s">
        <v>35</v>
      </c>
      <c r="O3" s="94" t="s">
        <v>38</v>
      </c>
      <c r="P3" s="93" t="s">
        <v>35</v>
      </c>
      <c r="Q3" s="93" t="s">
        <v>39</v>
      </c>
      <c r="R3" s="93" t="s">
        <v>35</v>
      </c>
      <c r="S3" s="93" t="s">
        <v>12</v>
      </c>
      <c r="T3" s="94" t="s">
        <v>40</v>
      </c>
      <c r="U3" s="123"/>
      <c r="V3" s="123"/>
      <c r="W3" s="123"/>
      <c r="X3" s="123"/>
      <c r="Y3" s="123"/>
    </row>
    <row r="4" s="80" customFormat="1" ht="44" customHeight="1" spans="1:25">
      <c r="A4" s="115" t="s">
        <v>41</v>
      </c>
      <c r="B4" s="177" t="s">
        <v>42</v>
      </c>
      <c r="C4" s="115" t="s">
        <v>43</v>
      </c>
      <c r="D4" s="152" t="s">
        <v>44</v>
      </c>
      <c r="E4" s="152" t="s">
        <v>45</v>
      </c>
      <c r="F4" s="166" t="s">
        <v>46</v>
      </c>
      <c r="G4" s="155">
        <v>1245294.81</v>
      </c>
      <c r="H4" s="155">
        <v>0</v>
      </c>
      <c r="I4" s="155">
        <v>0</v>
      </c>
      <c r="J4" s="152"/>
      <c r="K4" s="155">
        <v>0</v>
      </c>
      <c r="L4" s="154"/>
      <c r="M4" s="155">
        <v>0</v>
      </c>
      <c r="N4" s="154"/>
      <c r="O4" s="155">
        <v>0</v>
      </c>
      <c r="P4" s="154"/>
      <c r="Q4" s="155">
        <v>1245294.81</v>
      </c>
      <c r="R4" s="163" t="s">
        <v>47</v>
      </c>
      <c r="S4" s="155">
        <v>1245294.81</v>
      </c>
      <c r="T4" s="178"/>
      <c r="U4" s="123"/>
      <c r="V4" s="123"/>
      <c r="W4" s="123"/>
      <c r="X4" s="123"/>
      <c r="Y4" s="123"/>
    </row>
    <row r="5" s="80" customFormat="1" ht="44" customHeight="1" spans="1:25">
      <c r="A5" s="115"/>
      <c r="B5" s="179"/>
      <c r="C5" s="115"/>
      <c r="D5" s="152" t="s">
        <v>48</v>
      </c>
      <c r="E5" s="152" t="s">
        <v>49</v>
      </c>
      <c r="F5" s="166" t="s">
        <v>46</v>
      </c>
      <c r="G5" s="155">
        <v>1224543.14</v>
      </c>
      <c r="H5" s="155">
        <v>0</v>
      </c>
      <c r="I5" s="155">
        <v>0</v>
      </c>
      <c r="J5" s="152"/>
      <c r="K5" s="155">
        <v>0</v>
      </c>
      <c r="L5" s="154"/>
      <c r="M5" s="155">
        <v>0</v>
      </c>
      <c r="N5" s="154"/>
      <c r="O5" s="155">
        <v>0</v>
      </c>
      <c r="P5" s="154"/>
      <c r="Q5" s="155">
        <v>1224543.14</v>
      </c>
      <c r="R5" s="163" t="s">
        <v>47</v>
      </c>
      <c r="S5" s="155">
        <v>1224543.14</v>
      </c>
      <c r="T5" s="178"/>
      <c r="U5" s="123"/>
      <c r="V5" s="123"/>
      <c r="W5" s="123"/>
      <c r="X5" s="123"/>
      <c r="Y5" s="123"/>
    </row>
    <row r="6" s="80" customFormat="1" ht="44" customHeight="1" spans="1:25">
      <c r="A6" s="115"/>
      <c r="B6" s="179"/>
      <c r="C6" s="115"/>
      <c r="D6" s="152" t="s">
        <v>50</v>
      </c>
      <c r="E6" s="152" t="s">
        <v>51</v>
      </c>
      <c r="F6" s="166" t="s">
        <v>46</v>
      </c>
      <c r="G6" s="155">
        <v>14258</v>
      </c>
      <c r="H6" s="155">
        <v>0</v>
      </c>
      <c r="I6" s="155">
        <v>0</v>
      </c>
      <c r="J6" s="152"/>
      <c r="K6" s="155">
        <v>0</v>
      </c>
      <c r="L6" s="154"/>
      <c r="M6" s="155">
        <v>0</v>
      </c>
      <c r="N6" s="154"/>
      <c r="O6" s="155">
        <v>0</v>
      </c>
      <c r="P6" s="154"/>
      <c r="Q6" s="155">
        <v>14258</v>
      </c>
      <c r="R6" s="163" t="s">
        <v>52</v>
      </c>
      <c r="S6" s="155">
        <v>14258</v>
      </c>
      <c r="T6" s="178"/>
      <c r="U6" s="123"/>
      <c r="V6" s="123"/>
      <c r="W6" s="123"/>
      <c r="X6" s="123"/>
      <c r="Y6" s="123"/>
    </row>
    <row r="7" s="80" customFormat="1" ht="44" customHeight="1" spans="1:25">
      <c r="A7" s="115"/>
      <c r="B7" s="131"/>
      <c r="C7" s="115"/>
      <c r="D7" s="157"/>
      <c r="E7" s="158" t="s">
        <v>53</v>
      </c>
      <c r="F7" s="157"/>
      <c r="G7" s="160">
        <f>SUM(G4:G6)</f>
        <v>2484095.95</v>
      </c>
      <c r="H7" s="160">
        <v>0</v>
      </c>
      <c r="I7" s="160">
        <v>0</v>
      </c>
      <c r="J7" s="180"/>
      <c r="K7" s="160">
        <v>0</v>
      </c>
      <c r="L7" s="159"/>
      <c r="M7" s="160">
        <v>0</v>
      </c>
      <c r="N7" s="159"/>
      <c r="O7" s="160">
        <v>0</v>
      </c>
      <c r="P7" s="159"/>
      <c r="Q7" s="160">
        <v>2484095.95</v>
      </c>
      <c r="R7" s="159"/>
      <c r="S7" s="160">
        <v>2484095.95</v>
      </c>
      <c r="T7" s="180"/>
      <c r="U7" s="123"/>
      <c r="V7" s="123"/>
      <c r="W7" s="123"/>
      <c r="X7" s="123"/>
      <c r="Y7" s="123"/>
    </row>
    <row r="8" s="80" customFormat="1" ht="48" customHeight="1" spans="1:25">
      <c r="A8" s="181" t="s">
        <v>54</v>
      </c>
      <c r="B8" s="181"/>
      <c r="C8" s="181"/>
      <c r="D8" s="181"/>
      <c r="E8" s="181"/>
      <c r="F8" s="181"/>
      <c r="G8" s="182">
        <f>G7</f>
        <v>2484095.95</v>
      </c>
      <c r="H8" s="182">
        <v>0</v>
      </c>
      <c r="I8" s="182">
        <v>0</v>
      </c>
      <c r="J8" s="183"/>
      <c r="K8" s="182">
        <v>0</v>
      </c>
      <c r="L8" s="184"/>
      <c r="M8" s="182">
        <v>0</v>
      </c>
      <c r="N8" s="184"/>
      <c r="O8" s="182">
        <v>0</v>
      </c>
      <c r="P8" s="184"/>
      <c r="Q8" s="182">
        <f>Q7</f>
        <v>2484095.95</v>
      </c>
      <c r="R8" s="184"/>
      <c r="S8" s="182">
        <f>S7</f>
        <v>2484095.95</v>
      </c>
      <c r="T8" s="183"/>
      <c r="U8" s="123"/>
      <c r="V8" s="123"/>
      <c r="W8" s="123"/>
      <c r="X8" s="123"/>
      <c r="Y8" s="123"/>
    </row>
    <row r="11" ht="13.5" spans="1:25">
      <c r="S11" s="145" t="s">
        <v>19</v>
      </c>
      <c r="T11" s="145"/>
    </row>
    <row r="12" ht="14.25" spans="1:25">
      <c r="S12" s="172" t="s">
        <v>20</v>
      </c>
      <c r="T12" s="147"/>
    </row>
    <row r="13" ht="14.25" spans="1:25">
      <c r="S13" s="173" t="str">
        <f>汇总表!J12</f>
        <v>日期：2026/9/4</v>
      </c>
      <c r="T13" s="147"/>
    </row>
  </sheetData>
  <mergeCells count="15">
    <mergeCell ref="A1:T1"/>
    <mergeCell ref="I2:T2"/>
    <mergeCell ref="A8:F8"/>
    <mergeCell ref="S11:T11"/>
    <mergeCell ref="A2:A3"/>
    <mergeCell ref="A4:A7"/>
    <mergeCell ref="B2:B3"/>
    <mergeCell ref="B4:B7"/>
    <mergeCell ref="C2:C3"/>
    <mergeCell ref="C4:C7"/>
    <mergeCell ref="D2:D3"/>
    <mergeCell ref="E2:E3"/>
    <mergeCell ref="F2:F3"/>
    <mergeCell ref="G2:G3"/>
    <mergeCell ref="H2:H3"/>
  </mergeCells>
  <printOptions horizontalCentered="1"/>
  <pageMargins left="0.751389" right="0.751389" top="1" bottom="1" header="0.5" footer="0.5"/>
  <pageSetup paperSize="8" scale="88" fitToHeight="0" orientation="landscape" horizontalDpi="3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Y16"/>
  <sheetViews>
    <sheetView workbookViewId="0">
      <selection activeCell="O6" sqref="O6"/>
    </sheetView>
  </sheetViews>
  <sheetFormatPr defaultColWidth="14.8571428571429" defaultRowHeight="12.75"/>
  <cols>
    <col min="1" max="1" width="6.71428571428571"/>
    <col min="2" max="2" width="14"/>
    <col min="3" max="3" width="6.14285714285714"/>
    <col min="4" max="4" width="5.85714285714286"/>
    <col min="5" max="5" width="29.4285714285714"/>
    <col min="6" max="6" width="18.7142857142857" customWidth="1"/>
    <col min="7" max="7" width="18.5714285714286"/>
    <col min="8" max="8" width="17.8571428571429"/>
    <col min="9" max="9" width="13.4285714285714" hidden="1" customWidth="1"/>
    <col min="10" max="10" width="21.2857142857143" hidden="1" customWidth="1"/>
    <col min="11" max="14" width="12.7142857142857" hidden="1" customWidth="1"/>
    <col min="15" max="15" width="16" customWidth="1"/>
    <col min="16" max="16" width="19.5714285714286"/>
    <col min="17" max="17" width="19.1428571428571"/>
    <col min="18" max="18" width="26.7142857142857" style="149"/>
    <col min="19" max="19" width="18.5714285714286"/>
    <col min="20" max="20" width="16.7142857142857" customWidth="1"/>
    <col min="21" max="21" width="18.4285714285714"/>
    <col min="22" max="22" width="12.7142857142857"/>
    <col min="23" max="23" width="18.4285714285714"/>
    <col min="24" max="24" width="12.7142857142857"/>
    <col min="25" max="25" width="18.4285714285714"/>
  </cols>
  <sheetData>
    <row r="1" s="80" customFormat="1" ht="55.25" customHeight="1" spans="1:25">
      <c r="A1" s="87" t="s">
        <v>55</v>
      </c>
      <c r="B1" s="87" t="s">
        <v>23</v>
      </c>
      <c r="C1" s="87" t="s">
        <v>23</v>
      </c>
      <c r="D1" s="87" t="s">
        <v>23</v>
      </c>
      <c r="E1" s="87" t="s">
        <v>23</v>
      </c>
      <c r="F1" s="87" t="s">
        <v>23</v>
      </c>
      <c r="G1" s="87" t="s">
        <v>23</v>
      </c>
      <c r="H1" s="87" t="s">
        <v>23</v>
      </c>
      <c r="I1" s="87" t="s">
        <v>23</v>
      </c>
      <c r="J1" s="87" t="s">
        <v>23</v>
      </c>
      <c r="K1" s="87" t="s">
        <v>23</v>
      </c>
      <c r="L1" s="87" t="s">
        <v>23</v>
      </c>
      <c r="M1" s="87" t="s">
        <v>23</v>
      </c>
      <c r="N1" s="87" t="s">
        <v>23</v>
      </c>
      <c r="O1" s="87" t="s">
        <v>23</v>
      </c>
      <c r="P1" s="87" t="s">
        <v>23</v>
      </c>
      <c r="Q1" s="87" t="s">
        <v>23</v>
      </c>
      <c r="R1" s="88" t="s">
        <v>23</v>
      </c>
      <c r="S1" s="87" t="s">
        <v>23</v>
      </c>
      <c r="T1" s="87" t="s">
        <v>23</v>
      </c>
      <c r="U1" s="150"/>
      <c r="V1" s="150"/>
      <c r="W1" s="150"/>
      <c r="X1" s="150"/>
      <c r="Y1" s="150"/>
    </row>
    <row r="2" s="80" customFormat="1" ht="25.5" customHeight="1" spans="1:25">
      <c r="A2" s="91" t="s">
        <v>24</v>
      </c>
      <c r="B2" s="91" t="s">
        <v>25</v>
      </c>
      <c r="C2" s="91" t="s">
        <v>26</v>
      </c>
      <c r="D2" s="91" t="s">
        <v>27</v>
      </c>
      <c r="E2" s="91" t="s">
        <v>28</v>
      </c>
      <c r="F2" s="92" t="s">
        <v>29</v>
      </c>
      <c r="G2" s="92" t="s">
        <v>30</v>
      </c>
      <c r="H2" s="92" t="s">
        <v>31</v>
      </c>
      <c r="I2" s="93" t="s">
        <v>32</v>
      </c>
      <c r="J2" s="93" t="s">
        <v>33</v>
      </c>
      <c r="K2" s="93" t="s">
        <v>33</v>
      </c>
      <c r="L2" s="93" t="s">
        <v>33</v>
      </c>
      <c r="M2" s="93" t="s">
        <v>33</v>
      </c>
      <c r="N2" s="93" t="s">
        <v>33</v>
      </c>
      <c r="O2" s="93" t="s">
        <v>33</v>
      </c>
      <c r="P2" s="93" t="s">
        <v>33</v>
      </c>
      <c r="Q2" s="93" t="s">
        <v>33</v>
      </c>
      <c r="R2" s="94" t="s">
        <v>33</v>
      </c>
      <c r="S2" s="93" t="s">
        <v>33</v>
      </c>
      <c r="T2" s="93" t="s">
        <v>33</v>
      </c>
      <c r="U2" s="123"/>
      <c r="V2" s="123"/>
      <c r="W2" s="123"/>
      <c r="X2" s="123"/>
      <c r="Y2" s="123"/>
    </row>
    <row r="3" s="80" customFormat="1" ht="56.65" customHeight="1" spans="1:25">
      <c r="A3" s="91"/>
      <c r="B3" s="91"/>
      <c r="C3" s="91"/>
      <c r="D3" s="91"/>
      <c r="E3" s="91"/>
      <c r="F3" s="92"/>
      <c r="G3" s="92"/>
      <c r="H3" s="92"/>
      <c r="I3" s="93" t="s">
        <v>34</v>
      </c>
      <c r="J3" s="93" t="s">
        <v>35</v>
      </c>
      <c r="K3" s="93" t="s">
        <v>36</v>
      </c>
      <c r="L3" s="93" t="s">
        <v>35</v>
      </c>
      <c r="M3" s="93" t="s">
        <v>37</v>
      </c>
      <c r="N3" s="93" t="s">
        <v>35</v>
      </c>
      <c r="O3" s="94" t="s">
        <v>38</v>
      </c>
      <c r="P3" s="93" t="s">
        <v>35</v>
      </c>
      <c r="Q3" s="93" t="s">
        <v>39</v>
      </c>
      <c r="R3" s="94" t="s">
        <v>35</v>
      </c>
      <c r="S3" s="93" t="s">
        <v>12</v>
      </c>
      <c r="T3" s="94" t="s">
        <v>40</v>
      </c>
      <c r="U3" s="123"/>
      <c r="V3" s="123"/>
      <c r="W3" s="123"/>
      <c r="X3" s="123"/>
      <c r="Y3" s="123"/>
    </row>
    <row r="4" s="80" customFormat="1" ht="38" customHeight="1" spans="1:25">
      <c r="A4" s="115" t="s">
        <v>56</v>
      </c>
      <c r="B4" s="151" t="s">
        <v>57</v>
      </c>
      <c r="C4" s="115" t="s">
        <v>43</v>
      </c>
      <c r="D4" s="152" t="s">
        <v>58</v>
      </c>
      <c r="E4" s="152" t="s">
        <v>59</v>
      </c>
      <c r="F4" s="153" t="s">
        <v>60</v>
      </c>
      <c r="G4" s="154">
        <v>702920.18</v>
      </c>
      <c r="H4" s="155">
        <v>0</v>
      </c>
      <c r="I4" s="155">
        <v>0</v>
      </c>
      <c r="J4" s="154"/>
      <c r="K4" s="155">
        <v>0</v>
      </c>
      <c r="L4" s="154"/>
      <c r="M4" s="155">
        <v>0</v>
      </c>
      <c r="N4" s="154"/>
      <c r="O4" s="155">
        <v>0</v>
      </c>
      <c r="P4" s="154"/>
      <c r="Q4" s="155">
        <v>702920.18</v>
      </c>
      <c r="R4" s="154" t="s">
        <v>61</v>
      </c>
      <c r="S4" s="156">
        <v>702920.18</v>
      </c>
      <c r="T4" s="99" t="s">
        <v>62</v>
      </c>
      <c r="U4" s="123"/>
      <c r="V4" s="123"/>
      <c r="W4" s="123"/>
      <c r="X4" s="123"/>
      <c r="Y4" s="123"/>
    </row>
    <row r="5" s="81" customFormat="1" ht="38" customHeight="1" spans="1:25">
      <c r="A5" s="115" t="s">
        <v>56</v>
      </c>
      <c r="B5" s="151" t="s">
        <v>57</v>
      </c>
      <c r="C5" s="115"/>
      <c r="D5" s="157"/>
      <c r="E5" s="158" t="s">
        <v>53</v>
      </c>
      <c r="F5" s="157"/>
      <c r="G5" s="159">
        <v>702920.18</v>
      </c>
      <c r="H5" s="160">
        <v>0</v>
      </c>
      <c r="I5" s="160">
        <v>0</v>
      </c>
      <c r="J5" s="159"/>
      <c r="K5" s="160">
        <v>0</v>
      </c>
      <c r="L5" s="159"/>
      <c r="M5" s="160">
        <v>0</v>
      </c>
      <c r="N5" s="159"/>
      <c r="O5" s="160">
        <v>0</v>
      </c>
      <c r="P5" s="159"/>
      <c r="Q5" s="160">
        <f>Q4</f>
        <v>702920.18</v>
      </c>
      <c r="R5" s="161"/>
      <c r="S5" s="162">
        <v>702920.18</v>
      </c>
      <c r="T5" s="159"/>
      <c r="U5" s="144"/>
      <c r="V5" s="144"/>
      <c r="W5" s="144"/>
      <c r="X5" s="144"/>
      <c r="Y5" s="144"/>
    </row>
    <row r="6" s="80" customFormat="1" ht="38" customHeight="1" spans="1:25">
      <c r="A6" s="115" t="s">
        <v>63</v>
      </c>
      <c r="B6" s="151" t="s">
        <v>64</v>
      </c>
      <c r="C6" s="115" t="s">
        <v>43</v>
      </c>
      <c r="D6" s="152" t="s">
        <v>65</v>
      </c>
      <c r="E6" s="152" t="s">
        <v>66</v>
      </c>
      <c r="F6" s="153" t="s">
        <v>60</v>
      </c>
      <c r="G6" s="154">
        <v>94490</v>
      </c>
      <c r="H6" s="155">
        <v>0</v>
      </c>
      <c r="I6" s="155">
        <v>0</v>
      </c>
      <c r="J6" s="154"/>
      <c r="K6" s="155">
        <v>0</v>
      </c>
      <c r="L6" s="154"/>
      <c r="M6" s="155">
        <v>0</v>
      </c>
      <c r="N6" s="154"/>
      <c r="O6" s="155">
        <v>0</v>
      </c>
      <c r="P6" s="154"/>
      <c r="Q6" s="155">
        <v>94490</v>
      </c>
      <c r="R6" s="163" t="s">
        <v>67</v>
      </c>
      <c r="S6" s="156">
        <v>94490</v>
      </c>
      <c r="T6" s="99" t="s">
        <v>62</v>
      </c>
      <c r="U6" s="123"/>
      <c r="V6" s="123"/>
      <c r="W6" s="123"/>
      <c r="X6" s="123"/>
      <c r="Y6" s="123"/>
    </row>
    <row r="7" s="81" customFormat="1" ht="38" customHeight="1" spans="1:25">
      <c r="A7" s="115" t="s">
        <v>68</v>
      </c>
      <c r="B7" s="151" t="s">
        <v>69</v>
      </c>
      <c r="C7" s="115"/>
      <c r="D7" s="157"/>
      <c r="E7" s="158" t="s">
        <v>53</v>
      </c>
      <c r="F7" s="157"/>
      <c r="G7" s="159">
        <v>94490</v>
      </c>
      <c r="H7" s="160">
        <v>0</v>
      </c>
      <c r="I7" s="160">
        <v>0</v>
      </c>
      <c r="J7" s="159"/>
      <c r="K7" s="160">
        <v>0</v>
      </c>
      <c r="L7" s="159"/>
      <c r="M7" s="160">
        <v>0</v>
      </c>
      <c r="N7" s="159"/>
      <c r="O7" s="160">
        <v>0</v>
      </c>
      <c r="P7" s="159"/>
      <c r="Q7" s="160">
        <v>94490</v>
      </c>
      <c r="R7" s="161"/>
      <c r="S7" s="162">
        <v>94490</v>
      </c>
      <c r="T7" s="164"/>
      <c r="U7" s="144"/>
      <c r="V7" s="144"/>
      <c r="W7" s="144"/>
      <c r="X7" s="144"/>
      <c r="Y7" s="144"/>
    </row>
    <row r="8" s="80" customFormat="1" ht="38" customHeight="1" spans="1:25">
      <c r="A8" s="115" t="s">
        <v>41</v>
      </c>
      <c r="B8" s="165" t="s">
        <v>42</v>
      </c>
      <c r="C8" s="115" t="s">
        <v>43</v>
      </c>
      <c r="D8" s="152" t="s">
        <v>50</v>
      </c>
      <c r="E8" s="152" t="s">
        <v>51</v>
      </c>
      <c r="F8" s="166" t="s">
        <v>46</v>
      </c>
      <c r="G8" s="154">
        <v>79752.5</v>
      </c>
      <c r="H8" s="155">
        <v>0</v>
      </c>
      <c r="I8" s="155">
        <v>0</v>
      </c>
      <c r="J8" s="154"/>
      <c r="K8" s="155">
        <v>0</v>
      </c>
      <c r="L8" s="154"/>
      <c r="M8" s="155">
        <v>0</v>
      </c>
      <c r="N8" s="154"/>
      <c r="O8" s="155">
        <v>0</v>
      </c>
      <c r="P8" s="154"/>
      <c r="Q8" s="155">
        <v>79752.5</v>
      </c>
      <c r="R8" s="152" t="s">
        <v>70</v>
      </c>
      <c r="S8" s="156">
        <v>79752.5</v>
      </c>
      <c r="T8" s="167"/>
      <c r="U8" s="123"/>
      <c r="V8" s="123"/>
      <c r="W8" s="123"/>
      <c r="X8" s="123"/>
      <c r="Y8" s="123"/>
    </row>
    <row r="9" s="80" customFormat="1" ht="49" customHeight="1" spans="1:25">
      <c r="A9" s="115" t="s">
        <v>41</v>
      </c>
      <c r="B9" s="165" t="s">
        <v>71</v>
      </c>
      <c r="C9" s="115"/>
      <c r="D9" s="152" t="s">
        <v>48</v>
      </c>
      <c r="E9" s="152" t="s">
        <v>49</v>
      </c>
      <c r="F9" s="166" t="s">
        <v>46</v>
      </c>
      <c r="G9" s="154">
        <v>135638.48</v>
      </c>
      <c r="H9" s="155">
        <v>0</v>
      </c>
      <c r="I9" s="155">
        <v>0</v>
      </c>
      <c r="J9" s="154"/>
      <c r="K9" s="155">
        <v>0</v>
      </c>
      <c r="L9" s="154"/>
      <c r="M9" s="155">
        <v>0</v>
      </c>
      <c r="N9" s="154"/>
      <c r="O9" s="155">
        <v>0</v>
      </c>
      <c r="P9" s="154"/>
      <c r="Q9" s="154">
        <v>135638.48</v>
      </c>
      <c r="R9" s="168" t="s">
        <v>72</v>
      </c>
      <c r="S9" s="154">
        <v>135638.48</v>
      </c>
      <c r="T9" s="167"/>
      <c r="U9" s="123"/>
      <c r="V9" s="123"/>
      <c r="W9" s="123"/>
      <c r="X9" s="123"/>
      <c r="Y9" s="123"/>
    </row>
    <row r="10" s="81" customFormat="1" ht="38" customHeight="1" spans="1:25">
      <c r="A10" s="115" t="s">
        <v>41</v>
      </c>
      <c r="B10" s="165" t="s">
        <v>71</v>
      </c>
      <c r="C10" s="115"/>
      <c r="D10" s="157"/>
      <c r="E10" s="158" t="s">
        <v>53</v>
      </c>
      <c r="F10" s="157"/>
      <c r="G10" s="159">
        <f>SUM(G8:G9)</f>
        <v>215390.98</v>
      </c>
      <c r="H10" s="160">
        <v>0</v>
      </c>
      <c r="I10" s="160">
        <v>0</v>
      </c>
      <c r="J10" s="159"/>
      <c r="K10" s="160">
        <v>0</v>
      </c>
      <c r="L10" s="159"/>
      <c r="M10" s="160">
        <v>0</v>
      </c>
      <c r="N10" s="159"/>
      <c r="O10" s="160">
        <f>O8</f>
        <v>0</v>
      </c>
      <c r="P10" s="159"/>
      <c r="Q10" s="160">
        <f>SUM(Q8:Q9)</f>
        <v>215390.98</v>
      </c>
      <c r="R10" s="161"/>
      <c r="S10" s="162">
        <f>SUM(S8:S9)</f>
        <v>215390.98</v>
      </c>
      <c r="T10" s="169"/>
      <c r="U10" s="144"/>
      <c r="V10" s="144"/>
      <c r="W10" s="144"/>
      <c r="X10" s="144"/>
      <c r="Y10" s="144"/>
    </row>
    <row r="11" s="81" customFormat="1" ht="38" customHeight="1" spans="1:25">
      <c r="A11" s="170" t="s">
        <v>73</v>
      </c>
      <c r="B11" s="170"/>
      <c r="C11" s="170"/>
      <c r="D11" s="170"/>
      <c r="E11" s="170"/>
      <c r="F11" s="170"/>
      <c r="G11" s="139">
        <f t="shared" ref="G11:S11" si="0">G7+G5+G10</f>
        <v>1012801.16</v>
      </c>
      <c r="H11" s="139">
        <f t="shared" si="0"/>
        <v>0</v>
      </c>
      <c r="I11" s="139">
        <f t="shared" si="0"/>
        <v>0</v>
      </c>
      <c r="J11" s="139">
        <f t="shared" si="0"/>
        <v>0</v>
      </c>
      <c r="K11" s="139">
        <f t="shared" si="0"/>
        <v>0</v>
      </c>
      <c r="L11" s="139">
        <f t="shared" si="0"/>
        <v>0</v>
      </c>
      <c r="M11" s="139">
        <f t="shared" si="0"/>
        <v>0</v>
      </c>
      <c r="N11" s="139">
        <f t="shared" si="0"/>
        <v>0</v>
      </c>
      <c r="O11" s="139">
        <f t="shared" si="0"/>
        <v>0</v>
      </c>
      <c r="P11" s="139">
        <f t="shared" si="0"/>
        <v>0</v>
      </c>
      <c r="Q11" s="139">
        <f t="shared" si="0"/>
        <v>1012801.16</v>
      </c>
      <c r="R11" s="139">
        <f t="shared" si="0"/>
        <v>0</v>
      </c>
      <c r="S11" s="139">
        <f t="shared" si="0"/>
        <v>1012801.16</v>
      </c>
      <c r="T11" s="171"/>
      <c r="U11" s="144"/>
      <c r="V11" s="144"/>
      <c r="W11" s="144"/>
      <c r="X11" s="144"/>
      <c r="Y11" s="144"/>
    </row>
    <row r="14" ht="13.5" spans="1:25">
      <c r="S14" s="145" t="s">
        <v>19</v>
      </c>
      <c r="T14" s="145"/>
    </row>
    <row r="15" ht="14.25" spans="1:25">
      <c r="S15" s="172" t="s">
        <v>20</v>
      </c>
      <c r="T15" s="147"/>
    </row>
    <row r="16" ht="14.25" spans="1:25">
      <c r="S16" s="173" t="str">
        <f>汇总表!J12</f>
        <v>日期：2026/9/4</v>
      </c>
      <c r="T16" s="147"/>
    </row>
  </sheetData>
  <mergeCells count="21">
    <mergeCell ref="A1:T1"/>
    <mergeCell ref="I2:T2"/>
    <mergeCell ref="A11:F11"/>
    <mergeCell ref="S14:T14"/>
    <mergeCell ref="A2:A3"/>
    <mergeCell ref="A4:A5"/>
    <mergeCell ref="A6:A7"/>
    <mergeCell ref="A8:A10"/>
    <mergeCell ref="B2:B3"/>
    <mergeCell ref="B4:B5"/>
    <mergeCell ref="B6:B7"/>
    <mergeCell ref="B8:B10"/>
    <mergeCell ref="C2:C3"/>
    <mergeCell ref="C4:C5"/>
    <mergeCell ref="C6:C7"/>
    <mergeCell ref="C8:C10"/>
    <mergeCell ref="D2:D3"/>
    <mergeCell ref="E2:E3"/>
    <mergeCell ref="F2:F3"/>
    <mergeCell ref="G2:G3"/>
    <mergeCell ref="H2:H3"/>
  </mergeCells>
  <printOptions horizontalCentered="1"/>
  <pageMargins left="0.751389" right="0.751389" top="1" bottom="1" header="0.5" footer="0.5"/>
  <pageSetup paperSize="8" scale="89" fitToHeight="0" orientation="landscape" horizontalDpi="300" verticalDpi="300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Y32"/>
  <sheetViews>
    <sheetView workbookViewId="0">
      <pane xSplit="5" ySplit="3" topLeftCell="F16" activePane="bottomRight" state="frozen"/>
      <selection/>
      <selection pane="topRight"/>
      <selection pane="bottomLeft"/>
      <selection pane="bottomRight" activeCell="G28" sqref="G28"/>
    </sheetView>
  </sheetViews>
  <sheetFormatPr defaultColWidth="14.8571428571429" defaultRowHeight="12.75"/>
  <cols>
    <col min="1" max="1" width="5.28571428571429" customWidth="1"/>
    <col min="2" max="2" width="11.7142857142857" customWidth="1"/>
    <col min="3" max="3" width="7.14285714285714"/>
    <col min="4" max="4" width="8.57142857142857"/>
    <col min="5" max="5" width="23.4285714285714" style="82" customWidth="1"/>
    <col min="6" max="6" width="21" customWidth="1"/>
    <col min="7" max="7" width="19.8571428571429" customWidth="1"/>
    <col min="8" max="8" width="13.1428571428571" customWidth="1"/>
    <col min="9" max="9" width="15.4285714285714" customWidth="1"/>
    <col min="10" max="10" width="12.7142857142857" customWidth="1"/>
    <col min="11" max="11" width="18.5714285714286" customWidth="1"/>
    <col min="12" max="12" width="15.2857142857143" style="83" customWidth="1"/>
    <col min="13" max="13" width="18.5714285714286"/>
    <col min="14" max="14" width="15.2857142857143" style="84" customWidth="1"/>
    <col min="15" max="15" width="18.8571428571429"/>
    <col min="16" max="16" width="16.5714285714286" style="84" customWidth="1"/>
    <col min="17" max="17" width="16" customWidth="1"/>
    <col min="18" max="18" width="11.2857142857143" style="85" customWidth="1"/>
    <col min="19" max="19" width="19.8571428571429" style="86"/>
    <col min="20" max="20" width="13.2857142857143" customWidth="1"/>
    <col min="21" max="21" width="18.4285714285714"/>
    <col min="22" max="22" width="12.7142857142857"/>
    <col min="23" max="23" width="18.4285714285714"/>
    <col min="24" max="24" width="12.7142857142857"/>
    <col min="25" max="25" width="18.4285714285714"/>
  </cols>
  <sheetData>
    <row r="1" s="77" customFormat="1" ht="55.25" customHeight="1" spans="1:25">
      <c r="A1" s="87" t="s">
        <v>74</v>
      </c>
      <c r="B1" s="87" t="s">
        <v>23</v>
      </c>
      <c r="C1" s="87" t="s">
        <v>23</v>
      </c>
      <c r="D1" s="87" t="s">
        <v>23</v>
      </c>
      <c r="E1" s="88" t="s">
        <v>23</v>
      </c>
      <c r="F1" s="87" t="s">
        <v>23</v>
      </c>
      <c r="G1" s="87" t="s">
        <v>23</v>
      </c>
      <c r="H1" s="87" t="s">
        <v>23</v>
      </c>
      <c r="I1" s="87" t="s">
        <v>23</v>
      </c>
      <c r="J1" s="89" t="s">
        <v>23</v>
      </c>
      <c r="K1" s="87" t="s">
        <v>23</v>
      </c>
      <c r="L1" s="89" t="s">
        <v>23</v>
      </c>
      <c r="M1" s="87" t="s">
        <v>23</v>
      </c>
      <c r="N1" s="89" t="s">
        <v>23</v>
      </c>
      <c r="O1" s="87" t="s">
        <v>23</v>
      </c>
      <c r="P1" s="89" t="s">
        <v>23</v>
      </c>
      <c r="Q1" s="87" t="s">
        <v>23</v>
      </c>
      <c r="R1" s="87" t="s">
        <v>23</v>
      </c>
      <c r="S1" s="87" t="s">
        <v>23</v>
      </c>
      <c r="T1" s="87" t="s">
        <v>23</v>
      </c>
      <c r="U1" s="90"/>
      <c r="V1" s="90"/>
      <c r="W1" s="90"/>
      <c r="X1" s="90"/>
      <c r="Y1" s="90"/>
    </row>
    <row r="2" s="78" customFormat="1" ht="25.5" customHeight="1" spans="1:25">
      <c r="A2" s="91" t="s">
        <v>24</v>
      </c>
      <c r="B2" s="91" t="s">
        <v>25</v>
      </c>
      <c r="C2" s="91" t="s">
        <v>26</v>
      </c>
      <c r="D2" s="91" t="s">
        <v>27</v>
      </c>
      <c r="E2" s="91" t="s">
        <v>28</v>
      </c>
      <c r="F2" s="92" t="s">
        <v>29</v>
      </c>
      <c r="G2" s="92" t="s">
        <v>75</v>
      </c>
      <c r="H2" s="92" t="s">
        <v>31</v>
      </c>
      <c r="I2" s="93" t="s">
        <v>32</v>
      </c>
      <c r="J2" s="94" t="s">
        <v>33</v>
      </c>
      <c r="K2" s="93" t="s">
        <v>33</v>
      </c>
      <c r="L2" s="94" t="s">
        <v>33</v>
      </c>
      <c r="M2" s="93" t="s">
        <v>33</v>
      </c>
      <c r="N2" s="94" t="s">
        <v>33</v>
      </c>
      <c r="O2" s="93" t="s">
        <v>33</v>
      </c>
      <c r="P2" s="94" t="s">
        <v>33</v>
      </c>
      <c r="Q2" s="93" t="s">
        <v>33</v>
      </c>
      <c r="R2" s="94" t="s">
        <v>33</v>
      </c>
      <c r="S2" s="93" t="s">
        <v>33</v>
      </c>
      <c r="T2" s="93" t="s">
        <v>33</v>
      </c>
      <c r="U2" s="95"/>
      <c r="V2" s="95"/>
      <c r="W2" s="95"/>
      <c r="X2" s="95"/>
      <c r="Y2" s="95"/>
    </row>
    <row r="3" s="79" customFormat="1" ht="56.65" customHeight="1" spans="1:25">
      <c r="A3" s="91"/>
      <c r="B3" s="91"/>
      <c r="C3" s="91"/>
      <c r="D3" s="91"/>
      <c r="E3" s="91"/>
      <c r="F3" s="92"/>
      <c r="G3" s="92"/>
      <c r="H3" s="92"/>
      <c r="I3" s="94" t="s">
        <v>34</v>
      </c>
      <c r="J3" s="94" t="s">
        <v>35</v>
      </c>
      <c r="K3" s="94" t="s">
        <v>36</v>
      </c>
      <c r="L3" s="94" t="s">
        <v>35</v>
      </c>
      <c r="M3" s="94" t="s">
        <v>37</v>
      </c>
      <c r="N3" s="94" t="s">
        <v>35</v>
      </c>
      <c r="O3" s="94" t="s">
        <v>38</v>
      </c>
      <c r="P3" s="94" t="s">
        <v>35</v>
      </c>
      <c r="Q3" s="94" t="s">
        <v>39</v>
      </c>
      <c r="R3" s="94" t="s">
        <v>35</v>
      </c>
      <c r="S3" s="94" t="s">
        <v>12</v>
      </c>
      <c r="T3" s="94" t="s">
        <v>40</v>
      </c>
      <c r="U3" s="96"/>
      <c r="V3" s="96"/>
      <c r="W3" s="96"/>
      <c r="X3" s="96"/>
      <c r="Y3" s="96"/>
    </row>
    <row r="4" s="80" customFormat="1" ht="48" spans="1:25">
      <c r="A4" s="97" t="s">
        <v>56</v>
      </c>
      <c r="B4" s="98" t="s">
        <v>57</v>
      </c>
      <c r="C4" s="99" t="s">
        <v>43</v>
      </c>
      <c r="D4" s="100" t="s">
        <v>58</v>
      </c>
      <c r="E4" s="101" t="s">
        <v>59</v>
      </c>
      <c r="F4" s="102" t="s">
        <v>60</v>
      </c>
      <c r="G4" s="103">
        <v>5247022.42</v>
      </c>
      <c r="H4" s="104">
        <v>0</v>
      </c>
      <c r="I4" s="104">
        <v>0</v>
      </c>
      <c r="J4" s="101"/>
      <c r="K4" s="104">
        <v>0</v>
      </c>
      <c r="L4" s="105"/>
      <c r="M4" s="104">
        <v>0</v>
      </c>
      <c r="N4" s="101"/>
      <c r="O4" s="104">
        <v>5247022.42</v>
      </c>
      <c r="P4" s="101" t="s">
        <v>76</v>
      </c>
      <c r="Q4" s="104">
        <v>0</v>
      </c>
      <c r="R4" s="100"/>
      <c r="S4" s="31">
        <f t="shared" ref="S4:S11" si="0">O4+M4+K4+I4</f>
        <v>5247022.42</v>
      </c>
      <c r="T4" s="106" t="s">
        <v>62</v>
      </c>
      <c r="U4" s="107"/>
      <c r="V4" s="107"/>
      <c r="W4" s="107"/>
      <c r="X4" s="107"/>
      <c r="Y4" s="107"/>
    </row>
    <row r="5" s="80" customFormat="1" ht="30" customHeight="1" spans="1:25">
      <c r="A5" s="97"/>
      <c r="B5" s="98"/>
      <c r="C5" s="100"/>
      <c r="D5" s="100"/>
      <c r="E5" s="108" t="s">
        <v>53</v>
      </c>
      <c r="F5" s="109"/>
      <c r="G5" s="110">
        <f>SUM(G4:G4)</f>
        <v>5247022.42</v>
      </c>
      <c r="H5" s="110">
        <f>SUM(H4:H4)</f>
        <v>0</v>
      </c>
      <c r="I5" s="110">
        <f>SUM(I4:I4)</f>
        <v>0</v>
      </c>
      <c r="J5" s="111"/>
      <c r="K5" s="110">
        <f>SUM(K4:K4)</f>
        <v>0</v>
      </c>
      <c r="L5" s="112"/>
      <c r="M5" s="110">
        <f>SUM(M4:M4)</f>
        <v>0</v>
      </c>
      <c r="N5" s="111"/>
      <c r="O5" s="110">
        <f>SUM(O4:O4)</f>
        <v>5247022.42</v>
      </c>
      <c r="P5" s="111"/>
      <c r="Q5" s="110">
        <f>SUM(Q4:Q4)</f>
        <v>0</v>
      </c>
      <c r="R5" s="113"/>
      <c r="S5" s="31">
        <f t="shared" si="0"/>
        <v>5247022.42</v>
      </c>
      <c r="T5" s="113"/>
      <c r="U5" s="107"/>
      <c r="V5" s="107"/>
      <c r="W5" s="107"/>
      <c r="X5" s="107"/>
      <c r="Y5" s="107"/>
    </row>
    <row r="6" s="80" customFormat="1" ht="30" customHeight="1" spans="1:25">
      <c r="A6" s="97"/>
      <c r="B6" s="98"/>
      <c r="C6" s="99" t="s">
        <v>43</v>
      </c>
      <c r="D6" s="100" t="s">
        <v>77</v>
      </c>
      <c r="E6" s="101" t="s">
        <v>78</v>
      </c>
      <c r="F6" s="102" t="s">
        <v>60</v>
      </c>
      <c r="G6" s="114">
        <v>1503</v>
      </c>
      <c r="H6" s="104">
        <v>0</v>
      </c>
      <c r="I6" s="104">
        <v>0</v>
      </c>
      <c r="J6" s="101"/>
      <c r="K6" s="104">
        <v>0</v>
      </c>
      <c r="L6" s="101"/>
      <c r="M6" s="104">
        <v>0</v>
      </c>
      <c r="N6" s="101"/>
      <c r="O6" s="104">
        <v>1503</v>
      </c>
      <c r="P6" s="101" t="s">
        <v>79</v>
      </c>
      <c r="Q6" s="104">
        <v>0</v>
      </c>
      <c r="R6" s="100"/>
      <c r="S6" s="31">
        <f t="shared" si="0"/>
        <v>1503</v>
      </c>
      <c r="T6" s="106"/>
      <c r="U6" s="107"/>
      <c r="V6" s="107"/>
      <c r="W6" s="107"/>
      <c r="X6" s="107"/>
      <c r="Y6" s="107"/>
    </row>
    <row r="7" s="80" customFormat="1" ht="30" customHeight="1" spans="1:25">
      <c r="A7" s="115"/>
      <c r="B7" s="116"/>
      <c r="C7" s="117"/>
      <c r="D7" s="117"/>
      <c r="E7" s="108" t="s">
        <v>53</v>
      </c>
      <c r="F7" s="118"/>
      <c r="G7" s="119">
        <f>SUM(G6:G6)</f>
        <v>1503</v>
      </c>
      <c r="H7" s="119">
        <f>SUM(H6:H6)</f>
        <v>0</v>
      </c>
      <c r="I7" s="119">
        <f>SUM(I6:I6)</f>
        <v>0</v>
      </c>
      <c r="J7" s="120"/>
      <c r="K7" s="119">
        <f>SUM(K6:K6)</f>
        <v>0</v>
      </c>
      <c r="L7" s="121"/>
      <c r="M7" s="119">
        <f t="shared" ref="M7:S7" si="1">SUM(M6:M6)</f>
        <v>0</v>
      </c>
      <c r="N7" s="119">
        <f t="shared" si="1"/>
        <v>0</v>
      </c>
      <c r="O7" s="119">
        <f t="shared" si="1"/>
        <v>1503</v>
      </c>
      <c r="P7" s="119">
        <f t="shared" si="1"/>
        <v>0</v>
      </c>
      <c r="Q7" s="119">
        <f t="shared" si="1"/>
        <v>0</v>
      </c>
      <c r="R7" s="119">
        <f t="shared" si="1"/>
        <v>0</v>
      </c>
      <c r="S7" s="122">
        <f t="shared" si="1"/>
        <v>1503</v>
      </c>
      <c r="T7" s="119"/>
      <c r="U7" s="123"/>
      <c r="V7" s="123"/>
      <c r="W7" s="123"/>
      <c r="X7" s="123"/>
      <c r="Y7" s="123"/>
    </row>
    <row r="8" s="80" customFormat="1" ht="30" customHeight="1" spans="1:25">
      <c r="A8" s="124" t="s">
        <v>41</v>
      </c>
      <c r="B8" s="125" t="s">
        <v>42</v>
      </c>
      <c r="C8" s="99" t="s">
        <v>43</v>
      </c>
      <c r="D8" s="100" t="s">
        <v>50</v>
      </c>
      <c r="E8" s="101" t="s">
        <v>51</v>
      </c>
      <c r="F8" s="126" t="s">
        <v>46</v>
      </c>
      <c r="G8" s="103">
        <v>122329.23</v>
      </c>
      <c r="H8" s="104">
        <v>0</v>
      </c>
      <c r="I8" s="104">
        <v>0</v>
      </c>
      <c r="J8" s="101"/>
      <c r="K8" s="104">
        <v>0</v>
      </c>
      <c r="L8" s="101"/>
      <c r="M8" s="104">
        <v>122329.23</v>
      </c>
      <c r="N8" s="101" t="s">
        <v>80</v>
      </c>
      <c r="O8" s="104">
        <v>0</v>
      </c>
      <c r="P8" s="101"/>
      <c r="Q8" s="104">
        <v>0</v>
      </c>
      <c r="R8" s="100"/>
      <c r="S8" s="31">
        <f t="shared" si="0"/>
        <v>122329.23</v>
      </c>
      <c r="T8" s="127"/>
      <c r="U8" s="107"/>
      <c r="V8" s="107"/>
      <c r="W8" s="107"/>
      <c r="X8" s="107"/>
      <c r="Y8" s="107"/>
    </row>
    <row r="9" s="80" customFormat="1" ht="36" customHeight="1" spans="1:25">
      <c r="A9" s="128"/>
      <c r="B9" s="129"/>
      <c r="C9" s="99" t="s">
        <v>81</v>
      </c>
      <c r="D9" s="100" t="s">
        <v>82</v>
      </c>
      <c r="E9" s="101" t="s">
        <v>83</v>
      </c>
      <c r="F9" s="102" t="s">
        <v>60</v>
      </c>
      <c r="G9" s="103">
        <v>880</v>
      </c>
      <c r="H9" s="104">
        <v>0</v>
      </c>
      <c r="I9" s="104">
        <v>0</v>
      </c>
      <c r="J9" s="101"/>
      <c r="K9" s="104">
        <v>0</v>
      </c>
      <c r="L9" s="101"/>
      <c r="M9" s="104">
        <v>0</v>
      </c>
      <c r="N9" s="101"/>
      <c r="O9" s="104">
        <v>880</v>
      </c>
      <c r="P9" s="101" t="s">
        <v>84</v>
      </c>
      <c r="Q9" s="104">
        <v>0</v>
      </c>
      <c r="R9" s="100"/>
      <c r="S9" s="31">
        <f t="shared" si="0"/>
        <v>880</v>
      </c>
      <c r="T9" s="127"/>
      <c r="U9" s="107"/>
      <c r="V9" s="107"/>
      <c r="W9" s="107"/>
      <c r="X9" s="107"/>
      <c r="Y9" s="107"/>
    </row>
    <row r="10" s="80" customFormat="1" ht="30" customHeight="1" spans="1:25">
      <c r="A10" s="128"/>
      <c r="B10" s="129"/>
      <c r="C10" s="99" t="s">
        <v>43</v>
      </c>
      <c r="D10" s="100" t="s">
        <v>85</v>
      </c>
      <c r="E10" s="101" t="s">
        <v>86</v>
      </c>
      <c r="F10" s="126" t="s">
        <v>46</v>
      </c>
      <c r="G10" s="103">
        <v>1720058.45</v>
      </c>
      <c r="H10" s="104">
        <v>0</v>
      </c>
      <c r="I10" s="104">
        <v>0</v>
      </c>
      <c r="J10" s="105"/>
      <c r="K10" s="104">
        <v>0</v>
      </c>
      <c r="L10" s="105"/>
      <c r="M10" s="104">
        <f>200000+438539.1</f>
        <v>638539.1</v>
      </c>
      <c r="N10" s="101" t="s">
        <v>80</v>
      </c>
      <c r="O10" s="104">
        <v>1081519.35</v>
      </c>
      <c r="P10" s="101" t="s">
        <v>87</v>
      </c>
      <c r="Q10" s="104">
        <v>0</v>
      </c>
      <c r="R10" s="100"/>
      <c r="S10" s="31">
        <f t="shared" si="0"/>
        <v>1720058.45</v>
      </c>
      <c r="T10" s="127"/>
      <c r="U10" s="107"/>
      <c r="V10" s="107"/>
      <c r="W10" s="107"/>
      <c r="X10" s="107"/>
      <c r="Y10" s="107"/>
    </row>
    <row r="11" s="80" customFormat="1" ht="30" customHeight="1" spans="1:25">
      <c r="A11" s="128"/>
      <c r="B11" s="129"/>
      <c r="C11" s="99" t="s">
        <v>43</v>
      </c>
      <c r="D11" s="100" t="s">
        <v>88</v>
      </c>
      <c r="E11" s="101" t="s">
        <v>89</v>
      </c>
      <c r="F11" s="126" t="s">
        <v>46</v>
      </c>
      <c r="G11" s="103">
        <v>663072.08</v>
      </c>
      <c r="H11" s="104">
        <v>0</v>
      </c>
      <c r="I11" s="104">
        <v>0</v>
      </c>
      <c r="J11" s="101"/>
      <c r="K11" s="104">
        <v>0</v>
      </c>
      <c r="L11" s="101"/>
      <c r="M11" s="104">
        <v>463072.08</v>
      </c>
      <c r="N11" s="101" t="s">
        <v>80</v>
      </c>
      <c r="O11" s="104">
        <v>200000</v>
      </c>
      <c r="P11" s="101" t="s">
        <v>90</v>
      </c>
      <c r="Q11" s="104">
        <v>0</v>
      </c>
      <c r="R11" s="100"/>
      <c r="S11" s="31">
        <f t="shared" si="0"/>
        <v>663072.08</v>
      </c>
      <c r="T11" s="127"/>
      <c r="U11" s="107"/>
      <c r="V11" s="107"/>
      <c r="W11" s="107"/>
      <c r="X11" s="107"/>
      <c r="Y11" s="107"/>
    </row>
    <row r="12" s="80" customFormat="1" ht="30" customHeight="1" spans="1:25">
      <c r="A12" s="130"/>
      <c r="B12" s="131"/>
      <c r="C12" s="117"/>
      <c r="D12" s="117"/>
      <c r="E12" s="108" t="s">
        <v>53</v>
      </c>
      <c r="F12" s="118"/>
      <c r="G12" s="119">
        <f>SUM(G8:G11)</f>
        <v>2506339.76</v>
      </c>
      <c r="H12" s="119">
        <f>SUM(H8:H11)</f>
        <v>0</v>
      </c>
      <c r="I12" s="119">
        <f>SUM(I8:I11)</f>
        <v>0</v>
      </c>
      <c r="J12" s="119"/>
      <c r="K12" s="119">
        <f>SUM(K8:K11)</f>
        <v>0</v>
      </c>
      <c r="L12" s="119"/>
      <c r="M12" s="119">
        <f t="shared" ref="M12:S12" si="2">SUM(M8:M11)</f>
        <v>1223940.41</v>
      </c>
      <c r="N12" s="119">
        <f t="shared" si="2"/>
        <v>0</v>
      </c>
      <c r="O12" s="119">
        <f t="shared" si="2"/>
        <v>1282399.35</v>
      </c>
      <c r="P12" s="119">
        <f t="shared" si="2"/>
        <v>0</v>
      </c>
      <c r="Q12" s="119">
        <f t="shared" si="2"/>
        <v>0</v>
      </c>
      <c r="R12" s="119">
        <f t="shared" si="2"/>
        <v>0</v>
      </c>
      <c r="S12" s="122">
        <f t="shared" si="2"/>
        <v>2506339.76</v>
      </c>
      <c r="T12" s="132"/>
      <c r="U12" s="123"/>
      <c r="V12" s="123"/>
      <c r="W12" s="123"/>
      <c r="X12" s="123"/>
      <c r="Y12" s="123"/>
    </row>
    <row r="13" s="80" customFormat="1" ht="30" customHeight="1" spans="1:25">
      <c r="A13" s="124" t="s">
        <v>68</v>
      </c>
      <c r="B13" s="125" t="s">
        <v>91</v>
      </c>
      <c r="C13" s="99" t="s">
        <v>43</v>
      </c>
      <c r="D13" s="100" t="s">
        <v>92</v>
      </c>
      <c r="E13" s="101" t="s">
        <v>93</v>
      </c>
      <c r="F13" s="102" t="s">
        <v>60</v>
      </c>
      <c r="G13" s="114">
        <v>78484.24</v>
      </c>
      <c r="H13" s="104">
        <v>0</v>
      </c>
      <c r="I13" s="104">
        <v>0</v>
      </c>
      <c r="J13" s="101"/>
      <c r="K13" s="104">
        <v>0</v>
      </c>
      <c r="L13" s="101"/>
      <c r="M13" s="104">
        <v>0</v>
      </c>
      <c r="N13" s="101"/>
      <c r="O13" s="104">
        <v>78484.24</v>
      </c>
      <c r="P13" s="101" t="s">
        <v>84</v>
      </c>
      <c r="Q13" s="104">
        <v>0</v>
      </c>
      <c r="R13" s="100"/>
      <c r="S13" s="31">
        <v>78484.24</v>
      </c>
      <c r="T13" s="127"/>
      <c r="U13" s="107"/>
      <c r="V13" s="107"/>
      <c r="W13" s="107"/>
      <c r="X13" s="107"/>
      <c r="Y13" s="107"/>
    </row>
    <row r="14" s="80" customFormat="1" ht="30" customHeight="1" spans="1:25">
      <c r="A14" s="130"/>
      <c r="B14" s="131"/>
      <c r="C14" s="117"/>
      <c r="D14" s="117"/>
      <c r="E14" s="108" t="s">
        <v>53</v>
      </c>
      <c r="F14" s="133"/>
      <c r="G14" s="119">
        <f>SUM(G13:G13)</f>
        <v>78484.24</v>
      </c>
      <c r="H14" s="119">
        <f>SUM(H13:H13)</f>
        <v>0</v>
      </c>
      <c r="I14" s="119">
        <f>SUM(I13:I13)</f>
        <v>0</v>
      </c>
      <c r="J14" s="119"/>
      <c r="K14" s="119">
        <f>SUM(K13:K13)</f>
        <v>0</v>
      </c>
      <c r="L14" s="119"/>
      <c r="M14" s="119">
        <f t="shared" ref="M14:S14" si="3">SUM(M13:M13)</f>
        <v>0</v>
      </c>
      <c r="N14" s="119">
        <f t="shared" si="3"/>
        <v>0</v>
      </c>
      <c r="O14" s="119">
        <f t="shared" si="3"/>
        <v>78484.24</v>
      </c>
      <c r="P14" s="119">
        <f t="shared" si="3"/>
        <v>0</v>
      </c>
      <c r="Q14" s="119">
        <f t="shared" si="3"/>
        <v>0</v>
      </c>
      <c r="R14" s="119">
        <f t="shared" si="3"/>
        <v>0</v>
      </c>
      <c r="S14" s="122">
        <f t="shared" si="3"/>
        <v>78484.24</v>
      </c>
      <c r="T14" s="132"/>
      <c r="U14" s="123"/>
      <c r="V14" s="123"/>
      <c r="W14" s="123"/>
      <c r="X14" s="123"/>
      <c r="Y14" s="123"/>
    </row>
    <row r="15" s="80" customFormat="1" ht="30" customHeight="1" spans="1:25">
      <c r="A15" s="124" t="s">
        <v>63</v>
      </c>
      <c r="B15" s="125" t="s">
        <v>64</v>
      </c>
      <c r="C15" s="99" t="s">
        <v>43</v>
      </c>
      <c r="D15" s="100" t="s">
        <v>94</v>
      </c>
      <c r="E15" s="134" t="s">
        <v>95</v>
      </c>
      <c r="F15" s="102" t="s">
        <v>60</v>
      </c>
      <c r="G15" s="114">
        <v>2675</v>
      </c>
      <c r="H15" s="104">
        <v>0</v>
      </c>
      <c r="I15" s="104">
        <v>0</v>
      </c>
      <c r="J15" s="101"/>
      <c r="K15" s="104">
        <v>0</v>
      </c>
      <c r="L15" s="101"/>
      <c r="M15" s="104">
        <v>2315</v>
      </c>
      <c r="N15" s="101" t="s">
        <v>80</v>
      </c>
      <c r="O15" s="104">
        <v>360</v>
      </c>
      <c r="P15" s="101" t="s">
        <v>96</v>
      </c>
      <c r="Q15" s="104">
        <v>0</v>
      </c>
      <c r="R15" s="100"/>
      <c r="S15" s="135">
        <v>2675</v>
      </c>
      <c r="T15" s="127"/>
      <c r="U15" s="107"/>
      <c r="V15" s="107"/>
      <c r="W15" s="107"/>
      <c r="X15" s="107"/>
      <c r="Y15" s="107"/>
    </row>
    <row r="16" s="80" customFormat="1" ht="30" customHeight="1" spans="1:25">
      <c r="A16" s="128"/>
      <c r="B16" s="129"/>
      <c r="C16" s="99" t="s">
        <v>43</v>
      </c>
      <c r="D16" s="100" t="s">
        <v>97</v>
      </c>
      <c r="E16" s="101" t="s">
        <v>98</v>
      </c>
      <c r="F16" s="102" t="s">
        <v>60</v>
      </c>
      <c r="G16" s="114">
        <v>110</v>
      </c>
      <c r="H16" s="104">
        <v>0</v>
      </c>
      <c r="I16" s="104">
        <v>0</v>
      </c>
      <c r="J16" s="101"/>
      <c r="K16" s="104">
        <v>0</v>
      </c>
      <c r="L16" s="101"/>
      <c r="M16" s="104">
        <v>110</v>
      </c>
      <c r="N16" s="101" t="s">
        <v>99</v>
      </c>
      <c r="O16" s="104">
        <v>0</v>
      </c>
      <c r="P16" s="101"/>
      <c r="Q16" s="104">
        <v>0</v>
      </c>
      <c r="R16" s="100"/>
      <c r="S16" s="135">
        <v>110</v>
      </c>
      <c r="T16" s="127"/>
      <c r="U16" s="107"/>
      <c r="V16" s="107"/>
      <c r="W16" s="107"/>
      <c r="X16" s="107"/>
      <c r="Y16" s="107"/>
    </row>
    <row r="17" s="80" customFormat="1" ht="30" customHeight="1" spans="1:25">
      <c r="A17" s="128"/>
      <c r="B17" s="129"/>
      <c r="C17" s="99" t="s">
        <v>43</v>
      </c>
      <c r="D17" s="100" t="s">
        <v>100</v>
      </c>
      <c r="E17" s="101" t="s">
        <v>101</v>
      </c>
      <c r="F17" s="102" t="s">
        <v>60</v>
      </c>
      <c r="G17" s="114">
        <v>8179</v>
      </c>
      <c r="H17" s="104">
        <v>0</v>
      </c>
      <c r="I17" s="104">
        <v>0</v>
      </c>
      <c r="J17" s="101"/>
      <c r="K17" s="104">
        <v>0</v>
      </c>
      <c r="L17" s="101"/>
      <c r="M17" s="104">
        <v>300</v>
      </c>
      <c r="N17" s="101" t="s">
        <v>84</v>
      </c>
      <c r="O17" s="104">
        <v>7879</v>
      </c>
      <c r="P17" s="101" t="s">
        <v>79</v>
      </c>
      <c r="Q17" s="104">
        <v>0</v>
      </c>
      <c r="R17" s="100"/>
      <c r="S17" s="135">
        <v>8179</v>
      </c>
      <c r="T17" s="127"/>
      <c r="U17" s="107"/>
      <c r="V17" s="107"/>
      <c r="W17" s="107"/>
      <c r="X17" s="107"/>
      <c r="Y17" s="107"/>
    </row>
    <row r="18" s="80" customFormat="1" ht="30" customHeight="1" spans="1:25">
      <c r="A18" s="128"/>
      <c r="B18" s="129"/>
      <c r="C18" s="99" t="s">
        <v>43</v>
      </c>
      <c r="D18" s="100" t="s">
        <v>65</v>
      </c>
      <c r="E18" s="101" t="s">
        <v>66</v>
      </c>
      <c r="F18" s="102" t="s">
        <v>60</v>
      </c>
      <c r="G18" s="114">
        <v>13200</v>
      </c>
      <c r="H18" s="104">
        <v>0</v>
      </c>
      <c r="I18" s="104">
        <v>0</v>
      </c>
      <c r="J18" s="101"/>
      <c r="K18" s="104">
        <v>0</v>
      </c>
      <c r="L18" s="101"/>
      <c r="M18" s="104">
        <v>0</v>
      </c>
      <c r="N18" s="101"/>
      <c r="O18" s="104">
        <v>13200</v>
      </c>
      <c r="P18" s="101" t="s">
        <v>102</v>
      </c>
      <c r="Q18" s="104">
        <v>0</v>
      </c>
      <c r="R18" s="100"/>
      <c r="S18" s="135">
        <v>57560</v>
      </c>
      <c r="T18" s="127"/>
      <c r="U18" s="107"/>
      <c r="V18" s="107"/>
      <c r="W18" s="107"/>
      <c r="X18" s="107"/>
      <c r="Y18" s="107"/>
    </row>
    <row r="19" s="80" customFormat="1" ht="30" customHeight="1" spans="1:25">
      <c r="A19" s="128"/>
      <c r="B19" s="129"/>
      <c r="C19" s="99" t="s">
        <v>43</v>
      </c>
      <c r="D19" s="100" t="s">
        <v>103</v>
      </c>
      <c r="E19" s="101" t="s">
        <v>104</v>
      </c>
      <c r="F19" s="102" t="s">
        <v>60</v>
      </c>
      <c r="G19" s="114">
        <v>3155</v>
      </c>
      <c r="H19" s="104">
        <v>0</v>
      </c>
      <c r="I19" s="104">
        <v>0</v>
      </c>
      <c r="J19" s="101"/>
      <c r="K19" s="104">
        <v>0</v>
      </c>
      <c r="L19" s="101"/>
      <c r="M19" s="104">
        <v>0</v>
      </c>
      <c r="N19" s="101"/>
      <c r="O19" s="104">
        <v>3155</v>
      </c>
      <c r="P19" s="101" t="s">
        <v>99</v>
      </c>
      <c r="Q19" s="104">
        <v>0</v>
      </c>
      <c r="R19" s="100"/>
      <c r="S19" s="135">
        <v>3155</v>
      </c>
      <c r="T19" s="127"/>
      <c r="U19" s="107"/>
      <c r="V19" s="107"/>
      <c r="W19" s="107"/>
      <c r="X19" s="107"/>
      <c r="Y19" s="107"/>
    </row>
    <row r="20" s="80" customFormat="1" ht="30" customHeight="1" spans="1:25">
      <c r="A20" s="128"/>
      <c r="B20" s="129"/>
      <c r="C20" s="99" t="s">
        <v>43</v>
      </c>
      <c r="D20" s="100" t="s">
        <v>105</v>
      </c>
      <c r="E20" s="101" t="s">
        <v>106</v>
      </c>
      <c r="F20" s="102" t="s">
        <v>60</v>
      </c>
      <c r="G20" s="114">
        <v>82022.4</v>
      </c>
      <c r="H20" s="104">
        <v>0</v>
      </c>
      <c r="I20" s="104">
        <v>0</v>
      </c>
      <c r="J20" s="101"/>
      <c r="K20" s="104">
        <v>0</v>
      </c>
      <c r="L20" s="101"/>
      <c r="M20" s="104">
        <v>41011.2</v>
      </c>
      <c r="N20" s="101" t="s">
        <v>99</v>
      </c>
      <c r="O20" s="104">
        <v>41011.2</v>
      </c>
      <c r="P20" s="101" t="s">
        <v>84</v>
      </c>
      <c r="Q20" s="104">
        <v>0</v>
      </c>
      <c r="R20" s="100"/>
      <c r="S20" s="135">
        <v>82022.4</v>
      </c>
      <c r="T20" s="127"/>
      <c r="U20" s="107"/>
      <c r="V20" s="107"/>
      <c r="W20" s="107"/>
      <c r="X20" s="107"/>
      <c r="Y20" s="107"/>
    </row>
    <row r="21" s="80" customFormat="1" ht="30" customHeight="1" spans="1:25">
      <c r="A21" s="128"/>
      <c r="B21" s="129"/>
      <c r="C21" s="99" t="s">
        <v>43</v>
      </c>
      <c r="D21" s="100" t="s">
        <v>107</v>
      </c>
      <c r="E21" s="101" t="s">
        <v>108</v>
      </c>
      <c r="F21" s="102" t="s">
        <v>60</v>
      </c>
      <c r="G21" s="114">
        <v>885</v>
      </c>
      <c r="H21" s="104">
        <v>0</v>
      </c>
      <c r="I21" s="104">
        <v>0</v>
      </c>
      <c r="J21" s="101"/>
      <c r="K21" s="104">
        <v>0</v>
      </c>
      <c r="L21" s="101"/>
      <c r="M21" s="104">
        <v>885</v>
      </c>
      <c r="N21" s="101" t="s">
        <v>99</v>
      </c>
      <c r="O21" s="104">
        <v>0</v>
      </c>
      <c r="P21" s="101"/>
      <c r="Q21" s="104">
        <v>0</v>
      </c>
      <c r="R21" s="100"/>
      <c r="S21" s="135">
        <v>885</v>
      </c>
      <c r="T21" s="127"/>
      <c r="U21" s="107"/>
      <c r="V21" s="107"/>
      <c r="W21" s="107"/>
      <c r="X21" s="107"/>
      <c r="Y21" s="107"/>
    </row>
    <row r="22" s="80" customFormat="1" ht="30" customHeight="1" spans="1:25">
      <c r="A22" s="130"/>
      <c r="B22" s="131"/>
      <c r="C22" s="117"/>
      <c r="D22" s="117"/>
      <c r="E22" s="108" t="s">
        <v>53</v>
      </c>
      <c r="F22" s="133"/>
      <c r="G22" s="119">
        <f t="shared" ref="G22:S22" si="4">SUM(G15:G21)</f>
        <v>110226.4</v>
      </c>
      <c r="H22" s="119">
        <f t="shared" si="4"/>
        <v>0</v>
      </c>
      <c r="I22" s="119">
        <f t="shared" si="4"/>
        <v>0</v>
      </c>
      <c r="J22" s="119">
        <f t="shared" si="4"/>
        <v>0</v>
      </c>
      <c r="K22" s="119">
        <f t="shared" si="4"/>
        <v>0</v>
      </c>
      <c r="L22" s="119">
        <f t="shared" si="4"/>
        <v>0</v>
      </c>
      <c r="M22" s="119">
        <f t="shared" si="4"/>
        <v>44621.2</v>
      </c>
      <c r="N22" s="119">
        <f t="shared" si="4"/>
        <v>0</v>
      </c>
      <c r="O22" s="119">
        <f t="shared" si="4"/>
        <v>65605.2</v>
      </c>
      <c r="P22" s="119">
        <f t="shared" si="4"/>
        <v>0</v>
      </c>
      <c r="Q22" s="119">
        <f t="shared" si="4"/>
        <v>0</v>
      </c>
      <c r="R22" s="119">
        <f t="shared" si="4"/>
        <v>0</v>
      </c>
      <c r="S22" s="122">
        <f t="shared" si="4"/>
        <v>154586.4</v>
      </c>
      <c r="T22" s="132"/>
      <c r="U22" s="123"/>
      <c r="V22" s="123"/>
      <c r="W22" s="123"/>
      <c r="X22" s="123"/>
      <c r="Y22" s="123"/>
    </row>
    <row r="23" s="80" customFormat="1" ht="30" customHeight="1" spans="1:25">
      <c r="A23" s="124" t="s">
        <v>109</v>
      </c>
      <c r="B23" s="125" t="s">
        <v>110</v>
      </c>
      <c r="C23" s="33" t="s">
        <v>43</v>
      </c>
      <c r="D23" s="100" t="s">
        <v>111</v>
      </c>
      <c r="E23" s="101" t="s">
        <v>112</v>
      </c>
      <c r="F23" s="102" t="s">
        <v>60</v>
      </c>
      <c r="G23" s="103">
        <v>50</v>
      </c>
      <c r="H23" s="104">
        <v>0</v>
      </c>
      <c r="I23" s="104">
        <v>0</v>
      </c>
      <c r="J23" s="101"/>
      <c r="K23" s="104">
        <v>0</v>
      </c>
      <c r="L23" s="101"/>
      <c r="M23" s="104">
        <v>50</v>
      </c>
      <c r="N23" s="101" t="s">
        <v>99</v>
      </c>
      <c r="O23" s="104">
        <v>0</v>
      </c>
      <c r="P23" s="101"/>
      <c r="Q23" s="104">
        <v>0</v>
      </c>
      <c r="R23" s="100"/>
      <c r="S23" s="31">
        <f t="shared" ref="S23:S25" si="5">O23+M23+K23+I23</f>
        <v>50</v>
      </c>
      <c r="T23" s="127"/>
      <c r="U23" s="107"/>
      <c r="V23" s="107"/>
      <c r="W23" s="107"/>
      <c r="X23" s="107"/>
      <c r="Y23" s="107"/>
    </row>
    <row r="24" s="80" customFormat="1" ht="30" customHeight="1" spans="1:25">
      <c r="A24" s="128"/>
      <c r="B24" s="129"/>
      <c r="C24" s="33" t="s">
        <v>43</v>
      </c>
      <c r="D24" s="100" t="s">
        <v>113</v>
      </c>
      <c r="E24" s="101" t="s">
        <v>114</v>
      </c>
      <c r="F24" s="61" t="s">
        <v>115</v>
      </c>
      <c r="G24" s="103">
        <v>254644.5</v>
      </c>
      <c r="H24" s="104">
        <v>0</v>
      </c>
      <c r="I24" s="104">
        <v>0</v>
      </c>
      <c r="J24" s="101"/>
      <c r="K24" s="104">
        <v>0</v>
      </c>
      <c r="L24" s="101"/>
      <c r="M24" s="104">
        <f>254644.5-O24</f>
        <v>236286</v>
      </c>
      <c r="N24" s="101" t="s">
        <v>80</v>
      </c>
      <c r="O24" s="104">
        <v>18358.5</v>
      </c>
      <c r="P24" s="101" t="s">
        <v>90</v>
      </c>
      <c r="Q24" s="104">
        <v>0</v>
      </c>
      <c r="R24" s="100"/>
      <c r="S24" s="31">
        <f t="shared" si="5"/>
        <v>254644.5</v>
      </c>
      <c r="T24" s="127"/>
      <c r="U24" s="107"/>
      <c r="V24" s="107"/>
      <c r="W24" s="107"/>
      <c r="X24" s="107"/>
      <c r="Y24" s="107"/>
    </row>
    <row r="25" s="80" customFormat="1" ht="30" customHeight="1" spans="1:25">
      <c r="A25" s="128"/>
      <c r="B25" s="129"/>
      <c r="C25" s="33" t="s">
        <v>43</v>
      </c>
      <c r="D25" s="100" t="s">
        <v>116</v>
      </c>
      <c r="E25" s="101" t="s">
        <v>117</v>
      </c>
      <c r="F25" s="102" t="s">
        <v>60</v>
      </c>
      <c r="G25" s="103">
        <v>1046805.65</v>
      </c>
      <c r="H25" s="104">
        <v>0</v>
      </c>
      <c r="I25" s="104">
        <v>0</v>
      </c>
      <c r="J25" s="101"/>
      <c r="K25" s="104">
        <v>0</v>
      </c>
      <c r="L25" s="101"/>
      <c r="M25" s="104">
        <v>353039.18</v>
      </c>
      <c r="N25" s="101" t="s">
        <v>80</v>
      </c>
      <c r="O25" s="104">
        <v>693766.47</v>
      </c>
      <c r="P25" s="101" t="s">
        <v>118</v>
      </c>
      <c r="Q25" s="104">
        <v>0</v>
      </c>
      <c r="R25" s="100"/>
      <c r="S25" s="31">
        <f t="shared" si="5"/>
        <v>1046805.65</v>
      </c>
      <c r="T25" s="127"/>
      <c r="U25" s="107"/>
      <c r="V25" s="107"/>
      <c r="W25" s="107"/>
      <c r="X25" s="107"/>
      <c r="Y25" s="107"/>
    </row>
    <row r="26" s="80" customFormat="1" ht="30" customHeight="1" spans="1:25">
      <c r="A26" s="128"/>
      <c r="B26" s="129"/>
      <c r="C26" s="33" t="s">
        <v>81</v>
      </c>
      <c r="D26" s="100" t="s">
        <v>119</v>
      </c>
      <c r="E26" s="101" t="s">
        <v>120</v>
      </c>
      <c r="F26" s="102" t="s">
        <v>60</v>
      </c>
      <c r="G26" s="103">
        <v>5410</v>
      </c>
      <c r="H26" s="104">
        <v>0</v>
      </c>
      <c r="I26" s="104">
        <v>0</v>
      </c>
      <c r="J26" s="101"/>
      <c r="K26" s="104">
        <v>0</v>
      </c>
      <c r="L26" s="101"/>
      <c r="M26" s="103">
        <v>0</v>
      </c>
      <c r="N26" s="101"/>
      <c r="O26" s="104">
        <v>4410</v>
      </c>
      <c r="P26" s="101" t="s">
        <v>84</v>
      </c>
      <c r="Q26" s="104">
        <v>1000</v>
      </c>
      <c r="R26" s="100" t="s">
        <v>99</v>
      </c>
      <c r="S26" s="31">
        <v>5410</v>
      </c>
      <c r="T26" s="127"/>
      <c r="U26" s="107"/>
      <c r="V26" s="107"/>
      <c r="W26" s="107"/>
      <c r="X26" s="107"/>
      <c r="Y26" s="107"/>
    </row>
    <row r="27" s="80" customFormat="1" ht="30" customHeight="1" spans="1:25">
      <c r="A27" s="130"/>
      <c r="B27" s="131"/>
      <c r="C27" s="117"/>
      <c r="D27" s="117"/>
      <c r="E27" s="136" t="s">
        <v>53</v>
      </c>
      <c r="F27" s="133"/>
      <c r="G27" s="119">
        <f>SUM(G23:G26)</f>
        <v>1306910.15</v>
      </c>
      <c r="H27" s="119">
        <f t="shared" ref="H27:T27" si="6">SUM(H23:H26)</f>
        <v>0</v>
      </c>
      <c r="I27" s="119">
        <f t="shared" si="6"/>
        <v>0</v>
      </c>
      <c r="J27" s="119">
        <f t="shared" si="6"/>
        <v>0</v>
      </c>
      <c r="K27" s="119">
        <f t="shared" si="6"/>
        <v>0</v>
      </c>
      <c r="L27" s="119">
        <f t="shared" si="6"/>
        <v>0</v>
      </c>
      <c r="M27" s="119">
        <f t="shared" si="6"/>
        <v>589375.18</v>
      </c>
      <c r="N27" s="119">
        <f t="shared" si="6"/>
        <v>0</v>
      </c>
      <c r="O27" s="119">
        <f t="shared" si="6"/>
        <v>716534.97</v>
      </c>
      <c r="P27" s="119">
        <f t="shared" si="6"/>
        <v>0</v>
      </c>
      <c r="Q27" s="119">
        <f t="shared" si="6"/>
        <v>1000</v>
      </c>
      <c r="R27" s="119">
        <f t="shared" si="6"/>
        <v>0</v>
      </c>
      <c r="S27" s="119">
        <f t="shared" si="6"/>
        <v>1306910.15</v>
      </c>
      <c r="T27" s="119"/>
      <c r="U27" s="123"/>
      <c r="V27" s="123"/>
      <c r="W27" s="123"/>
      <c r="X27" s="123"/>
      <c r="Y27" s="123"/>
    </row>
    <row r="28" s="81" customFormat="1" ht="36" customHeight="1" spans="1:25">
      <c r="A28" s="137" t="s">
        <v>73</v>
      </c>
      <c r="B28" s="137"/>
      <c r="C28" s="137"/>
      <c r="D28" s="137"/>
      <c r="E28" s="138"/>
      <c r="F28" s="137"/>
      <c r="G28" s="139">
        <f>SUM(G4:G27)/2</f>
        <v>9250485.97</v>
      </c>
      <c r="H28" s="139">
        <f>SUM(H4:H27)/2</f>
        <v>0</v>
      </c>
      <c r="I28" s="139">
        <f>SUM(I4:I27)/2</f>
        <v>0</v>
      </c>
      <c r="J28" s="140"/>
      <c r="K28" s="139">
        <f>SUM(K4:K27)/2</f>
        <v>0</v>
      </c>
      <c r="L28" s="141"/>
      <c r="M28" s="139">
        <f>SUM(M4:M27)/2</f>
        <v>1857936.79</v>
      </c>
      <c r="N28" s="140"/>
      <c r="O28" s="139">
        <f>SUM(O4:O27)/2</f>
        <v>7391549.18</v>
      </c>
      <c r="P28" s="140"/>
      <c r="Q28" s="139">
        <f>SUM(Q4:Q27)/2</f>
        <v>1000</v>
      </c>
      <c r="R28" s="139">
        <f>SUM(R4:R27)/2</f>
        <v>0</v>
      </c>
      <c r="S28" s="142">
        <f>SUM(S4:S27)/2</f>
        <v>9294845.97</v>
      </c>
      <c r="T28" s="143"/>
      <c r="U28" s="144"/>
      <c r="V28" s="144"/>
      <c r="W28" s="144"/>
      <c r="X28" s="144"/>
      <c r="Y28" s="144"/>
    </row>
    <row r="30" ht="20" customHeight="1" spans="1:25">
      <c r="S30" s="145" t="s">
        <v>19</v>
      </c>
      <c r="T30" s="145"/>
    </row>
    <row r="31" ht="20" customHeight="1" spans="1:25">
      <c r="L31"/>
      <c r="N31" s="85"/>
      <c r="P31" s="85"/>
      <c r="S31" s="146" t="s">
        <v>20</v>
      </c>
      <c r="T31" s="147"/>
    </row>
    <row r="32" ht="14.25" spans="1:25">
      <c r="S32" s="148" t="str">
        <f>汇总表!J12</f>
        <v>日期：2026/9/4</v>
      </c>
      <c r="T32" s="147"/>
    </row>
  </sheetData>
  <mergeCells count="24">
    <mergeCell ref="A1:T1"/>
    <mergeCell ref="I2:T2"/>
    <mergeCell ref="A28:F28"/>
    <mergeCell ref="S30:T30"/>
    <mergeCell ref="A2:A3"/>
    <mergeCell ref="A4:A5"/>
    <mergeCell ref="A6:A7"/>
    <mergeCell ref="A8:A12"/>
    <mergeCell ref="A13:A14"/>
    <mergeCell ref="A15:A22"/>
    <mergeCell ref="A23:A27"/>
    <mergeCell ref="B2:B3"/>
    <mergeCell ref="B4:B5"/>
    <mergeCell ref="B6:B7"/>
    <mergeCell ref="B8:B12"/>
    <mergeCell ref="B13:B14"/>
    <mergeCell ref="B15:B22"/>
    <mergeCell ref="B23:B27"/>
    <mergeCell ref="C2:C3"/>
    <mergeCell ref="D2:D3"/>
    <mergeCell ref="E2:E3"/>
    <mergeCell ref="F2:F3"/>
    <mergeCell ref="G2:G3"/>
    <mergeCell ref="H2:H3"/>
  </mergeCells>
  <printOptions horizontalCentered="1"/>
  <pageMargins left="0.751388888888889" right="0.751388888888889" top="0.393055555555556" bottom="0.196527777777778" header="0.5" footer="0.5"/>
  <pageSetup paperSize="8" scale="82" fitToHeight="0" orientation="landscape" horizontalDpi="300" verticalDpi="300"/>
  <headerFooter alignWithMargins="0" scaleWithDoc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A1:AO90"/>
  <sheetViews>
    <sheetView tabSelected="1" workbookViewId="0">
      <pane xSplit="4" ySplit="3" topLeftCell="E41" activePane="bottomRight" state="frozen"/>
      <selection/>
      <selection pane="topRight"/>
      <selection pane="bottomLeft"/>
      <selection pane="bottomRight" activeCell="E46" sqref="A40:E49"/>
    </sheetView>
  </sheetViews>
  <sheetFormatPr defaultColWidth="14.8571428571429" defaultRowHeight="12.75"/>
  <cols>
    <col min="1" max="1" width="7.57142857142857" style="4" customWidth="1"/>
    <col min="2" max="2" width="11.7142857142857" style="4" customWidth="1"/>
    <col min="3" max="3" width="7.14285714285714" style="4" customWidth="1"/>
    <col min="4" max="4" width="8.57142857142857" style="4" customWidth="1"/>
    <col min="5" max="5" width="34" style="4" customWidth="1"/>
    <col min="6" max="6" width="21.1428571428571" style="4" customWidth="1"/>
    <col min="7" max="7" width="18.1428571428571" style="6" customWidth="1"/>
    <col min="8" max="8" width="19.8571428571429" style="7" customWidth="1"/>
    <col min="9" max="9" width="16.4285714285714" style="7" customWidth="1"/>
    <col min="10" max="10" width="16" style="8" customWidth="1"/>
    <col min="11" max="11" width="16.7142857142857" style="7" customWidth="1"/>
    <col min="12" max="12" width="15.8571428571429" style="8" customWidth="1"/>
    <col min="13" max="13" width="18.4285714285714" style="7" customWidth="1"/>
    <col min="14" max="14" width="19.5714285714286" style="8" customWidth="1"/>
    <col min="15" max="15" width="18.8571428571429" style="7" customWidth="1"/>
    <col min="16" max="16" width="15.4285714285714" style="8" customWidth="1"/>
    <col min="17" max="17" width="12.7428571428571" style="7" customWidth="1"/>
    <col min="18" max="18" width="12.7428571428571" style="9" customWidth="1"/>
    <col min="19" max="19" width="19.1428571428571" style="10" customWidth="1"/>
    <col min="20" max="20" width="12.7428571428571" style="4" customWidth="1"/>
    <col min="21" max="21" width="18.4761904761905" style="4" customWidth="1"/>
    <col min="22" max="22" width="12.7428571428571" style="4" customWidth="1"/>
    <col min="23" max="23" width="18.4761904761905" style="4" customWidth="1"/>
    <col min="24" max="24" width="12.7428571428571" style="4" customWidth="1"/>
    <col min="25" max="25" width="18.4761904761905" style="4" customWidth="1"/>
    <col min="26" max="26" width="12.7428571428571" style="4" customWidth="1"/>
    <col min="27" max="27" width="18.4761904761905" style="4" customWidth="1"/>
    <col min="28" max="28" width="12.7428571428571" style="4" customWidth="1"/>
    <col min="29" max="29" width="18.4761904761905" style="4" customWidth="1"/>
    <col min="30" max="30" width="12.7428571428571" style="4" customWidth="1"/>
    <col min="31" max="31" width="18.4761904761905" style="4" customWidth="1"/>
    <col min="32" max="32" width="14.8571428571429" style="4" hidden="1" customWidth="1"/>
    <col min="33" max="33" width="12.7428571428571" style="4" customWidth="1"/>
    <col min="34" max="34" width="19.4952380952381" style="4" customWidth="1"/>
    <col min="35" max="35" width="14.8571428571429" style="4" hidden="1" customWidth="1"/>
    <col min="36" max="36" width="13.1238095238095" style="4" customWidth="1"/>
    <col min="37" max="37" width="22.047619047619" style="4" customWidth="1"/>
    <col min="38" max="38" width="14.8571428571429" style="4" hidden="1" customWidth="1"/>
    <col min="39" max="41" width="12.7428571428571" style="4" customWidth="1"/>
    <col min="42" max="16384" width="14.8571428571429" style="4"/>
  </cols>
  <sheetData>
    <row r="1" s="3" customFormat="1" ht="55.25" customHeight="1" spans="1:41">
      <c r="A1" s="11" t="s">
        <v>121</v>
      </c>
      <c r="B1" s="11" t="s">
        <v>23</v>
      </c>
      <c r="C1" s="11" t="s">
        <v>23</v>
      </c>
      <c r="D1" s="11" t="s">
        <v>23</v>
      </c>
      <c r="E1" s="11" t="s">
        <v>23</v>
      </c>
      <c r="F1" s="11" t="s">
        <v>23</v>
      </c>
      <c r="G1" s="12" t="s">
        <v>23</v>
      </c>
      <c r="H1" s="11" t="s">
        <v>23</v>
      </c>
      <c r="I1" s="11" t="s">
        <v>23</v>
      </c>
      <c r="J1" s="13" t="s">
        <v>23</v>
      </c>
      <c r="K1" s="11" t="s">
        <v>23</v>
      </c>
      <c r="L1" s="13" t="s">
        <v>23</v>
      </c>
      <c r="M1" s="11" t="s">
        <v>23</v>
      </c>
      <c r="N1" s="13" t="s">
        <v>23</v>
      </c>
      <c r="O1" s="11" t="s">
        <v>23</v>
      </c>
      <c r="P1" s="13" t="s">
        <v>23</v>
      </c>
      <c r="Q1" s="11" t="s">
        <v>23</v>
      </c>
      <c r="R1" s="11" t="s">
        <v>23</v>
      </c>
      <c r="S1" s="14" t="s">
        <v>23</v>
      </c>
      <c r="T1" s="11" t="s">
        <v>23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</row>
    <row r="2" s="4" customFormat="1" ht="25.5" customHeight="1" spans="1:41">
      <c r="A2" s="16" t="s">
        <v>24</v>
      </c>
      <c r="B2" s="16" t="s">
        <v>25</v>
      </c>
      <c r="C2" s="16" t="s">
        <v>26</v>
      </c>
      <c r="D2" s="16" t="s">
        <v>27</v>
      </c>
      <c r="E2" s="16" t="s">
        <v>28</v>
      </c>
      <c r="F2" s="17" t="s">
        <v>29</v>
      </c>
      <c r="G2" s="17" t="s">
        <v>30</v>
      </c>
      <c r="H2" s="17" t="s">
        <v>31</v>
      </c>
      <c r="I2" s="18" t="s">
        <v>32</v>
      </c>
      <c r="J2" s="19" t="s">
        <v>33</v>
      </c>
      <c r="K2" s="18" t="s">
        <v>33</v>
      </c>
      <c r="L2" s="19" t="s">
        <v>33</v>
      </c>
      <c r="M2" s="18" t="s">
        <v>33</v>
      </c>
      <c r="N2" s="19" t="s">
        <v>33</v>
      </c>
      <c r="O2" s="18" t="s">
        <v>33</v>
      </c>
      <c r="P2" s="19" t="s">
        <v>33</v>
      </c>
      <c r="Q2" s="18" t="s">
        <v>33</v>
      </c>
      <c r="R2" s="19" t="s">
        <v>33</v>
      </c>
      <c r="S2" s="20" t="s">
        <v>33</v>
      </c>
      <c r="T2" s="18" t="s">
        <v>33</v>
      </c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</row>
    <row r="3" s="4" customFormat="1" ht="56.65" customHeight="1" spans="1:41">
      <c r="A3" s="16"/>
      <c r="B3" s="16"/>
      <c r="C3" s="16"/>
      <c r="D3" s="16"/>
      <c r="E3" s="16"/>
      <c r="F3" s="22"/>
      <c r="G3" s="22"/>
      <c r="H3" s="22"/>
      <c r="I3" s="23" t="s">
        <v>34</v>
      </c>
      <c r="J3" s="24" t="s">
        <v>35</v>
      </c>
      <c r="K3" s="23" t="s">
        <v>36</v>
      </c>
      <c r="L3" s="24" t="s">
        <v>35</v>
      </c>
      <c r="M3" s="24" t="s">
        <v>37</v>
      </c>
      <c r="N3" s="24" t="s">
        <v>35</v>
      </c>
      <c r="O3" s="24" t="s">
        <v>38</v>
      </c>
      <c r="P3" s="24" t="s">
        <v>35</v>
      </c>
      <c r="Q3" s="23" t="s">
        <v>39</v>
      </c>
      <c r="R3" s="24" t="s">
        <v>35</v>
      </c>
      <c r="S3" s="25" t="s">
        <v>12</v>
      </c>
      <c r="T3" s="24" t="s">
        <v>40</v>
      </c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</row>
    <row r="4" s="4" customFormat="1" ht="30" customHeight="1" spans="1:41">
      <c r="A4" s="26" t="s">
        <v>56</v>
      </c>
      <c r="B4" s="26" t="s">
        <v>122</v>
      </c>
      <c r="C4" s="27" t="s">
        <v>43</v>
      </c>
      <c r="D4" s="28" t="s">
        <v>123</v>
      </c>
      <c r="E4" s="28" t="s">
        <v>124</v>
      </c>
      <c r="F4" s="29"/>
      <c r="G4" s="30">
        <v>695917.45</v>
      </c>
      <c r="H4" s="31">
        <f>G4-S4</f>
        <v>684726.74</v>
      </c>
      <c r="I4" s="31"/>
      <c r="J4" s="32"/>
      <c r="K4" s="31">
        <v>11190.71</v>
      </c>
      <c r="L4" s="32" t="s">
        <v>125</v>
      </c>
      <c r="M4" s="31">
        <v>0</v>
      </c>
      <c r="N4" s="32"/>
      <c r="O4" s="31">
        <v>0</v>
      </c>
      <c r="P4" s="32"/>
      <c r="Q4" s="31">
        <v>0</v>
      </c>
      <c r="R4" s="33"/>
      <c r="S4" s="34">
        <f>Q4+O4+M4+K4+I4</f>
        <v>11190.71</v>
      </c>
      <c r="T4" s="35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</row>
    <row r="5" s="4" customFormat="1" ht="30" customHeight="1" spans="1:41">
      <c r="A5" s="36"/>
      <c r="B5" s="36"/>
      <c r="C5" s="27" t="s">
        <v>43</v>
      </c>
      <c r="D5" s="28" t="s">
        <v>126</v>
      </c>
      <c r="E5" s="28" t="s">
        <v>127</v>
      </c>
      <c r="F5" s="29"/>
      <c r="G5" s="30">
        <v>3162095.75</v>
      </c>
      <c r="H5" s="31">
        <f t="shared" ref="H5:H36" si="0">G5-S5</f>
        <v>2093483.78</v>
      </c>
      <c r="I5" s="31">
        <v>523051.37</v>
      </c>
      <c r="J5" s="32" t="s">
        <v>128</v>
      </c>
      <c r="K5" s="31">
        <v>545560.6</v>
      </c>
      <c r="L5" s="37" t="s">
        <v>125</v>
      </c>
      <c r="M5" s="31">
        <v>0</v>
      </c>
      <c r="N5" s="32"/>
      <c r="O5" s="31">
        <v>0</v>
      </c>
      <c r="P5" s="32"/>
      <c r="Q5" s="31">
        <v>0</v>
      </c>
      <c r="R5" s="33"/>
      <c r="S5" s="34">
        <f t="shared" ref="S5:S36" si="1">Q5+O5+M5+K5+I5</f>
        <v>1068611.97</v>
      </c>
      <c r="T5" s="35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="4" customFormat="1" ht="30" customHeight="1" spans="1:41">
      <c r="A6" s="36"/>
      <c r="B6" s="36"/>
      <c r="C6" s="27" t="s">
        <v>81</v>
      </c>
      <c r="D6" s="28" t="s">
        <v>129</v>
      </c>
      <c r="E6" s="28" t="s">
        <v>130</v>
      </c>
      <c r="F6" s="38"/>
      <c r="G6" s="30">
        <v>309130.42</v>
      </c>
      <c r="H6" s="31">
        <f t="shared" si="0"/>
        <v>291200.92</v>
      </c>
      <c r="I6" s="31">
        <v>12680</v>
      </c>
      <c r="J6" s="32" t="s">
        <v>131</v>
      </c>
      <c r="K6" s="31">
        <v>5249.5</v>
      </c>
      <c r="L6" s="32" t="s">
        <v>132</v>
      </c>
      <c r="M6" s="31">
        <v>0</v>
      </c>
      <c r="N6" s="32"/>
      <c r="O6" s="31">
        <v>0</v>
      </c>
      <c r="P6" s="32"/>
      <c r="Q6" s="31">
        <v>0</v>
      </c>
      <c r="R6" s="33"/>
      <c r="S6" s="34">
        <f t="shared" si="1"/>
        <v>17929.5</v>
      </c>
      <c r="T6" s="35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="4" customFormat="1" ht="30" customHeight="1" spans="1:41">
      <c r="A7" s="36"/>
      <c r="B7" s="36"/>
      <c r="C7" s="27" t="s">
        <v>43</v>
      </c>
      <c r="D7" s="28" t="s">
        <v>133</v>
      </c>
      <c r="E7" s="28" t="s">
        <v>134</v>
      </c>
      <c r="F7" s="38"/>
      <c r="G7" s="30">
        <v>455900.44</v>
      </c>
      <c r="H7" s="31">
        <f t="shared" si="0"/>
        <v>455900.44</v>
      </c>
      <c r="I7" s="31">
        <v>0</v>
      </c>
      <c r="J7" s="32"/>
      <c r="K7" s="31">
        <v>0</v>
      </c>
      <c r="L7" s="32"/>
      <c r="M7" s="31">
        <v>0</v>
      </c>
      <c r="N7" s="32"/>
      <c r="O7" s="31">
        <v>0</v>
      </c>
      <c r="P7" s="32"/>
      <c r="Q7" s="31">
        <v>0</v>
      </c>
      <c r="R7" s="33"/>
      <c r="S7" s="34">
        <f t="shared" si="1"/>
        <v>0</v>
      </c>
      <c r="T7" s="35" t="s">
        <v>135</v>
      </c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</row>
    <row r="8" s="4" customFormat="1" ht="30" customHeight="1" spans="1:41">
      <c r="A8" s="36"/>
      <c r="B8" s="36"/>
      <c r="C8" s="27" t="s">
        <v>43</v>
      </c>
      <c r="D8" s="28" t="s">
        <v>136</v>
      </c>
      <c r="E8" s="28" t="s">
        <v>137</v>
      </c>
      <c r="F8" s="29"/>
      <c r="G8" s="30">
        <v>175277.73</v>
      </c>
      <c r="H8" s="31">
        <f t="shared" si="0"/>
        <v>175277.73</v>
      </c>
      <c r="I8" s="31">
        <v>0</v>
      </c>
      <c r="J8" s="32"/>
      <c r="K8" s="31">
        <v>0</v>
      </c>
      <c r="L8" s="32"/>
      <c r="M8" s="31">
        <v>0</v>
      </c>
      <c r="N8" s="32"/>
      <c r="O8" s="31">
        <v>0</v>
      </c>
      <c r="P8" s="32"/>
      <c r="Q8" s="31">
        <v>0</v>
      </c>
      <c r="R8" s="33"/>
      <c r="S8" s="34">
        <f t="shared" si="1"/>
        <v>0</v>
      </c>
      <c r="T8" s="35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="4" customFormat="1" ht="30" customHeight="1" spans="1:41">
      <c r="A9" s="36"/>
      <c r="B9" s="36"/>
      <c r="C9" s="27" t="s">
        <v>43</v>
      </c>
      <c r="D9" s="28" t="s">
        <v>138</v>
      </c>
      <c r="E9" s="28" t="s">
        <v>139</v>
      </c>
      <c r="F9" s="29"/>
      <c r="G9" s="30">
        <v>5981139.75</v>
      </c>
      <c r="H9" s="31">
        <f t="shared" si="0"/>
        <v>4613431.12</v>
      </c>
      <c r="I9" s="31">
        <v>1366569.23</v>
      </c>
      <c r="J9" s="32" t="s">
        <v>128</v>
      </c>
      <c r="K9" s="31">
        <v>1139.4</v>
      </c>
      <c r="L9" s="32" t="s">
        <v>140</v>
      </c>
      <c r="M9" s="31"/>
      <c r="N9" s="32"/>
      <c r="O9" s="31">
        <v>0</v>
      </c>
      <c r="P9" s="32"/>
      <c r="Q9" s="31">
        <v>0</v>
      </c>
      <c r="R9" s="33"/>
      <c r="S9" s="34">
        <f t="shared" si="1"/>
        <v>1367708.63</v>
      </c>
      <c r="T9" s="35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</row>
    <row r="10" s="4" customFormat="1" ht="30" customHeight="1" spans="1:41">
      <c r="A10" s="36"/>
      <c r="B10" s="36"/>
      <c r="C10" s="27" t="s">
        <v>43</v>
      </c>
      <c r="D10" s="28" t="s">
        <v>141</v>
      </c>
      <c r="E10" s="28" t="s">
        <v>142</v>
      </c>
      <c r="F10" s="29"/>
      <c r="G10" s="30">
        <v>1549640.55</v>
      </c>
      <c r="H10" s="31">
        <f t="shared" si="0"/>
        <v>1420902.5</v>
      </c>
      <c r="I10" s="31">
        <v>128738.05</v>
      </c>
      <c r="J10" s="32" t="s">
        <v>131</v>
      </c>
      <c r="K10" s="31">
        <v>0</v>
      </c>
      <c r="L10" s="32"/>
      <c r="M10" s="31">
        <v>0</v>
      </c>
      <c r="N10" s="32"/>
      <c r="O10" s="31">
        <v>0</v>
      </c>
      <c r="P10" s="32"/>
      <c r="Q10" s="31">
        <v>0</v>
      </c>
      <c r="R10" s="33"/>
      <c r="S10" s="34">
        <f t="shared" si="1"/>
        <v>128738.05</v>
      </c>
      <c r="T10" s="35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="4" customFormat="1" ht="30" customHeight="1" spans="1:41">
      <c r="A11" s="36"/>
      <c r="B11" s="36"/>
      <c r="C11" s="27" t="s">
        <v>43</v>
      </c>
      <c r="D11" s="28" t="s">
        <v>143</v>
      </c>
      <c r="E11" s="28" t="s">
        <v>144</v>
      </c>
      <c r="F11" s="29"/>
      <c r="G11" s="30">
        <v>568469</v>
      </c>
      <c r="H11" s="31">
        <f t="shared" si="0"/>
        <v>568469</v>
      </c>
      <c r="I11" s="31">
        <v>0</v>
      </c>
      <c r="J11" s="32"/>
      <c r="K11" s="31">
        <v>0</v>
      </c>
      <c r="L11" s="32"/>
      <c r="M11" s="31">
        <v>0</v>
      </c>
      <c r="N11" s="32"/>
      <c r="O11" s="31">
        <v>0</v>
      </c>
      <c r="P11" s="32"/>
      <c r="Q11" s="31">
        <v>0</v>
      </c>
      <c r="R11" s="33"/>
      <c r="S11" s="34">
        <f t="shared" si="1"/>
        <v>0</v>
      </c>
      <c r="T11" s="35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="4" customFormat="1" ht="30" customHeight="1" spans="1:41">
      <c r="A12" s="36"/>
      <c r="B12" s="36"/>
      <c r="C12" s="39" t="s">
        <v>81</v>
      </c>
      <c r="D12" s="28" t="s">
        <v>145</v>
      </c>
      <c r="E12" s="28" t="s">
        <v>146</v>
      </c>
      <c r="F12" s="29"/>
      <c r="G12" s="30">
        <v>167353.69</v>
      </c>
      <c r="H12" s="31">
        <f t="shared" si="0"/>
        <v>32920.12</v>
      </c>
      <c r="I12" s="31">
        <v>134433.57</v>
      </c>
      <c r="J12" s="32" t="s">
        <v>131</v>
      </c>
      <c r="K12" s="31">
        <v>0</v>
      </c>
      <c r="L12" s="32"/>
      <c r="M12" s="31">
        <v>0</v>
      </c>
      <c r="N12" s="32"/>
      <c r="O12" s="31">
        <v>0</v>
      </c>
      <c r="P12" s="32"/>
      <c r="Q12" s="31">
        <v>0</v>
      </c>
      <c r="R12" s="33"/>
      <c r="S12" s="34">
        <f t="shared" si="1"/>
        <v>134433.57</v>
      </c>
      <c r="T12" s="35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="4" customFormat="1" ht="30" customHeight="1" spans="1:41">
      <c r="A13" s="36"/>
      <c r="B13" s="36"/>
      <c r="C13" s="39" t="s">
        <v>81</v>
      </c>
      <c r="D13" s="28" t="s">
        <v>147</v>
      </c>
      <c r="E13" s="28" t="s">
        <v>148</v>
      </c>
      <c r="F13" s="29"/>
      <c r="G13" s="30">
        <v>170171.4</v>
      </c>
      <c r="H13" s="31">
        <f t="shared" si="0"/>
        <v>170171.4</v>
      </c>
      <c r="I13" s="31">
        <v>0</v>
      </c>
      <c r="J13" s="32"/>
      <c r="K13" s="31">
        <v>0</v>
      </c>
      <c r="L13" s="32"/>
      <c r="M13" s="31">
        <v>0</v>
      </c>
      <c r="N13" s="32"/>
      <c r="O13" s="31">
        <v>0</v>
      </c>
      <c r="P13" s="32"/>
      <c r="Q13" s="31">
        <v>0</v>
      </c>
      <c r="R13" s="33"/>
      <c r="S13" s="34">
        <f t="shared" si="1"/>
        <v>0</v>
      </c>
      <c r="T13" s="35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="4" customFormat="1" ht="30" customHeight="1" spans="1:41">
      <c r="A14" s="36"/>
      <c r="B14" s="36"/>
      <c r="C14" s="39" t="s">
        <v>81</v>
      </c>
      <c r="D14" s="28" t="s">
        <v>149</v>
      </c>
      <c r="E14" s="28" t="s">
        <v>150</v>
      </c>
      <c r="F14" s="38"/>
      <c r="G14" s="30">
        <v>664440.39</v>
      </c>
      <c r="H14" s="31">
        <f t="shared" si="0"/>
        <v>32488.77</v>
      </c>
      <c r="I14" s="31">
        <v>631951.62</v>
      </c>
      <c r="J14" s="32" t="s">
        <v>131</v>
      </c>
      <c r="K14" s="31">
        <v>0</v>
      </c>
      <c r="L14" s="32"/>
      <c r="M14" s="31">
        <v>0</v>
      </c>
      <c r="N14" s="32"/>
      <c r="O14" s="31">
        <v>0</v>
      </c>
      <c r="P14" s="32"/>
      <c r="Q14" s="31">
        <v>0</v>
      </c>
      <c r="R14" s="33"/>
      <c r="S14" s="34">
        <f t="shared" si="1"/>
        <v>631951.62</v>
      </c>
      <c r="T14" s="35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</row>
    <row r="15" s="4" customFormat="1" ht="30" customHeight="1" spans="1:41">
      <c r="A15" s="36"/>
      <c r="B15" s="36"/>
      <c r="C15" s="27" t="s">
        <v>43</v>
      </c>
      <c r="D15" s="28" t="s">
        <v>77</v>
      </c>
      <c r="E15" s="28" t="s">
        <v>78</v>
      </c>
      <c r="F15" s="38"/>
      <c r="G15" s="30">
        <v>153914.23</v>
      </c>
      <c r="H15" s="31">
        <f t="shared" si="0"/>
        <v>151789.23</v>
      </c>
      <c r="I15" s="31">
        <v>0</v>
      </c>
      <c r="J15" s="32"/>
      <c r="K15" s="31">
        <v>2125</v>
      </c>
      <c r="L15" s="32" t="s">
        <v>125</v>
      </c>
      <c r="M15" s="31">
        <v>0</v>
      </c>
      <c r="N15" s="32"/>
      <c r="O15" s="31">
        <v>0</v>
      </c>
      <c r="P15" s="32"/>
      <c r="Q15" s="31">
        <v>0</v>
      </c>
      <c r="R15" s="33"/>
      <c r="S15" s="34">
        <f t="shared" si="1"/>
        <v>2125</v>
      </c>
      <c r="T15" s="35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="4" customFormat="1" ht="30" customHeight="1" spans="1:41">
      <c r="A16" s="40"/>
      <c r="B16" s="40"/>
      <c r="C16" s="27" t="s">
        <v>43</v>
      </c>
      <c r="D16" s="28" t="s">
        <v>151</v>
      </c>
      <c r="E16" s="41" t="s">
        <v>152</v>
      </c>
      <c r="F16" s="42"/>
      <c r="G16" s="43">
        <v>9396380.93</v>
      </c>
      <c r="H16" s="31">
        <f t="shared" si="0"/>
        <v>5778569.67</v>
      </c>
      <c r="I16" s="44">
        <v>1702013.98</v>
      </c>
      <c r="J16" s="45" t="s">
        <v>128</v>
      </c>
      <c r="K16" s="44">
        <v>1915797.28</v>
      </c>
      <c r="L16" s="45" t="s">
        <v>125</v>
      </c>
      <c r="M16" s="44">
        <v>0</v>
      </c>
      <c r="N16" s="45"/>
      <c r="O16" s="44">
        <v>0</v>
      </c>
      <c r="P16" s="45"/>
      <c r="Q16" s="44">
        <v>0</v>
      </c>
      <c r="R16" s="46"/>
      <c r="S16" s="34">
        <f t="shared" si="1"/>
        <v>3617811.26</v>
      </c>
      <c r="T16" s="35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</row>
    <row r="17" s="4" customFormat="1" ht="30" customHeight="1" spans="1:41">
      <c r="A17" s="47"/>
      <c r="B17" s="47"/>
      <c r="C17" s="48"/>
      <c r="D17" s="48"/>
      <c r="E17" s="49" t="s">
        <v>53</v>
      </c>
      <c r="F17" s="50"/>
      <c r="G17" s="51">
        <f>SUM(G4:G16)</f>
        <v>23449831.73</v>
      </c>
      <c r="H17" s="51">
        <f t="shared" ref="H17:S17" si="2">SUM(H4:H16)</f>
        <v>16469331.42</v>
      </c>
      <c r="I17" s="51">
        <f t="shared" si="2"/>
        <v>4499437.82</v>
      </c>
      <c r="J17" s="51">
        <f t="shared" si="2"/>
        <v>0</v>
      </c>
      <c r="K17" s="51">
        <f t="shared" si="2"/>
        <v>2481062.49</v>
      </c>
      <c r="L17" s="51">
        <f t="shared" si="2"/>
        <v>0</v>
      </c>
      <c r="M17" s="51">
        <f t="shared" si="2"/>
        <v>0</v>
      </c>
      <c r="N17" s="51">
        <f t="shared" si="2"/>
        <v>0</v>
      </c>
      <c r="O17" s="51">
        <f t="shared" si="2"/>
        <v>0</v>
      </c>
      <c r="P17" s="51">
        <f t="shared" si="2"/>
        <v>0</v>
      </c>
      <c r="Q17" s="51">
        <f t="shared" si="2"/>
        <v>0</v>
      </c>
      <c r="R17" s="51">
        <f t="shared" si="2"/>
        <v>0</v>
      </c>
      <c r="S17" s="50">
        <f t="shared" si="2"/>
        <v>6980500.31</v>
      </c>
      <c r="T17" s="52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="4" customFormat="1" ht="30" customHeight="1" spans="1:41">
      <c r="A18" s="26" t="s">
        <v>41</v>
      </c>
      <c r="B18" s="26" t="s">
        <v>42</v>
      </c>
      <c r="C18" s="27" t="s">
        <v>43</v>
      </c>
      <c r="D18" s="28" t="s">
        <v>153</v>
      </c>
      <c r="E18" s="28" t="s">
        <v>154</v>
      </c>
      <c r="F18" s="29"/>
      <c r="G18" s="30">
        <v>56992.07</v>
      </c>
      <c r="H18" s="31">
        <f t="shared" si="0"/>
        <v>56992.07</v>
      </c>
      <c r="I18" s="31">
        <v>0</v>
      </c>
      <c r="J18" s="32"/>
      <c r="K18" s="31">
        <v>0</v>
      </c>
      <c r="L18" s="37"/>
      <c r="M18" s="31">
        <v>0</v>
      </c>
      <c r="N18" s="32"/>
      <c r="O18" s="31">
        <v>0</v>
      </c>
      <c r="P18" s="32"/>
      <c r="Q18" s="31">
        <v>0</v>
      </c>
      <c r="R18" s="33"/>
      <c r="S18" s="34">
        <f t="shared" si="1"/>
        <v>0</v>
      </c>
      <c r="T18" s="35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="4" customFormat="1" ht="30" customHeight="1" spans="1:41">
      <c r="A19" s="36"/>
      <c r="B19" s="36"/>
      <c r="C19" s="27" t="s">
        <v>43</v>
      </c>
      <c r="D19" s="28" t="s">
        <v>155</v>
      </c>
      <c r="E19" s="28" t="s">
        <v>156</v>
      </c>
      <c r="F19" s="29"/>
      <c r="G19" s="30">
        <v>1177757.33</v>
      </c>
      <c r="H19" s="31">
        <f t="shared" si="0"/>
        <v>747005.63</v>
      </c>
      <c r="I19" s="31">
        <v>211436.22</v>
      </c>
      <c r="J19" s="32" t="s">
        <v>131</v>
      </c>
      <c r="K19" s="31">
        <v>218115.48</v>
      </c>
      <c r="L19" s="32" t="s">
        <v>128</v>
      </c>
      <c r="M19" s="31">
        <v>1200</v>
      </c>
      <c r="N19" s="32" t="s">
        <v>140</v>
      </c>
      <c r="O19" s="31">
        <v>0</v>
      </c>
      <c r="P19" s="32"/>
      <c r="Q19" s="31">
        <v>0</v>
      </c>
      <c r="R19" s="33"/>
      <c r="S19" s="34">
        <f t="shared" si="1"/>
        <v>430751.7</v>
      </c>
      <c r="T19" s="35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="4" customFormat="1" ht="30" customHeight="1" spans="1:41">
      <c r="A20" s="36"/>
      <c r="B20" s="36"/>
      <c r="C20" s="39" t="s">
        <v>81</v>
      </c>
      <c r="D20" s="28" t="s">
        <v>82</v>
      </c>
      <c r="E20" s="28" t="s">
        <v>83</v>
      </c>
      <c r="F20" s="29"/>
      <c r="G20" s="30">
        <v>139100</v>
      </c>
      <c r="H20" s="31">
        <f t="shared" si="0"/>
        <v>68370</v>
      </c>
      <c r="I20" s="31">
        <v>27180</v>
      </c>
      <c r="J20" s="32" t="s">
        <v>131</v>
      </c>
      <c r="K20" s="31">
        <v>38930</v>
      </c>
      <c r="L20" s="32" t="s">
        <v>132</v>
      </c>
      <c r="M20" s="31">
        <v>4620</v>
      </c>
      <c r="N20" s="32" t="s">
        <v>140</v>
      </c>
      <c r="O20" s="31">
        <v>0</v>
      </c>
      <c r="P20" s="32"/>
      <c r="Q20" s="31">
        <v>0</v>
      </c>
      <c r="R20" s="33"/>
      <c r="S20" s="34">
        <f t="shared" si="1"/>
        <v>70730</v>
      </c>
      <c r="T20" s="35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="4" customFormat="1" ht="30" customHeight="1" spans="1:41">
      <c r="A21" s="36"/>
      <c r="B21" s="36"/>
      <c r="C21" s="27" t="s">
        <v>43</v>
      </c>
      <c r="D21" s="28" t="s">
        <v>157</v>
      </c>
      <c r="E21" s="28" t="s">
        <v>158</v>
      </c>
      <c r="F21" s="29"/>
      <c r="G21" s="30">
        <v>547034.13</v>
      </c>
      <c r="H21" s="31">
        <f t="shared" si="0"/>
        <v>546559.13</v>
      </c>
      <c r="I21" s="31">
        <v>475</v>
      </c>
      <c r="J21" s="32" t="s">
        <v>159</v>
      </c>
      <c r="K21" s="31">
        <v>0</v>
      </c>
      <c r="L21" s="37"/>
      <c r="M21" s="31">
        <v>0</v>
      </c>
      <c r="N21" s="32"/>
      <c r="O21" s="31">
        <v>0</v>
      </c>
      <c r="P21" s="32"/>
      <c r="Q21" s="31">
        <v>0</v>
      </c>
      <c r="R21" s="33"/>
      <c r="S21" s="34">
        <f t="shared" si="1"/>
        <v>475</v>
      </c>
      <c r="T21" s="35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="4" customFormat="1" ht="30" customHeight="1" spans="1:41">
      <c r="A22" s="36"/>
      <c r="B22" s="36"/>
      <c r="C22" s="39" t="s">
        <v>81</v>
      </c>
      <c r="D22" s="28" t="s">
        <v>160</v>
      </c>
      <c r="E22" s="28" t="s">
        <v>161</v>
      </c>
      <c r="F22" s="29"/>
      <c r="G22" s="30">
        <v>55810</v>
      </c>
      <c r="H22" s="31">
        <f t="shared" si="0"/>
        <v>23990</v>
      </c>
      <c r="I22" s="31">
        <v>30820</v>
      </c>
      <c r="J22" s="32" t="s">
        <v>131</v>
      </c>
      <c r="K22" s="31">
        <v>1000</v>
      </c>
      <c r="L22" s="32" t="s">
        <v>125</v>
      </c>
      <c r="M22" s="31">
        <v>0</v>
      </c>
      <c r="N22" s="32"/>
      <c r="O22" s="31">
        <v>0</v>
      </c>
      <c r="P22" s="32"/>
      <c r="Q22" s="31">
        <v>0</v>
      </c>
      <c r="R22" s="33"/>
      <c r="S22" s="34">
        <f t="shared" si="1"/>
        <v>31820</v>
      </c>
      <c r="T22" s="35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="4" customFormat="1" ht="30" customHeight="1" spans="1:41">
      <c r="A23" s="36"/>
      <c r="B23" s="36"/>
      <c r="C23" s="27" t="s">
        <v>43</v>
      </c>
      <c r="D23" s="28" t="s">
        <v>162</v>
      </c>
      <c r="E23" s="28" t="s">
        <v>163</v>
      </c>
      <c r="F23" s="29"/>
      <c r="G23" s="30">
        <v>45261.49</v>
      </c>
      <c r="H23" s="31">
        <f t="shared" si="0"/>
        <v>45261.49</v>
      </c>
      <c r="I23" s="31">
        <v>0</v>
      </c>
      <c r="J23" s="32"/>
      <c r="K23" s="31">
        <v>0</v>
      </c>
      <c r="L23" s="32"/>
      <c r="M23" s="31">
        <v>0</v>
      </c>
      <c r="N23" s="32"/>
      <c r="O23" s="31">
        <v>0</v>
      </c>
      <c r="P23" s="32"/>
      <c r="Q23" s="31">
        <v>0</v>
      </c>
      <c r="R23" s="33"/>
      <c r="S23" s="34">
        <f t="shared" si="1"/>
        <v>0</v>
      </c>
      <c r="T23" s="35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="4" customFormat="1" ht="30" customHeight="1" spans="1:41">
      <c r="A24" s="36"/>
      <c r="B24" s="36"/>
      <c r="C24" s="39" t="s">
        <v>81</v>
      </c>
      <c r="D24" s="28" t="s">
        <v>164</v>
      </c>
      <c r="E24" s="28" t="s">
        <v>165</v>
      </c>
      <c r="F24" s="29"/>
      <c r="G24" s="30">
        <v>2250</v>
      </c>
      <c r="H24" s="31">
        <f t="shared" si="0"/>
        <v>0</v>
      </c>
      <c r="I24" s="31">
        <v>0</v>
      </c>
      <c r="J24" s="32"/>
      <c r="K24" s="31">
        <v>0</v>
      </c>
      <c r="L24" s="32"/>
      <c r="M24" s="31">
        <v>2250</v>
      </c>
      <c r="N24" s="32" t="s">
        <v>140</v>
      </c>
      <c r="O24" s="31">
        <v>0</v>
      </c>
      <c r="P24" s="32"/>
      <c r="Q24" s="31">
        <v>0</v>
      </c>
      <c r="R24" s="33"/>
      <c r="S24" s="34">
        <f t="shared" si="1"/>
        <v>2250</v>
      </c>
      <c r="T24" s="35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="4" customFormat="1" ht="30" customHeight="1" spans="1:41">
      <c r="A25" s="36"/>
      <c r="B25" s="36"/>
      <c r="C25" s="27" t="s">
        <v>43</v>
      </c>
      <c r="D25" s="28" t="s">
        <v>166</v>
      </c>
      <c r="E25" s="28" t="s">
        <v>167</v>
      </c>
      <c r="F25" s="29"/>
      <c r="G25" s="30">
        <v>92052.3</v>
      </c>
      <c r="H25" s="31">
        <f t="shared" si="0"/>
        <v>92052.3</v>
      </c>
      <c r="I25" s="31">
        <v>0</v>
      </c>
      <c r="J25" s="32"/>
      <c r="K25" s="31">
        <v>0</v>
      </c>
      <c r="L25" s="37"/>
      <c r="M25" s="31">
        <v>0</v>
      </c>
      <c r="N25" s="32"/>
      <c r="O25" s="31">
        <v>0</v>
      </c>
      <c r="P25" s="32"/>
      <c r="Q25" s="31">
        <v>0</v>
      </c>
      <c r="R25" s="33"/>
      <c r="S25" s="34">
        <f t="shared" si="1"/>
        <v>0</v>
      </c>
      <c r="T25" s="35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="4" customFormat="1" ht="30" customHeight="1" spans="1:41">
      <c r="A26" s="36"/>
      <c r="B26" s="36"/>
      <c r="C26" s="27" t="s">
        <v>43</v>
      </c>
      <c r="D26" s="28" t="s">
        <v>48</v>
      </c>
      <c r="E26" s="28" t="s">
        <v>49</v>
      </c>
      <c r="F26" s="29"/>
      <c r="G26" s="30">
        <v>1633292.68</v>
      </c>
      <c r="H26" s="31">
        <f t="shared" si="0"/>
        <v>221222.87</v>
      </c>
      <c r="I26" s="31">
        <v>252084.56</v>
      </c>
      <c r="J26" s="32" t="s">
        <v>131</v>
      </c>
      <c r="K26" s="31">
        <v>518663.51</v>
      </c>
      <c r="L26" s="32" t="s">
        <v>132</v>
      </c>
      <c r="M26" s="31">
        <v>641321.74</v>
      </c>
      <c r="N26" s="32" t="s">
        <v>168</v>
      </c>
      <c r="O26" s="31">
        <v>0</v>
      </c>
      <c r="P26" s="32"/>
      <c r="Q26" s="31">
        <v>0</v>
      </c>
      <c r="R26" s="33"/>
      <c r="S26" s="34">
        <f t="shared" si="1"/>
        <v>1412069.81</v>
      </c>
      <c r="T26" s="35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="4" customFormat="1" ht="30" customHeight="1" spans="1:41">
      <c r="A27" s="36"/>
      <c r="B27" s="36"/>
      <c r="C27" s="27" t="s">
        <v>43</v>
      </c>
      <c r="D27" s="28" t="s">
        <v>169</v>
      </c>
      <c r="E27" s="28" t="s">
        <v>170</v>
      </c>
      <c r="F27" s="29"/>
      <c r="G27" s="30">
        <v>637643.7</v>
      </c>
      <c r="H27" s="31">
        <f t="shared" si="0"/>
        <v>8498.07999999984</v>
      </c>
      <c r="I27" s="31">
        <v>158143.93</v>
      </c>
      <c r="J27" s="32" t="s">
        <v>131</v>
      </c>
      <c r="K27" s="31">
        <v>305792.27</v>
      </c>
      <c r="L27" s="32" t="s">
        <v>132</v>
      </c>
      <c r="M27" s="31">
        <v>165209.42</v>
      </c>
      <c r="N27" s="32" t="s">
        <v>171</v>
      </c>
      <c r="O27" s="31">
        <v>0</v>
      </c>
      <c r="P27" s="32"/>
      <c r="Q27" s="31">
        <v>0</v>
      </c>
      <c r="R27" s="33"/>
      <c r="S27" s="34">
        <f t="shared" si="1"/>
        <v>629145.62</v>
      </c>
      <c r="T27" s="35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="4" customFormat="1" ht="30" customHeight="1" spans="1:41">
      <c r="A28" s="36"/>
      <c r="B28" s="36"/>
      <c r="C28" s="27" t="s">
        <v>43</v>
      </c>
      <c r="D28" s="28" t="s">
        <v>172</v>
      </c>
      <c r="E28" s="28" t="s">
        <v>173</v>
      </c>
      <c r="F28" s="29"/>
      <c r="G28" s="30">
        <v>978747.48</v>
      </c>
      <c r="H28" s="31">
        <f t="shared" si="0"/>
        <v>0</v>
      </c>
      <c r="I28" s="31">
        <v>207907.15</v>
      </c>
      <c r="J28" s="32" t="s">
        <v>131</v>
      </c>
      <c r="K28" s="31">
        <v>575545.84</v>
      </c>
      <c r="L28" s="32" t="s">
        <v>132</v>
      </c>
      <c r="M28" s="31">
        <v>195294.49</v>
      </c>
      <c r="N28" s="32" t="s">
        <v>174</v>
      </c>
      <c r="O28" s="31">
        <v>0</v>
      </c>
      <c r="P28" s="32"/>
      <c r="Q28" s="31">
        <v>0</v>
      </c>
      <c r="R28" s="33"/>
      <c r="S28" s="34">
        <f t="shared" si="1"/>
        <v>978747.48</v>
      </c>
      <c r="T28" s="35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="4" customFormat="1" ht="30" customHeight="1" spans="1:41">
      <c r="A29" s="36"/>
      <c r="B29" s="36"/>
      <c r="C29" s="27" t="s">
        <v>43</v>
      </c>
      <c r="D29" s="28" t="s">
        <v>88</v>
      </c>
      <c r="E29" s="28" t="s">
        <v>89</v>
      </c>
      <c r="F29" s="29"/>
      <c r="G29" s="30">
        <v>1316435.54</v>
      </c>
      <c r="H29" s="31">
        <f t="shared" si="0"/>
        <v>115329.06</v>
      </c>
      <c r="I29" s="31">
        <v>202737.48</v>
      </c>
      <c r="J29" s="32" t="s">
        <v>131</v>
      </c>
      <c r="K29" s="31">
        <v>471450.12</v>
      </c>
      <c r="L29" s="32" t="s">
        <v>132</v>
      </c>
      <c r="M29" s="31">
        <v>526918.88</v>
      </c>
      <c r="N29" s="32" t="s">
        <v>168</v>
      </c>
      <c r="O29" s="31">
        <v>0</v>
      </c>
      <c r="P29" s="32"/>
      <c r="Q29" s="31">
        <v>0</v>
      </c>
      <c r="R29" s="33"/>
      <c r="S29" s="34">
        <f t="shared" si="1"/>
        <v>1201106.48</v>
      </c>
      <c r="T29" s="35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="4" customFormat="1" ht="30" customHeight="1" spans="1:41">
      <c r="A30" s="36"/>
      <c r="B30" s="36"/>
      <c r="C30" s="27" t="s">
        <v>43</v>
      </c>
      <c r="D30" s="28" t="s">
        <v>50</v>
      </c>
      <c r="E30" s="28" t="s">
        <v>51</v>
      </c>
      <c r="F30" s="29"/>
      <c r="G30" s="30">
        <v>649824.32</v>
      </c>
      <c r="H30" s="31">
        <f t="shared" si="0"/>
        <v>0</v>
      </c>
      <c r="I30" s="31">
        <v>118414.8</v>
      </c>
      <c r="J30" s="32" t="s">
        <v>131</v>
      </c>
      <c r="K30" s="31">
        <v>243599.88</v>
      </c>
      <c r="L30" s="32" t="s">
        <v>132</v>
      </c>
      <c r="M30" s="31">
        <v>287809.64</v>
      </c>
      <c r="N30" s="32" t="s">
        <v>168</v>
      </c>
      <c r="O30" s="31">
        <v>0</v>
      </c>
      <c r="P30" s="32"/>
      <c r="Q30" s="31">
        <v>0</v>
      </c>
      <c r="R30" s="33"/>
      <c r="S30" s="34">
        <f t="shared" si="1"/>
        <v>649824.32</v>
      </c>
      <c r="T30" s="35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="4" customFormat="1" ht="30" customHeight="1" spans="1:41">
      <c r="A31" s="36"/>
      <c r="B31" s="36"/>
      <c r="C31" s="27" t="s">
        <v>43</v>
      </c>
      <c r="D31" s="28" t="s">
        <v>175</v>
      </c>
      <c r="E31" s="28" t="s">
        <v>176</v>
      </c>
      <c r="F31" s="29"/>
      <c r="G31" s="30">
        <v>825228.26</v>
      </c>
      <c r="H31" s="31">
        <f t="shared" si="0"/>
        <v>774655.26</v>
      </c>
      <c r="I31" s="31">
        <v>0</v>
      </c>
      <c r="J31" s="32"/>
      <c r="K31" s="31">
        <v>50573</v>
      </c>
      <c r="L31" s="37" t="s">
        <v>125</v>
      </c>
      <c r="M31" s="31">
        <v>0</v>
      </c>
      <c r="N31" s="32"/>
      <c r="O31" s="31">
        <v>0</v>
      </c>
      <c r="P31" s="32"/>
      <c r="Q31" s="31">
        <v>0</v>
      </c>
      <c r="R31" s="33"/>
      <c r="S31" s="34">
        <f t="shared" si="1"/>
        <v>50573</v>
      </c>
      <c r="T31" s="35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="4" customFormat="1" ht="30" customHeight="1" spans="1:41">
      <c r="A32" s="36"/>
      <c r="B32" s="36"/>
      <c r="C32" s="27" t="s">
        <v>43</v>
      </c>
      <c r="D32" s="28" t="s">
        <v>177</v>
      </c>
      <c r="E32" s="28" t="s">
        <v>178</v>
      </c>
      <c r="F32" s="29"/>
      <c r="G32" s="30">
        <v>263506.66</v>
      </c>
      <c r="H32" s="31">
        <f t="shared" si="0"/>
        <v>244762.37</v>
      </c>
      <c r="I32" s="31">
        <v>14590.46</v>
      </c>
      <c r="J32" s="32" t="s">
        <v>131</v>
      </c>
      <c r="K32" s="31">
        <v>4153.83</v>
      </c>
      <c r="L32" s="32" t="s">
        <v>128</v>
      </c>
      <c r="M32" s="31">
        <v>0</v>
      </c>
      <c r="N32" s="32"/>
      <c r="O32" s="31">
        <v>0</v>
      </c>
      <c r="P32" s="32"/>
      <c r="Q32" s="31">
        <v>0</v>
      </c>
      <c r="R32" s="33"/>
      <c r="S32" s="34">
        <f t="shared" si="1"/>
        <v>18744.29</v>
      </c>
      <c r="T32" s="35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="4" customFormat="1" ht="30" customHeight="1" spans="1:41">
      <c r="A33" s="36"/>
      <c r="B33" s="36"/>
      <c r="C33" s="27" t="s">
        <v>43</v>
      </c>
      <c r="D33" s="28" t="s">
        <v>179</v>
      </c>
      <c r="E33" s="28" t="s">
        <v>180</v>
      </c>
      <c r="F33" s="29"/>
      <c r="G33" s="30">
        <v>158624.28</v>
      </c>
      <c r="H33" s="31">
        <f t="shared" si="0"/>
        <v>158624.28</v>
      </c>
      <c r="I33" s="31">
        <v>0</v>
      </c>
      <c r="J33" s="32"/>
      <c r="K33" s="31">
        <v>0</v>
      </c>
      <c r="L33" s="32"/>
      <c r="M33" s="31">
        <v>0</v>
      </c>
      <c r="N33" s="32"/>
      <c r="O33" s="31">
        <v>0</v>
      </c>
      <c r="P33" s="32"/>
      <c r="Q33" s="31">
        <v>0</v>
      </c>
      <c r="R33" s="33"/>
      <c r="S33" s="34">
        <f t="shared" si="1"/>
        <v>0</v>
      </c>
      <c r="T33" s="35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="4" customFormat="1" ht="30" customHeight="1" spans="1:41">
      <c r="A34" s="36"/>
      <c r="B34" s="36"/>
      <c r="C34" s="27" t="s">
        <v>43</v>
      </c>
      <c r="D34" s="28" t="s">
        <v>181</v>
      </c>
      <c r="E34" s="28" t="s">
        <v>182</v>
      </c>
      <c r="F34" s="29"/>
      <c r="G34" s="30">
        <v>23213</v>
      </c>
      <c r="H34" s="31">
        <f t="shared" si="0"/>
        <v>1230</v>
      </c>
      <c r="I34" s="31">
        <v>11408</v>
      </c>
      <c r="J34" s="32" t="s">
        <v>131</v>
      </c>
      <c r="K34" s="31">
        <v>10575</v>
      </c>
      <c r="L34" s="37" t="s">
        <v>132</v>
      </c>
      <c r="M34" s="31">
        <v>0</v>
      </c>
      <c r="N34" s="32"/>
      <c r="O34" s="31">
        <v>0</v>
      </c>
      <c r="P34" s="32"/>
      <c r="Q34" s="31">
        <v>0</v>
      </c>
      <c r="R34" s="33"/>
      <c r="S34" s="34">
        <f t="shared" si="1"/>
        <v>21983</v>
      </c>
      <c r="T34" s="35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 s="4" customFormat="1" ht="30" customHeight="1" spans="1:41">
      <c r="A35" s="36"/>
      <c r="B35" s="36"/>
      <c r="C35" s="39" t="s">
        <v>81</v>
      </c>
      <c r="D35" s="28" t="s">
        <v>183</v>
      </c>
      <c r="E35" s="28" t="s">
        <v>184</v>
      </c>
      <c r="F35" s="29"/>
      <c r="G35" s="30">
        <v>136147.53</v>
      </c>
      <c r="H35" s="31">
        <f t="shared" si="0"/>
        <v>135297.53</v>
      </c>
      <c r="I35" s="31">
        <v>850</v>
      </c>
      <c r="J35" s="32" t="s">
        <v>131</v>
      </c>
      <c r="K35" s="31">
        <v>0</v>
      </c>
      <c r="L35" s="37"/>
      <c r="M35" s="31">
        <v>0</v>
      </c>
      <c r="N35" s="32"/>
      <c r="O35" s="31">
        <v>0</v>
      </c>
      <c r="P35" s="32"/>
      <c r="Q35" s="31">
        <v>0</v>
      </c>
      <c r="R35" s="33"/>
      <c r="S35" s="34">
        <f t="shared" si="1"/>
        <v>850</v>
      </c>
      <c r="T35" s="35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</row>
    <row r="36" s="4" customFormat="1" ht="30" customHeight="1" spans="1:41">
      <c r="A36" s="36"/>
      <c r="B36" s="36"/>
      <c r="C36" s="39" t="s">
        <v>81</v>
      </c>
      <c r="D36" s="28" t="s">
        <v>185</v>
      </c>
      <c r="E36" s="28" t="s">
        <v>186</v>
      </c>
      <c r="F36" s="29"/>
      <c r="G36" s="30">
        <v>2355</v>
      </c>
      <c r="H36" s="31">
        <f t="shared" si="0"/>
        <v>0</v>
      </c>
      <c r="I36" s="31">
        <v>2355</v>
      </c>
      <c r="J36" s="32" t="s">
        <v>131</v>
      </c>
      <c r="K36" s="31">
        <v>0</v>
      </c>
      <c r="L36" s="32"/>
      <c r="M36" s="31">
        <v>0</v>
      </c>
      <c r="N36" s="32"/>
      <c r="O36" s="31">
        <v>0</v>
      </c>
      <c r="P36" s="32"/>
      <c r="Q36" s="31">
        <v>0</v>
      </c>
      <c r="R36" s="33"/>
      <c r="S36" s="34">
        <f t="shared" si="1"/>
        <v>2355</v>
      </c>
      <c r="T36" s="35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="4" customFormat="1" ht="30" customHeight="1" spans="1:41">
      <c r="A37" s="40"/>
      <c r="B37" s="40"/>
      <c r="C37" s="27" t="s">
        <v>43</v>
      </c>
      <c r="D37" s="28" t="s">
        <v>44</v>
      </c>
      <c r="E37" s="41" t="s">
        <v>45</v>
      </c>
      <c r="F37" s="29"/>
      <c r="G37" s="43">
        <v>1612785.21</v>
      </c>
      <c r="H37" s="31">
        <f t="shared" ref="H37:H68" si="3">G37-S37</f>
        <v>266367.81</v>
      </c>
      <c r="I37" s="44">
        <v>286449.27</v>
      </c>
      <c r="J37" s="45" t="s">
        <v>131</v>
      </c>
      <c r="K37" s="44">
        <v>570892.05</v>
      </c>
      <c r="L37" s="45" t="s">
        <v>132</v>
      </c>
      <c r="M37" s="44">
        <v>489076.08</v>
      </c>
      <c r="N37" s="45" t="s">
        <v>168</v>
      </c>
      <c r="O37" s="44">
        <v>0</v>
      </c>
      <c r="P37" s="45"/>
      <c r="Q37" s="44">
        <v>0</v>
      </c>
      <c r="R37" s="46"/>
      <c r="S37" s="34">
        <f t="shared" ref="S37:S68" si="4">Q37+O37+M37+K37+I37</f>
        <v>1346417.4</v>
      </c>
      <c r="T37" s="35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</row>
    <row r="38" s="4" customFormat="1" ht="30" customHeight="1" spans="1:41">
      <c r="A38" s="40"/>
      <c r="B38" s="40"/>
      <c r="C38" s="27" t="s">
        <v>43</v>
      </c>
      <c r="D38" s="28" t="s">
        <v>85</v>
      </c>
      <c r="E38" s="41" t="s">
        <v>86</v>
      </c>
      <c r="F38" s="29"/>
      <c r="G38" s="43">
        <v>1394910.18</v>
      </c>
      <c r="H38" s="31">
        <f t="shared" si="3"/>
        <v>111638.94</v>
      </c>
      <c r="I38" s="44">
        <v>233941.93</v>
      </c>
      <c r="J38" s="45" t="s">
        <v>131</v>
      </c>
      <c r="K38" s="44">
        <v>454952.18</v>
      </c>
      <c r="L38" s="45" t="s">
        <v>132</v>
      </c>
      <c r="M38" s="44">
        <v>594377.13</v>
      </c>
      <c r="N38" s="45" t="s">
        <v>168</v>
      </c>
      <c r="O38" s="44">
        <v>0</v>
      </c>
      <c r="P38" s="45"/>
      <c r="Q38" s="44">
        <v>0</v>
      </c>
      <c r="R38" s="46"/>
      <c r="S38" s="34">
        <f t="shared" si="4"/>
        <v>1283271.24</v>
      </c>
      <c r="T38" s="35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="4" customFormat="1" ht="30" customHeight="1" spans="1:41">
      <c r="A39" s="47"/>
      <c r="B39" s="47"/>
      <c r="C39" s="48"/>
      <c r="D39" s="48"/>
      <c r="E39" s="49" t="s">
        <v>53</v>
      </c>
      <c r="F39" s="50"/>
      <c r="G39" s="51">
        <f>SUM(G18:G38)</f>
        <v>11748971.16</v>
      </c>
      <c r="H39" s="51">
        <f t="shared" ref="H39:S39" si="5">SUM(H18:H38)</f>
        <v>3617856.82</v>
      </c>
      <c r="I39" s="51">
        <f t="shared" si="5"/>
        <v>1758793.8</v>
      </c>
      <c r="J39" s="51">
        <f t="shared" si="5"/>
        <v>0</v>
      </c>
      <c r="K39" s="51">
        <f t="shared" si="5"/>
        <v>3464243.16</v>
      </c>
      <c r="L39" s="51">
        <f t="shared" si="5"/>
        <v>0</v>
      </c>
      <c r="M39" s="51">
        <f t="shared" si="5"/>
        <v>2908077.38</v>
      </c>
      <c r="N39" s="51">
        <f t="shared" si="5"/>
        <v>0</v>
      </c>
      <c r="O39" s="51">
        <f t="shared" si="5"/>
        <v>0</v>
      </c>
      <c r="P39" s="51">
        <f t="shared" si="5"/>
        <v>0</v>
      </c>
      <c r="Q39" s="51">
        <f t="shared" si="5"/>
        <v>0</v>
      </c>
      <c r="R39" s="51">
        <f t="shared" si="5"/>
        <v>0</v>
      </c>
      <c r="S39" s="50">
        <f t="shared" si="5"/>
        <v>8131114.34</v>
      </c>
      <c r="T39" s="53">
        <f>SUM(T18:T38)</f>
        <v>0</v>
      </c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="4" customFormat="1" ht="30" customHeight="1" spans="1:41">
      <c r="A40" s="26" t="s">
        <v>68</v>
      </c>
      <c r="B40" s="26" t="s">
        <v>91</v>
      </c>
      <c r="C40" s="39" t="s">
        <v>81</v>
      </c>
      <c r="D40" s="28" t="s">
        <v>187</v>
      </c>
      <c r="E40" s="28" t="s">
        <v>188</v>
      </c>
      <c r="F40" s="29"/>
      <c r="G40" s="30">
        <v>1008090.2</v>
      </c>
      <c r="H40" s="31">
        <f t="shared" si="3"/>
        <v>707830.2</v>
      </c>
      <c r="I40" s="31">
        <v>291510</v>
      </c>
      <c r="J40" s="32" t="s">
        <v>131</v>
      </c>
      <c r="K40" s="31">
        <v>8750</v>
      </c>
      <c r="L40" s="32" t="s">
        <v>128</v>
      </c>
      <c r="M40" s="31">
        <v>0</v>
      </c>
      <c r="N40" s="32"/>
      <c r="O40" s="31">
        <v>0</v>
      </c>
      <c r="P40" s="32"/>
      <c r="Q40" s="31">
        <v>0</v>
      </c>
      <c r="R40" s="33"/>
      <c r="S40" s="34">
        <f t="shared" si="4"/>
        <v>300260</v>
      </c>
      <c r="T40" s="35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</row>
    <row r="41" s="4" customFormat="1" ht="30" customHeight="1" spans="1:41">
      <c r="A41" s="36"/>
      <c r="B41" s="36"/>
      <c r="C41" s="27" t="s">
        <v>43</v>
      </c>
      <c r="D41" s="28" t="s">
        <v>189</v>
      </c>
      <c r="E41" s="28" t="s">
        <v>190</v>
      </c>
      <c r="F41" s="29"/>
      <c r="G41" s="30">
        <v>81565.72</v>
      </c>
      <c r="H41" s="31">
        <f t="shared" si="3"/>
        <v>79017.47</v>
      </c>
      <c r="I41" s="31">
        <v>2548.25</v>
      </c>
      <c r="J41" s="32" t="s">
        <v>131</v>
      </c>
      <c r="K41" s="31">
        <v>0</v>
      </c>
      <c r="L41" s="32"/>
      <c r="M41" s="31">
        <v>0</v>
      </c>
      <c r="N41" s="32"/>
      <c r="O41" s="31">
        <v>0</v>
      </c>
      <c r="P41" s="32"/>
      <c r="Q41" s="31">
        <v>0</v>
      </c>
      <c r="R41" s="33"/>
      <c r="S41" s="34">
        <f t="shared" si="4"/>
        <v>2548.25</v>
      </c>
      <c r="T41" s="35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s="4" customFormat="1" ht="30" customHeight="1" spans="1:41">
      <c r="A42" s="36"/>
      <c r="B42" s="36"/>
      <c r="C42" s="27" t="s">
        <v>43</v>
      </c>
      <c r="D42" s="28" t="s">
        <v>191</v>
      </c>
      <c r="E42" s="28" t="s">
        <v>192</v>
      </c>
      <c r="F42" s="29"/>
      <c r="G42" s="30">
        <v>1443341.22</v>
      </c>
      <c r="H42" s="31">
        <f t="shared" si="3"/>
        <v>1176079.59</v>
      </c>
      <c r="I42" s="31">
        <v>267261.63</v>
      </c>
      <c r="J42" s="32" t="s">
        <v>131</v>
      </c>
      <c r="K42" s="31">
        <v>0</v>
      </c>
      <c r="L42" s="32"/>
      <c r="M42" s="31">
        <v>0</v>
      </c>
      <c r="N42" s="32"/>
      <c r="O42" s="31">
        <v>0</v>
      </c>
      <c r="P42" s="32"/>
      <c r="Q42" s="31">
        <v>0</v>
      </c>
      <c r="R42" s="33"/>
      <c r="S42" s="34">
        <f t="shared" si="4"/>
        <v>267261.63</v>
      </c>
      <c r="T42" s="35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="4" customFormat="1" ht="30" customHeight="1" spans="1:41">
      <c r="A43" s="36"/>
      <c r="B43" s="36"/>
      <c r="C43" s="27" t="s">
        <v>43</v>
      </c>
      <c r="D43" s="28" t="s">
        <v>193</v>
      </c>
      <c r="E43" s="28" t="s">
        <v>194</v>
      </c>
      <c r="F43" s="29"/>
      <c r="G43" s="30">
        <v>1107336.19</v>
      </c>
      <c r="H43" s="31">
        <f t="shared" si="3"/>
        <v>414882.79</v>
      </c>
      <c r="I43" s="31">
        <v>692453.4</v>
      </c>
      <c r="J43" s="32" t="s">
        <v>131</v>
      </c>
      <c r="K43" s="31">
        <v>0</v>
      </c>
      <c r="L43" s="32"/>
      <c r="M43" s="31">
        <v>0</v>
      </c>
      <c r="N43" s="32"/>
      <c r="O43" s="31">
        <v>0</v>
      </c>
      <c r="P43" s="32"/>
      <c r="Q43" s="31">
        <v>0</v>
      </c>
      <c r="R43" s="33"/>
      <c r="S43" s="34">
        <f t="shared" si="4"/>
        <v>692453.4</v>
      </c>
      <c r="T43" s="35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="4" customFormat="1" ht="30" customHeight="1" spans="1:41">
      <c r="A44" s="36"/>
      <c r="B44" s="36"/>
      <c r="C44" s="27" t="s">
        <v>43</v>
      </c>
      <c r="D44" s="28" t="s">
        <v>92</v>
      </c>
      <c r="E44" s="28" t="s">
        <v>93</v>
      </c>
      <c r="F44" s="29"/>
      <c r="G44" s="30">
        <v>186997.54</v>
      </c>
      <c r="H44" s="31">
        <f t="shared" si="3"/>
        <v>16661.95</v>
      </c>
      <c r="I44" s="31">
        <v>170335.59</v>
      </c>
      <c r="J44" s="54" t="s">
        <v>131</v>
      </c>
      <c r="K44" s="31">
        <v>0</v>
      </c>
      <c r="L44" s="32"/>
      <c r="M44" s="31">
        <v>0</v>
      </c>
      <c r="N44" s="32"/>
      <c r="O44" s="31">
        <v>0</v>
      </c>
      <c r="P44" s="32"/>
      <c r="Q44" s="31">
        <v>0</v>
      </c>
      <c r="R44" s="33"/>
      <c r="S44" s="34">
        <f t="shared" si="4"/>
        <v>170335.59</v>
      </c>
      <c r="T44" s="35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="4" customFormat="1" ht="30" customHeight="1" spans="1:41">
      <c r="A45" s="36"/>
      <c r="B45" s="36"/>
      <c r="C45" s="27" t="s">
        <v>43</v>
      </c>
      <c r="D45" s="28" t="s">
        <v>195</v>
      </c>
      <c r="E45" s="55" t="s">
        <v>196</v>
      </c>
      <c r="F45" s="29"/>
      <c r="G45" s="30">
        <v>269325.34</v>
      </c>
      <c r="H45" s="31">
        <f t="shared" si="3"/>
        <v>225165.48</v>
      </c>
      <c r="I45" s="31">
        <v>44159.86</v>
      </c>
      <c r="J45" s="54" t="s">
        <v>131</v>
      </c>
      <c r="K45" s="31">
        <v>0</v>
      </c>
      <c r="L45" s="32"/>
      <c r="M45" s="31">
        <v>0</v>
      </c>
      <c r="N45" s="32"/>
      <c r="O45" s="31">
        <v>0</v>
      </c>
      <c r="P45" s="32"/>
      <c r="Q45" s="31">
        <v>0</v>
      </c>
      <c r="R45" s="33"/>
      <c r="S45" s="34">
        <f t="shared" si="4"/>
        <v>44159.86</v>
      </c>
      <c r="T45" s="35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="4" customFormat="1" ht="30" customHeight="1" spans="1:41">
      <c r="A46" s="36"/>
      <c r="B46" s="36"/>
      <c r="C46" s="39" t="s">
        <v>81</v>
      </c>
      <c r="D46" s="28" t="s">
        <v>197</v>
      </c>
      <c r="E46" s="28" t="s">
        <v>198</v>
      </c>
      <c r="F46" s="29"/>
      <c r="G46" s="30">
        <v>185287.96</v>
      </c>
      <c r="H46" s="31">
        <f t="shared" si="3"/>
        <v>185037.96</v>
      </c>
      <c r="I46" s="31">
        <v>250</v>
      </c>
      <c r="J46" s="32" t="s">
        <v>131</v>
      </c>
      <c r="K46" s="31">
        <v>0</v>
      </c>
      <c r="L46" s="37"/>
      <c r="M46" s="31">
        <v>0</v>
      </c>
      <c r="N46" s="32"/>
      <c r="O46" s="31">
        <v>0</v>
      </c>
      <c r="P46" s="32"/>
      <c r="Q46" s="31">
        <v>0</v>
      </c>
      <c r="R46" s="33"/>
      <c r="S46" s="34">
        <f t="shared" si="4"/>
        <v>250</v>
      </c>
      <c r="T46" s="35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="4" customFormat="1" ht="30" customHeight="1" spans="1:41">
      <c r="A47" s="36"/>
      <c r="B47" s="36"/>
      <c r="C47" s="39" t="s">
        <v>81</v>
      </c>
      <c r="D47" s="28" t="s">
        <v>199</v>
      </c>
      <c r="E47" s="28" t="s">
        <v>200</v>
      </c>
      <c r="F47" s="29"/>
      <c r="G47" s="30">
        <v>75411.48</v>
      </c>
      <c r="H47" s="31">
        <f t="shared" si="3"/>
        <v>35856.48</v>
      </c>
      <c r="I47" s="31">
        <v>17180</v>
      </c>
      <c r="J47" s="32" t="s">
        <v>131</v>
      </c>
      <c r="K47" s="31">
        <v>22375</v>
      </c>
      <c r="L47" s="32" t="s">
        <v>132</v>
      </c>
      <c r="M47" s="31">
        <v>0</v>
      </c>
      <c r="N47" s="32"/>
      <c r="O47" s="31">
        <v>0</v>
      </c>
      <c r="P47" s="32"/>
      <c r="Q47" s="31">
        <v>0</v>
      </c>
      <c r="R47" s="33"/>
      <c r="S47" s="34">
        <f t="shared" si="4"/>
        <v>39555</v>
      </c>
      <c r="T47" s="35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="4" customFormat="1" ht="30" customHeight="1" spans="1:41">
      <c r="A48" s="36"/>
      <c r="B48" s="36"/>
      <c r="C48" s="27" t="s">
        <v>43</v>
      </c>
      <c r="D48" s="28" t="s">
        <v>201</v>
      </c>
      <c r="E48" s="28" t="s">
        <v>202</v>
      </c>
      <c r="F48" s="29"/>
      <c r="G48" s="30">
        <v>250663.05</v>
      </c>
      <c r="H48" s="31">
        <f t="shared" si="3"/>
        <v>250663.05</v>
      </c>
      <c r="I48" s="31">
        <v>0</v>
      </c>
      <c r="J48" s="32"/>
      <c r="K48" s="31">
        <v>0</v>
      </c>
      <c r="L48" s="32"/>
      <c r="M48" s="31">
        <v>0</v>
      </c>
      <c r="N48" s="32"/>
      <c r="O48" s="31">
        <v>0</v>
      </c>
      <c r="P48" s="32"/>
      <c r="Q48" s="31">
        <v>0</v>
      </c>
      <c r="R48" s="33"/>
      <c r="S48" s="34">
        <f t="shared" si="4"/>
        <v>0</v>
      </c>
      <c r="T48" s="35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</row>
    <row r="49" s="4" customFormat="1" ht="30" customHeight="1" spans="1:41">
      <c r="A49" s="47"/>
      <c r="B49" s="47"/>
      <c r="C49" s="48"/>
      <c r="D49" s="48"/>
      <c r="E49" s="49" t="s">
        <v>53</v>
      </c>
      <c r="F49" s="50"/>
      <c r="G49" s="51">
        <f>SUM(G40:G48)</f>
        <v>4608018.7</v>
      </c>
      <c r="H49" s="51">
        <f t="shared" ref="H49:S49" si="6">SUM(H40:H48)</f>
        <v>3091194.97</v>
      </c>
      <c r="I49" s="51">
        <f t="shared" si="6"/>
        <v>1485698.73</v>
      </c>
      <c r="J49" s="51">
        <f t="shared" si="6"/>
        <v>0</v>
      </c>
      <c r="K49" s="51">
        <f t="shared" si="6"/>
        <v>31125</v>
      </c>
      <c r="L49" s="51">
        <f t="shared" si="6"/>
        <v>0</v>
      </c>
      <c r="M49" s="51">
        <f t="shared" si="6"/>
        <v>0</v>
      </c>
      <c r="N49" s="51">
        <f t="shared" si="6"/>
        <v>0</v>
      </c>
      <c r="O49" s="51">
        <f t="shared" si="6"/>
        <v>0</v>
      </c>
      <c r="P49" s="51">
        <f t="shared" si="6"/>
        <v>0</v>
      </c>
      <c r="Q49" s="51">
        <f t="shared" si="6"/>
        <v>0</v>
      </c>
      <c r="R49" s="51">
        <f t="shared" si="6"/>
        <v>0</v>
      </c>
      <c r="S49" s="50">
        <f t="shared" si="6"/>
        <v>1516823.73</v>
      </c>
      <c r="T49" s="56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</row>
    <row r="50" s="4" customFormat="1" ht="30" customHeight="1" spans="1:41">
      <c r="A50" s="26" t="s">
        <v>63</v>
      </c>
      <c r="B50" s="57" t="s">
        <v>64</v>
      </c>
      <c r="C50" s="27" t="s">
        <v>43</v>
      </c>
      <c r="D50" s="28" t="s">
        <v>203</v>
      </c>
      <c r="E50" s="28" t="s">
        <v>204</v>
      </c>
      <c r="F50" s="29"/>
      <c r="G50" s="30">
        <v>60757.7</v>
      </c>
      <c r="H50" s="31">
        <f t="shared" si="3"/>
        <v>60757.7</v>
      </c>
      <c r="I50" s="31">
        <v>0</v>
      </c>
      <c r="J50" s="58"/>
      <c r="K50" s="31">
        <v>0</v>
      </c>
      <c r="L50" s="58"/>
      <c r="M50" s="31">
        <v>0</v>
      </c>
      <c r="N50" s="33"/>
      <c r="O50" s="31">
        <v>0</v>
      </c>
      <c r="P50" s="33"/>
      <c r="Q50" s="31">
        <v>0</v>
      </c>
      <c r="R50" s="33"/>
      <c r="S50" s="34">
        <f t="shared" si="4"/>
        <v>0</v>
      </c>
      <c r="T50" s="59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s="4" customFormat="1" ht="30" customHeight="1" spans="1:41">
      <c r="A51" s="36"/>
      <c r="B51" s="57" t="s">
        <v>205</v>
      </c>
      <c r="C51" s="27" t="s">
        <v>43</v>
      </c>
      <c r="D51" s="28" t="s">
        <v>206</v>
      </c>
      <c r="E51" s="28" t="s">
        <v>207</v>
      </c>
      <c r="F51" s="29"/>
      <c r="G51" s="30">
        <v>87133.66</v>
      </c>
      <c r="H51" s="31">
        <f t="shared" si="3"/>
        <v>87133.66</v>
      </c>
      <c r="I51" s="31">
        <v>0</v>
      </c>
      <c r="J51" s="33"/>
      <c r="K51" s="31">
        <v>0</v>
      </c>
      <c r="L51" s="33"/>
      <c r="M51" s="31">
        <v>0</v>
      </c>
      <c r="N51" s="33"/>
      <c r="O51" s="31">
        <v>0</v>
      </c>
      <c r="P51" s="33"/>
      <c r="Q51" s="31">
        <v>0</v>
      </c>
      <c r="R51" s="33"/>
      <c r="S51" s="34">
        <f t="shared" si="4"/>
        <v>0</v>
      </c>
      <c r="T51" s="35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  <row r="52" s="4" customFormat="1" ht="30" customHeight="1" spans="1:41">
      <c r="A52" s="36"/>
      <c r="B52" s="57" t="s">
        <v>205</v>
      </c>
      <c r="C52" s="27" t="s">
        <v>43</v>
      </c>
      <c r="D52" s="28" t="s">
        <v>208</v>
      </c>
      <c r="E52" s="28" t="s">
        <v>209</v>
      </c>
      <c r="F52" s="29"/>
      <c r="G52" s="30">
        <v>158922</v>
      </c>
      <c r="H52" s="31">
        <f t="shared" si="3"/>
        <v>158922</v>
      </c>
      <c r="I52" s="31">
        <v>0</v>
      </c>
      <c r="J52" s="33"/>
      <c r="K52" s="31">
        <v>0</v>
      </c>
      <c r="L52" s="33"/>
      <c r="M52" s="31">
        <v>0</v>
      </c>
      <c r="N52" s="33"/>
      <c r="O52" s="31">
        <v>0</v>
      </c>
      <c r="P52" s="33"/>
      <c r="Q52" s="31">
        <v>0</v>
      </c>
      <c r="R52" s="33"/>
      <c r="S52" s="34">
        <f t="shared" si="4"/>
        <v>0</v>
      </c>
      <c r="T52" s="35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="4" customFormat="1" ht="30" customHeight="1" spans="1:41">
      <c r="A53" s="36"/>
      <c r="B53" s="57" t="s">
        <v>205</v>
      </c>
      <c r="C53" s="27" t="s">
        <v>43</v>
      </c>
      <c r="D53" s="28" t="s">
        <v>210</v>
      </c>
      <c r="E53" s="28" t="s">
        <v>211</v>
      </c>
      <c r="F53" s="29"/>
      <c r="G53" s="30">
        <v>413796.21</v>
      </c>
      <c r="H53" s="31">
        <f t="shared" si="3"/>
        <v>413796.21</v>
      </c>
      <c r="I53" s="31">
        <v>0</v>
      </c>
      <c r="J53" s="33"/>
      <c r="K53" s="31">
        <v>0</v>
      </c>
      <c r="L53" s="33"/>
      <c r="M53" s="31">
        <v>0</v>
      </c>
      <c r="N53" s="33"/>
      <c r="O53" s="31">
        <v>0</v>
      </c>
      <c r="P53" s="33"/>
      <c r="Q53" s="31">
        <v>0</v>
      </c>
      <c r="R53" s="33"/>
      <c r="S53" s="34">
        <f t="shared" si="4"/>
        <v>0</v>
      </c>
      <c r="T53" s="35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="4" customFormat="1" ht="30" customHeight="1" spans="1:41">
      <c r="A54" s="36"/>
      <c r="B54" s="57" t="s">
        <v>205</v>
      </c>
      <c r="C54" s="27" t="s">
        <v>43</v>
      </c>
      <c r="D54" s="28" t="s">
        <v>212</v>
      </c>
      <c r="E54" s="28" t="s">
        <v>213</v>
      </c>
      <c r="F54" s="29"/>
      <c r="G54" s="30">
        <v>717428.96</v>
      </c>
      <c r="H54" s="31">
        <f t="shared" si="3"/>
        <v>717428.96</v>
      </c>
      <c r="I54" s="31">
        <v>0</v>
      </c>
      <c r="J54" s="58"/>
      <c r="K54" s="31">
        <v>0</v>
      </c>
      <c r="L54" s="58"/>
      <c r="M54" s="31">
        <v>0</v>
      </c>
      <c r="N54" s="33"/>
      <c r="O54" s="31">
        <v>0</v>
      </c>
      <c r="P54" s="33"/>
      <c r="Q54" s="31">
        <v>0</v>
      </c>
      <c r="R54" s="33"/>
      <c r="S54" s="34">
        <f t="shared" si="4"/>
        <v>0</v>
      </c>
      <c r="T54" s="35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</row>
    <row r="55" s="4" customFormat="1" ht="30" customHeight="1" spans="1:41">
      <c r="A55" s="36"/>
      <c r="B55" s="57" t="s">
        <v>205</v>
      </c>
      <c r="C55" s="27" t="s">
        <v>43</v>
      </c>
      <c r="D55" s="28" t="s">
        <v>103</v>
      </c>
      <c r="E55" s="28" t="s">
        <v>104</v>
      </c>
      <c r="F55" s="29"/>
      <c r="G55" s="30">
        <v>232420.17</v>
      </c>
      <c r="H55" s="31">
        <f t="shared" si="3"/>
        <v>123080.45</v>
      </c>
      <c r="I55" s="31">
        <v>9684.72</v>
      </c>
      <c r="J55" s="33" t="s">
        <v>131</v>
      </c>
      <c r="K55" s="31">
        <v>45055</v>
      </c>
      <c r="L55" s="33" t="s">
        <v>132</v>
      </c>
      <c r="M55" s="31">
        <v>54600</v>
      </c>
      <c r="N55" s="33" t="s">
        <v>168</v>
      </c>
      <c r="O55" s="31">
        <v>0</v>
      </c>
      <c r="P55" s="33"/>
      <c r="Q55" s="31">
        <v>0</v>
      </c>
      <c r="R55" s="33"/>
      <c r="S55" s="34">
        <f t="shared" si="4"/>
        <v>109339.72</v>
      </c>
      <c r="T55" s="35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s="4" customFormat="1" ht="30" customHeight="1" spans="1:41">
      <c r="A56" s="36"/>
      <c r="B56" s="57" t="s">
        <v>205</v>
      </c>
      <c r="C56" s="27" t="s">
        <v>43</v>
      </c>
      <c r="D56" s="28" t="s">
        <v>105</v>
      </c>
      <c r="E56" s="28" t="s">
        <v>106</v>
      </c>
      <c r="F56" s="29"/>
      <c r="G56" s="30">
        <v>287078.4</v>
      </c>
      <c r="H56" s="31">
        <f t="shared" si="3"/>
        <v>41011.2</v>
      </c>
      <c r="I56" s="31">
        <v>41011.2</v>
      </c>
      <c r="J56" s="58" t="s">
        <v>131</v>
      </c>
      <c r="K56" s="31">
        <v>82022.4</v>
      </c>
      <c r="L56" s="58" t="s">
        <v>132</v>
      </c>
      <c r="M56" s="31">
        <v>123033.6</v>
      </c>
      <c r="N56" s="33" t="s">
        <v>214</v>
      </c>
      <c r="O56" s="31">
        <v>0</v>
      </c>
      <c r="P56" s="33"/>
      <c r="Q56" s="31">
        <v>0</v>
      </c>
      <c r="R56" s="33"/>
      <c r="S56" s="34">
        <f t="shared" si="4"/>
        <v>246067.2</v>
      </c>
      <c r="T56" s="35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</row>
    <row r="57" s="4" customFormat="1" ht="30" customHeight="1" spans="1:41">
      <c r="A57" s="36"/>
      <c r="B57" s="57" t="s">
        <v>215</v>
      </c>
      <c r="C57" s="27" t="s">
        <v>43</v>
      </c>
      <c r="D57" s="28" t="s">
        <v>97</v>
      </c>
      <c r="E57" s="28" t="s">
        <v>98</v>
      </c>
      <c r="F57" s="29"/>
      <c r="G57" s="30">
        <v>152816.07</v>
      </c>
      <c r="H57" s="31">
        <f t="shared" si="3"/>
        <v>138946.07</v>
      </c>
      <c r="I57" s="31">
        <v>9570</v>
      </c>
      <c r="J57" s="33" t="s">
        <v>131</v>
      </c>
      <c r="K57" s="31">
        <v>1180</v>
      </c>
      <c r="L57" s="33" t="s">
        <v>132</v>
      </c>
      <c r="M57" s="31">
        <v>3120</v>
      </c>
      <c r="N57" s="33" t="s">
        <v>216</v>
      </c>
      <c r="O57" s="31">
        <v>0</v>
      </c>
      <c r="P57" s="33"/>
      <c r="Q57" s="31">
        <v>0</v>
      </c>
      <c r="R57" s="33"/>
      <c r="S57" s="34">
        <f t="shared" si="4"/>
        <v>13870</v>
      </c>
      <c r="T57" s="35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</row>
    <row r="58" s="4" customFormat="1" ht="30" customHeight="1" spans="1:41">
      <c r="A58" s="36"/>
      <c r="B58" s="57" t="s">
        <v>215</v>
      </c>
      <c r="C58" s="27" t="s">
        <v>43</v>
      </c>
      <c r="D58" s="28" t="s">
        <v>100</v>
      </c>
      <c r="E58" s="28" t="s">
        <v>101</v>
      </c>
      <c r="F58" s="29"/>
      <c r="G58" s="30">
        <v>114693.9</v>
      </c>
      <c r="H58" s="31">
        <f t="shared" si="3"/>
        <v>104213.9</v>
      </c>
      <c r="I58" s="31">
        <v>10105</v>
      </c>
      <c r="J58" s="33" t="s">
        <v>131</v>
      </c>
      <c r="K58" s="31">
        <v>375</v>
      </c>
      <c r="L58" s="37" t="s">
        <v>128</v>
      </c>
      <c r="M58" s="31">
        <v>0</v>
      </c>
      <c r="N58" s="37"/>
      <c r="O58" s="31">
        <v>0</v>
      </c>
      <c r="P58" s="33"/>
      <c r="Q58" s="31">
        <v>0</v>
      </c>
      <c r="R58" s="33"/>
      <c r="S58" s="34">
        <f t="shared" si="4"/>
        <v>10480</v>
      </c>
      <c r="T58" s="35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="4" customFormat="1" ht="30" customHeight="1" spans="1:41">
      <c r="A59" s="36"/>
      <c r="B59" s="57" t="s">
        <v>215</v>
      </c>
      <c r="C59" s="27" t="s">
        <v>43</v>
      </c>
      <c r="D59" s="28" t="s">
        <v>107</v>
      </c>
      <c r="E59" s="28" t="s">
        <v>108</v>
      </c>
      <c r="F59" s="29"/>
      <c r="G59" s="30">
        <v>427760.95</v>
      </c>
      <c r="H59" s="31">
        <f t="shared" si="3"/>
        <v>390025.95</v>
      </c>
      <c r="I59" s="31">
        <v>1625</v>
      </c>
      <c r="J59" s="58" t="s">
        <v>131</v>
      </c>
      <c r="K59" s="31">
        <v>36110</v>
      </c>
      <c r="L59" s="33" t="s">
        <v>132</v>
      </c>
      <c r="M59" s="31">
        <v>0</v>
      </c>
      <c r="N59" s="33"/>
      <c r="O59" s="31">
        <v>0</v>
      </c>
      <c r="P59" s="33"/>
      <c r="Q59" s="31">
        <v>0</v>
      </c>
      <c r="R59" s="33"/>
      <c r="S59" s="34">
        <f t="shared" si="4"/>
        <v>37735</v>
      </c>
      <c r="T59" s="35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="4" customFormat="1" ht="30" customHeight="1" spans="1:41">
      <c r="A60" s="36"/>
      <c r="B60" s="57" t="s">
        <v>215</v>
      </c>
      <c r="C60" s="27" t="s">
        <v>43</v>
      </c>
      <c r="D60" s="28" t="s">
        <v>217</v>
      </c>
      <c r="E60" s="28" t="s">
        <v>218</v>
      </c>
      <c r="F60" s="29"/>
      <c r="G60" s="30">
        <v>272619.13</v>
      </c>
      <c r="H60" s="31">
        <f t="shared" si="3"/>
        <v>272619.13</v>
      </c>
      <c r="I60" s="31">
        <v>0</v>
      </c>
      <c r="J60" s="58"/>
      <c r="K60" s="31">
        <v>0</v>
      </c>
      <c r="L60" s="33"/>
      <c r="M60" s="31">
        <v>0</v>
      </c>
      <c r="N60" s="58"/>
      <c r="O60" s="31">
        <v>0</v>
      </c>
      <c r="P60" s="33"/>
      <c r="Q60" s="31">
        <v>0</v>
      </c>
      <c r="R60" s="33"/>
      <c r="S60" s="34">
        <f t="shared" si="4"/>
        <v>0</v>
      </c>
      <c r="T60" s="35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="4" customFormat="1" ht="30" customHeight="1" spans="1:41">
      <c r="A61" s="36"/>
      <c r="B61" s="57" t="s">
        <v>215</v>
      </c>
      <c r="C61" s="27" t="s">
        <v>43</v>
      </c>
      <c r="D61" s="28" t="s">
        <v>94</v>
      </c>
      <c r="E61" s="28" t="s">
        <v>95</v>
      </c>
      <c r="F61" s="29"/>
      <c r="G61" s="30">
        <v>366989.05</v>
      </c>
      <c r="H61" s="31">
        <f t="shared" si="3"/>
        <v>360564.05</v>
      </c>
      <c r="I61" s="31">
        <v>1595</v>
      </c>
      <c r="J61" s="58" t="s">
        <v>131</v>
      </c>
      <c r="K61" s="31">
        <v>2280</v>
      </c>
      <c r="L61" s="58" t="s">
        <v>128</v>
      </c>
      <c r="M61" s="31">
        <v>2550</v>
      </c>
      <c r="N61" s="58" t="s">
        <v>174</v>
      </c>
      <c r="O61" s="31">
        <v>0</v>
      </c>
      <c r="P61" s="33"/>
      <c r="Q61" s="31">
        <v>0</v>
      </c>
      <c r="R61" s="33"/>
      <c r="S61" s="34">
        <f t="shared" si="4"/>
        <v>6425</v>
      </c>
      <c r="T61" s="35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="4" customFormat="1" ht="30" customHeight="1" spans="1:41">
      <c r="A62" s="36"/>
      <c r="B62" s="57"/>
      <c r="C62" s="27" t="s">
        <v>43</v>
      </c>
      <c r="D62" s="28" t="s">
        <v>219</v>
      </c>
      <c r="E62" s="28" t="s">
        <v>220</v>
      </c>
      <c r="F62" s="29"/>
      <c r="G62" s="30">
        <v>558916.38</v>
      </c>
      <c r="H62" s="31">
        <f t="shared" si="3"/>
        <v>504901.38</v>
      </c>
      <c r="I62" s="31">
        <v>3675</v>
      </c>
      <c r="J62" s="33" t="s">
        <v>131</v>
      </c>
      <c r="K62" s="31">
        <v>50340</v>
      </c>
      <c r="L62" s="33" t="s">
        <v>132</v>
      </c>
      <c r="M62" s="31">
        <v>0</v>
      </c>
      <c r="N62" s="33"/>
      <c r="O62" s="31">
        <v>0</v>
      </c>
      <c r="P62" s="33"/>
      <c r="Q62" s="31">
        <v>0</v>
      </c>
      <c r="R62" s="33"/>
      <c r="S62" s="34">
        <f t="shared" si="4"/>
        <v>54015</v>
      </c>
      <c r="T62" s="35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="4" customFormat="1" ht="30" customHeight="1" spans="1:41">
      <c r="A63" s="47"/>
      <c r="B63" s="60" t="s">
        <v>205</v>
      </c>
      <c r="C63" s="48"/>
      <c r="D63" s="48"/>
      <c r="E63" s="49" t="s">
        <v>53</v>
      </c>
      <c r="F63" s="50"/>
      <c r="G63" s="50">
        <f>SUM(G50:G62)</f>
        <v>3851332.58</v>
      </c>
      <c r="H63" s="50">
        <f t="shared" ref="H63:S63" si="7">SUM(H50:H62)</f>
        <v>3373400.66</v>
      </c>
      <c r="I63" s="50">
        <f t="shared" si="7"/>
        <v>77265.92</v>
      </c>
      <c r="J63" s="51">
        <f t="shared" si="7"/>
        <v>0</v>
      </c>
      <c r="K63" s="50">
        <f t="shared" si="7"/>
        <v>217362.4</v>
      </c>
      <c r="L63" s="51">
        <f t="shared" si="7"/>
        <v>0</v>
      </c>
      <c r="M63" s="50">
        <f t="shared" si="7"/>
        <v>183303.6</v>
      </c>
      <c r="N63" s="51">
        <f t="shared" si="7"/>
        <v>0</v>
      </c>
      <c r="O63" s="51">
        <f t="shared" si="7"/>
        <v>0</v>
      </c>
      <c r="P63" s="51">
        <f t="shared" si="7"/>
        <v>0</v>
      </c>
      <c r="Q63" s="51">
        <f t="shared" si="7"/>
        <v>0</v>
      </c>
      <c r="R63" s="51">
        <f t="shared" si="7"/>
        <v>0</v>
      </c>
      <c r="S63" s="50">
        <f t="shared" si="7"/>
        <v>477931.92</v>
      </c>
      <c r="T63" s="52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="4" customFormat="1" ht="30" customHeight="1" spans="1:41">
      <c r="A64" s="26" t="s">
        <v>109</v>
      </c>
      <c r="B64" s="57" t="s">
        <v>110</v>
      </c>
      <c r="C64" s="27" t="s">
        <v>43</v>
      </c>
      <c r="D64" s="28" t="s">
        <v>116</v>
      </c>
      <c r="E64" s="55" t="s">
        <v>117</v>
      </c>
      <c r="F64" s="29"/>
      <c r="G64" s="30">
        <v>544969.03</v>
      </c>
      <c r="H64" s="31">
        <f t="shared" si="3"/>
        <v>367430.94</v>
      </c>
      <c r="I64" s="31">
        <v>0</v>
      </c>
      <c r="J64" s="32"/>
      <c r="K64" s="31">
        <v>177538.09</v>
      </c>
      <c r="L64" s="32" t="s">
        <v>131</v>
      </c>
      <c r="M64" s="31">
        <v>0</v>
      </c>
      <c r="N64" s="32"/>
      <c r="O64" s="31">
        <v>0</v>
      </c>
      <c r="P64" s="32"/>
      <c r="Q64" s="31">
        <v>0</v>
      </c>
      <c r="R64" s="33"/>
      <c r="S64" s="34">
        <f t="shared" si="4"/>
        <v>177538.09</v>
      </c>
      <c r="T64" s="35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="4" customFormat="1" ht="30" customHeight="1" spans="1:41">
      <c r="A65" s="36"/>
      <c r="B65" s="57" t="s">
        <v>215</v>
      </c>
      <c r="C65" s="27" t="s">
        <v>43</v>
      </c>
      <c r="D65" s="28" t="s">
        <v>221</v>
      </c>
      <c r="E65" s="28" t="s">
        <v>222</v>
      </c>
      <c r="F65" s="29"/>
      <c r="G65" s="30">
        <v>473637.69</v>
      </c>
      <c r="H65" s="31">
        <f t="shared" si="3"/>
        <v>251703.04</v>
      </c>
      <c r="I65" s="31">
        <v>221934.65</v>
      </c>
      <c r="J65" s="32" t="s">
        <v>131</v>
      </c>
      <c r="K65" s="31">
        <v>0</v>
      </c>
      <c r="L65" s="32"/>
      <c r="M65" s="31">
        <v>0</v>
      </c>
      <c r="N65" s="32"/>
      <c r="O65" s="31">
        <v>0</v>
      </c>
      <c r="P65" s="32"/>
      <c r="Q65" s="31">
        <v>0</v>
      </c>
      <c r="R65" s="33"/>
      <c r="S65" s="34">
        <f t="shared" si="4"/>
        <v>221934.65</v>
      </c>
      <c r="T65" s="35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="4" customFormat="1" ht="30" customHeight="1" spans="1:41">
      <c r="A66" s="36"/>
      <c r="B66" s="57" t="s">
        <v>215</v>
      </c>
      <c r="C66" s="27" t="s">
        <v>43</v>
      </c>
      <c r="D66" s="28" t="s">
        <v>223</v>
      </c>
      <c r="E66" s="28" t="s">
        <v>224</v>
      </c>
      <c r="F66" s="29"/>
      <c r="G66" s="30">
        <v>1267774.62</v>
      </c>
      <c r="H66" s="31">
        <f t="shared" si="3"/>
        <v>1267454.62</v>
      </c>
      <c r="I66" s="31">
        <v>320</v>
      </c>
      <c r="J66" s="32" t="s">
        <v>131</v>
      </c>
      <c r="K66" s="31">
        <v>0</v>
      </c>
      <c r="L66" s="32"/>
      <c r="M66" s="31">
        <v>0</v>
      </c>
      <c r="N66" s="32"/>
      <c r="O66" s="31">
        <v>0</v>
      </c>
      <c r="P66" s="32"/>
      <c r="Q66" s="31">
        <v>0</v>
      </c>
      <c r="R66" s="33"/>
      <c r="S66" s="34">
        <f t="shared" si="4"/>
        <v>320</v>
      </c>
      <c r="T66" s="35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="4" customFormat="1" ht="30" customHeight="1" spans="1:41">
      <c r="A67" s="36"/>
      <c r="B67" s="57" t="s">
        <v>215</v>
      </c>
      <c r="C67" s="39" t="s">
        <v>81</v>
      </c>
      <c r="D67" s="28" t="s">
        <v>225</v>
      </c>
      <c r="E67" s="28" t="s">
        <v>226</v>
      </c>
      <c r="F67" s="29"/>
      <c r="G67" s="30">
        <v>462196.08</v>
      </c>
      <c r="H67" s="31">
        <f t="shared" si="3"/>
        <v>378651.68</v>
      </c>
      <c r="I67" s="31">
        <v>60834</v>
      </c>
      <c r="J67" s="32" t="s">
        <v>131</v>
      </c>
      <c r="K67" s="31">
        <v>22710.4</v>
      </c>
      <c r="L67" s="37" t="s">
        <v>132</v>
      </c>
      <c r="M67" s="31">
        <v>0</v>
      </c>
      <c r="N67" s="32"/>
      <c r="O67" s="31">
        <v>0</v>
      </c>
      <c r="P67" s="32"/>
      <c r="Q67" s="31">
        <v>0</v>
      </c>
      <c r="R67" s="33"/>
      <c r="S67" s="34">
        <f t="shared" si="4"/>
        <v>83544.4</v>
      </c>
      <c r="T67" s="35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="4" customFormat="1" ht="30" customHeight="1" spans="1:41">
      <c r="A68" s="36"/>
      <c r="B68" s="57" t="s">
        <v>215</v>
      </c>
      <c r="C68" s="39" t="s">
        <v>81</v>
      </c>
      <c r="D68" s="28" t="s">
        <v>119</v>
      </c>
      <c r="E68" s="28" t="s">
        <v>120</v>
      </c>
      <c r="F68" s="29"/>
      <c r="G68" s="30">
        <v>1168867.67</v>
      </c>
      <c r="H68" s="31">
        <f t="shared" si="3"/>
        <v>1114519.67</v>
      </c>
      <c r="I68" s="31">
        <v>6928</v>
      </c>
      <c r="J68" s="32" t="s">
        <v>131</v>
      </c>
      <c r="K68" s="31">
        <v>46780</v>
      </c>
      <c r="L68" s="32" t="s">
        <v>125</v>
      </c>
      <c r="M68" s="31">
        <v>640</v>
      </c>
      <c r="N68" s="32" t="s">
        <v>140</v>
      </c>
      <c r="O68" s="31">
        <v>0</v>
      </c>
      <c r="P68" s="32"/>
      <c r="Q68" s="31">
        <v>0</v>
      </c>
      <c r="R68" s="33"/>
      <c r="S68" s="34">
        <f t="shared" si="4"/>
        <v>54348</v>
      </c>
      <c r="T68" s="35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="4" customFormat="1" ht="30" customHeight="1" spans="1:41">
      <c r="A69" s="36"/>
      <c r="B69" s="57" t="s">
        <v>215</v>
      </c>
      <c r="C69" s="27" t="s">
        <v>43</v>
      </c>
      <c r="D69" s="28" t="s">
        <v>227</v>
      </c>
      <c r="E69" s="28" t="s">
        <v>228</v>
      </c>
      <c r="F69" s="29"/>
      <c r="G69" s="30">
        <v>619613.94</v>
      </c>
      <c r="H69" s="31">
        <f>G69-S69</f>
        <v>0</v>
      </c>
      <c r="I69" s="31">
        <v>519952.94</v>
      </c>
      <c r="J69" s="32" t="s">
        <v>131</v>
      </c>
      <c r="K69" s="31">
        <v>96161</v>
      </c>
      <c r="L69" s="32" t="s">
        <v>132</v>
      </c>
      <c r="M69" s="31">
        <v>3500</v>
      </c>
      <c r="N69" s="32" t="s">
        <v>140</v>
      </c>
      <c r="O69" s="31">
        <v>0</v>
      </c>
      <c r="P69" s="32"/>
      <c r="Q69" s="31">
        <v>0</v>
      </c>
      <c r="R69" s="33"/>
      <c r="S69" s="34">
        <f>Q69+O69+M69+K69+I69</f>
        <v>619613.94</v>
      </c>
      <c r="T69" s="35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</row>
    <row r="70" s="4" customFormat="1" ht="30" customHeight="1" spans="1:41">
      <c r="A70" s="36"/>
      <c r="B70" s="57" t="s">
        <v>215</v>
      </c>
      <c r="C70" s="27" t="s">
        <v>43</v>
      </c>
      <c r="D70" s="28" t="s">
        <v>229</v>
      </c>
      <c r="E70" s="28" t="s">
        <v>230</v>
      </c>
      <c r="F70" s="29"/>
      <c r="G70" s="30">
        <v>45619.85</v>
      </c>
      <c r="H70" s="31">
        <f>G70-S70</f>
        <v>45619.85</v>
      </c>
      <c r="I70" s="31">
        <v>0</v>
      </c>
      <c r="J70" s="32"/>
      <c r="K70" s="31">
        <v>0</v>
      </c>
      <c r="L70" s="32"/>
      <c r="M70" s="31">
        <v>0</v>
      </c>
      <c r="N70" s="32"/>
      <c r="O70" s="31">
        <v>0</v>
      </c>
      <c r="P70" s="32"/>
      <c r="Q70" s="31">
        <v>0</v>
      </c>
      <c r="R70" s="33"/>
      <c r="S70" s="34">
        <f>Q70+O70+M70+K70+I70</f>
        <v>0</v>
      </c>
      <c r="T70" s="35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="4" customFormat="1" ht="30" customHeight="1" spans="1:41">
      <c r="A71" s="36"/>
      <c r="B71" s="57" t="s">
        <v>215</v>
      </c>
      <c r="C71" s="27" t="s">
        <v>43</v>
      </c>
      <c r="D71" s="28" t="s">
        <v>113</v>
      </c>
      <c r="E71" s="28" t="s">
        <v>114</v>
      </c>
      <c r="F71" s="61"/>
      <c r="G71" s="30">
        <v>1401191</v>
      </c>
      <c r="H71" s="31">
        <f>G71-S71</f>
        <v>376768.73</v>
      </c>
      <c r="I71" s="31">
        <v>387285.12</v>
      </c>
      <c r="J71" s="32" t="s">
        <v>131</v>
      </c>
      <c r="K71" s="31">
        <v>460657.15</v>
      </c>
      <c r="L71" s="32" t="s">
        <v>132</v>
      </c>
      <c r="M71" s="31">
        <v>176480</v>
      </c>
      <c r="N71" s="32" t="s">
        <v>168</v>
      </c>
      <c r="O71" s="31">
        <v>0</v>
      </c>
      <c r="P71" s="32"/>
      <c r="Q71" s="31">
        <v>0</v>
      </c>
      <c r="R71" s="33"/>
      <c r="S71" s="34">
        <f>Q71+O71+M71+K71+I71</f>
        <v>1024422.27</v>
      </c>
      <c r="T71" s="35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="4" customFormat="1" ht="30" customHeight="1" spans="1:41">
      <c r="A72" s="36"/>
      <c r="B72" s="57" t="s">
        <v>215</v>
      </c>
      <c r="C72" s="27" t="s">
        <v>43</v>
      </c>
      <c r="D72" s="28" t="s">
        <v>111</v>
      </c>
      <c r="E72" s="28" t="s">
        <v>112</v>
      </c>
      <c r="F72" s="29"/>
      <c r="G72" s="30">
        <v>6310</v>
      </c>
      <c r="H72" s="31">
        <f>G72-S72</f>
        <v>0</v>
      </c>
      <c r="I72" s="31">
        <v>6310</v>
      </c>
      <c r="J72" s="32" t="s">
        <v>131</v>
      </c>
      <c r="K72" s="31">
        <v>0</v>
      </c>
      <c r="L72" s="32"/>
      <c r="M72" s="31">
        <v>0</v>
      </c>
      <c r="N72" s="32"/>
      <c r="O72" s="31">
        <v>0</v>
      </c>
      <c r="P72" s="32"/>
      <c r="Q72" s="31">
        <v>0</v>
      </c>
      <c r="R72" s="33"/>
      <c r="S72" s="34">
        <f>Q72+O72+M72+K72+I72</f>
        <v>6310</v>
      </c>
      <c r="T72" s="35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</row>
    <row r="73" s="4" customFormat="1" ht="30" customHeight="1" spans="1:41">
      <c r="A73" s="47"/>
      <c r="B73" s="60" t="s">
        <v>215</v>
      </c>
      <c r="C73" s="48"/>
      <c r="D73" s="48"/>
      <c r="E73" s="49" t="s">
        <v>53</v>
      </c>
      <c r="F73" s="62"/>
      <c r="G73" s="50">
        <f>SUM(G64:G72)</f>
        <v>5990179.88</v>
      </c>
      <c r="H73" s="50">
        <f t="shared" ref="H73:S73" si="8">SUM(H64:H72)</f>
        <v>3802148.53</v>
      </c>
      <c r="I73" s="50">
        <f t="shared" si="8"/>
        <v>1203564.71</v>
      </c>
      <c r="J73" s="51">
        <f t="shared" si="8"/>
        <v>0</v>
      </c>
      <c r="K73" s="50">
        <f t="shared" si="8"/>
        <v>803846.64</v>
      </c>
      <c r="L73" s="51">
        <f t="shared" si="8"/>
        <v>0</v>
      </c>
      <c r="M73" s="50">
        <f t="shared" si="8"/>
        <v>180620</v>
      </c>
      <c r="N73" s="51">
        <f t="shared" si="8"/>
        <v>0</v>
      </c>
      <c r="O73" s="51">
        <f t="shared" si="8"/>
        <v>0</v>
      </c>
      <c r="P73" s="51">
        <f t="shared" si="8"/>
        <v>0</v>
      </c>
      <c r="Q73" s="51">
        <f t="shared" si="8"/>
        <v>0</v>
      </c>
      <c r="R73" s="51">
        <f t="shared" si="8"/>
        <v>0</v>
      </c>
      <c r="S73" s="50">
        <f t="shared" si="8"/>
        <v>2188031.35</v>
      </c>
      <c r="T73" s="52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s="5" customFormat="1" ht="36" customHeight="1" spans="1:41">
      <c r="A74" s="63" t="s">
        <v>73</v>
      </c>
      <c r="B74" s="64"/>
      <c r="C74" s="64"/>
      <c r="D74" s="64"/>
      <c r="E74" s="64"/>
      <c r="F74" s="65"/>
      <c r="G74" s="66">
        <f>SUM(G4:G73)/2</f>
        <v>49648334.05</v>
      </c>
      <c r="H74" s="66">
        <f>SUM(H4:H73)/2</f>
        <v>30353932.4</v>
      </c>
      <c r="I74" s="66">
        <f>SUM(I4:I73)/2</f>
        <v>9024760.98</v>
      </c>
      <c r="J74" s="67"/>
      <c r="K74" s="66">
        <f>SUM(K4:K73)/2</f>
        <v>6997639.69</v>
      </c>
      <c r="L74" s="68">
        <f>SUM(L4:L73)/2</f>
        <v>0</v>
      </c>
      <c r="M74" s="66">
        <f>SUM(M4:M73)/2</f>
        <v>3272000.98</v>
      </c>
      <c r="N74" s="68">
        <v>0</v>
      </c>
      <c r="O74" s="66">
        <f>SUM(O4:O73)/2</f>
        <v>0</v>
      </c>
      <c r="P74" s="68">
        <f>SUM(P4:P73)/2</f>
        <v>0</v>
      </c>
      <c r="Q74" s="66">
        <f>SUM(Q4:Q73)/2</f>
        <v>0</v>
      </c>
      <c r="R74" s="68">
        <f>SUM(R4:R73)/2</f>
        <v>0</v>
      </c>
      <c r="S74" s="69">
        <f>SUM(S4:S73)/2</f>
        <v>19294401.65</v>
      </c>
      <c r="T74" s="70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</row>
    <row r="77" s="4" customFormat="1" ht="13.5" spans="1:41">
      <c r="G77" s="6"/>
      <c r="H77" s="7"/>
      <c r="I77" s="7"/>
      <c r="J77" s="8"/>
      <c r="K77" s="7"/>
      <c r="L77" s="8"/>
      <c r="M77" s="7"/>
      <c r="N77" s="8"/>
      <c r="O77" s="7"/>
      <c r="P77" s="8"/>
      <c r="Q77" s="7"/>
      <c r="R77" s="9"/>
      <c r="S77" s="72" t="s">
        <v>19</v>
      </c>
      <c r="T77" s="73"/>
    </row>
    <row r="78" s="4" customFormat="1" ht="14.25" spans="1:41">
      <c r="G78" s="6"/>
      <c r="H78" s="7"/>
      <c r="I78" s="7"/>
      <c r="J78" s="8"/>
      <c r="K78" s="7"/>
      <c r="L78" s="8"/>
      <c r="M78" s="7"/>
      <c r="N78" s="8"/>
      <c r="O78" s="7"/>
      <c r="P78" s="8"/>
      <c r="Q78" s="7"/>
      <c r="R78" s="9"/>
      <c r="S78" s="74" t="s">
        <v>20</v>
      </c>
      <c r="T78" s="75"/>
    </row>
    <row r="79" s="4" customFormat="1" ht="14.25" spans="1:41">
      <c r="G79" s="6"/>
      <c r="H79" s="7"/>
      <c r="I79" s="7"/>
      <c r="J79" s="8"/>
      <c r="K79" s="7"/>
      <c r="L79" s="8"/>
      <c r="M79" s="7"/>
      <c r="N79" s="8"/>
      <c r="O79" s="7"/>
      <c r="P79" s="8"/>
      <c r="Q79" s="7"/>
      <c r="R79" s="9"/>
      <c r="S79" s="72" t="str">
        <f>汇总表!J12</f>
        <v>日期：2026/9/4</v>
      </c>
      <c r="T79" s="75"/>
    </row>
    <row r="90" spans="5:5">
      <c r="E90" s="76"/>
    </row>
  </sheetData>
  <mergeCells count="22">
    <mergeCell ref="A1:T1"/>
    <mergeCell ref="I2:T2"/>
    <mergeCell ref="A74:F74"/>
    <mergeCell ref="S77:T77"/>
    <mergeCell ref="A2:A3"/>
    <mergeCell ref="A4:A17"/>
    <mergeCell ref="A18:A39"/>
    <mergeCell ref="A40:A49"/>
    <mergeCell ref="A50:A63"/>
    <mergeCell ref="A64:A73"/>
    <mergeCell ref="B2:B3"/>
    <mergeCell ref="B4:B17"/>
    <mergeCell ref="B18:B39"/>
    <mergeCell ref="B40:B49"/>
    <mergeCell ref="B50:B63"/>
    <mergeCell ref="B64:B73"/>
    <mergeCell ref="C2:C3"/>
    <mergeCell ref="D2:D3"/>
    <mergeCell ref="E2:E3"/>
    <mergeCell ref="F2:F3"/>
    <mergeCell ref="G2:G3"/>
    <mergeCell ref="H2:H3"/>
  </mergeCells>
  <pageMargins left="0.751388888888889" right="0.751388888888889" top="1" bottom="1" header="0.5" footer="0.5"/>
  <pageSetup paperSize="8" scale="86" fitToHeight="0" orientation="landscape" horizontalDpi="6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86"/>
  <sheetViews>
    <sheetView topLeftCell="A28" workbookViewId="0">
      <selection activeCell="S6" sqref="S6:S21"/>
    </sheetView>
  </sheetViews>
  <sheetFormatPr defaultColWidth="9.14285714285714" defaultRowHeight="12.75"/>
  <cols>
    <col min="9" max="9" width="13.1428571428571"/>
    <col min="10" max="10" width="10.8571428571429"/>
    <col min="12" max="12" width="12.5714285714286" customWidth="1"/>
    <col min="18" max="18" width="12.5714285714286"/>
    <col min="19" max="19" width="16.8571428571429"/>
  </cols>
  <sheetData>
    <row r="1" spans="1:19">
      <c r="A1" t="s">
        <v>231</v>
      </c>
      <c r="B1" t="s">
        <v>27</v>
      </c>
      <c r="C1" s="1" t="s">
        <v>232</v>
      </c>
      <c r="D1" t="s">
        <v>28</v>
      </c>
      <c r="E1" t="s">
        <v>233</v>
      </c>
      <c r="F1" t="s">
        <v>234</v>
      </c>
      <c r="G1" t="s">
        <v>235</v>
      </c>
      <c r="H1" t="s">
        <v>236</v>
      </c>
      <c r="I1" t="s">
        <v>237</v>
      </c>
      <c r="J1" t="s">
        <v>238</v>
      </c>
      <c r="K1" t="s">
        <v>233</v>
      </c>
      <c r="L1" t="s">
        <v>239</v>
      </c>
    </row>
    <row r="2" spans="1:19">
      <c r="B2" s="209" t="s">
        <v>240</v>
      </c>
      <c r="C2" t="str">
        <f>LEFT(B2,5)</f>
        <v>0300</v>
      </c>
      <c r="D2" t="s">
        <v>241</v>
      </c>
      <c r="E2" t="s">
        <v>242</v>
      </c>
      <c r="F2" s="2">
        <v>1299729.78</v>
      </c>
      <c r="J2" s="2">
        <v>212000</v>
      </c>
      <c r="K2" t="s">
        <v>242</v>
      </c>
      <c r="L2" s="2"/>
      <c r="R2" t="s">
        <v>243</v>
      </c>
      <c r="S2" t="s">
        <v>244</v>
      </c>
    </row>
    <row r="3" spans="1:19">
      <c r="B3" t="s">
        <v>245</v>
      </c>
      <c r="C3" t="str">
        <f t="shared" ref="C3:C34" si="0">LEFT(B3,5)</f>
        <v>0300-</v>
      </c>
      <c r="D3" t="s">
        <v>246</v>
      </c>
      <c r="E3" t="s">
        <v>247</v>
      </c>
      <c r="F3" s="2">
        <v>1017963.91</v>
      </c>
      <c r="G3" s="2">
        <v>391930.65</v>
      </c>
      <c r="H3" s="2">
        <v>112507.42</v>
      </c>
      <c r="I3" s="2">
        <v>2336262.69</v>
      </c>
      <c r="J3" s="2">
        <v>7263858.83</v>
      </c>
      <c r="K3" t="s">
        <v>247</v>
      </c>
      <c r="L3" s="2"/>
      <c r="R3" t="s">
        <v>240</v>
      </c>
    </row>
    <row r="4" spans="1:19">
      <c r="B4" t="s">
        <v>248</v>
      </c>
      <c r="C4" t="str">
        <f t="shared" si="0"/>
        <v>C001</v>
      </c>
      <c r="D4" t="s">
        <v>249</v>
      </c>
      <c r="E4" t="s">
        <v>250</v>
      </c>
      <c r="G4">
        <v>900</v>
      </c>
      <c r="I4" s="2">
        <v>1199.4</v>
      </c>
      <c r="J4">
        <v>299.4</v>
      </c>
      <c r="K4" t="s">
        <v>247</v>
      </c>
      <c r="L4"/>
      <c r="R4" t="s">
        <v>251</v>
      </c>
    </row>
    <row r="5" spans="1:19">
      <c r="B5" t="s">
        <v>219</v>
      </c>
      <c r="C5" t="str">
        <f t="shared" si="0"/>
        <v>CF101</v>
      </c>
      <c r="D5" t="s">
        <v>252</v>
      </c>
      <c r="E5" t="s">
        <v>250</v>
      </c>
      <c r="I5" s="2">
        <v>2065637.18</v>
      </c>
      <c r="J5" s="2">
        <v>2065637.18</v>
      </c>
      <c r="K5" t="s">
        <v>250</v>
      </c>
      <c r="R5" t="s">
        <v>248</v>
      </c>
    </row>
    <row r="6" spans="1:19">
      <c r="B6" t="s">
        <v>97</v>
      </c>
      <c r="C6" t="str">
        <f t="shared" si="0"/>
        <v>CF102</v>
      </c>
      <c r="D6" t="s">
        <v>253</v>
      </c>
      <c r="E6" t="s">
        <v>247</v>
      </c>
      <c r="F6">
        <v>200</v>
      </c>
      <c r="I6" s="2">
        <v>2385938.71</v>
      </c>
      <c r="J6" s="2">
        <v>2385738.71</v>
      </c>
      <c r="K6" t="s">
        <v>247</v>
      </c>
      <c r="L6">
        <v>200</v>
      </c>
      <c r="R6" t="s">
        <v>219</v>
      </c>
      <c r="S6">
        <v>558916.38</v>
      </c>
    </row>
    <row r="7" spans="1:19">
      <c r="B7" t="s">
        <v>254</v>
      </c>
      <c r="C7" t="str">
        <f t="shared" si="0"/>
        <v>CF102</v>
      </c>
      <c r="D7" t="s">
        <v>255</v>
      </c>
      <c r="E7" t="s">
        <v>250</v>
      </c>
      <c r="J7">
        <v>800</v>
      </c>
      <c r="K7" t="s">
        <v>250</v>
      </c>
      <c r="R7" t="s">
        <v>97</v>
      </c>
      <c r="S7">
        <v>152926.07</v>
      </c>
    </row>
    <row r="8" spans="1:19">
      <c r="B8" t="s">
        <v>105</v>
      </c>
      <c r="C8" t="str">
        <f t="shared" si="0"/>
        <v>CF107</v>
      </c>
      <c r="D8" t="s">
        <v>256</v>
      </c>
      <c r="E8" t="s">
        <v>250</v>
      </c>
      <c r="I8" s="2">
        <v>529905.26</v>
      </c>
      <c r="J8" s="2">
        <v>529905.26</v>
      </c>
      <c r="K8" t="s">
        <v>250</v>
      </c>
      <c r="R8" t="s">
        <v>105</v>
      </c>
      <c r="S8">
        <v>369100.8</v>
      </c>
    </row>
    <row r="9" spans="1:19">
      <c r="B9" t="s">
        <v>103</v>
      </c>
      <c r="C9" t="str">
        <f t="shared" si="0"/>
        <v>CF108</v>
      </c>
      <c r="D9" t="s">
        <v>257</v>
      </c>
      <c r="E9" t="s">
        <v>247</v>
      </c>
      <c r="F9" s="2">
        <v>4647</v>
      </c>
      <c r="H9" s="2">
        <v>2782</v>
      </c>
      <c r="I9" s="2">
        <v>1481247.31</v>
      </c>
      <c r="J9" s="2">
        <v>1489267.31</v>
      </c>
      <c r="K9" t="s">
        <v>247</v>
      </c>
      <c r="L9" s="2">
        <v>1865</v>
      </c>
      <c r="R9" t="s">
        <v>103</v>
      </c>
      <c r="S9">
        <v>235575.17</v>
      </c>
    </row>
    <row r="10" spans="1:19">
      <c r="B10" t="s">
        <v>94</v>
      </c>
      <c r="C10" t="str">
        <f t="shared" si="0"/>
        <v>CF120</v>
      </c>
      <c r="D10" t="s">
        <v>258</v>
      </c>
      <c r="E10" t="s">
        <v>247</v>
      </c>
      <c r="F10">
        <v>150</v>
      </c>
      <c r="I10" s="2">
        <v>3350251.78</v>
      </c>
      <c r="J10" s="2">
        <v>3350101.78</v>
      </c>
      <c r="K10" t="s">
        <v>247</v>
      </c>
      <c r="L10">
        <v>150</v>
      </c>
      <c r="R10" t="s">
        <v>94</v>
      </c>
      <c r="S10">
        <v>369664.05</v>
      </c>
    </row>
    <row r="11" spans="1:19">
      <c r="B11" t="s">
        <v>259</v>
      </c>
      <c r="C11" t="str">
        <f t="shared" si="0"/>
        <v>CF120</v>
      </c>
      <c r="D11" t="s">
        <v>260</v>
      </c>
      <c r="E11" t="s">
        <v>247</v>
      </c>
      <c r="F11" s="2">
        <v>2160</v>
      </c>
      <c r="J11" s="2">
        <v>640794.14</v>
      </c>
      <c r="K11" t="s">
        <v>247</v>
      </c>
      <c r="L11" s="2">
        <v>2160</v>
      </c>
      <c r="R11" t="s">
        <v>217</v>
      </c>
      <c r="S11">
        <v>272619.13</v>
      </c>
    </row>
    <row r="12" spans="1:19">
      <c r="B12" t="s">
        <v>217</v>
      </c>
      <c r="C12" t="str">
        <f t="shared" si="0"/>
        <v>CF121</v>
      </c>
      <c r="D12" t="s">
        <v>261</v>
      </c>
      <c r="E12" t="s">
        <v>250</v>
      </c>
      <c r="I12" s="2">
        <v>2740413.91</v>
      </c>
      <c r="J12" s="2">
        <v>2740413.91</v>
      </c>
      <c r="K12" t="s">
        <v>250</v>
      </c>
      <c r="R12" t="s">
        <v>107</v>
      </c>
      <c r="S12">
        <v>428645.95</v>
      </c>
    </row>
    <row r="13" spans="1:19">
      <c r="B13" t="s">
        <v>107</v>
      </c>
      <c r="C13" t="str">
        <f t="shared" si="0"/>
        <v>CF122</v>
      </c>
      <c r="D13" t="s">
        <v>262</v>
      </c>
      <c r="E13" t="s">
        <v>250</v>
      </c>
      <c r="I13" s="2">
        <v>2164861.51</v>
      </c>
      <c r="J13" s="2">
        <v>2164861.51</v>
      </c>
      <c r="K13" t="s">
        <v>250</v>
      </c>
      <c r="R13" t="s">
        <v>263</v>
      </c>
    </row>
    <row r="14" spans="1:19">
      <c r="B14" t="s">
        <v>264</v>
      </c>
      <c r="C14" t="str">
        <f t="shared" si="0"/>
        <v>CF122</v>
      </c>
      <c r="D14" t="s">
        <v>265</v>
      </c>
      <c r="E14" t="s">
        <v>250</v>
      </c>
      <c r="I14">
        <v>-660</v>
      </c>
      <c r="K14" t="s">
        <v>250</v>
      </c>
      <c r="R14" t="s">
        <v>160</v>
      </c>
      <c r="S14">
        <v>55810</v>
      </c>
    </row>
    <row r="15" spans="1:19">
      <c r="B15" t="s">
        <v>266</v>
      </c>
      <c r="C15" t="str">
        <f t="shared" si="0"/>
        <v>CF122</v>
      </c>
      <c r="D15" t="s">
        <v>267</v>
      </c>
      <c r="E15" t="s">
        <v>250</v>
      </c>
      <c r="I15">
        <v>300</v>
      </c>
      <c r="J15">
        <v>300</v>
      </c>
      <c r="K15" t="s">
        <v>250</v>
      </c>
      <c r="R15" t="s">
        <v>187</v>
      </c>
      <c r="S15">
        <v>1008090.2</v>
      </c>
    </row>
    <row r="16" spans="1:19">
      <c r="B16" t="s">
        <v>263</v>
      </c>
      <c r="C16" t="str">
        <f t="shared" si="0"/>
        <v>CF124</v>
      </c>
      <c r="D16" t="s">
        <v>268</v>
      </c>
      <c r="E16" t="s">
        <v>250</v>
      </c>
      <c r="I16" s="2">
        <v>1830619.5</v>
      </c>
      <c r="J16" s="2">
        <v>1830619.5</v>
      </c>
      <c r="K16" t="s">
        <v>250</v>
      </c>
      <c r="R16" t="s">
        <v>269</v>
      </c>
      <c r="S16">
        <v>15377520.68</v>
      </c>
    </row>
    <row r="17" spans="2:19">
      <c r="B17" t="s">
        <v>160</v>
      </c>
      <c r="C17" t="str">
        <f t="shared" si="0"/>
        <v>CF125</v>
      </c>
      <c r="D17" t="s">
        <v>270</v>
      </c>
      <c r="E17" t="s">
        <v>247</v>
      </c>
      <c r="F17" s="2">
        <v>60950</v>
      </c>
      <c r="G17" s="2">
        <v>171692.17</v>
      </c>
      <c r="H17" s="2">
        <v>176832.17</v>
      </c>
      <c r="I17" s="2">
        <v>3492840.89</v>
      </c>
      <c r="J17" s="2">
        <v>3471460.89</v>
      </c>
      <c r="K17" t="s">
        <v>247</v>
      </c>
      <c r="L17" s="2">
        <v>55810</v>
      </c>
      <c r="R17" t="s">
        <v>100</v>
      </c>
      <c r="S17">
        <v>122872.9</v>
      </c>
    </row>
    <row r="18" spans="2:19">
      <c r="B18" t="s">
        <v>271</v>
      </c>
      <c r="C18" t="str">
        <f t="shared" si="0"/>
        <v>CF125</v>
      </c>
      <c r="D18" t="s">
        <v>272</v>
      </c>
      <c r="E18" t="s">
        <v>250</v>
      </c>
      <c r="I18" s="2">
        <v>-2475</v>
      </c>
      <c r="J18" s="2">
        <v>71712</v>
      </c>
      <c r="K18" t="s">
        <v>250</v>
      </c>
      <c r="R18" t="s">
        <v>164</v>
      </c>
      <c r="S18">
        <v>2250</v>
      </c>
    </row>
    <row r="19" spans="2:19">
      <c r="B19" t="s">
        <v>187</v>
      </c>
      <c r="C19" t="str">
        <f t="shared" si="0"/>
        <v>CF126</v>
      </c>
      <c r="D19" t="s">
        <v>273</v>
      </c>
      <c r="E19" t="s">
        <v>247</v>
      </c>
      <c r="F19" s="2">
        <v>1622030.1</v>
      </c>
      <c r="G19" s="2">
        <v>204529.1</v>
      </c>
      <c r="H19" s="2">
        <v>1335539.2</v>
      </c>
      <c r="I19" s="2">
        <v>11918149.07</v>
      </c>
      <c r="J19" s="2">
        <v>12922395.07</v>
      </c>
      <c r="K19" t="s">
        <v>247</v>
      </c>
      <c r="L19" s="2">
        <v>491020</v>
      </c>
      <c r="R19" t="s">
        <v>133</v>
      </c>
      <c r="S19">
        <v>455900.44</v>
      </c>
    </row>
    <row r="20" spans="2:19">
      <c r="B20" t="s">
        <v>138</v>
      </c>
      <c r="C20" t="str">
        <f t="shared" si="0"/>
        <v>CF127</v>
      </c>
      <c r="D20" t="s">
        <v>274</v>
      </c>
      <c r="E20" t="s">
        <v>247</v>
      </c>
      <c r="F20" s="2">
        <v>2903243</v>
      </c>
      <c r="G20" s="2">
        <v>1631816.01</v>
      </c>
      <c r="H20" s="2">
        <v>29149.31</v>
      </c>
      <c r="I20" s="2">
        <v>12117081</v>
      </c>
      <c r="J20" s="2">
        <v>10605020.49</v>
      </c>
      <c r="K20" t="s">
        <v>247</v>
      </c>
      <c r="L20" s="2">
        <v>4505909.7</v>
      </c>
      <c r="R20" t="s">
        <v>129</v>
      </c>
      <c r="S20">
        <v>309130.42</v>
      </c>
    </row>
    <row r="21" spans="2:19">
      <c r="B21" t="s">
        <v>151</v>
      </c>
      <c r="C21" t="str">
        <f t="shared" si="0"/>
        <v>CF127</v>
      </c>
      <c r="D21" t="s">
        <v>275</v>
      </c>
      <c r="E21" t="s">
        <v>247</v>
      </c>
      <c r="F21" s="2">
        <v>5562171.67</v>
      </c>
      <c r="G21" s="2">
        <v>2024661.85</v>
      </c>
      <c r="H21" s="2">
        <v>56979.2</v>
      </c>
      <c r="I21" s="2">
        <v>14984874.27</v>
      </c>
      <c r="J21" s="2">
        <v>11156364.71</v>
      </c>
      <c r="K21" t="s">
        <v>247</v>
      </c>
      <c r="L21" s="2">
        <v>7529854.32</v>
      </c>
      <c r="R21" t="s">
        <v>82</v>
      </c>
      <c r="S21">
        <v>139980</v>
      </c>
    </row>
    <row r="22" spans="2:19">
      <c r="B22" t="s">
        <v>100</v>
      </c>
      <c r="C22" t="str">
        <f t="shared" si="0"/>
        <v>CF134</v>
      </c>
      <c r="D22" t="s">
        <v>276</v>
      </c>
      <c r="E22" t="s">
        <v>250</v>
      </c>
      <c r="I22" s="2">
        <v>1967704.87</v>
      </c>
      <c r="J22" s="2">
        <v>1967704.87</v>
      </c>
      <c r="K22" t="s">
        <v>250</v>
      </c>
      <c r="R22" t="s">
        <v>126</v>
      </c>
      <c r="S22">
        <v>3162095.75</v>
      </c>
    </row>
    <row r="23" spans="2:19">
      <c r="B23" t="s">
        <v>277</v>
      </c>
      <c r="C23" t="str">
        <f t="shared" si="0"/>
        <v>CF134</v>
      </c>
      <c r="D23" t="s">
        <v>278</v>
      </c>
      <c r="E23" t="s">
        <v>247</v>
      </c>
      <c r="F23" s="2">
        <v>8329</v>
      </c>
      <c r="I23">
        <v>-60</v>
      </c>
      <c r="J23">
        <v>918</v>
      </c>
      <c r="K23" t="s">
        <v>247</v>
      </c>
      <c r="L23" s="2">
        <v>8329</v>
      </c>
      <c r="R23" t="s">
        <v>123</v>
      </c>
      <c r="S23">
        <v>695917.45</v>
      </c>
    </row>
    <row r="24" spans="2:19">
      <c r="B24" t="s">
        <v>164</v>
      </c>
      <c r="C24" t="str">
        <f t="shared" si="0"/>
        <v>CF137</v>
      </c>
      <c r="D24" t="s">
        <v>279</v>
      </c>
      <c r="E24" t="s">
        <v>247</v>
      </c>
      <c r="F24" s="2">
        <v>2250</v>
      </c>
      <c r="I24" s="2">
        <v>2149525.1</v>
      </c>
      <c r="J24" s="2">
        <v>2147275.1</v>
      </c>
      <c r="K24" t="s">
        <v>247</v>
      </c>
      <c r="L24" s="2">
        <v>2250</v>
      </c>
      <c r="R24" t="s">
        <v>85</v>
      </c>
      <c r="S24">
        <v>3114968.63</v>
      </c>
    </row>
    <row r="25" spans="2:19">
      <c r="B25" t="s">
        <v>280</v>
      </c>
      <c r="C25" t="str">
        <f t="shared" si="0"/>
        <v>CF137</v>
      </c>
      <c r="D25" t="s">
        <v>281</v>
      </c>
      <c r="E25" t="s">
        <v>250</v>
      </c>
      <c r="K25" t="s">
        <v>250</v>
      </c>
      <c r="R25" t="s">
        <v>44</v>
      </c>
      <c r="S25">
        <v>2858080.02</v>
      </c>
    </row>
    <row r="26" spans="2:19">
      <c r="B26" t="s">
        <v>133</v>
      </c>
      <c r="C26" t="str">
        <f t="shared" si="0"/>
        <v>CF138</v>
      </c>
      <c r="D26" t="s">
        <v>282</v>
      </c>
      <c r="E26" t="s">
        <v>247</v>
      </c>
      <c r="F26" s="2">
        <v>27509.51</v>
      </c>
      <c r="G26" s="2">
        <v>17426.01</v>
      </c>
      <c r="H26" s="2">
        <v>14948.2</v>
      </c>
      <c r="I26" s="2">
        <v>1404764.82</v>
      </c>
      <c r="J26" s="2">
        <v>1385856.36</v>
      </c>
      <c r="K26" t="s">
        <v>247</v>
      </c>
      <c r="L26" s="2">
        <v>29987.32</v>
      </c>
      <c r="R26" t="s">
        <v>88</v>
      </c>
      <c r="S26">
        <v>1979507.62</v>
      </c>
    </row>
    <row r="27" spans="2:19">
      <c r="B27" t="s">
        <v>129</v>
      </c>
      <c r="C27" t="str">
        <f t="shared" si="0"/>
        <v>CF139</v>
      </c>
      <c r="D27" t="s">
        <v>283</v>
      </c>
      <c r="E27" t="s">
        <v>247</v>
      </c>
      <c r="F27" s="2">
        <v>57827.8</v>
      </c>
      <c r="G27" s="2">
        <v>211008.13</v>
      </c>
      <c r="H27" s="2">
        <v>182854.99</v>
      </c>
      <c r="I27" s="2">
        <v>1512518.68</v>
      </c>
      <c r="J27" s="2">
        <v>1551102.14</v>
      </c>
      <c r="K27" t="s">
        <v>247</v>
      </c>
      <c r="L27" s="2">
        <v>85980.94</v>
      </c>
      <c r="R27" t="s">
        <v>172</v>
      </c>
      <c r="S27">
        <v>978747.48</v>
      </c>
    </row>
    <row r="28" spans="2:19">
      <c r="B28" t="s">
        <v>82</v>
      </c>
      <c r="C28" t="str">
        <f t="shared" si="0"/>
        <v>CF140</v>
      </c>
      <c r="D28" t="s">
        <v>284</v>
      </c>
      <c r="E28" t="s">
        <v>247</v>
      </c>
      <c r="F28" s="2">
        <v>232885</v>
      </c>
      <c r="G28" s="2">
        <v>200819.63</v>
      </c>
      <c r="H28" s="2">
        <v>293724.63</v>
      </c>
      <c r="I28" s="2">
        <v>1322100.51</v>
      </c>
      <c r="J28" s="2">
        <v>1219104.51</v>
      </c>
      <c r="K28" t="s">
        <v>247</v>
      </c>
      <c r="L28" s="2">
        <v>139980</v>
      </c>
      <c r="R28" t="s">
        <v>169</v>
      </c>
      <c r="S28">
        <v>637643.7</v>
      </c>
    </row>
    <row r="29" spans="2:19">
      <c r="B29" t="s">
        <v>285</v>
      </c>
      <c r="C29" t="str">
        <f t="shared" si="0"/>
        <v>CF140</v>
      </c>
      <c r="D29" t="s">
        <v>286</v>
      </c>
      <c r="E29" t="s">
        <v>250</v>
      </c>
      <c r="K29" t="s">
        <v>250</v>
      </c>
      <c r="R29" t="s">
        <v>48</v>
      </c>
      <c r="S29">
        <v>2993474.3</v>
      </c>
    </row>
    <row r="30" spans="2:19">
      <c r="B30" t="s">
        <v>126</v>
      </c>
      <c r="C30" t="str">
        <f t="shared" si="0"/>
        <v>CF141</v>
      </c>
      <c r="D30" t="s">
        <v>287</v>
      </c>
      <c r="E30" t="s">
        <v>247</v>
      </c>
      <c r="F30" s="2">
        <v>1708329.02</v>
      </c>
      <c r="G30" s="2">
        <v>729012.44</v>
      </c>
      <c r="H30" s="2">
        <v>85245.73</v>
      </c>
      <c r="I30" s="2">
        <v>5734117.44</v>
      </c>
      <c r="J30" s="2">
        <v>5450681.7</v>
      </c>
      <c r="K30" t="s">
        <v>247</v>
      </c>
      <c r="L30" s="2">
        <v>2352095.73</v>
      </c>
      <c r="R30" t="s">
        <v>50</v>
      </c>
      <c r="S30">
        <v>866164.05</v>
      </c>
    </row>
    <row r="31" spans="2:19">
      <c r="B31" t="s">
        <v>123</v>
      </c>
      <c r="C31" t="str">
        <f t="shared" si="0"/>
        <v>CF142</v>
      </c>
      <c r="D31" t="s">
        <v>288</v>
      </c>
      <c r="E31" t="s">
        <v>247</v>
      </c>
      <c r="F31" s="2">
        <v>1150008.79</v>
      </c>
      <c r="H31" s="2">
        <v>454091.34</v>
      </c>
      <c r="I31" s="2">
        <v>2934195.19</v>
      </c>
      <c r="J31" s="2">
        <v>3647106.24</v>
      </c>
      <c r="K31" t="s">
        <v>247</v>
      </c>
      <c r="L31" s="2">
        <v>695917.45</v>
      </c>
      <c r="R31" t="s">
        <v>183</v>
      </c>
      <c r="S31">
        <v>136147.53</v>
      </c>
    </row>
    <row r="32" spans="2:19">
      <c r="B32" t="s">
        <v>85</v>
      </c>
      <c r="C32" t="str">
        <f t="shared" si="0"/>
        <v>CF160</v>
      </c>
      <c r="D32" t="s">
        <v>289</v>
      </c>
      <c r="E32" t="s">
        <v>247</v>
      </c>
      <c r="F32" s="2">
        <v>1720058.45</v>
      </c>
      <c r="I32" s="2">
        <v>1320058.45</v>
      </c>
      <c r="J32" s="2">
        <v>994349.12</v>
      </c>
      <c r="K32" t="s">
        <v>247</v>
      </c>
      <c r="L32" s="2">
        <v>1720058.45</v>
      </c>
      <c r="R32" t="s">
        <v>185</v>
      </c>
      <c r="S32">
        <v>2355</v>
      </c>
    </row>
    <row r="33" spans="2:19">
      <c r="B33" t="s">
        <v>44</v>
      </c>
      <c r="C33" t="str">
        <f t="shared" si="0"/>
        <v>CF173</v>
      </c>
      <c r="D33" t="s">
        <v>290</v>
      </c>
      <c r="E33" t="s">
        <v>247</v>
      </c>
      <c r="F33" s="2">
        <v>755109.32</v>
      </c>
      <c r="H33" s="2">
        <v>266033.24</v>
      </c>
      <c r="I33" s="2">
        <v>3569933.8</v>
      </c>
      <c r="J33" s="2">
        <v>3080857.72</v>
      </c>
      <c r="K33" t="s">
        <v>247</v>
      </c>
      <c r="L33" s="2">
        <v>489076.08</v>
      </c>
      <c r="R33" t="s">
        <v>155</v>
      </c>
      <c r="S33">
        <v>1177757.33</v>
      </c>
    </row>
    <row r="34" spans="2:19">
      <c r="B34" t="s">
        <v>88</v>
      </c>
      <c r="C34" t="str">
        <f t="shared" si="0"/>
        <v>CF174</v>
      </c>
      <c r="D34" t="s">
        <v>291</v>
      </c>
      <c r="E34" t="s">
        <v>247</v>
      </c>
      <c r="F34" s="2">
        <v>663072.08</v>
      </c>
      <c r="I34" s="2">
        <v>2270847.91</v>
      </c>
      <c r="J34" s="2">
        <v>1807775.83</v>
      </c>
      <c r="K34" t="s">
        <v>247</v>
      </c>
      <c r="L34" s="2">
        <v>663072.08</v>
      </c>
      <c r="R34" t="s">
        <v>92</v>
      </c>
      <c r="S34">
        <v>265481.78</v>
      </c>
    </row>
    <row r="35" spans="2:19">
      <c r="B35" t="s">
        <v>172</v>
      </c>
      <c r="C35" t="str">
        <f t="shared" ref="C35:C66" si="1">LEFT(B35,5)</f>
        <v>CF175</v>
      </c>
      <c r="D35" t="s">
        <v>292</v>
      </c>
      <c r="E35" t="s">
        <v>247</v>
      </c>
      <c r="F35" s="2">
        <v>770840.33</v>
      </c>
      <c r="I35" s="2">
        <v>1877311.04</v>
      </c>
      <c r="J35" s="2">
        <v>1106470.71</v>
      </c>
      <c r="K35" t="s">
        <v>247</v>
      </c>
      <c r="L35" s="2">
        <v>770840.33</v>
      </c>
      <c r="R35" t="s">
        <v>116</v>
      </c>
      <c r="S35">
        <v>1591774.68</v>
      </c>
    </row>
    <row r="36" spans="2:19">
      <c r="B36" t="s">
        <v>169</v>
      </c>
      <c r="C36" t="str">
        <f t="shared" si="1"/>
        <v>CF177</v>
      </c>
      <c r="D36" t="s">
        <v>293</v>
      </c>
      <c r="E36" t="s">
        <v>250</v>
      </c>
      <c r="I36" s="2">
        <v>448248.16</v>
      </c>
      <c r="J36" s="2">
        <v>456268.16</v>
      </c>
      <c r="K36" t="s">
        <v>250</v>
      </c>
      <c r="R36" t="s">
        <v>221</v>
      </c>
      <c r="S36">
        <v>473637.69</v>
      </c>
    </row>
    <row r="37" spans="2:19">
      <c r="B37" t="s">
        <v>48</v>
      </c>
      <c r="C37" t="str">
        <f t="shared" si="1"/>
        <v>CF179</v>
      </c>
      <c r="D37" t="s">
        <v>294</v>
      </c>
      <c r="E37" t="s">
        <v>247</v>
      </c>
      <c r="F37" s="2">
        <v>641321.74</v>
      </c>
      <c r="I37" s="2">
        <v>2953440.51</v>
      </c>
      <c r="J37" s="2">
        <v>2312118.77</v>
      </c>
      <c r="K37" t="s">
        <v>247</v>
      </c>
      <c r="L37" s="2">
        <v>641321.74</v>
      </c>
      <c r="R37" t="s">
        <v>223</v>
      </c>
      <c r="S37">
        <v>1267774.62</v>
      </c>
    </row>
    <row r="38" spans="2:19">
      <c r="B38" t="s">
        <v>50</v>
      </c>
      <c r="C38" t="str">
        <f t="shared" si="1"/>
        <v>CF180</v>
      </c>
      <c r="D38" t="s">
        <v>295</v>
      </c>
      <c r="E38" t="s">
        <v>247</v>
      </c>
      <c r="F38" s="2">
        <v>626132.1</v>
      </c>
      <c r="I38" s="2">
        <v>746635.48</v>
      </c>
      <c r="J38" s="2">
        <v>410885.14</v>
      </c>
      <c r="K38" t="s">
        <v>247</v>
      </c>
      <c r="L38" s="2">
        <v>626132.1</v>
      </c>
      <c r="R38" t="s">
        <v>199</v>
      </c>
      <c r="S38">
        <v>75411.48</v>
      </c>
    </row>
    <row r="39" spans="2:19">
      <c r="B39" t="s">
        <v>183</v>
      </c>
      <c r="C39" t="str">
        <f t="shared" si="1"/>
        <v>CF181</v>
      </c>
      <c r="D39" t="s">
        <v>296</v>
      </c>
      <c r="E39" t="s">
        <v>247</v>
      </c>
      <c r="F39" s="2">
        <v>1120</v>
      </c>
      <c r="G39" s="2">
        <v>154787.69</v>
      </c>
      <c r="H39" s="2">
        <v>154677.69</v>
      </c>
      <c r="I39" s="2">
        <v>1224233.19</v>
      </c>
      <c r="J39" s="2">
        <v>1223888.19</v>
      </c>
      <c r="K39" t="s">
        <v>247</v>
      </c>
      <c r="L39" s="2">
        <v>1230</v>
      </c>
      <c r="R39" t="s">
        <v>58</v>
      </c>
      <c r="S39">
        <v>5949942.6</v>
      </c>
    </row>
    <row r="40" spans="2:19">
      <c r="B40" t="s">
        <v>185</v>
      </c>
      <c r="C40" t="str">
        <f t="shared" si="1"/>
        <v>CF182</v>
      </c>
      <c r="D40" t="s">
        <v>297</v>
      </c>
      <c r="E40" t="s">
        <v>250</v>
      </c>
      <c r="I40" s="2">
        <v>1928343.39</v>
      </c>
      <c r="J40" s="2">
        <v>1930923.39</v>
      </c>
      <c r="K40" t="s">
        <v>250</v>
      </c>
      <c r="R40" t="s">
        <v>136</v>
      </c>
      <c r="S40">
        <v>175277.73</v>
      </c>
    </row>
    <row r="41" spans="2:19">
      <c r="B41" t="s">
        <v>155</v>
      </c>
      <c r="C41" t="str">
        <f t="shared" si="1"/>
        <v>CF183</v>
      </c>
      <c r="D41" t="s">
        <v>298</v>
      </c>
      <c r="E41" t="s">
        <v>247</v>
      </c>
      <c r="F41" s="2">
        <v>10270</v>
      </c>
      <c r="G41" s="2">
        <v>93525.67</v>
      </c>
      <c r="I41" s="2">
        <v>1742294.32</v>
      </c>
      <c r="J41" s="2">
        <v>1638498.65</v>
      </c>
      <c r="K41" t="s">
        <v>247</v>
      </c>
      <c r="L41" s="2">
        <v>103795.67</v>
      </c>
      <c r="R41" t="s">
        <v>225</v>
      </c>
      <c r="S41">
        <v>462196.08</v>
      </c>
    </row>
    <row r="42" spans="2:19">
      <c r="B42" t="s">
        <v>92</v>
      </c>
      <c r="C42" t="str">
        <f t="shared" si="1"/>
        <v>CF190</v>
      </c>
      <c r="D42" t="s">
        <v>299</v>
      </c>
      <c r="E42" t="s">
        <v>250</v>
      </c>
      <c r="I42" s="2">
        <v>1024936.16</v>
      </c>
      <c r="J42" s="2">
        <v>1024936.16</v>
      </c>
      <c r="K42" t="s">
        <v>250</v>
      </c>
      <c r="R42" t="s">
        <v>119</v>
      </c>
      <c r="S42">
        <v>1174277.67</v>
      </c>
    </row>
    <row r="43" spans="2:19">
      <c r="B43" t="s">
        <v>300</v>
      </c>
      <c r="C43" t="str">
        <f t="shared" si="1"/>
        <v>CF190</v>
      </c>
      <c r="D43" t="s">
        <v>301</v>
      </c>
      <c r="E43" t="s">
        <v>247</v>
      </c>
      <c r="F43" s="2">
        <v>78484.24</v>
      </c>
      <c r="K43" t="s">
        <v>247</v>
      </c>
      <c r="L43" s="2">
        <v>78484.24</v>
      </c>
      <c r="R43" t="s">
        <v>197</v>
      </c>
      <c r="S43">
        <v>185287.96</v>
      </c>
    </row>
    <row r="44" spans="2:19">
      <c r="B44" t="s">
        <v>116</v>
      </c>
      <c r="C44" t="str">
        <f t="shared" si="1"/>
        <v>CF191</v>
      </c>
      <c r="D44" t="s">
        <v>302</v>
      </c>
      <c r="E44" t="s">
        <v>247</v>
      </c>
      <c r="F44" s="2">
        <v>1401919.26</v>
      </c>
      <c r="G44" s="2">
        <v>185507.16</v>
      </c>
      <c r="H44" s="2">
        <v>177575.02</v>
      </c>
      <c r="I44" s="2">
        <v>1441081.02</v>
      </c>
      <c r="J44" s="2">
        <v>1228130.32</v>
      </c>
      <c r="K44" t="s">
        <v>247</v>
      </c>
      <c r="L44" s="2">
        <v>1409851.4</v>
      </c>
      <c r="R44" t="s">
        <v>227</v>
      </c>
      <c r="S44">
        <v>619613.94</v>
      </c>
    </row>
    <row r="45" spans="2:19">
      <c r="B45" t="s">
        <v>221</v>
      </c>
      <c r="C45" t="str">
        <f t="shared" si="1"/>
        <v>CF212</v>
      </c>
      <c r="D45" t="s">
        <v>303</v>
      </c>
      <c r="E45" t="s">
        <v>247</v>
      </c>
      <c r="F45" s="2">
        <v>221934.65</v>
      </c>
      <c r="G45" s="2">
        <v>102684.65</v>
      </c>
      <c r="I45" s="2">
        <v>1667698.37</v>
      </c>
      <c r="J45" s="2">
        <v>1343079.07</v>
      </c>
      <c r="K45" t="s">
        <v>247</v>
      </c>
      <c r="L45" s="2">
        <v>324619.3</v>
      </c>
      <c r="R45" t="s">
        <v>304</v>
      </c>
    </row>
    <row r="46" spans="2:19">
      <c r="B46" t="s">
        <v>223</v>
      </c>
      <c r="C46" t="str">
        <f t="shared" si="1"/>
        <v>CF213</v>
      </c>
      <c r="D46" t="s">
        <v>305</v>
      </c>
      <c r="E46" t="s">
        <v>247</v>
      </c>
      <c r="F46" s="2">
        <v>1202037</v>
      </c>
      <c r="G46" s="2">
        <v>1139440.51</v>
      </c>
      <c r="H46" s="2">
        <v>1244835.51</v>
      </c>
      <c r="I46" s="2">
        <v>4666741.06</v>
      </c>
      <c r="J46" s="2">
        <v>3633493.82</v>
      </c>
      <c r="K46" t="s">
        <v>247</v>
      </c>
      <c r="L46" s="2">
        <v>1096642</v>
      </c>
      <c r="R46" t="s">
        <v>193</v>
      </c>
      <c r="S46">
        <v>1107336.19</v>
      </c>
    </row>
    <row r="47" spans="2:19">
      <c r="B47" t="s">
        <v>199</v>
      </c>
      <c r="C47" t="str">
        <f t="shared" si="1"/>
        <v>CF251</v>
      </c>
      <c r="D47" t="s">
        <v>306</v>
      </c>
      <c r="E47" t="s">
        <v>247</v>
      </c>
      <c r="F47">
        <v>900</v>
      </c>
      <c r="I47" s="2">
        <v>4644900</v>
      </c>
      <c r="J47" s="2">
        <v>4644000</v>
      </c>
      <c r="K47" t="s">
        <v>247</v>
      </c>
      <c r="L47">
        <v>900</v>
      </c>
      <c r="R47" t="s">
        <v>229</v>
      </c>
      <c r="S47">
        <v>45619.85</v>
      </c>
    </row>
    <row r="48" spans="2:19">
      <c r="B48" t="s">
        <v>307</v>
      </c>
      <c r="C48" t="str">
        <f t="shared" si="1"/>
        <v>CF270</v>
      </c>
      <c r="D48" t="s">
        <v>308</v>
      </c>
      <c r="E48" t="s">
        <v>247</v>
      </c>
      <c r="F48" s="2">
        <v>3039439.35</v>
      </c>
      <c r="K48" t="s">
        <v>247</v>
      </c>
      <c r="L48" s="2">
        <v>3039439.35</v>
      </c>
      <c r="R48" t="s">
        <v>181</v>
      </c>
      <c r="S48">
        <v>23213</v>
      </c>
    </row>
    <row r="49" spans="2:19">
      <c r="B49" t="s">
        <v>136</v>
      </c>
      <c r="C49" t="str">
        <f t="shared" si="1"/>
        <v>CF272</v>
      </c>
      <c r="D49" t="s">
        <v>309</v>
      </c>
      <c r="E49" t="s">
        <v>250</v>
      </c>
      <c r="I49" s="2">
        <v>5033546.61</v>
      </c>
      <c r="J49" s="2">
        <v>5033546.61</v>
      </c>
      <c r="K49" t="s">
        <v>250</v>
      </c>
      <c r="R49" t="s">
        <v>179</v>
      </c>
      <c r="S49">
        <v>158624.28</v>
      </c>
    </row>
    <row r="50" spans="2:19">
      <c r="B50" t="s">
        <v>310</v>
      </c>
      <c r="C50" t="str">
        <f t="shared" si="1"/>
        <v>CF272</v>
      </c>
      <c r="D50" t="s">
        <v>311</v>
      </c>
      <c r="E50" t="s">
        <v>250</v>
      </c>
      <c r="K50" t="s">
        <v>250</v>
      </c>
      <c r="R50" t="s">
        <v>177</v>
      </c>
      <c r="S50">
        <v>263506.66</v>
      </c>
    </row>
    <row r="51" spans="2:19">
      <c r="B51" t="s">
        <v>225</v>
      </c>
      <c r="C51" t="str">
        <f t="shared" si="1"/>
        <v>CF273</v>
      </c>
      <c r="D51" t="s">
        <v>312</v>
      </c>
      <c r="E51" t="s">
        <v>247</v>
      </c>
      <c r="F51" s="2">
        <v>85744.4</v>
      </c>
      <c r="G51" s="2">
        <v>283635.41</v>
      </c>
      <c r="H51" s="2">
        <v>95885.41</v>
      </c>
      <c r="I51" s="2">
        <v>1692637.38</v>
      </c>
      <c r="J51" s="2">
        <v>1883473.68</v>
      </c>
      <c r="K51" t="s">
        <v>247</v>
      </c>
      <c r="L51" s="2">
        <v>273494.4</v>
      </c>
      <c r="R51" t="s">
        <v>175</v>
      </c>
      <c r="S51">
        <v>825228.26</v>
      </c>
    </row>
    <row r="52" spans="2:19">
      <c r="B52" t="s">
        <v>119</v>
      </c>
      <c r="C52" t="str">
        <f t="shared" si="1"/>
        <v>CF275</v>
      </c>
      <c r="D52" t="s">
        <v>313</v>
      </c>
      <c r="E52" t="s">
        <v>247</v>
      </c>
      <c r="F52" s="2">
        <v>87900</v>
      </c>
      <c r="G52" s="2">
        <v>87019.61</v>
      </c>
      <c r="H52" s="2">
        <v>54768.61</v>
      </c>
      <c r="I52" s="2">
        <v>4703075.23</v>
      </c>
      <c r="J52" s="2">
        <v>4606904.23</v>
      </c>
      <c r="K52" t="s">
        <v>247</v>
      </c>
      <c r="L52" s="2">
        <v>120151</v>
      </c>
      <c r="R52" t="s">
        <v>314</v>
      </c>
    </row>
    <row r="53" spans="2:19">
      <c r="B53" t="s">
        <v>315</v>
      </c>
      <c r="C53" t="str">
        <f t="shared" si="1"/>
        <v>CF275</v>
      </c>
      <c r="D53" t="s">
        <v>316</v>
      </c>
      <c r="E53" t="s">
        <v>247</v>
      </c>
      <c r="F53" s="2">
        <v>7930</v>
      </c>
      <c r="J53" s="2">
        <v>161410</v>
      </c>
      <c r="K53" t="s">
        <v>247</v>
      </c>
      <c r="L53" s="2">
        <v>7930</v>
      </c>
      <c r="R53" t="s">
        <v>153</v>
      </c>
      <c r="S53">
        <v>56992.07</v>
      </c>
    </row>
    <row r="54" spans="2:19">
      <c r="B54" t="s">
        <v>317</v>
      </c>
      <c r="C54" t="str">
        <f t="shared" si="1"/>
        <v>CF275</v>
      </c>
      <c r="D54" t="s">
        <v>318</v>
      </c>
      <c r="E54" t="s">
        <v>250</v>
      </c>
      <c r="K54" t="s">
        <v>250</v>
      </c>
      <c r="R54" t="s">
        <v>77</v>
      </c>
      <c r="S54">
        <v>155417.23</v>
      </c>
    </row>
    <row r="55" spans="2:19">
      <c r="B55" t="s">
        <v>197</v>
      </c>
      <c r="C55" t="str">
        <f t="shared" si="1"/>
        <v>CF276</v>
      </c>
      <c r="D55" t="s">
        <v>319</v>
      </c>
      <c r="E55" t="s">
        <v>247</v>
      </c>
      <c r="F55">
        <v>250</v>
      </c>
      <c r="I55" s="2">
        <v>2897138.6</v>
      </c>
      <c r="J55" s="2">
        <v>2919082.6</v>
      </c>
      <c r="K55" t="s">
        <v>247</v>
      </c>
      <c r="L55">
        <v>250</v>
      </c>
      <c r="R55" t="s">
        <v>113</v>
      </c>
      <c r="S55">
        <v>1655835.5</v>
      </c>
    </row>
    <row r="56" spans="2:19">
      <c r="B56" t="s">
        <v>227</v>
      </c>
      <c r="C56" t="str">
        <f t="shared" si="1"/>
        <v>CF293</v>
      </c>
      <c r="D56" t="s">
        <v>320</v>
      </c>
      <c r="E56" t="s">
        <v>250</v>
      </c>
      <c r="I56" s="2">
        <v>589874.71</v>
      </c>
      <c r="J56" s="2">
        <v>589874.71</v>
      </c>
      <c r="K56" t="s">
        <v>250</v>
      </c>
      <c r="R56" t="s">
        <v>149</v>
      </c>
      <c r="S56">
        <v>664440.39</v>
      </c>
    </row>
    <row r="57" spans="2:19">
      <c r="B57" t="s">
        <v>321</v>
      </c>
      <c r="C57" t="str">
        <f t="shared" si="1"/>
        <v>CF293</v>
      </c>
      <c r="D57" t="s">
        <v>322</v>
      </c>
      <c r="E57" t="s">
        <v>247</v>
      </c>
      <c r="F57" s="2">
        <v>42484.28</v>
      </c>
      <c r="I57" s="2">
        <v>2299348.2</v>
      </c>
      <c r="J57" s="2">
        <v>2264353.92</v>
      </c>
      <c r="K57" t="s">
        <v>247</v>
      </c>
      <c r="L57" s="2">
        <v>42484.28</v>
      </c>
      <c r="R57" t="s">
        <v>147</v>
      </c>
      <c r="S57">
        <v>170171.4</v>
      </c>
    </row>
    <row r="58" spans="2:19">
      <c r="B58" t="s">
        <v>323</v>
      </c>
      <c r="C58" t="str">
        <f t="shared" si="1"/>
        <v>CF310</v>
      </c>
      <c r="D58" t="s">
        <v>324</v>
      </c>
      <c r="E58" t="s">
        <v>250</v>
      </c>
      <c r="K58" t="s">
        <v>250</v>
      </c>
      <c r="R58" t="s">
        <v>111</v>
      </c>
      <c r="S58">
        <v>6360</v>
      </c>
    </row>
    <row r="59" spans="2:19">
      <c r="B59" t="s">
        <v>193</v>
      </c>
      <c r="C59" t="str">
        <f t="shared" si="1"/>
        <v>CF320</v>
      </c>
      <c r="D59" t="s">
        <v>325</v>
      </c>
      <c r="E59" t="s">
        <v>247</v>
      </c>
      <c r="F59" s="2">
        <v>692453.4</v>
      </c>
      <c r="I59" s="2">
        <v>4503340.43</v>
      </c>
      <c r="J59" s="2">
        <v>3810887.03</v>
      </c>
      <c r="K59" t="s">
        <v>247</v>
      </c>
      <c r="L59" s="2">
        <v>692453.4</v>
      </c>
      <c r="R59" t="s">
        <v>326</v>
      </c>
    </row>
    <row r="60" spans="2:19">
      <c r="B60" t="s">
        <v>229</v>
      </c>
      <c r="C60" t="str">
        <f t="shared" si="1"/>
        <v>CF341</v>
      </c>
      <c r="D60" t="s">
        <v>327</v>
      </c>
      <c r="E60" t="s">
        <v>250</v>
      </c>
      <c r="I60" s="2">
        <v>1462314.3</v>
      </c>
      <c r="J60" s="2">
        <v>1462314.3</v>
      </c>
      <c r="K60" t="s">
        <v>250</v>
      </c>
      <c r="R60" t="s">
        <v>145</v>
      </c>
      <c r="S60">
        <v>167353.69</v>
      </c>
    </row>
    <row r="61" spans="2:19">
      <c r="B61" t="s">
        <v>181</v>
      </c>
      <c r="C61" t="str">
        <f t="shared" si="1"/>
        <v>CF360</v>
      </c>
      <c r="D61" t="s">
        <v>328</v>
      </c>
      <c r="E61" t="s">
        <v>247</v>
      </c>
      <c r="F61" s="2">
        <v>23880</v>
      </c>
      <c r="G61" s="2">
        <v>660115.17</v>
      </c>
      <c r="H61" s="2">
        <v>661880.17</v>
      </c>
      <c r="I61" s="2">
        <v>4474120.75</v>
      </c>
      <c r="J61" s="2">
        <v>4486445.75</v>
      </c>
      <c r="K61" t="s">
        <v>247</v>
      </c>
      <c r="L61" s="2">
        <v>22115</v>
      </c>
      <c r="R61" t="s">
        <v>162</v>
      </c>
      <c r="S61">
        <v>45261.49</v>
      </c>
    </row>
    <row r="62" spans="2:19">
      <c r="B62" t="s">
        <v>179</v>
      </c>
      <c r="C62" t="str">
        <f t="shared" si="1"/>
        <v>CF363</v>
      </c>
      <c r="D62" t="s">
        <v>329</v>
      </c>
      <c r="E62" t="s">
        <v>247</v>
      </c>
      <c r="F62" s="2">
        <v>160124.28</v>
      </c>
      <c r="H62" s="2">
        <v>1500</v>
      </c>
      <c r="I62" s="2">
        <v>2866549.33</v>
      </c>
      <c r="J62" s="2">
        <v>2707925.05</v>
      </c>
      <c r="K62" t="s">
        <v>247</v>
      </c>
      <c r="L62" s="2">
        <v>158624.28</v>
      </c>
      <c r="R62" t="s">
        <v>143</v>
      </c>
      <c r="S62">
        <v>568469</v>
      </c>
    </row>
    <row r="63" spans="2:19">
      <c r="B63" t="s">
        <v>177</v>
      </c>
      <c r="C63" t="str">
        <f t="shared" si="1"/>
        <v>CF364</v>
      </c>
      <c r="D63" t="s">
        <v>330</v>
      </c>
      <c r="E63" t="s">
        <v>247</v>
      </c>
      <c r="F63" s="2">
        <v>3189.04</v>
      </c>
      <c r="G63" s="2">
        <v>185717.32</v>
      </c>
      <c r="H63" s="2">
        <v>185717.32</v>
      </c>
      <c r="I63" s="2">
        <v>2428335.38</v>
      </c>
      <c r="J63" s="2">
        <v>2425146.34</v>
      </c>
      <c r="K63" t="s">
        <v>247</v>
      </c>
      <c r="L63" s="2">
        <v>3189.04</v>
      </c>
      <c r="R63" t="s">
        <v>166</v>
      </c>
      <c r="S63">
        <v>92052.3</v>
      </c>
    </row>
    <row r="64" spans="2:19">
      <c r="B64" t="s">
        <v>175</v>
      </c>
      <c r="C64" t="str">
        <f t="shared" si="1"/>
        <v>CF450</v>
      </c>
      <c r="D64" t="s">
        <v>331</v>
      </c>
      <c r="E64" t="s">
        <v>250</v>
      </c>
      <c r="I64" s="2">
        <v>6951566.15</v>
      </c>
      <c r="J64" s="2">
        <v>6951566.15</v>
      </c>
      <c r="K64" t="s">
        <v>250</v>
      </c>
      <c r="R64" t="s">
        <v>206</v>
      </c>
      <c r="S64">
        <v>87133.66</v>
      </c>
    </row>
    <row r="65" spans="2:19">
      <c r="B65" t="s">
        <v>314</v>
      </c>
      <c r="C65" t="str">
        <f t="shared" si="1"/>
        <v>CF452</v>
      </c>
      <c r="D65" t="s">
        <v>332</v>
      </c>
      <c r="E65" t="s">
        <v>250</v>
      </c>
      <c r="I65" s="2">
        <v>2472137.2</v>
      </c>
      <c r="J65" s="2">
        <v>2472137.2</v>
      </c>
      <c r="K65" t="s">
        <v>250</v>
      </c>
      <c r="R65" t="s">
        <v>333</v>
      </c>
    </row>
    <row r="66" spans="2:19">
      <c r="B66" t="s">
        <v>153</v>
      </c>
      <c r="C66" t="str">
        <f t="shared" si="1"/>
        <v>CF453</v>
      </c>
      <c r="D66" t="s">
        <v>334</v>
      </c>
      <c r="E66" t="s">
        <v>250</v>
      </c>
      <c r="G66" s="2">
        <v>55472.47</v>
      </c>
      <c r="H66" s="2">
        <v>55472.47</v>
      </c>
      <c r="I66" s="2">
        <v>542787.86</v>
      </c>
      <c r="J66" s="2">
        <v>542787.86</v>
      </c>
      <c r="K66" t="s">
        <v>250</v>
      </c>
      <c r="R66" t="s">
        <v>189</v>
      </c>
      <c r="S66">
        <v>81565.72</v>
      </c>
    </row>
    <row r="67" spans="2:19">
      <c r="B67" t="s">
        <v>77</v>
      </c>
      <c r="C67" t="str">
        <f t="shared" ref="C67:C98" si="2">LEFT(B67,5)</f>
        <v>CF474</v>
      </c>
      <c r="D67" t="s">
        <v>335</v>
      </c>
      <c r="E67" t="s">
        <v>247</v>
      </c>
      <c r="F67" s="2">
        <v>5073</v>
      </c>
      <c r="I67" s="2">
        <v>4486848.4</v>
      </c>
      <c r="J67" s="2">
        <v>4481775.4</v>
      </c>
      <c r="K67" t="s">
        <v>247</v>
      </c>
      <c r="L67" s="2">
        <v>5073</v>
      </c>
      <c r="R67" t="s">
        <v>65</v>
      </c>
      <c r="S67">
        <v>107690</v>
      </c>
    </row>
    <row r="68" spans="2:19">
      <c r="B68" t="s">
        <v>336</v>
      </c>
      <c r="C68" t="str">
        <f t="shared" si="2"/>
        <v>CF474</v>
      </c>
      <c r="D68" t="s">
        <v>337</v>
      </c>
      <c r="E68" t="s">
        <v>250</v>
      </c>
      <c r="J68" s="2">
        <v>1575</v>
      </c>
      <c r="K68" t="s">
        <v>250</v>
      </c>
      <c r="R68" t="s">
        <v>203</v>
      </c>
      <c r="S68">
        <v>60757.7</v>
      </c>
    </row>
    <row r="69" spans="2:19">
      <c r="B69" t="s">
        <v>113</v>
      </c>
      <c r="C69" t="str">
        <f t="shared" si="2"/>
        <v>CF475</v>
      </c>
      <c r="D69" t="s">
        <v>338</v>
      </c>
      <c r="E69" t="s">
        <v>247</v>
      </c>
      <c r="F69" s="2">
        <v>617753.27</v>
      </c>
      <c r="G69" s="2">
        <v>146935.42</v>
      </c>
      <c r="H69" s="2">
        <v>34305</v>
      </c>
      <c r="I69" s="2">
        <v>2307442.73</v>
      </c>
      <c r="J69" s="2">
        <v>1577059.04</v>
      </c>
      <c r="K69" t="s">
        <v>247</v>
      </c>
      <c r="L69" s="2">
        <v>730383.69</v>
      </c>
      <c r="R69" t="s">
        <v>339</v>
      </c>
    </row>
    <row r="70" spans="2:19">
      <c r="B70" t="s">
        <v>340</v>
      </c>
      <c r="C70" t="str">
        <f t="shared" si="2"/>
        <v>CF475</v>
      </c>
      <c r="D70" t="s">
        <v>341</v>
      </c>
      <c r="E70" t="s">
        <v>250</v>
      </c>
      <c r="I70" s="2">
        <v>420489.03</v>
      </c>
      <c r="J70" s="2">
        <v>451595.13</v>
      </c>
      <c r="K70" t="s">
        <v>250</v>
      </c>
      <c r="R70" t="s">
        <v>208</v>
      </c>
      <c r="S70">
        <v>158922</v>
      </c>
    </row>
    <row r="71" spans="2:19">
      <c r="B71" t="s">
        <v>149</v>
      </c>
      <c r="C71" t="str">
        <f t="shared" si="2"/>
        <v>CF477</v>
      </c>
      <c r="D71" t="s">
        <v>342</v>
      </c>
      <c r="E71" t="s">
        <v>247</v>
      </c>
      <c r="F71" s="2">
        <v>345127.78</v>
      </c>
      <c r="I71" s="2">
        <v>5339000.87</v>
      </c>
      <c r="J71" s="2">
        <v>4993873.09</v>
      </c>
      <c r="K71" t="s">
        <v>247</v>
      </c>
      <c r="L71" s="2">
        <v>345127.78</v>
      </c>
      <c r="R71" t="s">
        <v>210</v>
      </c>
      <c r="S71">
        <v>413796.21</v>
      </c>
    </row>
    <row r="72" spans="2:19">
      <c r="B72" t="s">
        <v>343</v>
      </c>
      <c r="C72" t="str">
        <f t="shared" si="2"/>
        <v>CF477</v>
      </c>
      <c r="D72" t="s">
        <v>344</v>
      </c>
      <c r="E72" t="s">
        <v>250</v>
      </c>
      <c r="J72" s="2">
        <v>7830</v>
      </c>
      <c r="K72" t="s">
        <v>250</v>
      </c>
      <c r="R72" t="s">
        <v>212</v>
      </c>
      <c r="S72">
        <v>717428.96</v>
      </c>
    </row>
    <row r="73" spans="2:19">
      <c r="B73" t="s">
        <v>147</v>
      </c>
      <c r="C73" t="str">
        <f t="shared" si="2"/>
        <v>CF478</v>
      </c>
      <c r="D73" t="s">
        <v>345</v>
      </c>
      <c r="E73" t="s">
        <v>250</v>
      </c>
      <c r="G73" s="2">
        <v>251149.6</v>
      </c>
      <c r="H73" s="2">
        <v>251149.6</v>
      </c>
      <c r="I73" s="2">
        <v>2186690.12</v>
      </c>
      <c r="J73" s="2">
        <v>2186690.12</v>
      </c>
      <c r="K73" t="s">
        <v>250</v>
      </c>
      <c r="R73" t="s">
        <v>201</v>
      </c>
      <c r="S73">
        <v>250663.05</v>
      </c>
    </row>
    <row r="74" spans="2:19">
      <c r="B74" t="s">
        <v>111</v>
      </c>
      <c r="C74" t="str">
        <f t="shared" si="2"/>
        <v>CF479</v>
      </c>
      <c r="D74" t="s">
        <v>346</v>
      </c>
      <c r="E74" t="s">
        <v>247</v>
      </c>
      <c r="F74" s="2">
        <v>5690</v>
      </c>
      <c r="H74" s="2">
        <v>5040</v>
      </c>
      <c r="I74" s="2">
        <v>2780261.17</v>
      </c>
      <c r="J74" s="2">
        <v>2779611.17</v>
      </c>
      <c r="K74" t="s">
        <v>247</v>
      </c>
      <c r="L74">
        <v>650</v>
      </c>
      <c r="R74" t="s">
        <v>157</v>
      </c>
      <c r="S74">
        <v>547034.13</v>
      </c>
    </row>
    <row r="75" spans="2:19">
      <c r="B75" t="s">
        <v>326</v>
      </c>
      <c r="C75" t="str">
        <f t="shared" si="2"/>
        <v>CF480</v>
      </c>
      <c r="D75" t="s">
        <v>347</v>
      </c>
      <c r="E75" t="s">
        <v>250</v>
      </c>
      <c r="I75" s="2">
        <v>1540103.91</v>
      </c>
      <c r="J75" s="2">
        <v>1544003.91</v>
      </c>
      <c r="K75" t="s">
        <v>250</v>
      </c>
      <c r="R75" t="s">
        <v>141</v>
      </c>
      <c r="S75">
        <v>1549640.55</v>
      </c>
    </row>
    <row r="76" spans="2:19">
      <c r="B76" t="s">
        <v>145</v>
      </c>
      <c r="C76" t="str">
        <f t="shared" si="2"/>
        <v>CF481</v>
      </c>
      <c r="D76" t="s">
        <v>348</v>
      </c>
      <c r="E76" t="s">
        <v>247</v>
      </c>
      <c r="F76">
        <v>680</v>
      </c>
      <c r="G76" s="2">
        <v>138087.57</v>
      </c>
      <c r="H76" s="2">
        <v>3960</v>
      </c>
      <c r="I76" s="2">
        <v>1310277.9</v>
      </c>
      <c r="J76" s="2">
        <v>1399817.05</v>
      </c>
      <c r="K76" t="s">
        <v>247</v>
      </c>
      <c r="L76" s="2">
        <v>134807.57</v>
      </c>
      <c r="R76" t="s">
        <v>191</v>
      </c>
      <c r="S76">
        <v>1443341.22</v>
      </c>
    </row>
    <row r="77" spans="2:19">
      <c r="B77" t="s">
        <v>162</v>
      </c>
      <c r="C77" t="str">
        <f t="shared" si="2"/>
        <v>CF513</v>
      </c>
      <c r="D77" t="s">
        <v>349</v>
      </c>
      <c r="E77" t="s">
        <v>250</v>
      </c>
      <c r="G77" s="2">
        <v>45516.47</v>
      </c>
      <c r="H77" s="2">
        <v>45516.47</v>
      </c>
      <c r="I77" s="2">
        <v>456380.92</v>
      </c>
      <c r="J77" s="2">
        <v>456380.92</v>
      </c>
      <c r="K77" t="s">
        <v>250</v>
      </c>
      <c r="R77" t="s">
        <v>195</v>
      </c>
      <c r="S77">
        <v>269875.84</v>
      </c>
    </row>
    <row r="78" spans="2:19">
      <c r="B78" t="s">
        <v>206</v>
      </c>
      <c r="C78" t="str">
        <f t="shared" si="2"/>
        <v>CF620</v>
      </c>
      <c r="D78" t="s">
        <v>350</v>
      </c>
      <c r="E78" t="s">
        <v>250</v>
      </c>
      <c r="I78" s="2">
        <v>1696671.25</v>
      </c>
      <c r="J78" s="2">
        <v>1696671.25</v>
      </c>
      <c r="K78" t="s">
        <v>250</v>
      </c>
      <c r="R78" t="s">
        <v>351</v>
      </c>
    </row>
    <row r="79" spans="2:19">
      <c r="B79" t="s">
        <v>333</v>
      </c>
      <c r="C79" t="str">
        <f t="shared" si="2"/>
        <v>CF640</v>
      </c>
      <c r="D79" t="s">
        <v>352</v>
      </c>
      <c r="E79" t="s">
        <v>250</v>
      </c>
      <c r="I79" s="2">
        <v>418281.92</v>
      </c>
      <c r="J79" s="2">
        <v>418281.92</v>
      </c>
      <c r="K79" t="s">
        <v>250</v>
      </c>
      <c r="R79" t="s">
        <v>353</v>
      </c>
    </row>
    <row r="80" spans="2:19">
      <c r="B80" t="s">
        <v>189</v>
      </c>
      <c r="C80" t="str">
        <f t="shared" si="2"/>
        <v>CF641</v>
      </c>
      <c r="D80" t="s">
        <v>354</v>
      </c>
      <c r="E80" t="s">
        <v>247</v>
      </c>
      <c r="F80" s="2">
        <v>2548.25</v>
      </c>
      <c r="I80" s="2">
        <v>2754973.96</v>
      </c>
      <c r="J80" s="2">
        <v>2756475.71</v>
      </c>
      <c r="K80" t="s">
        <v>247</v>
      </c>
      <c r="L80" s="2">
        <v>2548.25</v>
      </c>
      <c r="R80" t="s">
        <v>18</v>
      </c>
      <c r="S80">
        <v>62396267.63</v>
      </c>
    </row>
    <row r="81" spans="2:12">
      <c r="B81" t="s">
        <v>65</v>
      </c>
      <c r="C81" t="str">
        <f t="shared" si="2"/>
        <v>CF693</v>
      </c>
      <c r="D81" t="s">
        <v>355</v>
      </c>
      <c r="E81" t="s">
        <v>247</v>
      </c>
      <c r="F81" s="2">
        <v>94490</v>
      </c>
      <c r="K81" t="s">
        <v>247</v>
      </c>
      <c r="L81" s="2">
        <v>94490</v>
      </c>
    </row>
    <row r="82" spans="2:12">
      <c r="B82" t="s">
        <v>356</v>
      </c>
      <c r="C82" t="str">
        <f t="shared" si="2"/>
        <v>CF693</v>
      </c>
      <c r="D82" t="s">
        <v>357</v>
      </c>
      <c r="E82" t="s">
        <v>247</v>
      </c>
      <c r="F82" s="2">
        <v>13200</v>
      </c>
      <c r="J82" s="2">
        <v>44360</v>
      </c>
      <c r="K82" t="s">
        <v>247</v>
      </c>
      <c r="L82" s="2">
        <v>13200</v>
      </c>
    </row>
    <row r="83" spans="2:12">
      <c r="B83" t="s">
        <v>203</v>
      </c>
      <c r="C83" t="str">
        <f t="shared" si="2"/>
        <v>CF694</v>
      </c>
      <c r="D83" t="s">
        <v>358</v>
      </c>
      <c r="E83" t="s">
        <v>250</v>
      </c>
      <c r="G83" s="2">
        <v>366582.95</v>
      </c>
      <c r="H83" s="2">
        <v>310465.25</v>
      </c>
      <c r="I83" s="2">
        <v>3709847.99</v>
      </c>
      <c r="J83" s="2">
        <v>3653730.29</v>
      </c>
      <c r="K83" t="s">
        <v>247</v>
      </c>
      <c r="L83" s="2">
        <v>56117.7</v>
      </c>
    </row>
    <row r="84" spans="2:12">
      <c r="B84" t="s">
        <v>359</v>
      </c>
      <c r="C84" t="str">
        <f t="shared" si="2"/>
        <v>CF694</v>
      </c>
      <c r="D84" t="s">
        <v>360</v>
      </c>
      <c r="E84" t="s">
        <v>250</v>
      </c>
      <c r="I84" s="2">
        <v>875317.04</v>
      </c>
      <c r="J84" s="2">
        <v>896797.04</v>
      </c>
      <c r="K84" t="s">
        <v>250</v>
      </c>
    </row>
    <row r="85" spans="2:12">
      <c r="B85" t="s">
        <v>339</v>
      </c>
      <c r="C85" t="str">
        <f t="shared" si="2"/>
        <v>CF695</v>
      </c>
      <c r="D85" t="s">
        <v>361</v>
      </c>
      <c r="E85" t="s">
        <v>250</v>
      </c>
      <c r="J85">
        <v>500</v>
      </c>
      <c r="K85" t="s">
        <v>250</v>
      </c>
    </row>
    <row r="86" spans="2:12">
      <c r="B86" t="s">
        <v>208</v>
      </c>
      <c r="C86" t="str">
        <f t="shared" si="2"/>
        <v>CF696</v>
      </c>
      <c r="D86" t="s">
        <v>362</v>
      </c>
      <c r="E86" t="s">
        <v>250</v>
      </c>
      <c r="I86" s="2">
        <v>459470</v>
      </c>
      <c r="J86" s="2">
        <v>459470</v>
      </c>
      <c r="K86" t="s">
        <v>250</v>
      </c>
    </row>
    <row r="87" spans="2:12">
      <c r="B87" t="s">
        <v>210</v>
      </c>
      <c r="C87" t="str">
        <f t="shared" si="2"/>
        <v>CF697</v>
      </c>
      <c r="D87" t="s">
        <v>363</v>
      </c>
      <c r="E87" t="s">
        <v>242</v>
      </c>
      <c r="F87" s="2">
        <v>1451543.14</v>
      </c>
      <c r="I87" s="2">
        <v>6237950.34</v>
      </c>
      <c r="J87" s="2">
        <v>7689493.48</v>
      </c>
      <c r="K87" t="s">
        <v>242</v>
      </c>
      <c r="L87" s="2">
        <v>-1451543.14</v>
      </c>
    </row>
    <row r="88" spans="2:12">
      <c r="B88" t="s">
        <v>212</v>
      </c>
      <c r="C88" t="str">
        <f t="shared" si="2"/>
        <v>CF698</v>
      </c>
      <c r="D88" t="s">
        <v>364</v>
      </c>
      <c r="E88" t="s">
        <v>250</v>
      </c>
      <c r="G88" s="2">
        <v>96121.68</v>
      </c>
      <c r="H88" s="2">
        <v>96121.68</v>
      </c>
      <c r="I88" s="2">
        <v>6155790.56</v>
      </c>
      <c r="J88" s="2">
        <v>6155790.56</v>
      </c>
      <c r="K88" t="s">
        <v>250</v>
      </c>
    </row>
    <row r="89" spans="2:12">
      <c r="B89" t="s">
        <v>201</v>
      </c>
      <c r="C89" t="str">
        <f t="shared" si="2"/>
        <v>CF699</v>
      </c>
      <c r="D89" t="s">
        <v>365</v>
      </c>
      <c r="E89" t="s">
        <v>250</v>
      </c>
      <c r="I89" s="2">
        <v>5447984.94</v>
      </c>
      <c r="J89" s="2">
        <v>5447984.94</v>
      </c>
      <c r="K89" t="s">
        <v>250</v>
      </c>
    </row>
    <row r="90" spans="2:12">
      <c r="B90" t="s">
        <v>157</v>
      </c>
      <c r="C90" t="str">
        <f t="shared" si="2"/>
        <v>CF700</v>
      </c>
      <c r="D90" t="s">
        <v>366</v>
      </c>
      <c r="E90" t="s">
        <v>250</v>
      </c>
      <c r="G90" s="2">
        <v>84762.34</v>
      </c>
      <c r="H90" s="2">
        <v>37580.66</v>
      </c>
      <c r="I90" s="2">
        <v>84762.34</v>
      </c>
      <c r="J90" s="2">
        <v>37580.66</v>
      </c>
      <c r="K90" t="s">
        <v>247</v>
      </c>
      <c r="L90" s="2">
        <v>47181.68</v>
      </c>
    </row>
    <row r="91" spans="2:12">
      <c r="B91" t="s">
        <v>141</v>
      </c>
      <c r="C91" t="str">
        <f t="shared" si="2"/>
        <v>CF751</v>
      </c>
      <c r="D91" t="s">
        <v>367</v>
      </c>
      <c r="E91" t="s">
        <v>247</v>
      </c>
      <c r="F91" s="2">
        <v>308971.32</v>
      </c>
      <c r="G91" s="2">
        <v>740520</v>
      </c>
      <c r="H91" s="2">
        <v>180233.27</v>
      </c>
      <c r="I91" s="2">
        <v>6866214.07</v>
      </c>
      <c r="J91" s="2">
        <v>5996956.02</v>
      </c>
      <c r="K91" t="s">
        <v>247</v>
      </c>
      <c r="L91" s="2">
        <v>869258.05</v>
      </c>
    </row>
    <row r="92" spans="2:12">
      <c r="B92" t="s">
        <v>191</v>
      </c>
      <c r="C92" t="str">
        <f t="shared" si="2"/>
        <v>CF780</v>
      </c>
      <c r="D92" t="s">
        <v>368</v>
      </c>
      <c r="E92" t="s">
        <v>247</v>
      </c>
      <c r="F92" s="2">
        <v>267261.63</v>
      </c>
      <c r="I92" s="2">
        <v>17278606.65</v>
      </c>
      <c r="J92" s="2">
        <v>17011345.02</v>
      </c>
      <c r="K92" t="s">
        <v>247</v>
      </c>
      <c r="L92" s="2">
        <v>267261.63</v>
      </c>
    </row>
    <row r="93" spans="2:12">
      <c r="B93" t="s">
        <v>195</v>
      </c>
      <c r="C93" t="str">
        <f t="shared" si="2"/>
        <v>CF781</v>
      </c>
      <c r="D93" t="s">
        <v>369</v>
      </c>
      <c r="E93" t="s">
        <v>247</v>
      </c>
      <c r="F93" s="2">
        <v>2400</v>
      </c>
      <c r="G93" s="2">
        <v>381047.4</v>
      </c>
      <c r="H93" s="2">
        <v>381047.4</v>
      </c>
      <c r="I93" s="2">
        <v>2965461.87</v>
      </c>
      <c r="J93" s="2">
        <v>2963061.87</v>
      </c>
      <c r="K93" t="s">
        <v>247</v>
      </c>
      <c r="L93" s="2">
        <v>2400</v>
      </c>
    </row>
    <row r="94" spans="2:12">
      <c r="B94" t="s">
        <v>351</v>
      </c>
      <c r="C94" t="str">
        <f t="shared" si="2"/>
        <v>CF782</v>
      </c>
      <c r="D94" t="s">
        <v>370</v>
      </c>
      <c r="E94" t="s">
        <v>250</v>
      </c>
      <c r="I94" s="2">
        <v>358400</v>
      </c>
      <c r="J94" s="2">
        <v>477600</v>
      </c>
      <c r="K94" t="s">
        <v>250</v>
      </c>
    </row>
    <row r="95" spans="2:12">
      <c r="B95" s="209" t="s">
        <v>240</v>
      </c>
      <c r="C95" t="str">
        <f t="shared" si="2"/>
        <v>0300</v>
      </c>
      <c r="D95" t="s">
        <v>241</v>
      </c>
      <c r="E95" t="s">
        <v>250</v>
      </c>
      <c r="I95" s="2">
        <v>-1308040</v>
      </c>
      <c r="K95" t="s">
        <v>250</v>
      </c>
    </row>
    <row r="96" spans="2:12">
      <c r="B96" t="s">
        <v>248</v>
      </c>
      <c r="C96" t="str">
        <f t="shared" si="2"/>
        <v>C001</v>
      </c>
      <c r="D96" t="s">
        <v>249</v>
      </c>
      <c r="E96" t="s">
        <v>250</v>
      </c>
      <c r="K96" t="s">
        <v>250</v>
      </c>
    </row>
    <row r="97" spans="2:12">
      <c r="B97" t="s">
        <v>219</v>
      </c>
      <c r="C97" t="str">
        <f t="shared" si="2"/>
        <v>CF101</v>
      </c>
      <c r="D97" t="s">
        <v>252</v>
      </c>
      <c r="E97" t="s">
        <v>247</v>
      </c>
      <c r="F97" s="2">
        <v>332864.2</v>
      </c>
      <c r="G97" s="2">
        <v>211327.18</v>
      </c>
      <c r="I97" s="2">
        <v>268976.65</v>
      </c>
      <c r="K97" t="s">
        <v>247</v>
      </c>
      <c r="L97" s="2">
        <v>544191.38</v>
      </c>
    </row>
    <row r="98" spans="2:12">
      <c r="B98" t="s">
        <v>371</v>
      </c>
      <c r="C98" t="str">
        <f t="shared" si="2"/>
        <v>CF101</v>
      </c>
      <c r="D98" t="s">
        <v>372</v>
      </c>
      <c r="E98" t="s">
        <v>247</v>
      </c>
      <c r="F98" s="2">
        <v>14725</v>
      </c>
      <c r="I98" s="2">
        <v>-104686.5</v>
      </c>
      <c r="K98" t="s">
        <v>247</v>
      </c>
      <c r="L98" s="2">
        <v>14725</v>
      </c>
    </row>
    <row r="99" spans="2:12">
      <c r="B99" t="s">
        <v>97</v>
      </c>
      <c r="C99" t="str">
        <f t="shared" ref="C99:C130" si="3">LEFT(B99,5)</f>
        <v>CF102</v>
      </c>
      <c r="D99" t="s">
        <v>253</v>
      </c>
      <c r="E99" t="s">
        <v>247</v>
      </c>
      <c r="F99" s="2">
        <v>150336.07</v>
      </c>
      <c r="I99" s="2">
        <v>-332301.12</v>
      </c>
      <c r="K99" t="s">
        <v>247</v>
      </c>
      <c r="L99" s="2">
        <v>150336.07</v>
      </c>
    </row>
    <row r="100" spans="2:12">
      <c r="B100" t="s">
        <v>254</v>
      </c>
      <c r="C100" t="str">
        <f t="shared" si="3"/>
        <v>CF102</v>
      </c>
      <c r="D100" t="s">
        <v>255</v>
      </c>
      <c r="E100" t="s">
        <v>247</v>
      </c>
      <c r="F100" s="2">
        <v>2390</v>
      </c>
      <c r="I100" s="2">
        <v>-21763</v>
      </c>
      <c r="K100" t="s">
        <v>247</v>
      </c>
      <c r="L100" s="2">
        <v>2390</v>
      </c>
    </row>
    <row r="101" spans="2:12">
      <c r="B101" t="s">
        <v>105</v>
      </c>
      <c r="C101" t="str">
        <f t="shared" si="3"/>
        <v>CF107</v>
      </c>
      <c r="D101" t="s">
        <v>256</v>
      </c>
      <c r="E101" t="s">
        <v>247</v>
      </c>
      <c r="F101" s="2">
        <v>369100.8</v>
      </c>
      <c r="I101" s="2">
        <v>-82022.4</v>
      </c>
      <c r="K101" t="s">
        <v>247</v>
      </c>
      <c r="L101" s="2">
        <v>369100.8</v>
      </c>
    </row>
    <row r="102" spans="2:12">
      <c r="B102" t="s">
        <v>103</v>
      </c>
      <c r="C102" t="str">
        <f t="shared" si="3"/>
        <v>CF108</v>
      </c>
      <c r="D102" t="s">
        <v>257</v>
      </c>
      <c r="E102" t="s">
        <v>247</v>
      </c>
      <c r="F102" s="2">
        <v>215251.95</v>
      </c>
      <c r="G102" s="2">
        <v>4893.22</v>
      </c>
      <c r="I102" s="2">
        <v>-79681.78</v>
      </c>
      <c r="K102" t="s">
        <v>247</v>
      </c>
      <c r="L102" s="2">
        <v>220145.17</v>
      </c>
    </row>
    <row r="103" spans="2:12">
      <c r="B103" t="s">
        <v>373</v>
      </c>
      <c r="C103" t="str">
        <f t="shared" si="3"/>
        <v>CF108</v>
      </c>
      <c r="D103" t="s">
        <v>374</v>
      </c>
      <c r="E103" t="s">
        <v>247</v>
      </c>
      <c r="F103" s="2">
        <v>13565</v>
      </c>
      <c r="I103" s="2">
        <v>-48784.5</v>
      </c>
      <c r="K103" t="s">
        <v>247</v>
      </c>
      <c r="L103" s="2">
        <v>13565</v>
      </c>
    </row>
    <row r="104" spans="2:12">
      <c r="B104" t="s">
        <v>375</v>
      </c>
      <c r="C104" t="str">
        <f t="shared" si="3"/>
        <v>CF108</v>
      </c>
      <c r="D104" t="s">
        <v>376</v>
      </c>
      <c r="E104" t="s">
        <v>250</v>
      </c>
      <c r="I104" s="2">
        <v>-87000</v>
      </c>
      <c r="K104" t="s">
        <v>250</v>
      </c>
    </row>
    <row r="105" spans="2:12">
      <c r="B105" t="s">
        <v>94</v>
      </c>
      <c r="C105" t="str">
        <f t="shared" si="3"/>
        <v>CF120</v>
      </c>
      <c r="D105" t="s">
        <v>258</v>
      </c>
      <c r="E105" t="s">
        <v>247</v>
      </c>
      <c r="F105" s="2">
        <v>366274.05</v>
      </c>
      <c r="I105" s="2">
        <v>-244737.95</v>
      </c>
      <c r="K105" t="s">
        <v>247</v>
      </c>
      <c r="L105" s="2">
        <v>366274.05</v>
      </c>
    </row>
    <row r="106" spans="2:12">
      <c r="B106" t="s">
        <v>259</v>
      </c>
      <c r="C106" t="str">
        <f t="shared" si="3"/>
        <v>CF120</v>
      </c>
      <c r="D106" t="s">
        <v>260</v>
      </c>
      <c r="E106" t="s">
        <v>247</v>
      </c>
      <c r="F106" s="2">
        <v>1080</v>
      </c>
      <c r="I106" s="2">
        <v>-49125</v>
      </c>
      <c r="K106" t="s">
        <v>247</v>
      </c>
      <c r="L106" s="2">
        <v>1080</v>
      </c>
    </row>
    <row r="107" spans="2:12">
      <c r="B107" t="s">
        <v>217</v>
      </c>
      <c r="C107" t="str">
        <f t="shared" si="3"/>
        <v>CF121</v>
      </c>
      <c r="D107" t="s">
        <v>261</v>
      </c>
      <c r="E107" t="s">
        <v>247</v>
      </c>
      <c r="F107" s="2">
        <v>272619.13</v>
      </c>
      <c r="I107" s="2">
        <v>-264292.89</v>
      </c>
      <c r="K107" t="s">
        <v>247</v>
      </c>
      <c r="L107" s="2">
        <v>272619.13</v>
      </c>
    </row>
    <row r="108" spans="2:12">
      <c r="B108" t="s">
        <v>107</v>
      </c>
      <c r="C108" t="str">
        <f t="shared" si="3"/>
        <v>CF122</v>
      </c>
      <c r="D108" t="s">
        <v>262</v>
      </c>
      <c r="E108" t="s">
        <v>247</v>
      </c>
      <c r="F108" s="2">
        <v>428645.95</v>
      </c>
      <c r="I108" s="2">
        <v>11348.57</v>
      </c>
      <c r="K108" t="s">
        <v>247</v>
      </c>
      <c r="L108" s="2">
        <v>428645.95</v>
      </c>
    </row>
    <row r="109" spans="2:12">
      <c r="B109" t="s">
        <v>264</v>
      </c>
      <c r="C109" t="str">
        <f t="shared" si="3"/>
        <v>CF122</v>
      </c>
      <c r="D109" t="s">
        <v>265</v>
      </c>
      <c r="E109" t="s">
        <v>250</v>
      </c>
      <c r="I109" s="2">
        <v>-6980</v>
      </c>
      <c r="K109" t="s">
        <v>250</v>
      </c>
    </row>
    <row r="110" spans="2:12">
      <c r="B110" t="s">
        <v>263</v>
      </c>
      <c r="C110" t="str">
        <f t="shared" si="3"/>
        <v>CF124</v>
      </c>
      <c r="D110" t="s">
        <v>268</v>
      </c>
      <c r="E110" t="s">
        <v>250</v>
      </c>
      <c r="K110" t="s">
        <v>250</v>
      </c>
    </row>
    <row r="111" spans="2:12">
      <c r="B111" t="s">
        <v>160</v>
      </c>
      <c r="C111" t="str">
        <f t="shared" si="3"/>
        <v>CF125</v>
      </c>
      <c r="D111" t="s">
        <v>270</v>
      </c>
      <c r="E111" t="s">
        <v>250</v>
      </c>
      <c r="K111" t="s">
        <v>250</v>
      </c>
    </row>
    <row r="112" spans="2:12">
      <c r="B112" t="s">
        <v>271</v>
      </c>
      <c r="C112" t="str">
        <f t="shared" si="3"/>
        <v>CF125</v>
      </c>
      <c r="D112" t="s">
        <v>272</v>
      </c>
      <c r="E112" t="s">
        <v>250</v>
      </c>
      <c r="I112" s="2">
        <v>-3616</v>
      </c>
      <c r="K112" t="s">
        <v>250</v>
      </c>
    </row>
    <row r="113" spans="2:12">
      <c r="B113" t="s">
        <v>187</v>
      </c>
      <c r="C113" t="str">
        <f t="shared" si="3"/>
        <v>CF126</v>
      </c>
      <c r="D113" t="s">
        <v>273</v>
      </c>
      <c r="E113" t="s">
        <v>247</v>
      </c>
      <c r="F113" s="2">
        <v>60224.1</v>
      </c>
      <c r="G113" s="2">
        <v>456846.1</v>
      </c>
      <c r="I113" s="2">
        <v>-822275.87</v>
      </c>
      <c r="J113" s="2">
        <v>312059</v>
      </c>
      <c r="K113" t="s">
        <v>247</v>
      </c>
      <c r="L113" s="2">
        <v>517070.2</v>
      </c>
    </row>
    <row r="114" spans="2:12">
      <c r="B114" t="s">
        <v>138</v>
      </c>
      <c r="C114" t="str">
        <f t="shared" si="3"/>
        <v>CF127</v>
      </c>
      <c r="D114" t="s">
        <v>274</v>
      </c>
      <c r="E114" t="s">
        <v>247</v>
      </c>
      <c r="F114" s="2">
        <v>1624802.31</v>
      </c>
      <c r="G114" s="2">
        <v>-149572.26</v>
      </c>
      <c r="I114" s="2">
        <v>-106194.59</v>
      </c>
      <c r="K114" t="s">
        <v>247</v>
      </c>
      <c r="L114" s="2">
        <v>1475230.05</v>
      </c>
    </row>
    <row r="115" spans="2:12">
      <c r="B115" t="s">
        <v>151</v>
      </c>
      <c r="C115" t="str">
        <f t="shared" si="3"/>
        <v>CF127</v>
      </c>
      <c r="D115" t="s">
        <v>275</v>
      </c>
      <c r="E115" t="s">
        <v>247</v>
      </c>
      <c r="F115" s="2">
        <v>1999573.34</v>
      </c>
      <c r="G115" s="2">
        <v>-133046.73</v>
      </c>
      <c r="I115" s="2">
        <v>-42258.79</v>
      </c>
      <c r="K115" t="s">
        <v>247</v>
      </c>
      <c r="L115" s="2">
        <v>1866526.61</v>
      </c>
    </row>
    <row r="116" spans="2:12">
      <c r="B116" t="s">
        <v>100</v>
      </c>
      <c r="C116" t="str">
        <f t="shared" si="3"/>
        <v>CF134</v>
      </c>
      <c r="D116" t="s">
        <v>276</v>
      </c>
      <c r="E116" t="s">
        <v>247</v>
      </c>
      <c r="F116" s="2">
        <v>114243.9</v>
      </c>
      <c r="I116" s="2">
        <v>-314967.49</v>
      </c>
      <c r="K116" t="s">
        <v>247</v>
      </c>
      <c r="L116" s="2">
        <v>114243.9</v>
      </c>
    </row>
    <row r="117" spans="2:12">
      <c r="B117" t="s">
        <v>277</v>
      </c>
      <c r="C117" t="str">
        <f t="shared" si="3"/>
        <v>CF134</v>
      </c>
      <c r="D117" t="s">
        <v>278</v>
      </c>
      <c r="E117" t="s">
        <v>247</v>
      </c>
      <c r="F117">
        <v>300</v>
      </c>
      <c r="I117" s="2">
        <v>-13022</v>
      </c>
      <c r="K117" t="s">
        <v>247</v>
      </c>
      <c r="L117">
        <v>300</v>
      </c>
    </row>
    <row r="118" spans="2:12">
      <c r="B118" t="s">
        <v>164</v>
      </c>
      <c r="C118" t="str">
        <f t="shared" si="3"/>
        <v>CF137</v>
      </c>
      <c r="D118" t="s">
        <v>279</v>
      </c>
      <c r="E118" t="s">
        <v>250</v>
      </c>
      <c r="K118" t="s">
        <v>250</v>
      </c>
    </row>
    <row r="119" spans="2:12">
      <c r="B119" t="s">
        <v>280</v>
      </c>
      <c r="C119" t="str">
        <f t="shared" si="3"/>
        <v>CF137</v>
      </c>
      <c r="D119" t="s">
        <v>281</v>
      </c>
      <c r="E119" t="s">
        <v>250</v>
      </c>
      <c r="K119" t="s">
        <v>250</v>
      </c>
    </row>
    <row r="120" spans="2:12">
      <c r="B120" t="s">
        <v>133</v>
      </c>
      <c r="C120" t="str">
        <f t="shared" si="3"/>
        <v>CF138</v>
      </c>
      <c r="D120" t="s">
        <v>282</v>
      </c>
      <c r="E120" t="s">
        <v>247</v>
      </c>
      <c r="F120" s="2">
        <v>231257.3</v>
      </c>
      <c r="G120" s="2">
        <v>194655.82</v>
      </c>
      <c r="I120" s="2">
        <v>236054.5</v>
      </c>
      <c r="K120" t="s">
        <v>247</v>
      </c>
      <c r="L120" s="2">
        <v>425913.12</v>
      </c>
    </row>
    <row r="121" spans="2:12">
      <c r="B121" t="s">
        <v>129</v>
      </c>
      <c r="C121" t="str">
        <f t="shared" si="3"/>
        <v>CF139</v>
      </c>
      <c r="D121" t="s">
        <v>283</v>
      </c>
      <c r="E121" t="s">
        <v>247</v>
      </c>
      <c r="F121" s="2">
        <v>215160.73</v>
      </c>
      <c r="G121" s="2">
        <v>7988.75</v>
      </c>
      <c r="I121" s="2">
        <v>14234.56</v>
      </c>
      <c r="K121" t="s">
        <v>247</v>
      </c>
      <c r="L121" s="2">
        <v>223149.48</v>
      </c>
    </row>
    <row r="122" spans="2:12">
      <c r="B122" t="s">
        <v>82</v>
      </c>
      <c r="C122" t="str">
        <f t="shared" si="3"/>
        <v>CF140</v>
      </c>
      <c r="D122" t="s">
        <v>284</v>
      </c>
      <c r="E122" t="s">
        <v>250</v>
      </c>
      <c r="K122" t="s">
        <v>250</v>
      </c>
    </row>
    <row r="123" spans="2:12">
      <c r="B123" t="s">
        <v>126</v>
      </c>
      <c r="C123" t="str">
        <f t="shared" si="3"/>
        <v>CF141</v>
      </c>
      <c r="D123" t="s">
        <v>287</v>
      </c>
      <c r="E123" t="s">
        <v>247</v>
      </c>
      <c r="F123" s="2">
        <v>725553.61</v>
      </c>
      <c r="G123" s="2">
        <v>84446.41</v>
      </c>
      <c r="I123" s="2">
        <v>-255933.63</v>
      </c>
      <c r="K123" t="s">
        <v>247</v>
      </c>
      <c r="L123" s="2">
        <v>810000.02</v>
      </c>
    </row>
    <row r="124" spans="2:12">
      <c r="B124" t="s">
        <v>123</v>
      </c>
      <c r="C124" t="str">
        <f t="shared" si="3"/>
        <v>CF142</v>
      </c>
      <c r="D124" t="s">
        <v>288</v>
      </c>
      <c r="E124" t="s">
        <v>250</v>
      </c>
      <c r="I124" s="2">
        <v>-472650.65</v>
      </c>
      <c r="K124" t="s">
        <v>250</v>
      </c>
    </row>
    <row r="125" spans="2:12">
      <c r="B125" t="s">
        <v>85</v>
      </c>
      <c r="C125" t="str">
        <f t="shared" si="3"/>
        <v>CF160</v>
      </c>
      <c r="D125" t="s">
        <v>289</v>
      </c>
      <c r="E125" t="s">
        <v>247</v>
      </c>
      <c r="F125" s="2">
        <v>1283271.24</v>
      </c>
      <c r="G125" s="2">
        <v>111638.94</v>
      </c>
      <c r="I125" s="2">
        <v>74548.35</v>
      </c>
      <c r="K125" t="s">
        <v>247</v>
      </c>
      <c r="L125" s="2">
        <v>1394910.18</v>
      </c>
    </row>
    <row r="126" spans="2:12">
      <c r="B126" t="s">
        <v>44</v>
      </c>
      <c r="C126" t="str">
        <f t="shared" si="3"/>
        <v>CF173</v>
      </c>
      <c r="D126" t="s">
        <v>290</v>
      </c>
      <c r="E126" t="s">
        <v>247</v>
      </c>
      <c r="F126" s="2">
        <v>2219706.32</v>
      </c>
      <c r="G126" s="2">
        <v>149297.62</v>
      </c>
      <c r="I126" s="2">
        <v>-1591290.87</v>
      </c>
      <c r="K126" t="s">
        <v>247</v>
      </c>
      <c r="L126" s="2">
        <v>2369003.94</v>
      </c>
    </row>
    <row r="127" spans="2:12">
      <c r="B127" t="s">
        <v>88</v>
      </c>
      <c r="C127" t="str">
        <f t="shared" si="3"/>
        <v>CF174</v>
      </c>
      <c r="D127" t="s">
        <v>291</v>
      </c>
      <c r="E127" t="s">
        <v>247</v>
      </c>
      <c r="F127" s="2">
        <v>1217685.54</v>
      </c>
      <c r="G127" s="2">
        <v>98750</v>
      </c>
      <c r="I127" s="2">
        <v>-1281058.46</v>
      </c>
      <c r="K127" t="s">
        <v>247</v>
      </c>
      <c r="L127" s="2">
        <v>1316435.54</v>
      </c>
    </row>
    <row r="128" spans="2:12">
      <c r="B128" t="s">
        <v>172</v>
      </c>
      <c r="C128" t="str">
        <f t="shared" si="3"/>
        <v>CF175</v>
      </c>
      <c r="D128" t="s">
        <v>292</v>
      </c>
      <c r="E128" t="s">
        <v>247</v>
      </c>
      <c r="F128" s="2">
        <v>207907.15</v>
      </c>
      <c r="I128" s="2">
        <v>-359092.85</v>
      </c>
      <c r="K128" t="s">
        <v>247</v>
      </c>
      <c r="L128" s="2">
        <v>207907.15</v>
      </c>
    </row>
    <row r="129" spans="2:12">
      <c r="B129" t="s">
        <v>169</v>
      </c>
      <c r="C129" t="str">
        <f t="shared" si="3"/>
        <v>CF177</v>
      </c>
      <c r="D129" t="s">
        <v>293</v>
      </c>
      <c r="E129" t="s">
        <v>247</v>
      </c>
      <c r="F129" s="2">
        <v>629145.62</v>
      </c>
      <c r="G129" s="2">
        <v>8498.08</v>
      </c>
      <c r="I129" s="2">
        <v>284457.71</v>
      </c>
      <c r="K129" t="s">
        <v>247</v>
      </c>
      <c r="L129" s="2">
        <v>637643.7</v>
      </c>
    </row>
    <row r="130" spans="2:12">
      <c r="B130" t="s">
        <v>48</v>
      </c>
      <c r="C130" t="str">
        <f t="shared" si="3"/>
        <v>CF179</v>
      </c>
      <c r="D130" t="s">
        <v>294</v>
      </c>
      <c r="E130" t="s">
        <v>247</v>
      </c>
      <c r="F130" s="2">
        <v>2236211.57</v>
      </c>
      <c r="G130" s="2">
        <v>115940.99</v>
      </c>
      <c r="I130" s="2">
        <v>-1312222.77</v>
      </c>
      <c r="K130" t="s">
        <v>247</v>
      </c>
      <c r="L130" s="2">
        <v>2352152.56</v>
      </c>
    </row>
    <row r="131" spans="2:12">
      <c r="B131" t="s">
        <v>50</v>
      </c>
      <c r="C131" t="str">
        <f t="shared" ref="C131:C162" si="4">LEFT(B131,5)</f>
        <v>CF180</v>
      </c>
      <c r="D131" t="s">
        <v>295</v>
      </c>
      <c r="E131" t="s">
        <v>247</v>
      </c>
      <c r="F131" s="2">
        <v>240031.95</v>
      </c>
      <c r="I131" s="2">
        <v>-175849.21</v>
      </c>
      <c r="K131" t="s">
        <v>247</v>
      </c>
      <c r="L131" s="2">
        <v>240031.95</v>
      </c>
    </row>
    <row r="132" spans="2:12">
      <c r="B132" t="s">
        <v>183</v>
      </c>
      <c r="C132" t="str">
        <f t="shared" si="4"/>
        <v>CF181</v>
      </c>
      <c r="D132" t="s">
        <v>296</v>
      </c>
      <c r="E132" t="s">
        <v>247</v>
      </c>
      <c r="F132" s="2">
        <v>154587.69</v>
      </c>
      <c r="G132" s="2">
        <v>-19670.16</v>
      </c>
      <c r="I132" s="2">
        <v>-44562.39</v>
      </c>
      <c r="K132" t="s">
        <v>247</v>
      </c>
      <c r="L132" s="2">
        <v>134917.53</v>
      </c>
    </row>
    <row r="133" spans="2:12">
      <c r="B133" t="s">
        <v>185</v>
      </c>
      <c r="C133" t="str">
        <f t="shared" si="4"/>
        <v>CF182</v>
      </c>
      <c r="D133" t="s">
        <v>297</v>
      </c>
      <c r="E133" t="s">
        <v>247</v>
      </c>
      <c r="F133" s="2">
        <v>2355</v>
      </c>
      <c r="I133" s="2">
        <v>-399831.27</v>
      </c>
      <c r="K133" t="s">
        <v>247</v>
      </c>
      <c r="L133" s="2">
        <v>2355</v>
      </c>
    </row>
    <row r="134" spans="2:12">
      <c r="B134" t="s">
        <v>377</v>
      </c>
      <c r="C134" t="str">
        <f t="shared" si="4"/>
        <v>CF182</v>
      </c>
      <c r="D134" t="s">
        <v>378</v>
      </c>
      <c r="E134" t="s">
        <v>250</v>
      </c>
      <c r="K134" t="s">
        <v>250</v>
      </c>
    </row>
    <row r="135" spans="2:12">
      <c r="B135" t="s">
        <v>155</v>
      </c>
      <c r="C135" t="str">
        <f t="shared" si="4"/>
        <v>CF183</v>
      </c>
      <c r="D135" t="s">
        <v>298</v>
      </c>
      <c r="E135" t="s">
        <v>247</v>
      </c>
      <c r="F135" s="2">
        <v>784257.37</v>
      </c>
      <c r="G135" s="2">
        <v>289704.29</v>
      </c>
      <c r="I135" s="2">
        <v>326258.87</v>
      </c>
      <c r="K135" t="s">
        <v>247</v>
      </c>
      <c r="L135" s="2">
        <v>1073961.66</v>
      </c>
    </row>
    <row r="136" spans="2:12">
      <c r="B136" t="s">
        <v>92</v>
      </c>
      <c r="C136" t="str">
        <f t="shared" si="4"/>
        <v>CF190</v>
      </c>
      <c r="D136" t="s">
        <v>299</v>
      </c>
      <c r="E136" t="s">
        <v>247</v>
      </c>
      <c r="F136" s="2">
        <v>186997.54</v>
      </c>
      <c r="I136" s="2">
        <v>-50188.17</v>
      </c>
      <c r="K136" t="s">
        <v>247</v>
      </c>
      <c r="L136" s="2">
        <v>186997.54</v>
      </c>
    </row>
    <row r="137" spans="2:12">
      <c r="B137" t="s">
        <v>116</v>
      </c>
      <c r="C137" t="str">
        <f t="shared" si="4"/>
        <v>CF191</v>
      </c>
      <c r="D137" t="s">
        <v>302</v>
      </c>
      <c r="E137" t="s">
        <v>247</v>
      </c>
      <c r="F137" s="2">
        <v>185247.66</v>
      </c>
      <c r="G137" s="2">
        <v>-3324.38</v>
      </c>
      <c r="I137" s="2">
        <v>4319.4</v>
      </c>
      <c r="K137" t="s">
        <v>247</v>
      </c>
      <c r="L137" s="2">
        <v>181923.28</v>
      </c>
    </row>
    <row r="138" spans="2:12">
      <c r="B138" t="s">
        <v>221</v>
      </c>
      <c r="C138" t="str">
        <f t="shared" si="4"/>
        <v>CF212</v>
      </c>
      <c r="D138" t="s">
        <v>303</v>
      </c>
      <c r="E138" t="s">
        <v>247</v>
      </c>
      <c r="F138" s="2">
        <v>102684.65</v>
      </c>
      <c r="G138" s="2">
        <v>46333.74</v>
      </c>
      <c r="I138" s="2">
        <v>-102330.56</v>
      </c>
      <c r="K138" t="s">
        <v>247</v>
      </c>
      <c r="L138" s="2">
        <v>149018.39</v>
      </c>
    </row>
    <row r="139" spans="2:12">
      <c r="B139" t="s">
        <v>223</v>
      </c>
      <c r="C139" t="str">
        <f t="shared" si="4"/>
        <v>CF213</v>
      </c>
      <c r="D139" t="s">
        <v>305</v>
      </c>
      <c r="E139" t="s">
        <v>247</v>
      </c>
      <c r="F139" s="2">
        <v>41559.65</v>
      </c>
      <c r="G139" s="2">
        <v>129572.97</v>
      </c>
      <c r="I139" s="2">
        <v>43921.59</v>
      </c>
      <c r="K139" t="s">
        <v>247</v>
      </c>
      <c r="L139" s="2">
        <v>171132.62</v>
      </c>
    </row>
    <row r="140" spans="2:12">
      <c r="B140" t="s">
        <v>199</v>
      </c>
      <c r="C140" t="str">
        <f t="shared" si="4"/>
        <v>CF251</v>
      </c>
      <c r="D140" t="s">
        <v>306</v>
      </c>
      <c r="E140" t="s">
        <v>247</v>
      </c>
      <c r="F140" s="2">
        <v>74511.48</v>
      </c>
      <c r="I140" s="2">
        <v>-814319.29</v>
      </c>
      <c r="K140" t="s">
        <v>247</v>
      </c>
      <c r="L140" s="2">
        <v>74511.48</v>
      </c>
    </row>
    <row r="141" spans="2:12">
      <c r="B141" t="s">
        <v>379</v>
      </c>
      <c r="C141" t="str">
        <f t="shared" si="4"/>
        <v>CF251</v>
      </c>
      <c r="D141" t="s">
        <v>380</v>
      </c>
      <c r="E141" t="s">
        <v>250</v>
      </c>
      <c r="I141" s="2">
        <v>-165560.34</v>
      </c>
      <c r="K141" t="s">
        <v>250</v>
      </c>
    </row>
    <row r="142" spans="2:12">
      <c r="B142" t="s">
        <v>307</v>
      </c>
      <c r="C142" t="str">
        <f t="shared" si="4"/>
        <v>CF270</v>
      </c>
      <c r="D142" t="s">
        <v>308</v>
      </c>
      <c r="E142" t="s">
        <v>247</v>
      </c>
      <c r="F142" s="2">
        <v>2910503.25</v>
      </c>
      <c r="K142" t="s">
        <v>247</v>
      </c>
      <c r="L142" s="2">
        <v>2910503.25</v>
      </c>
    </row>
    <row r="143" spans="2:12">
      <c r="B143" t="s">
        <v>136</v>
      </c>
      <c r="C143" t="str">
        <f t="shared" si="4"/>
        <v>CF272</v>
      </c>
      <c r="D143" t="s">
        <v>309</v>
      </c>
      <c r="E143" t="s">
        <v>247</v>
      </c>
      <c r="F143" s="2">
        <v>175277.73</v>
      </c>
      <c r="I143" s="2">
        <v>-738889.81</v>
      </c>
      <c r="J143" s="2">
        <v>161956.32</v>
      </c>
      <c r="K143" t="s">
        <v>247</v>
      </c>
      <c r="L143" s="2">
        <v>175277.73</v>
      </c>
    </row>
    <row r="144" spans="2:12">
      <c r="B144" t="s">
        <v>225</v>
      </c>
      <c r="C144" t="str">
        <f t="shared" si="4"/>
        <v>CF273</v>
      </c>
      <c r="D144" t="s">
        <v>312</v>
      </c>
      <c r="E144" t="s">
        <v>247</v>
      </c>
      <c r="F144" s="2">
        <v>297283.95</v>
      </c>
      <c r="G144" s="2">
        <v>-108582.27</v>
      </c>
      <c r="I144" s="2">
        <v>31277.58</v>
      </c>
      <c r="K144" t="s">
        <v>247</v>
      </c>
      <c r="L144" s="2">
        <v>188701.68</v>
      </c>
    </row>
    <row r="145" spans="2:12">
      <c r="B145" t="s">
        <v>119</v>
      </c>
      <c r="C145" t="str">
        <f t="shared" si="4"/>
        <v>CF275</v>
      </c>
      <c r="D145" t="s">
        <v>313</v>
      </c>
      <c r="E145" t="s">
        <v>247</v>
      </c>
      <c r="F145" s="2">
        <v>469746.71</v>
      </c>
      <c r="G145" s="2">
        <v>576449.96</v>
      </c>
      <c r="I145" s="2">
        <v>248737.1</v>
      </c>
      <c r="K145" t="s">
        <v>247</v>
      </c>
      <c r="L145" s="2">
        <v>1046196.67</v>
      </c>
    </row>
    <row r="146" spans="2:12">
      <c r="B146" t="s">
        <v>197</v>
      </c>
      <c r="C146" t="str">
        <f t="shared" si="4"/>
        <v>CF276</v>
      </c>
      <c r="D146" t="s">
        <v>319</v>
      </c>
      <c r="E146" t="s">
        <v>247</v>
      </c>
      <c r="F146" s="2">
        <v>185037.96</v>
      </c>
      <c r="I146" s="2">
        <v>-276911.94</v>
      </c>
      <c r="K146" t="s">
        <v>247</v>
      </c>
      <c r="L146" s="2">
        <v>185037.96</v>
      </c>
    </row>
    <row r="147" spans="2:12">
      <c r="B147" t="s">
        <v>381</v>
      </c>
      <c r="C147" t="str">
        <f t="shared" si="4"/>
        <v>CF276</v>
      </c>
      <c r="D147" t="s">
        <v>382</v>
      </c>
      <c r="E147" t="s">
        <v>250</v>
      </c>
      <c r="I147" s="2">
        <v>-74128.18</v>
      </c>
      <c r="K147" t="s">
        <v>250</v>
      </c>
    </row>
    <row r="148" spans="2:12">
      <c r="B148" t="s">
        <v>227</v>
      </c>
      <c r="C148" t="str">
        <f t="shared" si="4"/>
        <v>CF293</v>
      </c>
      <c r="D148" t="s">
        <v>320</v>
      </c>
      <c r="E148" t="s">
        <v>247</v>
      </c>
      <c r="F148" s="2">
        <v>577129.66</v>
      </c>
      <c r="I148" s="2">
        <v>-22062.05</v>
      </c>
      <c r="K148" t="s">
        <v>247</v>
      </c>
      <c r="L148" s="2">
        <v>577129.66</v>
      </c>
    </row>
    <row r="149" spans="2:12">
      <c r="B149" t="s">
        <v>321</v>
      </c>
      <c r="C149" t="str">
        <f t="shared" si="4"/>
        <v>CF293</v>
      </c>
      <c r="D149" t="s">
        <v>322</v>
      </c>
      <c r="E149" t="s">
        <v>250</v>
      </c>
      <c r="I149" s="2">
        <v>-242513.64</v>
      </c>
      <c r="J149" s="2">
        <v>-97526</v>
      </c>
      <c r="K149" t="s">
        <v>250</v>
      </c>
    </row>
    <row r="150" spans="2:12">
      <c r="B150" t="s">
        <v>193</v>
      </c>
      <c r="C150" t="str">
        <f t="shared" si="4"/>
        <v>CF320</v>
      </c>
      <c r="D150" t="s">
        <v>325</v>
      </c>
      <c r="E150" t="s">
        <v>247</v>
      </c>
      <c r="F150" s="2">
        <v>203524.95</v>
      </c>
      <c r="G150" s="2">
        <v>211357.84</v>
      </c>
      <c r="I150" s="2">
        <v>-480529.59</v>
      </c>
      <c r="J150" s="2">
        <v>-55951.17</v>
      </c>
      <c r="K150" t="s">
        <v>247</v>
      </c>
      <c r="L150" s="2">
        <v>414882.79</v>
      </c>
    </row>
    <row r="151" spans="2:12">
      <c r="B151" t="s">
        <v>229</v>
      </c>
      <c r="C151" t="str">
        <f t="shared" si="4"/>
        <v>CF341</v>
      </c>
      <c r="D151" t="s">
        <v>327</v>
      </c>
      <c r="E151" t="s">
        <v>247</v>
      </c>
      <c r="F151" s="2">
        <v>45619.85</v>
      </c>
      <c r="I151" s="2">
        <v>-250366.19</v>
      </c>
      <c r="K151" t="s">
        <v>247</v>
      </c>
      <c r="L151" s="2">
        <v>45619.85</v>
      </c>
    </row>
    <row r="152" spans="2:12">
      <c r="B152" t="s">
        <v>383</v>
      </c>
      <c r="C152" t="str">
        <f t="shared" si="4"/>
        <v>CF341</v>
      </c>
      <c r="D152" t="s">
        <v>384</v>
      </c>
      <c r="E152" t="s">
        <v>247</v>
      </c>
      <c r="F152" s="2">
        <v>32077.5</v>
      </c>
      <c r="H152" s="2">
        <v>32077.5</v>
      </c>
      <c r="I152" s="2">
        <v>162195.5</v>
      </c>
      <c r="J152" s="2">
        <v>166290.5</v>
      </c>
      <c r="K152" t="s">
        <v>250</v>
      </c>
    </row>
    <row r="153" spans="2:12">
      <c r="B153" t="s">
        <v>181</v>
      </c>
      <c r="C153" t="str">
        <f t="shared" si="4"/>
        <v>CF360</v>
      </c>
      <c r="D153" t="s">
        <v>328</v>
      </c>
      <c r="E153" t="s">
        <v>247</v>
      </c>
      <c r="F153" s="2">
        <v>662832.36</v>
      </c>
      <c r="G153" s="2">
        <v>-661734.36</v>
      </c>
      <c r="I153" s="2">
        <v>-1096040.63</v>
      </c>
      <c r="J153" s="2">
        <v>1127.84</v>
      </c>
      <c r="K153" t="s">
        <v>247</v>
      </c>
      <c r="L153" s="2">
        <v>1098</v>
      </c>
    </row>
    <row r="154" spans="2:12">
      <c r="B154" t="s">
        <v>179</v>
      </c>
      <c r="C154" t="str">
        <f t="shared" si="4"/>
        <v>CF363</v>
      </c>
      <c r="D154" t="s">
        <v>329</v>
      </c>
      <c r="E154" t="s">
        <v>250</v>
      </c>
      <c r="K154" t="s">
        <v>250</v>
      </c>
    </row>
    <row r="155" spans="2:12">
      <c r="B155" t="s">
        <v>177</v>
      </c>
      <c r="C155" t="str">
        <f t="shared" si="4"/>
        <v>CF364</v>
      </c>
      <c r="D155" t="s">
        <v>330</v>
      </c>
      <c r="E155" t="s">
        <v>247</v>
      </c>
      <c r="F155" s="2">
        <v>180516.21</v>
      </c>
      <c r="G155" s="2">
        <v>75871.16</v>
      </c>
      <c r="I155" s="2">
        <v>-218746.64</v>
      </c>
      <c r="J155" s="2">
        <v>-3225.6</v>
      </c>
      <c r="K155" t="s">
        <v>247</v>
      </c>
      <c r="L155" s="2">
        <v>256387.37</v>
      </c>
    </row>
    <row r="156" spans="2:12">
      <c r="B156" t="s">
        <v>385</v>
      </c>
      <c r="C156" t="str">
        <f t="shared" si="4"/>
        <v>CF364</v>
      </c>
      <c r="D156" t="s">
        <v>386</v>
      </c>
      <c r="E156" t="s">
        <v>247</v>
      </c>
      <c r="F156" s="2">
        <v>3930.25</v>
      </c>
      <c r="K156" t="s">
        <v>247</v>
      </c>
      <c r="L156" s="2">
        <v>3930.25</v>
      </c>
    </row>
    <row r="157" spans="2:12">
      <c r="B157" t="s">
        <v>175</v>
      </c>
      <c r="C157" t="str">
        <f t="shared" si="4"/>
        <v>CF450</v>
      </c>
      <c r="D157" t="s">
        <v>331</v>
      </c>
      <c r="E157" t="s">
        <v>247</v>
      </c>
      <c r="F157" s="2">
        <v>566785.31</v>
      </c>
      <c r="G157" s="2">
        <v>258442.95</v>
      </c>
      <c r="I157" s="2">
        <v>-430640.51</v>
      </c>
      <c r="K157" t="s">
        <v>247</v>
      </c>
      <c r="L157" s="2">
        <v>825228.26</v>
      </c>
    </row>
    <row r="158" spans="2:12">
      <c r="B158" t="s">
        <v>314</v>
      </c>
      <c r="C158" t="str">
        <f t="shared" si="4"/>
        <v>CF452</v>
      </c>
      <c r="D158" t="s">
        <v>332</v>
      </c>
      <c r="E158" t="s">
        <v>250</v>
      </c>
      <c r="I158" s="2">
        <v>704216.43</v>
      </c>
      <c r="J158" s="2">
        <v>80097.26</v>
      </c>
      <c r="K158" t="s">
        <v>250</v>
      </c>
    </row>
    <row r="159" spans="2:12">
      <c r="B159" t="s">
        <v>387</v>
      </c>
      <c r="C159" t="str">
        <f t="shared" si="4"/>
        <v>CF452</v>
      </c>
      <c r="D159" t="s">
        <v>388</v>
      </c>
      <c r="E159" t="s">
        <v>250</v>
      </c>
      <c r="I159" s="2">
        <v>-2928505.27</v>
      </c>
      <c r="K159" t="s">
        <v>250</v>
      </c>
    </row>
    <row r="160" spans="2:12">
      <c r="B160" t="s">
        <v>153</v>
      </c>
      <c r="C160" t="str">
        <f t="shared" si="4"/>
        <v>CF453</v>
      </c>
      <c r="D160" t="s">
        <v>334</v>
      </c>
      <c r="E160" t="s">
        <v>247</v>
      </c>
      <c r="F160" s="2">
        <v>55472.47</v>
      </c>
      <c r="G160" s="2">
        <v>1519.6</v>
      </c>
      <c r="I160" s="2">
        <v>-53042.94</v>
      </c>
      <c r="K160" t="s">
        <v>247</v>
      </c>
      <c r="L160" s="2">
        <v>56992.07</v>
      </c>
    </row>
    <row r="161" spans="2:12">
      <c r="B161" t="s">
        <v>77</v>
      </c>
      <c r="C161" t="str">
        <f t="shared" si="4"/>
        <v>CF474</v>
      </c>
      <c r="D161" t="s">
        <v>335</v>
      </c>
      <c r="E161" t="s">
        <v>247</v>
      </c>
      <c r="F161" s="2">
        <v>116852.03</v>
      </c>
      <c r="G161" s="2">
        <v>33492.2</v>
      </c>
      <c r="I161" s="2">
        <v>-622557.35</v>
      </c>
      <c r="J161" s="2">
        <v>5592.17</v>
      </c>
      <c r="K161" t="s">
        <v>247</v>
      </c>
      <c r="L161" s="2">
        <v>150344.23</v>
      </c>
    </row>
    <row r="162" spans="2:12">
      <c r="B162" t="s">
        <v>336</v>
      </c>
      <c r="C162" t="str">
        <f t="shared" si="4"/>
        <v>CF474</v>
      </c>
      <c r="D162" t="s">
        <v>337</v>
      </c>
      <c r="E162" t="s">
        <v>250</v>
      </c>
      <c r="J162" s="2">
        <v>21858</v>
      </c>
      <c r="K162" t="s">
        <v>250</v>
      </c>
    </row>
    <row r="163" spans="2:12">
      <c r="B163" t="s">
        <v>113</v>
      </c>
      <c r="C163" t="str">
        <f t="shared" ref="C163:C187" si="5">LEFT(B163,5)</f>
        <v>CF475</v>
      </c>
      <c r="D163" t="s">
        <v>338</v>
      </c>
      <c r="E163" t="s">
        <v>247</v>
      </c>
      <c r="F163" s="2">
        <v>949743.12</v>
      </c>
      <c r="G163" s="2">
        <v>-24291.31</v>
      </c>
      <c r="I163" s="2">
        <v>436196.05</v>
      </c>
      <c r="K163" t="s">
        <v>247</v>
      </c>
      <c r="L163" s="2">
        <v>925451.81</v>
      </c>
    </row>
    <row r="164" spans="2:12">
      <c r="B164" t="s">
        <v>340</v>
      </c>
      <c r="C164" t="str">
        <f t="shared" si="5"/>
        <v>CF475</v>
      </c>
      <c r="D164" t="s">
        <v>341</v>
      </c>
      <c r="E164" t="s">
        <v>250</v>
      </c>
      <c r="I164" s="2">
        <v>-622556.63</v>
      </c>
      <c r="K164" t="s">
        <v>250</v>
      </c>
    </row>
    <row r="165" spans="2:12">
      <c r="B165" t="s">
        <v>149</v>
      </c>
      <c r="C165" t="str">
        <f t="shared" si="5"/>
        <v>CF477</v>
      </c>
      <c r="D165" t="s">
        <v>342</v>
      </c>
      <c r="E165" t="s">
        <v>247</v>
      </c>
      <c r="F165" s="2">
        <v>319312.61</v>
      </c>
      <c r="I165" s="2">
        <v>-510699.53</v>
      </c>
      <c r="K165" t="s">
        <v>247</v>
      </c>
      <c r="L165" s="2">
        <v>319312.61</v>
      </c>
    </row>
    <row r="166" spans="2:12">
      <c r="B166" t="s">
        <v>343</v>
      </c>
      <c r="C166" t="str">
        <f t="shared" si="5"/>
        <v>CF477</v>
      </c>
      <c r="D166" t="s">
        <v>344</v>
      </c>
      <c r="E166" t="s">
        <v>250</v>
      </c>
      <c r="I166" s="2">
        <v>-1385875.84</v>
      </c>
      <c r="K166" t="s">
        <v>250</v>
      </c>
    </row>
    <row r="167" spans="2:12">
      <c r="B167" t="s">
        <v>147</v>
      </c>
      <c r="C167" t="str">
        <f t="shared" si="5"/>
        <v>CF478</v>
      </c>
      <c r="D167" t="s">
        <v>345</v>
      </c>
      <c r="E167" t="s">
        <v>247</v>
      </c>
      <c r="F167" s="2">
        <v>244000</v>
      </c>
      <c r="G167" s="2">
        <v>-73828.6</v>
      </c>
      <c r="I167" s="2">
        <v>-99828.6</v>
      </c>
      <c r="K167" t="s">
        <v>247</v>
      </c>
      <c r="L167" s="2">
        <v>170171.4</v>
      </c>
    </row>
    <row r="168" spans="2:12">
      <c r="B168" t="s">
        <v>111</v>
      </c>
      <c r="C168" t="str">
        <f t="shared" si="5"/>
        <v>CF479</v>
      </c>
      <c r="D168" t="s">
        <v>346</v>
      </c>
      <c r="E168" t="s">
        <v>247</v>
      </c>
      <c r="F168" s="2">
        <v>5710</v>
      </c>
      <c r="I168" s="2">
        <v>-744388.57</v>
      </c>
      <c r="J168" s="2">
        <v>11999.96</v>
      </c>
      <c r="K168" t="s">
        <v>247</v>
      </c>
      <c r="L168" s="2">
        <v>5710</v>
      </c>
    </row>
    <row r="169" spans="2:12">
      <c r="B169" t="s">
        <v>326</v>
      </c>
      <c r="C169" t="str">
        <f t="shared" si="5"/>
        <v>CF480</v>
      </c>
      <c r="D169" t="s">
        <v>347</v>
      </c>
      <c r="E169" t="s">
        <v>250</v>
      </c>
      <c r="I169" s="2">
        <v>-259258.95</v>
      </c>
      <c r="J169" s="2">
        <v>-2214.13</v>
      </c>
      <c r="K169" t="s">
        <v>250</v>
      </c>
    </row>
    <row r="170" spans="2:12">
      <c r="B170" t="s">
        <v>145</v>
      </c>
      <c r="C170" t="str">
        <f t="shared" si="5"/>
        <v>CF481</v>
      </c>
      <c r="D170" t="s">
        <v>348</v>
      </c>
      <c r="E170" t="s">
        <v>247</v>
      </c>
      <c r="F170" s="2">
        <v>134433.57</v>
      </c>
      <c r="G170" s="2">
        <v>-101887.45</v>
      </c>
      <c r="I170" s="2">
        <v>-84199.07</v>
      </c>
      <c r="K170" t="s">
        <v>247</v>
      </c>
      <c r="L170" s="2">
        <v>32546.12</v>
      </c>
    </row>
    <row r="171" spans="2:12">
      <c r="B171" t="s">
        <v>162</v>
      </c>
      <c r="C171" t="str">
        <f t="shared" si="5"/>
        <v>CF513</v>
      </c>
      <c r="D171" t="s">
        <v>349</v>
      </c>
      <c r="E171" t="s">
        <v>247</v>
      </c>
      <c r="F171" s="2">
        <v>45516.47</v>
      </c>
      <c r="G171">
        <v>-254.98</v>
      </c>
      <c r="I171" s="2">
        <v>-5789.75</v>
      </c>
      <c r="K171" t="s">
        <v>247</v>
      </c>
      <c r="L171" s="2">
        <v>45261.49</v>
      </c>
    </row>
    <row r="172" spans="2:12">
      <c r="B172" t="s">
        <v>143</v>
      </c>
      <c r="C172" t="str">
        <f t="shared" si="5"/>
        <v>CF514</v>
      </c>
      <c r="D172" t="s">
        <v>389</v>
      </c>
      <c r="E172" t="s">
        <v>250</v>
      </c>
      <c r="G172" s="2">
        <v>568469</v>
      </c>
      <c r="I172" s="2">
        <v>568469</v>
      </c>
      <c r="K172" t="s">
        <v>247</v>
      </c>
      <c r="L172" s="2">
        <v>568469</v>
      </c>
    </row>
    <row r="173" spans="2:12">
      <c r="B173" t="s">
        <v>166</v>
      </c>
      <c r="C173" t="str">
        <f t="shared" si="5"/>
        <v>CF516</v>
      </c>
      <c r="D173" t="s">
        <v>390</v>
      </c>
      <c r="E173" t="s">
        <v>250</v>
      </c>
      <c r="G173" s="2">
        <v>92052.3</v>
      </c>
      <c r="I173" s="2">
        <v>92052.3</v>
      </c>
      <c r="K173" t="s">
        <v>247</v>
      </c>
      <c r="L173" s="2">
        <v>92052.3</v>
      </c>
    </row>
    <row r="174" spans="2:12">
      <c r="B174" t="s">
        <v>206</v>
      </c>
      <c r="C174" t="str">
        <f t="shared" si="5"/>
        <v>CF620</v>
      </c>
      <c r="D174" t="s">
        <v>350</v>
      </c>
      <c r="E174" t="s">
        <v>247</v>
      </c>
      <c r="F174" s="2">
        <v>87133.66</v>
      </c>
      <c r="I174" s="2">
        <v>-226985.85</v>
      </c>
      <c r="K174" t="s">
        <v>247</v>
      </c>
      <c r="L174" s="2">
        <v>87133.66</v>
      </c>
    </row>
    <row r="175" spans="2:12">
      <c r="B175" t="s">
        <v>333</v>
      </c>
      <c r="C175" t="str">
        <f t="shared" si="5"/>
        <v>CF640</v>
      </c>
      <c r="D175" t="s">
        <v>352</v>
      </c>
      <c r="E175" t="s">
        <v>250</v>
      </c>
      <c r="I175" s="2">
        <v>-128302.78</v>
      </c>
      <c r="J175" s="2">
        <v>-2359.7</v>
      </c>
      <c r="K175" t="s">
        <v>250</v>
      </c>
    </row>
    <row r="176" spans="2:12">
      <c r="B176" t="s">
        <v>189</v>
      </c>
      <c r="C176" t="str">
        <f t="shared" si="5"/>
        <v>CF641</v>
      </c>
      <c r="D176" t="s">
        <v>354</v>
      </c>
      <c r="E176" t="s">
        <v>247</v>
      </c>
      <c r="F176" s="2">
        <v>79017.47</v>
      </c>
      <c r="I176" s="2">
        <v>-263216.12</v>
      </c>
      <c r="J176" s="2">
        <v>2146.83</v>
      </c>
      <c r="K176" t="s">
        <v>247</v>
      </c>
      <c r="L176" s="2">
        <v>79017.47</v>
      </c>
    </row>
    <row r="177" spans="2:12">
      <c r="B177" t="s">
        <v>203</v>
      </c>
      <c r="C177" t="str">
        <f t="shared" si="5"/>
        <v>CF694</v>
      </c>
      <c r="D177" t="s">
        <v>358</v>
      </c>
      <c r="E177" t="s">
        <v>247</v>
      </c>
      <c r="F177" s="2">
        <v>371222.95</v>
      </c>
      <c r="G177" s="2">
        <v>-366582.95</v>
      </c>
      <c r="I177" s="2">
        <v>-821882.97</v>
      </c>
      <c r="K177" t="s">
        <v>247</v>
      </c>
      <c r="L177" s="2">
        <v>4640</v>
      </c>
    </row>
    <row r="178" spans="2:12">
      <c r="B178" t="s">
        <v>208</v>
      </c>
      <c r="C178" t="str">
        <f t="shared" si="5"/>
        <v>CF696</v>
      </c>
      <c r="D178" t="s">
        <v>362</v>
      </c>
      <c r="E178" t="s">
        <v>247</v>
      </c>
      <c r="F178" s="2">
        <v>72900</v>
      </c>
      <c r="G178" s="2">
        <v>86022</v>
      </c>
      <c r="I178" s="2">
        <v>158922</v>
      </c>
      <c r="K178" t="s">
        <v>247</v>
      </c>
      <c r="L178" s="2">
        <v>158922</v>
      </c>
    </row>
    <row r="179" spans="2:12">
      <c r="B179" t="s">
        <v>210</v>
      </c>
      <c r="C179" t="str">
        <f t="shared" si="5"/>
        <v>CF697</v>
      </c>
      <c r="D179" t="s">
        <v>363</v>
      </c>
      <c r="E179" t="s">
        <v>247</v>
      </c>
      <c r="F179" s="2">
        <v>1865339.35</v>
      </c>
      <c r="I179" s="2">
        <v>707477.9</v>
      </c>
      <c r="K179" t="s">
        <v>247</v>
      </c>
      <c r="L179" s="2">
        <v>1865339.35</v>
      </c>
    </row>
    <row r="180" spans="2:12">
      <c r="B180" t="s">
        <v>212</v>
      </c>
      <c r="C180" t="str">
        <f t="shared" si="5"/>
        <v>CF698</v>
      </c>
      <c r="D180" t="s">
        <v>364</v>
      </c>
      <c r="E180" t="s">
        <v>247</v>
      </c>
      <c r="F180" s="2">
        <v>512278.19</v>
      </c>
      <c r="G180" s="2">
        <v>205150.77</v>
      </c>
      <c r="I180" s="2">
        <v>-446262.24</v>
      </c>
      <c r="K180" t="s">
        <v>247</v>
      </c>
      <c r="L180" s="2">
        <v>717428.96</v>
      </c>
    </row>
    <row r="181" spans="2:12">
      <c r="B181" t="s">
        <v>201</v>
      </c>
      <c r="C181" t="str">
        <f t="shared" si="5"/>
        <v>CF699</v>
      </c>
      <c r="D181" t="s">
        <v>365</v>
      </c>
      <c r="E181" t="s">
        <v>247</v>
      </c>
      <c r="F181" s="2">
        <v>239246.3</v>
      </c>
      <c r="G181" s="2">
        <v>11416.75</v>
      </c>
      <c r="I181" s="2">
        <v>-682151.96</v>
      </c>
      <c r="K181" t="s">
        <v>247</v>
      </c>
      <c r="L181" s="2">
        <v>250663.05</v>
      </c>
    </row>
    <row r="182" spans="2:12">
      <c r="B182" t="s">
        <v>157</v>
      </c>
      <c r="C182" t="str">
        <f t="shared" si="5"/>
        <v>CF700</v>
      </c>
      <c r="D182" t="s">
        <v>366</v>
      </c>
      <c r="E182" t="s">
        <v>247</v>
      </c>
      <c r="F182" s="2">
        <v>371212.13</v>
      </c>
      <c r="G182" s="2">
        <v>128640.32</v>
      </c>
      <c r="I182" s="2">
        <v>499852.45</v>
      </c>
      <c r="K182" t="s">
        <v>247</v>
      </c>
      <c r="L182" s="2">
        <v>499852.45</v>
      </c>
    </row>
    <row r="183" spans="2:12">
      <c r="B183" t="s">
        <v>141</v>
      </c>
      <c r="C183" t="str">
        <f t="shared" si="5"/>
        <v>CF751</v>
      </c>
      <c r="D183" t="s">
        <v>367</v>
      </c>
      <c r="E183" t="s">
        <v>247</v>
      </c>
      <c r="F183" s="2">
        <v>793875</v>
      </c>
      <c r="G183" s="2">
        <v>-113492.5</v>
      </c>
      <c r="I183" s="2">
        <v>-336343.54</v>
      </c>
      <c r="K183" t="s">
        <v>247</v>
      </c>
      <c r="L183" s="2">
        <v>680382.5</v>
      </c>
    </row>
    <row r="184" spans="2:12">
      <c r="B184" t="s">
        <v>191</v>
      </c>
      <c r="C184" t="str">
        <f t="shared" si="5"/>
        <v>CF780</v>
      </c>
      <c r="D184" t="s">
        <v>368</v>
      </c>
      <c r="E184" t="s">
        <v>247</v>
      </c>
      <c r="F184" s="2">
        <v>958667.83</v>
      </c>
      <c r="G184" s="2">
        <v>217411.76</v>
      </c>
      <c r="I184" s="2">
        <v>-1931306.69</v>
      </c>
      <c r="K184" t="s">
        <v>247</v>
      </c>
      <c r="L184" s="2">
        <v>1176079.59</v>
      </c>
    </row>
    <row r="185" spans="2:12">
      <c r="B185" t="s">
        <v>195</v>
      </c>
      <c r="C185" t="str">
        <f t="shared" si="5"/>
        <v>CF781</v>
      </c>
      <c r="D185" t="s">
        <v>369</v>
      </c>
      <c r="E185" t="s">
        <v>247</v>
      </c>
      <c r="F185" s="2">
        <v>529041.1</v>
      </c>
      <c r="G185" s="2">
        <v>-261565.26</v>
      </c>
      <c r="I185" s="2">
        <v>-457117.45</v>
      </c>
      <c r="K185" t="s">
        <v>247</v>
      </c>
      <c r="L185" s="2">
        <v>267475.84</v>
      </c>
    </row>
    <row r="186" spans="2:12">
      <c r="B186" t="s">
        <v>351</v>
      </c>
      <c r="C186" t="str">
        <f t="shared" si="5"/>
        <v>CF782</v>
      </c>
      <c r="D186" t="s">
        <v>370</v>
      </c>
      <c r="E186" t="s">
        <v>250</v>
      </c>
      <c r="K186" t="s">
        <v>250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"/>
  <sheetViews>
    <sheetView workbookViewId="0">
      <selection activeCell="C1" sqref="C$1:C$1048576"/>
    </sheetView>
  </sheetViews>
  <sheetFormatPr defaultColWidth="9.14285714285714" defaultRowHeight="12.75" outlineLevelCol="1"/>
  <cols>
    <col min="1" max="1" width="10" customWidth="1"/>
    <col min="2" max="2" width="15.7142857142857" customWidth="1"/>
  </cols>
  <sheetData>
    <row r="1" spans="1:2">
      <c r="A1" t="s">
        <v>243</v>
      </c>
      <c r="B1" t="s">
        <v>244</v>
      </c>
    </row>
    <row r="2" spans="1:2">
      <c r="A2" t="s">
        <v>219</v>
      </c>
      <c r="B2">
        <v>558916.38</v>
      </c>
    </row>
    <row r="3" spans="1:2">
      <c r="A3" t="s">
        <v>97</v>
      </c>
      <c r="B3">
        <v>152926.07</v>
      </c>
    </row>
    <row r="4" spans="1:2">
      <c r="A4" t="s">
        <v>105</v>
      </c>
      <c r="B4">
        <v>369100.8</v>
      </c>
    </row>
    <row r="5" spans="1:2">
      <c r="A5" t="s">
        <v>103</v>
      </c>
      <c r="B5">
        <v>235575.17</v>
      </c>
    </row>
    <row r="6" spans="1:2">
      <c r="A6" t="s">
        <v>94</v>
      </c>
      <c r="B6">
        <v>369664.05</v>
      </c>
    </row>
    <row r="7" spans="1:2">
      <c r="A7" t="s">
        <v>217</v>
      </c>
      <c r="B7">
        <v>272619.13</v>
      </c>
    </row>
    <row r="8" spans="1:2">
      <c r="A8" t="s">
        <v>107</v>
      </c>
      <c r="B8">
        <v>428645.95</v>
      </c>
    </row>
    <row r="9" spans="1:2">
      <c r="A9" t="s">
        <v>263</v>
      </c>
    </row>
    <row r="10" spans="1:2">
      <c r="A10" t="s">
        <v>160</v>
      </c>
      <c r="B10">
        <v>55810</v>
      </c>
    </row>
    <row r="11" spans="1:2">
      <c r="A11" t="s">
        <v>187</v>
      </c>
      <c r="B11">
        <v>1008090.2</v>
      </c>
    </row>
    <row r="12" spans="1:2">
      <c r="A12" t="s">
        <v>269</v>
      </c>
      <c r="B12">
        <v>15377520.68</v>
      </c>
    </row>
    <row r="13" spans="1:2">
      <c r="A13" t="s">
        <v>100</v>
      </c>
      <c r="B13">
        <v>122872.9</v>
      </c>
    </row>
    <row r="14" spans="1:2">
      <c r="A14" t="s">
        <v>164</v>
      </c>
      <c r="B14">
        <v>2250</v>
      </c>
    </row>
    <row r="15" spans="1:2">
      <c r="A15" t="s">
        <v>133</v>
      </c>
      <c r="B15">
        <v>455900.44</v>
      </c>
    </row>
    <row r="16" spans="1:2">
      <c r="A16" t="s">
        <v>129</v>
      </c>
      <c r="B16">
        <v>309130.42</v>
      </c>
    </row>
    <row r="17" spans="1:2">
      <c r="A17" t="s">
        <v>82</v>
      </c>
      <c r="B17">
        <v>139980</v>
      </c>
    </row>
    <row r="18" spans="1:2">
      <c r="A18" t="s">
        <v>126</v>
      </c>
      <c r="B18">
        <v>3162095.75</v>
      </c>
    </row>
    <row r="19" spans="1:2">
      <c r="A19" t="s">
        <v>123</v>
      </c>
      <c r="B19">
        <v>695917.45</v>
      </c>
    </row>
    <row r="20" spans="1:2">
      <c r="A20" t="s">
        <v>85</v>
      </c>
      <c r="B20">
        <v>3114968.63</v>
      </c>
    </row>
    <row r="21" spans="1:2">
      <c r="A21" t="s">
        <v>44</v>
      </c>
      <c r="B21">
        <v>2858080.02</v>
      </c>
    </row>
    <row r="22" spans="1:2">
      <c r="A22" t="s">
        <v>88</v>
      </c>
      <c r="B22">
        <v>1979507.62</v>
      </c>
    </row>
    <row r="23" spans="1:2">
      <c r="A23" t="s">
        <v>172</v>
      </c>
      <c r="B23">
        <v>978747.48</v>
      </c>
    </row>
    <row r="24" spans="1:2">
      <c r="A24" t="s">
        <v>169</v>
      </c>
      <c r="B24">
        <v>637643.7</v>
      </c>
    </row>
    <row r="25" spans="1:2">
      <c r="A25" t="s">
        <v>48</v>
      </c>
      <c r="B25">
        <v>2993474.3</v>
      </c>
    </row>
    <row r="26" spans="1:2">
      <c r="A26" t="s">
        <v>50</v>
      </c>
      <c r="B26">
        <v>866164.05</v>
      </c>
    </row>
    <row r="27" spans="1:2">
      <c r="A27" t="s">
        <v>183</v>
      </c>
      <c r="B27">
        <v>136147.53</v>
      </c>
    </row>
    <row r="28" spans="1:2">
      <c r="A28" t="s">
        <v>185</v>
      </c>
      <c r="B28">
        <v>2355</v>
      </c>
    </row>
    <row r="29" spans="1:2">
      <c r="A29" t="s">
        <v>155</v>
      </c>
      <c r="B29">
        <v>1177757.33</v>
      </c>
    </row>
    <row r="30" spans="1:2">
      <c r="A30" t="s">
        <v>92</v>
      </c>
      <c r="B30">
        <v>265481.78</v>
      </c>
    </row>
    <row r="31" spans="1:2">
      <c r="A31" t="s">
        <v>116</v>
      </c>
      <c r="B31">
        <v>1591774.68</v>
      </c>
    </row>
    <row r="32" spans="1:2">
      <c r="A32" t="s">
        <v>221</v>
      </c>
      <c r="B32">
        <v>473637.69</v>
      </c>
    </row>
    <row r="33" spans="1:2">
      <c r="A33" t="s">
        <v>223</v>
      </c>
      <c r="B33">
        <v>1267774.62</v>
      </c>
    </row>
    <row r="34" spans="1:2">
      <c r="A34" t="s">
        <v>199</v>
      </c>
      <c r="B34">
        <v>75411.48</v>
      </c>
    </row>
    <row r="35" spans="1:2">
      <c r="A35" t="s">
        <v>58</v>
      </c>
      <c r="B35">
        <v>5949942.6</v>
      </c>
    </row>
    <row r="36" spans="1:2">
      <c r="A36" t="s">
        <v>136</v>
      </c>
      <c r="B36">
        <v>175277.73</v>
      </c>
    </row>
    <row r="37" spans="1:2">
      <c r="A37" t="s">
        <v>225</v>
      </c>
      <c r="B37">
        <v>462196.08</v>
      </c>
    </row>
    <row r="38" spans="1:2">
      <c r="A38" t="s">
        <v>119</v>
      </c>
      <c r="B38">
        <v>1174277.67</v>
      </c>
    </row>
    <row r="39" spans="1:2">
      <c r="A39" t="s">
        <v>197</v>
      </c>
      <c r="B39">
        <v>185287.96</v>
      </c>
    </row>
    <row r="40" spans="1:2">
      <c r="A40" t="s">
        <v>227</v>
      </c>
      <c r="B40">
        <v>619613.94</v>
      </c>
    </row>
    <row r="41" spans="1:2">
      <c r="A41" t="s">
        <v>304</v>
      </c>
    </row>
    <row r="42" spans="1:2">
      <c r="A42" t="s">
        <v>193</v>
      </c>
      <c r="B42">
        <v>1107336.19</v>
      </c>
    </row>
    <row r="43" spans="1:2">
      <c r="A43" t="s">
        <v>229</v>
      </c>
      <c r="B43">
        <v>45619.85</v>
      </c>
    </row>
    <row r="44" spans="1:2">
      <c r="A44" t="s">
        <v>181</v>
      </c>
      <c r="B44">
        <v>23213</v>
      </c>
    </row>
    <row r="45" spans="1:2">
      <c r="A45" t="s">
        <v>179</v>
      </c>
      <c r="B45">
        <v>158624.28</v>
      </c>
    </row>
    <row r="46" spans="1:2">
      <c r="A46" t="s">
        <v>177</v>
      </c>
      <c r="B46">
        <v>263506.66</v>
      </c>
    </row>
    <row r="47" spans="1:2">
      <c r="A47" t="s">
        <v>175</v>
      </c>
      <c r="B47">
        <v>825228.26</v>
      </c>
    </row>
    <row r="48" spans="1:2">
      <c r="A48" t="s">
        <v>314</v>
      </c>
    </row>
    <row r="49" spans="1:2">
      <c r="A49" t="s">
        <v>153</v>
      </c>
      <c r="B49">
        <v>56992.07</v>
      </c>
    </row>
    <row r="50" spans="1:2">
      <c r="A50" t="s">
        <v>77</v>
      </c>
      <c r="B50">
        <v>155417.23</v>
      </c>
    </row>
    <row r="51" spans="1:2">
      <c r="A51" t="s">
        <v>113</v>
      </c>
      <c r="B51">
        <v>1655835.5</v>
      </c>
    </row>
    <row r="52" spans="1:2">
      <c r="A52" t="s">
        <v>149</v>
      </c>
      <c r="B52">
        <v>664440.39</v>
      </c>
    </row>
    <row r="53" spans="1:2">
      <c r="A53" t="s">
        <v>147</v>
      </c>
      <c r="B53">
        <v>170171.4</v>
      </c>
    </row>
    <row r="54" spans="1:2">
      <c r="A54" t="s">
        <v>111</v>
      </c>
      <c r="B54">
        <v>6360</v>
      </c>
    </row>
    <row r="55" spans="1:2">
      <c r="A55" t="s">
        <v>326</v>
      </c>
    </row>
    <row r="56" spans="1:2">
      <c r="A56" t="s">
        <v>145</v>
      </c>
      <c r="B56">
        <v>167353.69</v>
      </c>
    </row>
    <row r="57" spans="1:2">
      <c r="A57" t="s">
        <v>162</v>
      </c>
      <c r="B57">
        <v>45261.49</v>
      </c>
    </row>
    <row r="58" spans="1:2">
      <c r="A58" t="s">
        <v>143</v>
      </c>
      <c r="B58">
        <v>568469</v>
      </c>
    </row>
    <row r="59" spans="1:2">
      <c r="A59" t="s">
        <v>166</v>
      </c>
      <c r="B59">
        <v>92052.3</v>
      </c>
    </row>
    <row r="60" spans="1:2">
      <c r="A60" t="s">
        <v>206</v>
      </c>
      <c r="B60">
        <v>87133.66</v>
      </c>
    </row>
    <row r="61" spans="1:2">
      <c r="A61" t="s">
        <v>333</v>
      </c>
    </row>
    <row r="62" spans="1:2">
      <c r="A62" t="s">
        <v>189</v>
      </c>
      <c r="B62">
        <v>81565.72</v>
      </c>
    </row>
    <row r="63" spans="1:2">
      <c r="A63" t="s">
        <v>65</v>
      </c>
      <c r="B63">
        <v>107690</v>
      </c>
    </row>
    <row r="64" spans="1:2">
      <c r="A64" t="s">
        <v>203</v>
      </c>
      <c r="B64">
        <v>60757.7</v>
      </c>
    </row>
    <row r="65" spans="1:2">
      <c r="A65" t="s">
        <v>339</v>
      </c>
    </row>
    <row r="66" spans="1:2">
      <c r="A66" t="s">
        <v>208</v>
      </c>
      <c r="B66">
        <v>158922</v>
      </c>
    </row>
    <row r="67" spans="1:2">
      <c r="A67" t="s">
        <v>210</v>
      </c>
      <c r="B67">
        <v>413796.21</v>
      </c>
    </row>
    <row r="68" spans="1:2">
      <c r="A68" t="s">
        <v>212</v>
      </c>
      <c r="B68">
        <v>717428.96</v>
      </c>
    </row>
    <row r="69" spans="1:2">
      <c r="A69" t="s">
        <v>201</v>
      </c>
      <c r="B69">
        <v>250663.05</v>
      </c>
    </row>
    <row r="70" spans="1:2">
      <c r="A70" t="s">
        <v>157</v>
      </c>
      <c r="B70">
        <v>547034.13</v>
      </c>
    </row>
    <row r="71" spans="1:2">
      <c r="A71" t="s">
        <v>141</v>
      </c>
      <c r="B71">
        <v>1549640.55</v>
      </c>
    </row>
    <row r="72" spans="1:2">
      <c r="A72" t="s">
        <v>191</v>
      </c>
      <c r="B72">
        <v>1443341.22</v>
      </c>
    </row>
    <row r="73" spans="1:2">
      <c r="A73" t="s">
        <v>195</v>
      </c>
      <c r="B73">
        <v>269875.84</v>
      </c>
    </row>
    <row r="74" spans="1:2">
      <c r="B74">
        <f>SUM(B2:B73)</f>
        <v>62396267.63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7"/>
  <sheetViews>
    <sheetView workbookViewId="0">
      <selection activeCell="L16" sqref="L16"/>
    </sheetView>
  </sheetViews>
  <sheetFormatPr defaultColWidth="9.14285714285714" defaultRowHeight="12.75"/>
  <cols>
    <col min="1" max="1" width="9" customWidth="1"/>
    <col min="2" max="2" width="14.2857142857143" customWidth="1"/>
    <col min="3" max="3" width="6.85714285714286" customWidth="1"/>
    <col min="4" max="4" width="131.428571428571" hidden="1" customWidth="1"/>
    <col min="5" max="6" width="9" customWidth="1"/>
    <col min="7" max="7" width="34" customWidth="1"/>
    <col min="8" max="8" width="25.5714285714286" customWidth="1"/>
    <col min="9" max="10" width="12.8571428571429"/>
    <col min="12" max="12" width="10.5714285714286"/>
  </cols>
  <sheetData>
    <row r="1" spans="1:12">
      <c r="A1" t="s">
        <v>391</v>
      </c>
      <c r="B1" t="s">
        <v>392</v>
      </c>
      <c r="C1" t="s">
        <v>393</v>
      </c>
      <c r="D1" t="s">
        <v>26</v>
      </c>
      <c r="E1" t="s">
        <v>27</v>
      </c>
      <c r="F1" s="1" t="s">
        <v>232</v>
      </c>
      <c r="G1" t="s">
        <v>28</v>
      </c>
      <c r="H1" t="s">
        <v>30</v>
      </c>
    </row>
    <row r="2" spans="1:12">
      <c r="A2" t="s">
        <v>68</v>
      </c>
      <c r="B2" t="s">
        <v>91</v>
      </c>
      <c r="E2" t="s">
        <v>92</v>
      </c>
      <c r="F2" t="str">
        <f>LEFT(E2,5)</f>
        <v>CF190</v>
      </c>
      <c r="G2" t="s">
        <v>93</v>
      </c>
      <c r="H2">
        <v>265481.78</v>
      </c>
      <c r="I2">
        <f>VLOOKUP(F2,Sheet2!$A$2:$B$73,2,0)</f>
        <v>265481.78</v>
      </c>
      <c r="J2">
        <f>H2-I2</f>
        <v>0</v>
      </c>
    </row>
    <row r="3" spans="1:12">
      <c r="A3" t="s">
        <v>68</v>
      </c>
      <c r="B3" t="s">
        <v>91</v>
      </c>
      <c r="E3" t="s">
        <v>199</v>
      </c>
      <c r="F3" t="str">
        <f t="shared" ref="F3:F34" si="0">LEFT(E3,5)</f>
        <v>CF251</v>
      </c>
      <c r="G3" t="s">
        <v>200</v>
      </c>
      <c r="H3">
        <v>75411.48</v>
      </c>
      <c r="I3">
        <f>VLOOKUP(F3,Sheet2!$A$2:$B$73,2,0)</f>
        <v>75411.48</v>
      </c>
      <c r="J3">
        <f t="shared" ref="J3:J34" si="1">H3-I3</f>
        <v>0</v>
      </c>
    </row>
    <row r="4" spans="1:12">
      <c r="A4" t="s">
        <v>68</v>
      </c>
      <c r="B4" t="s">
        <v>91</v>
      </c>
      <c r="E4" t="s">
        <v>189</v>
      </c>
      <c r="F4" t="str">
        <f t="shared" si="0"/>
        <v>CF641</v>
      </c>
      <c r="G4" t="s">
        <v>190</v>
      </c>
      <c r="H4">
        <v>81565.72</v>
      </c>
      <c r="I4">
        <f>VLOOKUP(F4,Sheet2!$A$2:$B$73,2,0)</f>
        <v>81565.72</v>
      </c>
      <c r="J4">
        <f t="shared" si="1"/>
        <v>0</v>
      </c>
    </row>
    <row r="5" spans="1:12">
      <c r="A5" t="s">
        <v>68</v>
      </c>
      <c r="B5" t="s">
        <v>91</v>
      </c>
      <c r="E5" t="s">
        <v>201</v>
      </c>
      <c r="F5" t="str">
        <f t="shared" si="0"/>
        <v>CF699</v>
      </c>
      <c r="G5" t="s">
        <v>202</v>
      </c>
      <c r="H5">
        <v>250663.05</v>
      </c>
      <c r="I5">
        <f>VLOOKUP(F5,Sheet2!$A$2:$B$73,2,0)</f>
        <v>250663.05</v>
      </c>
      <c r="J5">
        <f t="shared" si="1"/>
        <v>0</v>
      </c>
    </row>
    <row r="6" spans="1:12">
      <c r="A6" t="s">
        <v>68</v>
      </c>
      <c r="B6" t="s">
        <v>91</v>
      </c>
      <c r="E6" t="s">
        <v>191</v>
      </c>
      <c r="F6" t="str">
        <f t="shared" si="0"/>
        <v>CF780</v>
      </c>
      <c r="G6" t="s">
        <v>192</v>
      </c>
      <c r="H6">
        <v>1443341.22</v>
      </c>
      <c r="I6">
        <f>VLOOKUP(F6,Sheet2!$A$2:$B$73,2,0)</f>
        <v>1443341.22</v>
      </c>
      <c r="J6">
        <f t="shared" si="1"/>
        <v>0</v>
      </c>
    </row>
    <row r="7" spans="1:12">
      <c r="A7" t="s">
        <v>68</v>
      </c>
      <c r="B7" t="s">
        <v>91</v>
      </c>
      <c r="E7" t="s">
        <v>187</v>
      </c>
      <c r="F7" t="str">
        <f t="shared" si="0"/>
        <v>CF126</v>
      </c>
      <c r="G7" t="s">
        <v>188</v>
      </c>
      <c r="H7">
        <v>1008090.2</v>
      </c>
      <c r="I7">
        <f>VLOOKUP(F7,Sheet2!$A$2:$B$73,2,0)</f>
        <v>1008090.2</v>
      </c>
      <c r="J7">
        <f t="shared" si="1"/>
        <v>0</v>
      </c>
    </row>
    <row r="8" spans="1:12">
      <c r="A8" t="s">
        <v>68</v>
      </c>
      <c r="B8" t="s">
        <v>91</v>
      </c>
      <c r="E8" t="s">
        <v>195</v>
      </c>
      <c r="F8" t="str">
        <f t="shared" si="0"/>
        <v>CF781</v>
      </c>
      <c r="G8" t="s">
        <v>196</v>
      </c>
      <c r="H8">
        <v>269325.34</v>
      </c>
      <c r="I8">
        <f>VLOOKUP(F8,Sheet2!$A$2:$B$73,2,0)</f>
        <v>269875.84</v>
      </c>
      <c r="J8">
        <f t="shared" si="1"/>
        <v>-550.5</v>
      </c>
      <c r="L8">
        <v>268430.34</v>
      </c>
    </row>
    <row r="9" spans="1:12">
      <c r="A9" t="s">
        <v>68</v>
      </c>
      <c r="B9" t="s">
        <v>91</v>
      </c>
      <c r="E9" t="s">
        <v>193</v>
      </c>
      <c r="F9" t="str">
        <f t="shared" si="0"/>
        <v>CF320</v>
      </c>
      <c r="G9" t="s">
        <v>194</v>
      </c>
      <c r="H9">
        <v>1107336.19</v>
      </c>
      <c r="I9">
        <f>VLOOKUP(F9,Sheet2!$A$2:$B$73,2,0)</f>
        <v>1107336.19</v>
      </c>
      <c r="J9">
        <f t="shared" si="1"/>
        <v>0</v>
      </c>
      <c r="L9">
        <f>H8-L8</f>
        <v>895</v>
      </c>
    </row>
    <row r="10" spans="1:12">
      <c r="A10" t="s">
        <v>68</v>
      </c>
      <c r="B10" t="s">
        <v>91</v>
      </c>
      <c r="E10" t="s">
        <v>197</v>
      </c>
      <c r="F10" t="str">
        <f t="shared" si="0"/>
        <v>CF276</v>
      </c>
      <c r="G10" t="s">
        <v>198</v>
      </c>
      <c r="H10">
        <v>185287.96</v>
      </c>
      <c r="I10">
        <f>VLOOKUP(F10,Sheet2!$A$2:$B$73,2,0)</f>
        <v>185287.96</v>
      </c>
      <c r="J10">
        <f t="shared" si="1"/>
        <v>0</v>
      </c>
    </row>
    <row r="11" spans="1:12">
      <c r="A11" t="s">
        <v>68</v>
      </c>
      <c r="B11" t="s">
        <v>91</v>
      </c>
      <c r="D11" t="s">
        <v>12</v>
      </c>
      <c r="F11" t="str">
        <f t="shared" si="0"/>
        <v/>
      </c>
      <c r="H11">
        <v>1779795.43</v>
      </c>
      <c r="I11" t="e">
        <f>VLOOKUP(F11,Sheet2!$A$2:$B$73,2,0)</f>
        <v>#N/A</v>
      </c>
      <c r="J11" t="e">
        <f t="shared" si="1"/>
        <v>#N/A</v>
      </c>
    </row>
    <row r="12" spans="1:12">
      <c r="A12" t="s">
        <v>63</v>
      </c>
      <c r="B12" t="s">
        <v>64</v>
      </c>
      <c r="E12" t="s">
        <v>100</v>
      </c>
      <c r="F12" t="str">
        <f t="shared" si="0"/>
        <v>CF134</v>
      </c>
      <c r="G12" t="s">
        <v>101</v>
      </c>
      <c r="H12">
        <v>122872.9</v>
      </c>
      <c r="I12">
        <f>VLOOKUP(F12,Sheet2!$A$2:$B$73,2,0)</f>
        <v>122872.9</v>
      </c>
      <c r="J12">
        <f t="shared" si="1"/>
        <v>0</v>
      </c>
    </row>
    <row r="13" spans="1:12">
      <c r="A13" t="s">
        <v>63</v>
      </c>
      <c r="B13" t="s">
        <v>64</v>
      </c>
      <c r="E13" t="s">
        <v>203</v>
      </c>
      <c r="F13" t="str">
        <f t="shared" si="0"/>
        <v>CF694</v>
      </c>
      <c r="G13" t="s">
        <v>204</v>
      </c>
      <c r="H13">
        <v>60757.7</v>
      </c>
      <c r="I13">
        <f>VLOOKUP(F13,Sheet2!$A$2:$B$73,2,0)</f>
        <v>60757.7</v>
      </c>
      <c r="J13">
        <f t="shared" si="1"/>
        <v>0</v>
      </c>
    </row>
    <row r="14" spans="1:12">
      <c r="A14" t="s">
        <v>63</v>
      </c>
      <c r="B14" t="s">
        <v>64</v>
      </c>
      <c r="E14" t="s">
        <v>219</v>
      </c>
      <c r="F14" t="str">
        <f t="shared" si="0"/>
        <v>CF101</v>
      </c>
      <c r="G14" t="s">
        <v>220</v>
      </c>
      <c r="H14">
        <v>558916.38</v>
      </c>
      <c r="I14">
        <f>VLOOKUP(F14,Sheet2!$A$2:$B$73,2,0)</f>
        <v>558916.38</v>
      </c>
      <c r="J14">
        <f t="shared" si="1"/>
        <v>0</v>
      </c>
    </row>
    <row r="15" spans="1:12">
      <c r="A15" t="s">
        <v>63</v>
      </c>
      <c r="B15" t="s">
        <v>64</v>
      </c>
      <c r="E15" t="s">
        <v>97</v>
      </c>
      <c r="F15" t="str">
        <f t="shared" si="0"/>
        <v>CF102</v>
      </c>
      <c r="G15" t="s">
        <v>98</v>
      </c>
      <c r="H15">
        <v>152926.07</v>
      </c>
      <c r="I15">
        <f>VLOOKUP(F15,Sheet2!$A$2:$B$73,2,0)</f>
        <v>152926.07</v>
      </c>
      <c r="J15">
        <f t="shared" si="1"/>
        <v>0</v>
      </c>
    </row>
    <row r="16" spans="1:12">
      <c r="A16" t="s">
        <v>63</v>
      </c>
      <c r="B16" t="s">
        <v>64</v>
      </c>
      <c r="E16" t="s">
        <v>65</v>
      </c>
      <c r="F16" t="str">
        <f t="shared" si="0"/>
        <v>CF693</v>
      </c>
      <c r="G16" t="s">
        <v>66</v>
      </c>
      <c r="H16">
        <v>107690</v>
      </c>
      <c r="I16">
        <f>VLOOKUP(F16,Sheet2!$A$2:$B$73,2,0)</f>
        <v>107690</v>
      </c>
      <c r="J16">
        <f t="shared" si="1"/>
        <v>0</v>
      </c>
    </row>
    <row r="17" spans="1:10">
      <c r="A17" t="s">
        <v>63</v>
      </c>
      <c r="B17" t="s">
        <v>64</v>
      </c>
      <c r="E17" t="s">
        <v>105</v>
      </c>
      <c r="F17" t="str">
        <f t="shared" si="0"/>
        <v>CF107</v>
      </c>
      <c r="G17" t="s">
        <v>106</v>
      </c>
      <c r="H17">
        <v>369100.8</v>
      </c>
      <c r="I17">
        <f>VLOOKUP(F17,Sheet2!$A$2:$B$73,2,0)</f>
        <v>369100.8</v>
      </c>
      <c r="J17">
        <f t="shared" si="1"/>
        <v>0</v>
      </c>
    </row>
    <row r="18" spans="1:10">
      <c r="A18" t="s">
        <v>63</v>
      </c>
      <c r="B18" t="s">
        <v>64</v>
      </c>
      <c r="E18" t="s">
        <v>206</v>
      </c>
      <c r="F18" t="str">
        <f t="shared" si="0"/>
        <v>CF620</v>
      </c>
      <c r="G18" t="s">
        <v>207</v>
      </c>
      <c r="H18">
        <v>87133.66</v>
      </c>
      <c r="I18">
        <f>VLOOKUP(F18,Sheet2!$A$2:$B$73,2,0)</f>
        <v>87133.66</v>
      </c>
      <c r="J18">
        <f t="shared" si="1"/>
        <v>0</v>
      </c>
    </row>
    <row r="19" spans="1:10">
      <c r="A19" t="s">
        <v>63</v>
      </c>
      <c r="B19" t="s">
        <v>64</v>
      </c>
      <c r="E19" t="s">
        <v>210</v>
      </c>
      <c r="F19" t="str">
        <f t="shared" si="0"/>
        <v>CF697</v>
      </c>
      <c r="G19" t="s">
        <v>211</v>
      </c>
      <c r="H19">
        <v>413796.21</v>
      </c>
      <c r="I19">
        <f>VLOOKUP(F19,Sheet2!$A$2:$B$73,2,0)</f>
        <v>413796.21</v>
      </c>
      <c r="J19">
        <f t="shared" si="1"/>
        <v>0</v>
      </c>
    </row>
    <row r="20" spans="1:10">
      <c r="A20" t="s">
        <v>63</v>
      </c>
      <c r="B20" t="s">
        <v>64</v>
      </c>
      <c r="E20" t="s">
        <v>107</v>
      </c>
      <c r="F20" t="str">
        <f t="shared" si="0"/>
        <v>CF122</v>
      </c>
      <c r="G20" t="s">
        <v>108</v>
      </c>
      <c r="H20">
        <v>428645.95</v>
      </c>
      <c r="I20">
        <f>VLOOKUP(F20,Sheet2!$A$2:$B$73,2,0)</f>
        <v>428645.95</v>
      </c>
      <c r="J20">
        <f t="shared" si="1"/>
        <v>0</v>
      </c>
    </row>
    <row r="21" spans="1:10">
      <c r="A21" t="s">
        <v>63</v>
      </c>
      <c r="B21" t="s">
        <v>64</v>
      </c>
      <c r="E21" t="s">
        <v>217</v>
      </c>
      <c r="F21" t="str">
        <f t="shared" si="0"/>
        <v>CF121</v>
      </c>
      <c r="G21" t="s">
        <v>218</v>
      </c>
      <c r="H21">
        <v>272619.13</v>
      </c>
      <c r="I21">
        <f>VLOOKUP(F21,Sheet2!$A$2:$B$73,2,0)</f>
        <v>272619.13</v>
      </c>
      <c r="J21">
        <f t="shared" si="1"/>
        <v>0</v>
      </c>
    </row>
    <row r="22" spans="1:10">
      <c r="A22" t="s">
        <v>63</v>
      </c>
      <c r="B22" t="s">
        <v>64</v>
      </c>
      <c r="E22" t="s">
        <v>94</v>
      </c>
      <c r="F22" t="str">
        <f t="shared" si="0"/>
        <v>CF120</v>
      </c>
      <c r="G22" t="s">
        <v>95</v>
      </c>
      <c r="H22">
        <v>369664.05</v>
      </c>
      <c r="I22">
        <f>VLOOKUP(F22,Sheet2!$A$2:$B$73,2,0)</f>
        <v>369664.05</v>
      </c>
      <c r="J22">
        <f t="shared" si="1"/>
        <v>0</v>
      </c>
    </row>
    <row r="23" spans="1:10">
      <c r="A23" t="s">
        <v>63</v>
      </c>
      <c r="B23" t="s">
        <v>64</v>
      </c>
      <c r="E23" t="s">
        <v>212</v>
      </c>
      <c r="F23" t="str">
        <f t="shared" si="0"/>
        <v>CF698</v>
      </c>
      <c r="G23" t="s">
        <v>213</v>
      </c>
      <c r="H23">
        <v>717428.96</v>
      </c>
      <c r="I23">
        <f>VLOOKUP(F23,Sheet2!$A$2:$B$73,2,0)</f>
        <v>717428.96</v>
      </c>
      <c r="J23">
        <f t="shared" si="1"/>
        <v>0</v>
      </c>
    </row>
    <row r="24" spans="1:10">
      <c r="A24" t="s">
        <v>63</v>
      </c>
      <c r="B24" t="s">
        <v>64</v>
      </c>
      <c r="E24" t="s">
        <v>103</v>
      </c>
      <c r="F24" t="str">
        <f t="shared" si="0"/>
        <v>CF108</v>
      </c>
      <c r="G24" t="s">
        <v>104</v>
      </c>
      <c r="H24">
        <v>235575.17</v>
      </c>
      <c r="I24">
        <f>VLOOKUP(F24,Sheet2!$A$2:$B$73,2,0)</f>
        <v>235575.17</v>
      </c>
      <c r="J24">
        <f t="shared" si="1"/>
        <v>0</v>
      </c>
    </row>
    <row r="25" spans="1:10">
      <c r="A25" t="s">
        <v>63</v>
      </c>
      <c r="B25" t="s">
        <v>64</v>
      </c>
      <c r="E25" t="s">
        <v>208</v>
      </c>
      <c r="F25" t="str">
        <f t="shared" si="0"/>
        <v>CF696</v>
      </c>
      <c r="G25" t="s">
        <v>209</v>
      </c>
      <c r="H25">
        <v>158922</v>
      </c>
      <c r="I25">
        <f>VLOOKUP(F25,Sheet2!$A$2:$B$73,2,0)</f>
        <v>158922</v>
      </c>
      <c r="J25">
        <f t="shared" si="1"/>
        <v>0</v>
      </c>
    </row>
    <row r="26" spans="1:10">
      <c r="A26" t="s">
        <v>63</v>
      </c>
      <c r="B26" t="s">
        <v>64</v>
      </c>
      <c r="D26" t="s">
        <v>12</v>
      </c>
      <c r="F26" t="str">
        <f t="shared" si="0"/>
        <v/>
      </c>
      <c r="H26">
        <v>841570.32</v>
      </c>
      <c r="I26" t="e">
        <f>VLOOKUP(F26,Sheet2!$A$2:$B$73,2,0)</f>
        <v>#N/A</v>
      </c>
      <c r="J26" t="e">
        <f t="shared" si="1"/>
        <v>#N/A</v>
      </c>
    </row>
    <row r="27" spans="1:10">
      <c r="A27" t="s">
        <v>56</v>
      </c>
      <c r="B27" t="s">
        <v>122</v>
      </c>
      <c r="E27" t="s">
        <v>123</v>
      </c>
      <c r="F27" t="str">
        <f t="shared" si="0"/>
        <v>CF142</v>
      </c>
      <c r="G27" t="s">
        <v>124</v>
      </c>
      <c r="H27">
        <v>695917.45</v>
      </c>
      <c r="I27">
        <f>VLOOKUP(F27,Sheet2!$A$2:$B$73,2,0)</f>
        <v>695917.45</v>
      </c>
      <c r="J27">
        <f t="shared" si="1"/>
        <v>0</v>
      </c>
    </row>
    <row r="28" spans="1:10">
      <c r="A28" t="s">
        <v>56</v>
      </c>
      <c r="B28" t="s">
        <v>122</v>
      </c>
      <c r="E28" t="s">
        <v>126</v>
      </c>
      <c r="F28" t="str">
        <f t="shared" si="0"/>
        <v>CF141</v>
      </c>
      <c r="G28" t="s">
        <v>127</v>
      </c>
      <c r="H28">
        <v>3162095.75</v>
      </c>
      <c r="I28">
        <f>VLOOKUP(F28,Sheet2!$A$2:$B$73,2,0)</f>
        <v>3162095.75</v>
      </c>
      <c r="J28">
        <f t="shared" si="1"/>
        <v>0</v>
      </c>
    </row>
    <row r="29" spans="1:10">
      <c r="A29" t="s">
        <v>56</v>
      </c>
      <c r="B29" t="s">
        <v>122</v>
      </c>
      <c r="E29" t="s">
        <v>129</v>
      </c>
      <c r="F29" t="str">
        <f t="shared" si="0"/>
        <v>CF139</v>
      </c>
      <c r="G29" t="s">
        <v>130</v>
      </c>
      <c r="H29">
        <v>309130.42</v>
      </c>
      <c r="I29">
        <f>VLOOKUP(F29,Sheet2!$A$2:$B$73,2,0)</f>
        <v>309130.42</v>
      </c>
      <c r="J29">
        <f t="shared" si="1"/>
        <v>0</v>
      </c>
    </row>
    <row r="30" spans="1:10">
      <c r="A30" t="s">
        <v>56</v>
      </c>
      <c r="B30" t="s">
        <v>122</v>
      </c>
      <c r="E30" t="s">
        <v>133</v>
      </c>
      <c r="F30" t="str">
        <f t="shared" si="0"/>
        <v>CF138</v>
      </c>
      <c r="G30" t="s">
        <v>134</v>
      </c>
      <c r="H30">
        <v>455900.44</v>
      </c>
      <c r="I30">
        <f>VLOOKUP(F30,Sheet2!$A$2:$B$73,2,0)</f>
        <v>455900.44</v>
      </c>
      <c r="J30">
        <f t="shared" si="1"/>
        <v>0</v>
      </c>
    </row>
    <row r="31" spans="1:10">
      <c r="A31" t="s">
        <v>56</v>
      </c>
      <c r="B31" t="s">
        <v>122</v>
      </c>
      <c r="E31" t="s">
        <v>138</v>
      </c>
      <c r="F31" t="str">
        <f t="shared" si="0"/>
        <v>CF127</v>
      </c>
      <c r="G31" t="s">
        <v>139</v>
      </c>
      <c r="H31">
        <v>5981139.75</v>
      </c>
      <c r="I31">
        <f>VLOOKUP(F31,Sheet2!$A$2:$B$73,2,0)</f>
        <v>15377520.68</v>
      </c>
      <c r="J31">
        <f t="shared" si="1"/>
        <v>-9396380.93</v>
      </c>
    </row>
    <row r="32" spans="1:10">
      <c r="A32" t="s">
        <v>56</v>
      </c>
      <c r="B32" t="s">
        <v>122</v>
      </c>
      <c r="E32" t="s">
        <v>151</v>
      </c>
      <c r="F32" t="str">
        <f t="shared" si="0"/>
        <v>CF127</v>
      </c>
      <c r="G32" t="s">
        <v>152</v>
      </c>
      <c r="H32">
        <v>9396380.93</v>
      </c>
      <c r="I32">
        <f>VLOOKUP(F32,Sheet2!$A$2:$B$73,2,0)</f>
        <v>15377520.68</v>
      </c>
      <c r="J32">
        <f t="shared" si="1"/>
        <v>-5981139.75</v>
      </c>
    </row>
    <row r="33" spans="1:10">
      <c r="A33" t="s">
        <v>56</v>
      </c>
      <c r="B33" t="s">
        <v>122</v>
      </c>
      <c r="E33" t="s">
        <v>141</v>
      </c>
      <c r="F33" t="str">
        <f t="shared" si="0"/>
        <v>CF751</v>
      </c>
      <c r="G33" t="s">
        <v>142</v>
      </c>
      <c r="H33">
        <v>1549640.55</v>
      </c>
      <c r="I33">
        <f>VLOOKUP(F33,Sheet2!$A$2:$B$73,2,0)</f>
        <v>1549640.55</v>
      </c>
      <c r="J33">
        <f t="shared" si="1"/>
        <v>0</v>
      </c>
    </row>
    <row r="34" spans="1:10">
      <c r="A34" t="s">
        <v>56</v>
      </c>
      <c r="B34" t="s">
        <v>122</v>
      </c>
      <c r="E34" t="s">
        <v>143</v>
      </c>
      <c r="F34" t="str">
        <f t="shared" si="0"/>
        <v>CF514</v>
      </c>
      <c r="G34" t="s">
        <v>144</v>
      </c>
      <c r="H34">
        <v>568469</v>
      </c>
      <c r="I34">
        <f>VLOOKUP(F34,Sheet2!$A$2:$B$73,2,0)</f>
        <v>568469</v>
      </c>
      <c r="J34">
        <f t="shared" si="1"/>
        <v>0</v>
      </c>
    </row>
    <row r="35" spans="1:10">
      <c r="A35" t="s">
        <v>56</v>
      </c>
      <c r="B35" t="s">
        <v>122</v>
      </c>
      <c r="E35" t="s">
        <v>145</v>
      </c>
      <c r="F35" t="str">
        <f t="shared" ref="F35:F66" si="2">LEFT(E35,5)</f>
        <v>CF481</v>
      </c>
      <c r="G35" t="s">
        <v>146</v>
      </c>
      <c r="H35">
        <v>167353.69</v>
      </c>
      <c r="I35">
        <f>VLOOKUP(F35,Sheet2!$A$2:$B$73,2,0)</f>
        <v>167353.69</v>
      </c>
      <c r="J35">
        <f t="shared" ref="J35:J66" si="3">H35-I35</f>
        <v>0</v>
      </c>
    </row>
    <row r="36" spans="1:10">
      <c r="A36" t="s">
        <v>56</v>
      </c>
      <c r="B36" t="s">
        <v>122</v>
      </c>
      <c r="E36" t="s">
        <v>147</v>
      </c>
      <c r="F36" t="str">
        <f t="shared" si="2"/>
        <v>CF478</v>
      </c>
      <c r="G36" t="s">
        <v>148</v>
      </c>
      <c r="H36">
        <v>170171.4</v>
      </c>
      <c r="I36">
        <f>VLOOKUP(F36,Sheet2!$A$2:$B$73,2,0)</f>
        <v>170171.4</v>
      </c>
      <c r="J36">
        <f t="shared" si="3"/>
        <v>0</v>
      </c>
    </row>
    <row r="37" spans="1:10">
      <c r="A37" t="s">
        <v>56</v>
      </c>
      <c r="B37" t="s">
        <v>122</v>
      </c>
      <c r="E37" t="s">
        <v>149</v>
      </c>
      <c r="F37" t="str">
        <f t="shared" si="2"/>
        <v>CF477</v>
      </c>
      <c r="G37" t="s">
        <v>150</v>
      </c>
      <c r="H37">
        <v>664440.39</v>
      </c>
      <c r="I37">
        <f>VLOOKUP(F37,Sheet2!$A$2:$B$73,2,0)</f>
        <v>664440.39</v>
      </c>
      <c r="J37">
        <f t="shared" si="3"/>
        <v>0</v>
      </c>
    </row>
    <row r="38" spans="1:10">
      <c r="A38" t="s">
        <v>56</v>
      </c>
      <c r="B38" t="s">
        <v>122</v>
      </c>
      <c r="E38" t="s">
        <v>77</v>
      </c>
      <c r="F38" t="str">
        <f t="shared" si="2"/>
        <v>CF474</v>
      </c>
      <c r="G38" t="s">
        <v>78</v>
      </c>
      <c r="H38">
        <v>155417.23</v>
      </c>
      <c r="I38">
        <f>VLOOKUP(F38,Sheet2!$A$2:$B$73,2,0)</f>
        <v>155417.23</v>
      </c>
      <c r="J38">
        <f t="shared" si="3"/>
        <v>0</v>
      </c>
    </row>
    <row r="39" spans="1:10">
      <c r="A39" t="s">
        <v>56</v>
      </c>
      <c r="B39" t="s">
        <v>122</v>
      </c>
      <c r="E39" t="s">
        <v>136</v>
      </c>
      <c r="F39" t="str">
        <f t="shared" si="2"/>
        <v>CF272</v>
      </c>
      <c r="G39" t="s">
        <v>137</v>
      </c>
      <c r="H39">
        <v>175277.73</v>
      </c>
      <c r="I39">
        <f>VLOOKUP(F39,Sheet2!$A$2:$B$73,2,0)</f>
        <v>175277.73</v>
      </c>
      <c r="J39">
        <f t="shared" si="3"/>
        <v>0</v>
      </c>
    </row>
    <row r="40" spans="1:10">
      <c r="A40" t="s">
        <v>56</v>
      </c>
      <c r="B40" t="s">
        <v>122</v>
      </c>
      <c r="D40" t="s">
        <v>12</v>
      </c>
      <c r="F40" t="str">
        <f t="shared" si="2"/>
        <v/>
      </c>
      <c r="H40">
        <v>7157281.04</v>
      </c>
      <c r="I40" t="e">
        <f>VLOOKUP(F40,Sheet2!$A$2:$B$73,2,0)</f>
        <v>#N/A</v>
      </c>
      <c r="J40" t="e">
        <f t="shared" si="3"/>
        <v>#N/A</v>
      </c>
    </row>
    <row r="41" spans="1:10">
      <c r="A41" t="s">
        <v>56</v>
      </c>
      <c r="B41" t="s">
        <v>57</v>
      </c>
      <c r="C41" t="s">
        <v>109</v>
      </c>
      <c r="E41" t="s">
        <v>58</v>
      </c>
      <c r="F41" t="str">
        <f t="shared" si="2"/>
        <v>CF270</v>
      </c>
      <c r="G41" t="s">
        <v>59</v>
      </c>
      <c r="H41">
        <v>5949942.6</v>
      </c>
      <c r="I41">
        <f>VLOOKUP(F41,Sheet2!$A$2:$B$73,2,0)</f>
        <v>5949942.6</v>
      </c>
      <c r="J41">
        <f t="shared" si="3"/>
        <v>0</v>
      </c>
    </row>
    <row r="42" spans="1:10">
      <c r="A42" t="s">
        <v>56</v>
      </c>
      <c r="B42" t="s">
        <v>57</v>
      </c>
      <c r="C42" t="s">
        <v>109</v>
      </c>
      <c r="D42" t="s">
        <v>12</v>
      </c>
      <c r="F42" t="str">
        <f t="shared" si="2"/>
        <v/>
      </c>
      <c r="H42">
        <v>5949942.6</v>
      </c>
      <c r="I42" t="e">
        <f>VLOOKUP(F42,Sheet2!$A$2:$B$73,2,0)</f>
        <v>#N/A</v>
      </c>
      <c r="J42" t="e">
        <f t="shared" si="3"/>
        <v>#N/A</v>
      </c>
    </row>
    <row r="43" spans="1:10">
      <c r="A43" t="s">
        <v>41</v>
      </c>
      <c r="B43" t="s">
        <v>42</v>
      </c>
      <c r="E43" t="s">
        <v>155</v>
      </c>
      <c r="F43" t="str">
        <f t="shared" si="2"/>
        <v>CF183</v>
      </c>
      <c r="G43" t="s">
        <v>156</v>
      </c>
      <c r="H43">
        <v>1177757.33</v>
      </c>
      <c r="I43">
        <f>VLOOKUP(F43,Sheet2!$A$2:$B$73,2,0)</f>
        <v>1177757.33</v>
      </c>
      <c r="J43">
        <f t="shared" si="3"/>
        <v>0</v>
      </c>
    </row>
    <row r="44" spans="1:10">
      <c r="A44" t="s">
        <v>41</v>
      </c>
      <c r="B44" t="s">
        <v>42</v>
      </c>
      <c r="E44" t="s">
        <v>82</v>
      </c>
      <c r="F44" t="str">
        <f t="shared" si="2"/>
        <v>CF140</v>
      </c>
      <c r="G44" t="s">
        <v>83</v>
      </c>
      <c r="H44">
        <v>139980</v>
      </c>
      <c r="I44">
        <f>VLOOKUP(F44,Sheet2!$A$2:$B$73,2,0)</f>
        <v>139980</v>
      </c>
      <c r="J44">
        <f t="shared" si="3"/>
        <v>0</v>
      </c>
    </row>
    <row r="45" spans="1:10">
      <c r="A45" t="s">
        <v>41</v>
      </c>
      <c r="B45" t="s">
        <v>42</v>
      </c>
      <c r="E45" t="s">
        <v>157</v>
      </c>
      <c r="F45" t="str">
        <f t="shared" si="2"/>
        <v>CF700</v>
      </c>
      <c r="G45" t="s">
        <v>158</v>
      </c>
      <c r="H45">
        <v>547034.13</v>
      </c>
      <c r="I45">
        <f>VLOOKUP(F45,Sheet2!$A$2:$B$73,2,0)</f>
        <v>547034.13</v>
      </c>
      <c r="J45">
        <f t="shared" si="3"/>
        <v>0</v>
      </c>
    </row>
    <row r="46" spans="1:10">
      <c r="A46" t="s">
        <v>41</v>
      </c>
      <c r="B46" t="s">
        <v>42</v>
      </c>
      <c r="E46" t="s">
        <v>160</v>
      </c>
      <c r="F46" t="str">
        <f t="shared" si="2"/>
        <v>CF125</v>
      </c>
      <c r="G46" t="s">
        <v>161</v>
      </c>
      <c r="H46">
        <v>55810</v>
      </c>
      <c r="I46">
        <f>VLOOKUP(F46,Sheet2!$A$2:$B$73,2,0)</f>
        <v>55810</v>
      </c>
      <c r="J46">
        <f t="shared" si="3"/>
        <v>0</v>
      </c>
    </row>
    <row r="47" spans="1:10">
      <c r="A47" t="s">
        <v>41</v>
      </c>
      <c r="B47" t="s">
        <v>42</v>
      </c>
      <c r="E47" t="s">
        <v>162</v>
      </c>
      <c r="F47" t="str">
        <f t="shared" si="2"/>
        <v>CF513</v>
      </c>
      <c r="G47" t="s">
        <v>163</v>
      </c>
      <c r="H47">
        <v>45261.49</v>
      </c>
      <c r="I47">
        <f>VLOOKUP(F47,Sheet2!$A$2:$B$73,2,0)</f>
        <v>45261.49</v>
      </c>
      <c r="J47">
        <f t="shared" si="3"/>
        <v>0</v>
      </c>
    </row>
    <row r="48" spans="1:10">
      <c r="A48" t="s">
        <v>41</v>
      </c>
      <c r="B48" t="s">
        <v>42</v>
      </c>
      <c r="E48" t="s">
        <v>164</v>
      </c>
      <c r="F48" t="str">
        <f t="shared" si="2"/>
        <v>CF137</v>
      </c>
      <c r="G48" t="s">
        <v>165</v>
      </c>
      <c r="H48">
        <v>2250</v>
      </c>
      <c r="I48">
        <f>VLOOKUP(F48,Sheet2!$A$2:$B$73,2,0)</f>
        <v>2250</v>
      </c>
      <c r="J48">
        <f t="shared" si="3"/>
        <v>0</v>
      </c>
    </row>
    <row r="49" spans="1:10">
      <c r="A49" t="s">
        <v>41</v>
      </c>
      <c r="B49" t="s">
        <v>42</v>
      </c>
      <c r="E49" t="s">
        <v>166</v>
      </c>
      <c r="F49" t="str">
        <f t="shared" si="2"/>
        <v>CF516</v>
      </c>
      <c r="G49" t="s">
        <v>167</v>
      </c>
      <c r="H49">
        <v>92052.3</v>
      </c>
      <c r="I49">
        <f>VLOOKUP(F49,Sheet2!$A$2:$B$73,2,0)</f>
        <v>92052.3</v>
      </c>
      <c r="J49">
        <f t="shared" si="3"/>
        <v>0</v>
      </c>
    </row>
    <row r="50" spans="1:10">
      <c r="A50" t="s">
        <v>41</v>
      </c>
      <c r="B50" t="s">
        <v>42</v>
      </c>
      <c r="E50" t="s">
        <v>50</v>
      </c>
      <c r="F50" t="str">
        <f t="shared" si="2"/>
        <v>CF180</v>
      </c>
      <c r="G50" t="s">
        <v>51</v>
      </c>
      <c r="H50">
        <v>866164.05</v>
      </c>
      <c r="I50">
        <f>VLOOKUP(F50,Sheet2!$A$2:$B$73,2,0)</f>
        <v>866164.05</v>
      </c>
      <c r="J50">
        <f t="shared" si="3"/>
        <v>0</v>
      </c>
    </row>
    <row r="51" spans="1:10">
      <c r="A51" t="s">
        <v>41</v>
      </c>
      <c r="B51" t="s">
        <v>42</v>
      </c>
      <c r="E51" t="s">
        <v>48</v>
      </c>
      <c r="F51" t="str">
        <f t="shared" si="2"/>
        <v>CF179</v>
      </c>
      <c r="G51" t="s">
        <v>49</v>
      </c>
      <c r="H51">
        <v>2993474.3</v>
      </c>
      <c r="I51">
        <f>VLOOKUP(F51,Sheet2!$A$2:$B$73,2,0)</f>
        <v>2993474.3</v>
      </c>
      <c r="J51">
        <f t="shared" si="3"/>
        <v>0</v>
      </c>
    </row>
    <row r="52" spans="1:10">
      <c r="A52" t="s">
        <v>41</v>
      </c>
      <c r="B52" t="s">
        <v>42</v>
      </c>
      <c r="E52" t="s">
        <v>169</v>
      </c>
      <c r="F52" t="str">
        <f t="shared" si="2"/>
        <v>CF177</v>
      </c>
      <c r="G52" t="s">
        <v>170</v>
      </c>
      <c r="H52">
        <v>637643.7</v>
      </c>
      <c r="I52">
        <f>VLOOKUP(F52,Sheet2!$A$2:$B$73,2,0)</f>
        <v>637643.7</v>
      </c>
      <c r="J52">
        <f t="shared" si="3"/>
        <v>0</v>
      </c>
    </row>
    <row r="53" spans="1:10">
      <c r="A53" t="s">
        <v>41</v>
      </c>
      <c r="B53" t="s">
        <v>42</v>
      </c>
      <c r="E53" t="s">
        <v>172</v>
      </c>
      <c r="F53" t="str">
        <f t="shared" si="2"/>
        <v>CF175</v>
      </c>
      <c r="G53" t="s">
        <v>173</v>
      </c>
      <c r="H53">
        <v>978747.48</v>
      </c>
      <c r="I53">
        <f>VLOOKUP(F53,Sheet2!$A$2:$B$73,2,0)</f>
        <v>978747.48</v>
      </c>
      <c r="J53">
        <f t="shared" si="3"/>
        <v>0</v>
      </c>
    </row>
    <row r="54" spans="1:10">
      <c r="A54" t="s">
        <v>41</v>
      </c>
      <c r="B54" t="s">
        <v>42</v>
      </c>
      <c r="E54" t="s">
        <v>88</v>
      </c>
      <c r="F54" t="str">
        <f t="shared" si="2"/>
        <v>CF174</v>
      </c>
      <c r="G54" t="s">
        <v>89</v>
      </c>
      <c r="H54">
        <v>1979507.62</v>
      </c>
      <c r="I54">
        <f>VLOOKUP(F54,Sheet2!$A$2:$B$73,2,0)</f>
        <v>1979507.62</v>
      </c>
      <c r="J54">
        <f t="shared" si="3"/>
        <v>0</v>
      </c>
    </row>
    <row r="55" spans="1:10">
      <c r="A55" t="s">
        <v>41</v>
      </c>
      <c r="B55" t="s">
        <v>42</v>
      </c>
      <c r="E55" t="s">
        <v>175</v>
      </c>
      <c r="F55" t="str">
        <f t="shared" si="2"/>
        <v>CF450</v>
      </c>
      <c r="G55" t="s">
        <v>176</v>
      </c>
      <c r="H55">
        <v>825228.26</v>
      </c>
      <c r="I55">
        <f>VLOOKUP(F55,Sheet2!$A$2:$B$73,2,0)</f>
        <v>825228.26</v>
      </c>
      <c r="J55">
        <f t="shared" si="3"/>
        <v>0</v>
      </c>
    </row>
    <row r="56" spans="1:10">
      <c r="A56" t="s">
        <v>41</v>
      </c>
      <c r="B56" t="s">
        <v>42</v>
      </c>
      <c r="E56" t="s">
        <v>177</v>
      </c>
      <c r="F56" t="str">
        <f t="shared" si="2"/>
        <v>CF364</v>
      </c>
      <c r="G56" t="s">
        <v>178</v>
      </c>
      <c r="H56">
        <v>263506.66</v>
      </c>
      <c r="I56">
        <f>VLOOKUP(F56,Sheet2!$A$2:$B$73,2,0)</f>
        <v>263506.66</v>
      </c>
      <c r="J56">
        <f t="shared" si="3"/>
        <v>0</v>
      </c>
    </row>
    <row r="57" spans="1:10">
      <c r="A57" t="s">
        <v>41</v>
      </c>
      <c r="B57" t="s">
        <v>42</v>
      </c>
      <c r="E57" t="s">
        <v>179</v>
      </c>
      <c r="F57" t="str">
        <f t="shared" si="2"/>
        <v>CF363</v>
      </c>
      <c r="G57" t="s">
        <v>180</v>
      </c>
      <c r="H57">
        <v>158624.28</v>
      </c>
      <c r="I57">
        <f>VLOOKUP(F57,Sheet2!$A$2:$B$73,2,0)</f>
        <v>158624.28</v>
      </c>
      <c r="J57">
        <f t="shared" si="3"/>
        <v>0</v>
      </c>
    </row>
    <row r="58" spans="1:10">
      <c r="A58" t="s">
        <v>41</v>
      </c>
      <c r="B58" t="s">
        <v>42</v>
      </c>
      <c r="E58" t="s">
        <v>181</v>
      </c>
      <c r="F58" t="str">
        <f t="shared" si="2"/>
        <v>CF360</v>
      </c>
      <c r="G58" t="s">
        <v>182</v>
      </c>
      <c r="H58">
        <v>23213</v>
      </c>
      <c r="I58">
        <f>VLOOKUP(F58,Sheet2!$A$2:$B$73,2,0)</f>
        <v>23213</v>
      </c>
      <c r="J58">
        <f t="shared" si="3"/>
        <v>0</v>
      </c>
    </row>
    <row r="59" spans="1:10">
      <c r="A59" t="s">
        <v>41</v>
      </c>
      <c r="B59" t="s">
        <v>42</v>
      </c>
      <c r="E59" t="s">
        <v>183</v>
      </c>
      <c r="F59" t="str">
        <f t="shared" si="2"/>
        <v>CF181</v>
      </c>
      <c r="G59" t="s">
        <v>184</v>
      </c>
      <c r="H59">
        <v>136147.53</v>
      </c>
      <c r="I59">
        <f>VLOOKUP(F59,Sheet2!$A$2:$B$73,2,0)</f>
        <v>136147.53</v>
      </c>
      <c r="J59">
        <f t="shared" si="3"/>
        <v>0</v>
      </c>
    </row>
    <row r="60" spans="1:10">
      <c r="A60" t="s">
        <v>41</v>
      </c>
      <c r="B60" t="s">
        <v>42</v>
      </c>
      <c r="E60" t="s">
        <v>185</v>
      </c>
      <c r="F60" t="str">
        <f t="shared" si="2"/>
        <v>CF182</v>
      </c>
      <c r="G60" t="s">
        <v>186</v>
      </c>
      <c r="H60">
        <v>2355</v>
      </c>
      <c r="I60">
        <f>VLOOKUP(F60,Sheet2!$A$2:$B$73,2,0)</f>
        <v>2355</v>
      </c>
      <c r="J60">
        <f t="shared" si="3"/>
        <v>0</v>
      </c>
    </row>
    <row r="61" spans="1:10">
      <c r="A61" t="s">
        <v>41</v>
      </c>
      <c r="B61" t="s">
        <v>42</v>
      </c>
      <c r="E61" t="s">
        <v>44</v>
      </c>
      <c r="F61" t="str">
        <f t="shared" si="2"/>
        <v>CF173</v>
      </c>
      <c r="G61" t="s">
        <v>45</v>
      </c>
      <c r="H61">
        <v>2858080.02</v>
      </c>
      <c r="I61">
        <f>VLOOKUP(F61,Sheet2!$A$2:$B$73,2,0)</f>
        <v>2858080.02</v>
      </c>
      <c r="J61">
        <f t="shared" si="3"/>
        <v>0</v>
      </c>
    </row>
    <row r="62" spans="1:10">
      <c r="A62" t="s">
        <v>41</v>
      </c>
      <c r="B62" t="s">
        <v>42</v>
      </c>
      <c r="E62" t="s">
        <v>153</v>
      </c>
      <c r="F62" t="str">
        <f t="shared" si="2"/>
        <v>CF453</v>
      </c>
      <c r="G62" t="s">
        <v>154</v>
      </c>
      <c r="H62">
        <v>56992.07</v>
      </c>
      <c r="I62">
        <f>VLOOKUP(F62,Sheet2!$A$2:$B$73,2,0)</f>
        <v>56992.07</v>
      </c>
      <c r="J62">
        <f t="shared" si="3"/>
        <v>0</v>
      </c>
    </row>
    <row r="63" spans="1:10">
      <c r="A63" t="s">
        <v>41</v>
      </c>
      <c r="B63" t="s">
        <v>42</v>
      </c>
      <c r="E63" t="s">
        <v>85</v>
      </c>
      <c r="F63" t="str">
        <f t="shared" si="2"/>
        <v>CF160</v>
      </c>
      <c r="G63" t="s">
        <v>86</v>
      </c>
      <c r="H63">
        <v>3114968.63</v>
      </c>
      <c r="I63">
        <f>VLOOKUP(F63,Sheet2!$A$2:$B$73,2,0)</f>
        <v>3114968.63</v>
      </c>
      <c r="J63">
        <f t="shared" si="3"/>
        <v>0</v>
      </c>
    </row>
    <row r="64" spans="1:10">
      <c r="A64" t="s">
        <v>41</v>
      </c>
      <c r="B64" t="s">
        <v>42</v>
      </c>
      <c r="D64" t="s">
        <v>12</v>
      </c>
      <c r="F64" t="str">
        <f t="shared" si="2"/>
        <v/>
      </c>
      <c r="H64">
        <v>13448579.97</v>
      </c>
      <c r="I64" t="e">
        <f>VLOOKUP(F64,Sheet2!$A$2:$B$73,2,0)</f>
        <v>#N/A</v>
      </c>
      <c r="J64" t="e">
        <f t="shared" si="3"/>
        <v>#N/A</v>
      </c>
    </row>
    <row r="65" spans="1:10">
      <c r="A65" t="s">
        <v>109</v>
      </c>
      <c r="B65" t="s">
        <v>110</v>
      </c>
      <c r="E65" t="s">
        <v>116</v>
      </c>
      <c r="F65" t="str">
        <f t="shared" si="2"/>
        <v>CF191</v>
      </c>
      <c r="G65" t="s">
        <v>117</v>
      </c>
      <c r="H65">
        <v>1591774.68</v>
      </c>
      <c r="I65">
        <f>VLOOKUP(F65,Sheet2!$A$2:$B$73,2,0)</f>
        <v>1591774.68</v>
      </c>
      <c r="J65">
        <f t="shared" si="3"/>
        <v>0</v>
      </c>
    </row>
    <row r="66" spans="1:10">
      <c r="A66" t="s">
        <v>109</v>
      </c>
      <c r="B66" t="s">
        <v>110</v>
      </c>
      <c r="E66" t="s">
        <v>221</v>
      </c>
      <c r="F66" t="str">
        <f t="shared" si="2"/>
        <v>CF212</v>
      </c>
      <c r="G66" t="s">
        <v>222</v>
      </c>
      <c r="H66">
        <v>473637.69</v>
      </c>
      <c r="I66">
        <f>VLOOKUP(F66,Sheet2!$A$2:$B$73,2,0)</f>
        <v>473637.69</v>
      </c>
      <c r="J66">
        <f t="shared" si="3"/>
        <v>0</v>
      </c>
    </row>
    <row r="67" spans="1:10">
      <c r="A67" t="s">
        <v>109</v>
      </c>
      <c r="B67" t="s">
        <v>110</v>
      </c>
      <c r="E67" t="s">
        <v>223</v>
      </c>
      <c r="F67" t="str">
        <f>LEFT(E67,5)</f>
        <v>CF213</v>
      </c>
      <c r="G67" t="s">
        <v>224</v>
      </c>
      <c r="H67">
        <v>1267774.62</v>
      </c>
      <c r="I67">
        <f>VLOOKUP(F67,Sheet2!$A$2:$B$73,2,0)</f>
        <v>1267774.62</v>
      </c>
      <c r="J67">
        <f>H67-I67</f>
        <v>0</v>
      </c>
    </row>
    <row r="68" spans="1:10">
      <c r="A68" t="s">
        <v>109</v>
      </c>
      <c r="B68" t="s">
        <v>110</v>
      </c>
      <c r="E68" t="s">
        <v>225</v>
      </c>
      <c r="F68" t="str">
        <f>LEFT(E68,5)</f>
        <v>CF273</v>
      </c>
      <c r="G68" t="s">
        <v>226</v>
      </c>
      <c r="H68">
        <v>462196.08</v>
      </c>
      <c r="I68">
        <f>VLOOKUP(F68,Sheet2!$A$2:$B$73,2,0)</f>
        <v>462196.08</v>
      </c>
      <c r="J68">
        <f>H68-I68</f>
        <v>0</v>
      </c>
    </row>
    <row r="69" spans="1:10">
      <c r="A69" t="s">
        <v>109</v>
      </c>
      <c r="B69" t="s">
        <v>110</v>
      </c>
      <c r="E69" t="s">
        <v>119</v>
      </c>
      <c r="F69" t="str">
        <f>LEFT(E69,5)</f>
        <v>CF275</v>
      </c>
      <c r="G69" t="s">
        <v>120</v>
      </c>
      <c r="H69">
        <v>1174277.67</v>
      </c>
      <c r="I69">
        <f>VLOOKUP(F69,Sheet2!$A$2:$B$73,2,0)</f>
        <v>1174277.67</v>
      </c>
      <c r="J69">
        <f>H69-I69</f>
        <v>0</v>
      </c>
    </row>
    <row r="70" spans="1:10">
      <c r="A70" t="s">
        <v>109</v>
      </c>
      <c r="B70" t="s">
        <v>110</v>
      </c>
      <c r="E70" t="s">
        <v>227</v>
      </c>
      <c r="F70" t="str">
        <f>LEFT(E70,5)</f>
        <v>CF293</v>
      </c>
      <c r="G70" t="s">
        <v>228</v>
      </c>
      <c r="H70">
        <v>619613.94</v>
      </c>
      <c r="I70">
        <f>VLOOKUP(F70,Sheet2!$A$2:$B$73,2,0)</f>
        <v>619613.94</v>
      </c>
      <c r="J70">
        <f>H70-I70</f>
        <v>0</v>
      </c>
    </row>
    <row r="71" spans="1:10">
      <c r="A71" t="s">
        <v>109</v>
      </c>
      <c r="B71" t="s">
        <v>110</v>
      </c>
      <c r="E71" t="s">
        <v>229</v>
      </c>
      <c r="F71" t="str">
        <f>LEFT(E71,5)</f>
        <v>CF341</v>
      </c>
      <c r="G71" t="s">
        <v>230</v>
      </c>
      <c r="H71">
        <v>45619.85</v>
      </c>
      <c r="I71">
        <f>VLOOKUP(F71,Sheet2!$A$2:$B$73,2,0)</f>
        <v>45619.85</v>
      </c>
      <c r="J71">
        <f>H71-I71</f>
        <v>0</v>
      </c>
    </row>
    <row r="72" spans="1:10">
      <c r="A72" t="s">
        <v>109</v>
      </c>
      <c r="B72" t="s">
        <v>110</v>
      </c>
      <c r="E72" t="s">
        <v>113</v>
      </c>
      <c r="F72" t="str">
        <f>LEFT(E72,5)</f>
        <v>CF475</v>
      </c>
      <c r="G72" t="s">
        <v>114</v>
      </c>
      <c r="H72">
        <v>1655835.5</v>
      </c>
      <c r="I72">
        <f>VLOOKUP(F72,Sheet2!$A$2:$B$73,2,0)</f>
        <v>1655835.5</v>
      </c>
      <c r="J72">
        <f>H72-I72</f>
        <v>0</v>
      </c>
    </row>
    <row r="73" spans="1:10">
      <c r="A73" t="s">
        <v>109</v>
      </c>
      <c r="B73" t="s">
        <v>110</v>
      </c>
      <c r="E73" t="s">
        <v>111</v>
      </c>
      <c r="F73" t="str">
        <f>LEFT(E73,5)</f>
        <v>CF479</v>
      </c>
      <c r="G73" t="s">
        <v>112</v>
      </c>
      <c r="H73">
        <v>6360</v>
      </c>
      <c r="I73">
        <f>VLOOKUP(F73,Sheet2!$A$2:$B$73,2,0)</f>
        <v>6360</v>
      </c>
      <c r="J73">
        <f>H73-I73</f>
        <v>0</v>
      </c>
    </row>
    <row r="74" spans="1:10">
      <c r="A74" t="s">
        <v>109</v>
      </c>
      <c r="B74" t="s">
        <v>110</v>
      </c>
      <c r="D74" t="s">
        <v>12</v>
      </c>
      <c r="F74" t="str">
        <f>LEFT(E74,5)</f>
        <v/>
      </c>
      <c r="H74">
        <v>3494941.5</v>
      </c>
      <c r="I74" t="e">
        <f>VLOOKUP(F74,Sheet2!$A$2:$B$73,2,0)</f>
        <v>#N/A</v>
      </c>
      <c r="J74" t="e">
        <f>H74-I74</f>
        <v>#N/A</v>
      </c>
    </row>
    <row r="75" spans="1:10">
      <c r="A75" t="s">
        <v>394</v>
      </c>
      <c r="B75" t="s">
        <v>395</v>
      </c>
      <c r="C75" t="s">
        <v>396</v>
      </c>
      <c r="D75" t="s">
        <v>397</v>
      </c>
      <c r="E75" t="s">
        <v>398</v>
      </c>
      <c r="F75" t="str">
        <f>LEFT(E75,5)</f>
        <v>Q021</v>
      </c>
      <c r="G75" t="s">
        <v>399</v>
      </c>
      <c r="H75">
        <v>51733.33</v>
      </c>
      <c r="I75" t="e">
        <f>VLOOKUP(F75,Sheet2!$A$2:$B$73,2,0)</f>
        <v>#N/A</v>
      </c>
      <c r="J75" t="e">
        <f>H75-I75</f>
        <v>#N/A</v>
      </c>
    </row>
    <row r="76" spans="1:10">
      <c r="A76" t="s">
        <v>394</v>
      </c>
      <c r="B76" t="s">
        <v>395</v>
      </c>
      <c r="C76" t="s">
        <v>396</v>
      </c>
      <c r="D76" t="s">
        <v>12</v>
      </c>
      <c r="F76" t="str">
        <f>LEFT(E76,5)</f>
        <v/>
      </c>
      <c r="H76">
        <v>51733.33</v>
      </c>
      <c r="I76" t="e">
        <f>VLOOKUP(F76,Sheet2!$A$2:$B$73,2,0)</f>
        <v>#N/A</v>
      </c>
      <c r="J76" t="e">
        <f>H76-I76</f>
        <v>#N/A</v>
      </c>
    </row>
    <row r="77" spans="1:10">
      <c r="A77" t="s">
        <v>400</v>
      </c>
      <c r="F77" t="str">
        <f>LEFT(E77,5)</f>
        <v/>
      </c>
      <c r="H77">
        <v>62447450.46</v>
      </c>
      <c r="I77" t="e">
        <f>VLOOKUP(F77,Sheet2!$A$2:$B$73,2,0)</f>
        <v>#N/A</v>
      </c>
      <c r="J77" t="e">
        <f>H77-I77</f>
        <v>#N/A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汇总表</vt:lpstr>
      <vt:lpstr>2023年度</vt:lpstr>
      <vt:lpstr>2024年度</vt:lpstr>
      <vt:lpstr>2025年度</vt:lpstr>
      <vt:lpstr>2026年8月科桥餐饮公司应收账款统计表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云端的故事</cp:lastModifiedBy>
  <dcterms:created xsi:type="dcterms:W3CDTF">2026-02-02T13:17:00Z</dcterms:created>
  <dcterms:modified xsi:type="dcterms:W3CDTF">2026-09-04T09:44:56Z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C604979B24384C5D8DA706090412C8B2_13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